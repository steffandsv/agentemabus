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teff\OneDrive\Documentos\GitHub\agentemabus\"/>
    </mc:Choice>
  </mc:AlternateContent>
  <xr:revisionPtr revIDLastSave="0" documentId="13_ncr:1_{8BA2ED68-E213-48CC-B977-38D77CE91C1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lanilha de Cadastro - Previsão" sheetId="1" r:id="rId1"/>
    <sheet name="Prosposta Inicial" sheetId="2" r:id="rId2"/>
    <sheet name="Acompanhamento da Licitação" sheetId="3" r:id="rId3"/>
    <sheet name="Itens Vencedores" sheetId="4" r:id="rId4"/>
    <sheet name="Prosposta Final" sheetId="5" r:id="rId5"/>
  </sheets>
  <definedNames>
    <definedName name="DadosExternos_1" localSheetId="4" hidden="1">'Prosposta Final'!$A$11:$E$249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R1000" i="4"/>
  <c r="S1000" i="4" s="1"/>
  <c r="F12" i="1"/>
  <c r="G12" i="1" s="1"/>
  <c r="H12" i="1" s="1"/>
  <c r="F13" i="1"/>
  <c r="G13" i="1"/>
  <c r="H13" i="1" s="1"/>
  <c r="F14" i="1"/>
  <c r="G14" i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G21" i="1"/>
  <c r="H21" i="1" s="1"/>
  <c r="F22" i="1"/>
  <c r="G22" i="1"/>
  <c r="H22" i="1"/>
  <c r="F23" i="1"/>
  <c r="G23" i="1" s="1"/>
  <c r="H23" i="1" s="1"/>
  <c r="F24" i="1"/>
  <c r="G24" i="1" s="1"/>
  <c r="H24" i="1" s="1"/>
  <c r="F25" i="1"/>
  <c r="G25" i="1"/>
  <c r="H25" i="1" s="1"/>
  <c r="F26" i="1"/>
  <c r="G26" i="1"/>
  <c r="H26" i="1"/>
  <c r="F27" i="1"/>
  <c r="G27" i="1" s="1"/>
  <c r="H27" i="1" s="1"/>
  <c r="F28" i="1"/>
  <c r="G28" i="1" s="1"/>
  <c r="H28" i="1" s="1"/>
  <c r="F29" i="1"/>
  <c r="G29" i="1"/>
  <c r="H29" i="1" s="1"/>
  <c r="F30" i="1"/>
  <c r="G30" i="1"/>
  <c r="H30" i="1"/>
  <c r="F31" i="1"/>
  <c r="G31" i="1" s="1"/>
  <c r="H31" i="1" s="1"/>
  <c r="F32" i="1"/>
  <c r="G32" i="1" s="1"/>
  <c r="H32" i="1" s="1"/>
  <c r="F33" i="1"/>
  <c r="G33" i="1"/>
  <c r="H33" i="1" s="1"/>
  <c r="F34" i="1"/>
  <c r="G34" i="1"/>
  <c r="H34" i="1"/>
  <c r="F35" i="1"/>
  <c r="G35" i="1" s="1"/>
  <c r="H35" i="1" s="1"/>
  <c r="F36" i="1"/>
  <c r="G36" i="1" s="1"/>
  <c r="H36" i="1" s="1"/>
  <c r="F37" i="1"/>
  <c r="G37" i="1"/>
  <c r="H37" i="1" s="1"/>
  <c r="F38" i="1"/>
  <c r="G38" i="1"/>
  <c r="H38" i="1"/>
  <c r="F39" i="1"/>
  <c r="G39" i="1" s="1"/>
  <c r="H39" i="1" s="1"/>
  <c r="F40" i="1"/>
  <c r="G40" i="1" s="1"/>
  <c r="H40" i="1" s="1"/>
  <c r="F41" i="1"/>
  <c r="G41" i="1"/>
  <c r="H41" i="1" s="1"/>
  <c r="F42" i="1"/>
  <c r="G42" i="1"/>
  <c r="H42" i="1"/>
  <c r="F43" i="1"/>
  <c r="G43" i="1" s="1"/>
  <c r="H43" i="1" s="1"/>
  <c r="F44" i="1"/>
  <c r="G44" i="1" s="1"/>
  <c r="H44" i="1" s="1"/>
  <c r="F45" i="1"/>
  <c r="G45" i="1"/>
  <c r="H45" i="1" s="1"/>
  <c r="F46" i="1"/>
  <c r="G46" i="1"/>
  <c r="H46" i="1"/>
  <c r="F47" i="1"/>
  <c r="G47" i="1" s="1"/>
  <c r="H47" i="1" s="1"/>
  <c r="F48" i="1"/>
  <c r="G48" i="1" s="1"/>
  <c r="H48" i="1" s="1"/>
  <c r="F49" i="1"/>
  <c r="G49" i="1"/>
  <c r="H49" i="1" s="1"/>
  <c r="F50" i="1"/>
  <c r="G50" i="1"/>
  <c r="H50" i="1"/>
  <c r="F51" i="1"/>
  <c r="G51" i="1" s="1"/>
  <c r="H51" i="1" s="1"/>
  <c r="F52" i="1"/>
  <c r="G52" i="1" s="1"/>
  <c r="H52" i="1" s="1"/>
  <c r="F53" i="1"/>
  <c r="G53" i="1"/>
  <c r="H53" i="1" s="1"/>
  <c r="F54" i="1"/>
  <c r="G54" i="1"/>
  <c r="H54" i="1"/>
  <c r="F55" i="1"/>
  <c r="G55" i="1" s="1"/>
  <c r="H55" i="1" s="1"/>
  <c r="F56" i="1"/>
  <c r="G56" i="1" s="1"/>
  <c r="H56" i="1" s="1"/>
  <c r="F57" i="1"/>
  <c r="G57" i="1"/>
  <c r="H57" i="1" s="1"/>
  <c r="F58" i="1"/>
  <c r="G58" i="1"/>
  <c r="H58" i="1"/>
  <c r="F59" i="1"/>
  <c r="G59" i="1" s="1"/>
  <c r="H59" i="1" s="1"/>
  <c r="F60" i="1"/>
  <c r="G60" i="1" s="1"/>
  <c r="H60" i="1" s="1"/>
  <c r="F61" i="1"/>
  <c r="G61" i="1"/>
  <c r="H61" i="1" s="1"/>
  <c r="F62" i="1"/>
  <c r="G62" i="1"/>
  <c r="H62" i="1"/>
  <c r="F63" i="1"/>
  <c r="G63" i="1" s="1"/>
  <c r="H63" i="1" s="1"/>
  <c r="F64" i="1"/>
  <c r="G64" i="1" s="1"/>
  <c r="H64" i="1" s="1"/>
  <c r="F65" i="1"/>
  <c r="G65" i="1"/>
  <c r="H65" i="1" s="1"/>
  <c r="F66" i="1"/>
  <c r="G66" i="1"/>
  <c r="H66" i="1"/>
  <c r="F67" i="1"/>
  <c r="G67" i="1" s="1"/>
  <c r="H67" i="1" s="1"/>
  <c r="F68" i="1"/>
  <c r="G68" i="1" s="1"/>
  <c r="H68" i="1" s="1"/>
  <c r="F69" i="1"/>
  <c r="G69" i="1"/>
  <c r="H69" i="1" s="1"/>
  <c r="F70" i="1"/>
  <c r="G70" i="1"/>
  <c r="H70" i="1"/>
  <c r="F71" i="1"/>
  <c r="G71" i="1" s="1"/>
  <c r="H71" i="1" s="1"/>
  <c r="F72" i="1"/>
  <c r="G72" i="1" s="1"/>
  <c r="H72" i="1" s="1"/>
  <c r="F73" i="1"/>
  <c r="G73" i="1"/>
  <c r="H73" i="1" s="1"/>
  <c r="F74" i="1"/>
  <c r="G74" i="1"/>
  <c r="H74" i="1"/>
  <c r="F75" i="1"/>
  <c r="G75" i="1" s="1"/>
  <c r="H75" i="1" s="1"/>
  <c r="F76" i="1"/>
  <c r="G76" i="1" s="1"/>
  <c r="H76" i="1" s="1"/>
  <c r="F77" i="1"/>
  <c r="G77" i="1"/>
  <c r="H77" i="1" s="1"/>
  <c r="F78" i="1"/>
  <c r="G78" i="1"/>
  <c r="H78" i="1"/>
  <c r="F79" i="1"/>
  <c r="G79" i="1" s="1"/>
  <c r="H79" i="1" s="1"/>
  <c r="F80" i="1"/>
  <c r="G80" i="1" s="1"/>
  <c r="H80" i="1" s="1"/>
  <c r="F81" i="1"/>
  <c r="G81" i="1"/>
  <c r="H81" i="1" s="1"/>
  <c r="F82" i="1"/>
  <c r="G82" i="1"/>
  <c r="H82" i="1"/>
  <c r="F83" i="1"/>
  <c r="G83" i="1" s="1"/>
  <c r="H83" i="1" s="1"/>
  <c r="F84" i="1"/>
  <c r="G84" i="1" s="1"/>
  <c r="H84" i="1" s="1"/>
  <c r="F85" i="1"/>
  <c r="G85" i="1"/>
  <c r="H85" i="1" s="1"/>
  <c r="F86" i="1"/>
  <c r="G86" i="1"/>
  <c r="H86" i="1"/>
  <c r="F87" i="1"/>
  <c r="G87" i="1" s="1"/>
  <c r="H87" i="1" s="1"/>
  <c r="F88" i="1"/>
  <c r="G88" i="1" s="1"/>
  <c r="H88" i="1" s="1"/>
  <c r="F89" i="1"/>
  <c r="G89" i="1"/>
  <c r="H89" i="1" s="1"/>
  <c r="F90" i="1"/>
  <c r="G90" i="1"/>
  <c r="H90" i="1"/>
  <c r="F91" i="1"/>
  <c r="G91" i="1" s="1"/>
  <c r="H91" i="1" s="1"/>
  <c r="F92" i="1"/>
  <c r="G92" i="1" s="1"/>
  <c r="H92" i="1" s="1"/>
  <c r="F93" i="1"/>
  <c r="G93" i="1"/>
  <c r="H93" i="1" s="1"/>
  <c r="F94" i="1"/>
  <c r="G94" i="1"/>
  <c r="H94" i="1"/>
  <c r="F95" i="1"/>
  <c r="G95" i="1" s="1"/>
  <c r="H95" i="1" s="1"/>
  <c r="F96" i="1"/>
  <c r="G96" i="1" s="1"/>
  <c r="H96" i="1" s="1"/>
  <c r="F97" i="1"/>
  <c r="G97" i="1"/>
  <c r="H97" i="1" s="1"/>
  <c r="F98" i="1"/>
  <c r="G98" i="1"/>
  <c r="H98" i="1"/>
  <c r="F99" i="1"/>
  <c r="G99" i="1" s="1"/>
  <c r="H99" i="1" s="1"/>
  <c r="F100" i="1"/>
  <c r="G100" i="1" s="1"/>
  <c r="H100" i="1" s="1"/>
  <c r="F101" i="1"/>
  <c r="G101" i="1"/>
  <c r="H101" i="1" s="1"/>
  <c r="F102" i="1"/>
  <c r="G102" i="1"/>
  <c r="H102" i="1"/>
  <c r="F103" i="1"/>
  <c r="G103" i="1" s="1"/>
  <c r="H103" i="1" s="1"/>
  <c r="F104" i="1"/>
  <c r="G104" i="1" s="1"/>
  <c r="H104" i="1" s="1"/>
  <c r="F105" i="1"/>
  <c r="G105" i="1"/>
  <c r="H105" i="1" s="1"/>
  <c r="F106" i="1"/>
  <c r="G106" i="1"/>
  <c r="H106" i="1"/>
  <c r="F107" i="1"/>
  <c r="G107" i="1" s="1"/>
  <c r="H107" i="1" s="1"/>
  <c r="F108" i="1"/>
  <c r="G108" i="1" s="1"/>
  <c r="H108" i="1" s="1"/>
  <c r="F109" i="1"/>
  <c r="G109" i="1"/>
  <c r="H109" i="1" s="1"/>
  <c r="F110" i="1"/>
  <c r="G110" i="1"/>
  <c r="H110" i="1"/>
  <c r="F111" i="1"/>
  <c r="G111" i="1" s="1"/>
  <c r="H111" i="1" s="1"/>
  <c r="F112" i="1"/>
  <c r="G112" i="1" s="1"/>
  <c r="H112" i="1" s="1"/>
  <c r="F113" i="1"/>
  <c r="G113" i="1"/>
  <c r="H113" i="1" s="1"/>
  <c r="F114" i="1"/>
  <c r="G114" i="1"/>
  <c r="H114" i="1"/>
  <c r="F115" i="1"/>
  <c r="G115" i="1" s="1"/>
  <c r="H115" i="1" s="1"/>
  <c r="F116" i="1"/>
  <c r="G116" i="1" s="1"/>
  <c r="H116" i="1" s="1"/>
  <c r="F117" i="1"/>
  <c r="G117" i="1"/>
  <c r="H117" i="1" s="1"/>
  <c r="F118" i="1"/>
  <c r="G118" i="1"/>
  <c r="H118" i="1"/>
  <c r="F119" i="1"/>
  <c r="G119" i="1" s="1"/>
  <c r="H119" i="1" s="1"/>
  <c r="F120" i="1"/>
  <c r="G120" i="1" s="1"/>
  <c r="H120" i="1" s="1"/>
  <c r="F121" i="1"/>
  <c r="G121" i="1"/>
  <c r="H121" i="1" s="1"/>
  <c r="F122" i="1"/>
  <c r="G122" i="1"/>
  <c r="H122" i="1"/>
  <c r="F123" i="1"/>
  <c r="G123" i="1" s="1"/>
  <c r="H123" i="1" s="1"/>
  <c r="F124" i="1"/>
  <c r="G124" i="1" s="1"/>
  <c r="H124" i="1" s="1"/>
  <c r="F125" i="1"/>
  <c r="G125" i="1"/>
  <c r="H125" i="1" s="1"/>
  <c r="F126" i="1"/>
  <c r="G126" i="1"/>
  <c r="H126" i="1"/>
  <c r="F127" i="1"/>
  <c r="G127" i="1" s="1"/>
  <c r="H127" i="1" s="1"/>
  <c r="F128" i="1"/>
  <c r="G128" i="1" s="1"/>
  <c r="H128" i="1" s="1"/>
  <c r="F129" i="1"/>
  <c r="G129" i="1"/>
  <c r="H129" i="1" s="1"/>
  <c r="F130" i="1"/>
  <c r="G130" i="1"/>
  <c r="H130" i="1"/>
  <c r="F131" i="1"/>
  <c r="G131" i="1"/>
  <c r="H131" i="1"/>
  <c r="F132" i="1"/>
  <c r="G132" i="1" s="1"/>
  <c r="H132" i="1" s="1"/>
  <c r="F133" i="1"/>
  <c r="G133" i="1" s="1"/>
  <c r="H133" i="1" s="1"/>
  <c r="F134" i="1"/>
  <c r="G134" i="1"/>
  <c r="H134" i="1" s="1"/>
  <c r="F135" i="1"/>
  <c r="G135" i="1"/>
  <c r="H135" i="1"/>
  <c r="F136" i="1"/>
  <c r="G136" i="1" s="1"/>
  <c r="H136" i="1" s="1"/>
  <c r="F137" i="1"/>
  <c r="G137" i="1" s="1"/>
  <c r="H137" i="1" s="1"/>
  <c r="F138" i="1"/>
  <c r="G138" i="1"/>
  <c r="H138" i="1" s="1"/>
  <c r="F139" i="1"/>
  <c r="G139" i="1"/>
  <c r="H139" i="1"/>
  <c r="F140" i="1"/>
  <c r="G140" i="1" s="1"/>
  <c r="H140" i="1" s="1"/>
  <c r="F141" i="1"/>
  <c r="G141" i="1"/>
  <c r="H141" i="1" s="1"/>
  <c r="F142" i="1"/>
  <c r="G142" i="1"/>
  <c r="H142" i="1" s="1"/>
  <c r="F143" i="1"/>
  <c r="G143" i="1"/>
  <c r="H143" i="1"/>
  <c r="F144" i="1"/>
  <c r="G144" i="1" s="1"/>
  <c r="H144" i="1" s="1"/>
  <c r="F145" i="1"/>
  <c r="G145" i="1" s="1"/>
  <c r="H145" i="1" s="1"/>
  <c r="F146" i="1"/>
  <c r="G146" i="1"/>
  <c r="H146" i="1"/>
  <c r="F147" i="1"/>
  <c r="G147" i="1"/>
  <c r="H147" i="1"/>
  <c r="F148" i="1"/>
  <c r="G148" i="1" s="1"/>
  <c r="H148" i="1" s="1"/>
  <c r="F149" i="1"/>
  <c r="G149" i="1" s="1"/>
  <c r="H149" i="1" s="1"/>
  <c r="F150" i="1"/>
  <c r="G150" i="1"/>
  <c r="H150" i="1" s="1"/>
  <c r="F151" i="1"/>
  <c r="G151" i="1"/>
  <c r="H151" i="1"/>
  <c r="F152" i="1"/>
  <c r="G152" i="1" s="1"/>
  <c r="H152" i="1" s="1"/>
  <c r="F153" i="1"/>
  <c r="G153" i="1" s="1"/>
  <c r="H153" i="1" s="1"/>
  <c r="F154" i="1"/>
  <c r="G154" i="1"/>
  <c r="H154" i="1" s="1"/>
  <c r="F155" i="1"/>
  <c r="G155" i="1"/>
  <c r="H155" i="1"/>
  <c r="F156" i="1"/>
  <c r="G156" i="1" s="1"/>
  <c r="H156" i="1" s="1"/>
  <c r="F157" i="1"/>
  <c r="G157" i="1"/>
  <c r="H157" i="1" s="1"/>
  <c r="F158" i="1"/>
  <c r="G158" i="1"/>
  <c r="H158" i="1" s="1"/>
  <c r="F159" i="1"/>
  <c r="G159" i="1"/>
  <c r="H159" i="1"/>
  <c r="F160" i="1"/>
  <c r="G160" i="1" s="1"/>
  <c r="H160" i="1" s="1"/>
  <c r="F161" i="1"/>
  <c r="G161" i="1" s="1"/>
  <c r="H161" i="1" s="1"/>
  <c r="F162" i="1"/>
  <c r="G162" i="1"/>
  <c r="H162" i="1"/>
  <c r="F163" i="1"/>
  <c r="G163" i="1"/>
  <c r="H163" i="1"/>
  <c r="F164" i="1"/>
  <c r="G164" i="1" s="1"/>
  <c r="H164" i="1" s="1"/>
  <c r="F165" i="1"/>
  <c r="G165" i="1" s="1"/>
  <c r="H165" i="1" s="1"/>
  <c r="F166" i="1"/>
  <c r="G166" i="1"/>
  <c r="H166" i="1" s="1"/>
  <c r="F167" i="1"/>
  <c r="G167" i="1"/>
  <c r="H167" i="1"/>
  <c r="F168" i="1"/>
  <c r="G168" i="1" s="1"/>
  <c r="H168" i="1" s="1"/>
  <c r="F169" i="1"/>
  <c r="G169" i="1"/>
  <c r="H169" i="1" s="1"/>
  <c r="F170" i="1"/>
  <c r="G170" i="1" s="1"/>
  <c r="H170" i="1" s="1"/>
  <c r="F171" i="1"/>
  <c r="G171" i="1"/>
  <c r="H171" i="1" s="1"/>
  <c r="F172" i="1"/>
  <c r="G172" i="1" s="1"/>
  <c r="H172" i="1"/>
  <c r="F173" i="1"/>
  <c r="G173" i="1" s="1"/>
  <c r="H173" i="1" s="1"/>
  <c r="F174" i="1"/>
  <c r="G174" i="1" s="1"/>
  <c r="H174" i="1" s="1"/>
  <c r="F175" i="1"/>
  <c r="G175" i="1"/>
  <c r="H175" i="1" s="1"/>
  <c r="F176" i="1"/>
  <c r="G176" i="1" s="1"/>
  <c r="H176" i="1"/>
  <c r="F177" i="1"/>
  <c r="G177" i="1" s="1"/>
  <c r="H177" i="1" s="1"/>
  <c r="F178" i="1"/>
  <c r="G178" i="1" s="1"/>
  <c r="H178" i="1" s="1"/>
  <c r="F179" i="1"/>
  <c r="G179" i="1"/>
  <c r="H179" i="1" s="1"/>
  <c r="F180" i="1"/>
  <c r="G180" i="1" s="1"/>
  <c r="H180" i="1"/>
  <c r="F181" i="1"/>
  <c r="G181" i="1" s="1"/>
  <c r="H181" i="1" s="1"/>
  <c r="F182" i="1"/>
  <c r="G182" i="1" s="1"/>
  <c r="H182" i="1" s="1"/>
  <c r="F183" i="1"/>
  <c r="G183" i="1"/>
  <c r="H183" i="1" s="1"/>
  <c r="F184" i="1"/>
  <c r="G184" i="1" s="1"/>
  <c r="H184" i="1"/>
  <c r="F185" i="1"/>
  <c r="G185" i="1" s="1"/>
  <c r="H185" i="1" s="1"/>
  <c r="F186" i="1"/>
  <c r="G186" i="1" s="1"/>
  <c r="H186" i="1" s="1"/>
  <c r="F187" i="1"/>
  <c r="G187" i="1"/>
  <c r="H187" i="1" s="1"/>
  <c r="F188" i="1"/>
  <c r="G188" i="1" s="1"/>
  <c r="H188" i="1"/>
  <c r="F189" i="1"/>
  <c r="G189" i="1" s="1"/>
  <c r="H189" i="1" s="1"/>
  <c r="F190" i="1"/>
  <c r="G190" i="1" s="1"/>
  <c r="H190" i="1" s="1"/>
  <c r="F191" i="1"/>
  <c r="G191" i="1"/>
  <c r="H191" i="1" s="1"/>
  <c r="F192" i="1"/>
  <c r="G192" i="1" s="1"/>
  <c r="H192" i="1"/>
  <c r="F193" i="1"/>
  <c r="G193" i="1" s="1"/>
  <c r="H193" i="1" s="1"/>
  <c r="F194" i="1"/>
  <c r="G194" i="1" s="1"/>
  <c r="H194" i="1" s="1"/>
  <c r="F195" i="1"/>
  <c r="G195" i="1"/>
  <c r="H195" i="1" s="1"/>
  <c r="F196" i="1"/>
  <c r="G196" i="1" s="1"/>
  <c r="H196" i="1" s="1"/>
  <c r="F197" i="1"/>
  <c r="G197" i="1" s="1"/>
  <c r="H197" i="1" s="1"/>
  <c r="F198" i="1"/>
  <c r="G198" i="1" s="1"/>
  <c r="H198" i="1" s="1"/>
  <c r="F199" i="1"/>
  <c r="G199" i="1"/>
  <c r="H199" i="1" s="1"/>
  <c r="F200" i="1"/>
  <c r="G200" i="1" s="1"/>
  <c r="H200" i="1" s="1"/>
  <c r="F201" i="1"/>
  <c r="G201" i="1" s="1"/>
  <c r="H201" i="1" s="1"/>
  <c r="F202" i="1"/>
  <c r="G202" i="1" s="1"/>
  <c r="H202" i="1"/>
  <c r="F203" i="1"/>
  <c r="G203" i="1"/>
  <c r="H203" i="1" s="1"/>
  <c r="F204" i="1"/>
  <c r="G204" i="1" s="1"/>
  <c r="H204" i="1" s="1"/>
  <c r="F205" i="1"/>
  <c r="G205" i="1" s="1"/>
  <c r="H205" i="1" s="1"/>
  <c r="F206" i="1"/>
  <c r="G206" i="1" s="1"/>
  <c r="H206" i="1" s="1"/>
  <c r="F207" i="1"/>
  <c r="G207" i="1"/>
  <c r="H207" i="1" s="1"/>
  <c r="F208" i="1"/>
  <c r="G208" i="1" s="1"/>
  <c r="H208" i="1" s="1"/>
  <c r="F209" i="1"/>
  <c r="G209" i="1" s="1"/>
  <c r="H209" i="1" s="1"/>
  <c r="F210" i="1"/>
  <c r="G210" i="1" s="1"/>
  <c r="H210" i="1" s="1"/>
  <c r="F211" i="1"/>
  <c r="G211" i="1"/>
  <c r="H211" i="1" s="1"/>
  <c r="F212" i="1"/>
  <c r="G212" i="1" s="1"/>
  <c r="H212" i="1" s="1"/>
  <c r="F213" i="1"/>
  <c r="G213" i="1" s="1"/>
  <c r="H213" i="1" s="1"/>
  <c r="F214" i="1"/>
  <c r="G214" i="1" s="1"/>
  <c r="H214" i="1" s="1"/>
  <c r="F215" i="1"/>
  <c r="G215" i="1"/>
  <c r="H215" i="1" s="1"/>
  <c r="F216" i="1"/>
  <c r="G216" i="1" s="1"/>
  <c r="H216" i="1" s="1"/>
  <c r="F217" i="1"/>
  <c r="G217" i="1" s="1"/>
  <c r="H217" i="1" s="1"/>
  <c r="F218" i="1"/>
  <c r="G218" i="1" s="1"/>
  <c r="H218" i="1"/>
  <c r="F219" i="1"/>
  <c r="G219" i="1"/>
  <c r="H219" i="1" s="1"/>
  <c r="F220" i="1"/>
  <c r="G220" i="1" s="1"/>
  <c r="H220" i="1" s="1"/>
  <c r="F221" i="1"/>
  <c r="G221" i="1" s="1"/>
  <c r="H221" i="1" s="1"/>
  <c r="F222" i="1"/>
  <c r="G222" i="1" s="1"/>
  <c r="H222" i="1" s="1"/>
  <c r="F223" i="1"/>
  <c r="G223" i="1"/>
  <c r="H223" i="1" s="1"/>
  <c r="F224" i="1"/>
  <c r="G224" i="1" s="1"/>
  <c r="H224" i="1" s="1"/>
  <c r="F225" i="1"/>
  <c r="G225" i="1" s="1"/>
  <c r="H225" i="1" s="1"/>
  <c r="F226" i="1"/>
  <c r="G226" i="1" s="1"/>
  <c r="H226" i="1" s="1"/>
  <c r="F227" i="1"/>
  <c r="G227" i="1"/>
  <c r="H227" i="1" s="1"/>
  <c r="F228" i="1"/>
  <c r="G228" i="1" s="1"/>
  <c r="H228" i="1" s="1"/>
  <c r="F229" i="1"/>
  <c r="G229" i="1" s="1"/>
  <c r="H229" i="1" s="1"/>
  <c r="F230" i="1"/>
  <c r="G230" i="1" s="1"/>
  <c r="H230" i="1" s="1"/>
  <c r="F231" i="1"/>
  <c r="G231" i="1"/>
  <c r="H231" i="1" s="1"/>
  <c r="F232" i="1"/>
  <c r="G232" i="1" s="1"/>
  <c r="H232" i="1" s="1"/>
  <c r="F233" i="1"/>
  <c r="G233" i="1" s="1"/>
  <c r="H233" i="1" s="1"/>
  <c r="F234" i="1"/>
  <c r="G234" i="1" s="1"/>
  <c r="H234" i="1"/>
  <c r="F235" i="1"/>
  <c r="G235" i="1"/>
  <c r="H235" i="1" s="1"/>
  <c r="F236" i="1"/>
  <c r="G236" i="1" s="1"/>
  <c r="H236" i="1" s="1"/>
  <c r="F237" i="1"/>
  <c r="G237" i="1" s="1"/>
  <c r="H237" i="1" s="1"/>
  <c r="F238" i="1"/>
  <c r="G238" i="1" s="1"/>
  <c r="H238" i="1" s="1"/>
  <c r="F239" i="1"/>
  <c r="G239" i="1"/>
  <c r="H239" i="1" s="1"/>
  <c r="F240" i="1"/>
  <c r="G240" i="1" s="1"/>
  <c r="H240" i="1" s="1"/>
  <c r="F241" i="1"/>
  <c r="G241" i="1" s="1"/>
  <c r="H241" i="1" s="1"/>
  <c r="F242" i="1"/>
  <c r="G242" i="1" s="1"/>
  <c r="H242" i="1" s="1"/>
  <c r="F243" i="1"/>
  <c r="G243" i="1"/>
  <c r="H243" i="1" s="1"/>
  <c r="F244" i="1"/>
  <c r="G244" i="1" s="1"/>
  <c r="H244" i="1" s="1"/>
  <c r="F245" i="1"/>
  <c r="G245" i="1" s="1"/>
  <c r="H245" i="1" s="1"/>
  <c r="F246" i="1"/>
  <c r="G246" i="1" s="1"/>
  <c r="H246" i="1" s="1"/>
  <c r="F247" i="1"/>
  <c r="G247" i="1"/>
  <c r="H247" i="1" s="1"/>
  <c r="F248" i="1"/>
  <c r="G248" i="1" s="1"/>
  <c r="H248" i="1" s="1"/>
  <c r="F249" i="1"/>
  <c r="G249" i="1" s="1"/>
  <c r="H249" i="1" s="1"/>
  <c r="F250" i="1"/>
  <c r="G250" i="1" s="1"/>
  <c r="H250" i="1"/>
  <c r="F251" i="1"/>
  <c r="G251" i="1"/>
  <c r="H251" i="1" s="1"/>
  <c r="F252" i="1"/>
  <c r="G252" i="1" s="1"/>
  <c r="H252" i="1" s="1"/>
  <c r="F253" i="1"/>
  <c r="G253" i="1" s="1"/>
  <c r="H253" i="1" s="1"/>
  <c r="F254" i="1"/>
  <c r="G254" i="1" s="1"/>
  <c r="H254" i="1" s="1"/>
  <c r="F255" i="1"/>
  <c r="G255" i="1"/>
  <c r="H255" i="1" s="1"/>
  <c r="F256" i="1"/>
  <c r="G256" i="1" s="1"/>
  <c r="H256" i="1" s="1"/>
  <c r="F257" i="1"/>
  <c r="G257" i="1" s="1"/>
  <c r="H257" i="1" s="1"/>
  <c r="F258" i="1"/>
  <c r="G258" i="1" s="1"/>
  <c r="H258" i="1" s="1"/>
  <c r="F259" i="1"/>
  <c r="G259" i="1"/>
  <c r="H259" i="1" s="1"/>
  <c r="F260" i="1"/>
  <c r="G260" i="1" s="1"/>
  <c r="H260" i="1" s="1"/>
  <c r="F261" i="1"/>
  <c r="G261" i="1" s="1"/>
  <c r="H261" i="1" s="1"/>
  <c r="F262" i="1"/>
  <c r="G262" i="1" s="1"/>
  <c r="H262" i="1" s="1"/>
  <c r="F263" i="1"/>
  <c r="G263" i="1"/>
  <c r="H263" i="1" s="1"/>
  <c r="F264" i="1"/>
  <c r="G264" i="1" s="1"/>
  <c r="H264" i="1" s="1"/>
  <c r="F265" i="1"/>
  <c r="G265" i="1" s="1"/>
  <c r="H265" i="1" s="1"/>
  <c r="F266" i="1"/>
  <c r="G266" i="1" s="1"/>
  <c r="H266" i="1"/>
  <c r="F267" i="1"/>
  <c r="G267" i="1"/>
  <c r="H267" i="1" s="1"/>
  <c r="F268" i="1"/>
  <c r="G268" i="1" s="1"/>
  <c r="H268" i="1" s="1"/>
  <c r="F269" i="1"/>
  <c r="G269" i="1" s="1"/>
  <c r="H269" i="1" s="1"/>
  <c r="F270" i="1"/>
  <c r="G270" i="1" s="1"/>
  <c r="H270" i="1" s="1"/>
  <c r="F271" i="1"/>
  <c r="G271" i="1"/>
  <c r="H271" i="1" s="1"/>
  <c r="F272" i="1"/>
  <c r="G272" i="1" s="1"/>
  <c r="H272" i="1" s="1"/>
  <c r="F273" i="1"/>
  <c r="G273" i="1" s="1"/>
  <c r="H273" i="1" s="1"/>
  <c r="F274" i="1"/>
  <c r="G274" i="1" s="1"/>
  <c r="H274" i="1" s="1"/>
  <c r="F275" i="1"/>
  <c r="G275" i="1"/>
  <c r="H275" i="1" s="1"/>
  <c r="F276" i="1"/>
  <c r="G276" i="1" s="1"/>
  <c r="H276" i="1" s="1"/>
  <c r="F277" i="1"/>
  <c r="G277" i="1" s="1"/>
  <c r="H277" i="1" s="1"/>
  <c r="F278" i="1"/>
  <c r="G278" i="1" s="1"/>
  <c r="H278" i="1" s="1"/>
  <c r="F279" i="1"/>
  <c r="G279" i="1"/>
  <c r="H279" i="1" s="1"/>
  <c r="F280" i="1"/>
  <c r="G280" i="1" s="1"/>
  <c r="H280" i="1" s="1"/>
  <c r="F281" i="1"/>
  <c r="G281" i="1" s="1"/>
  <c r="H281" i="1" s="1"/>
  <c r="F282" i="1"/>
  <c r="G282" i="1" s="1"/>
  <c r="H282" i="1"/>
  <c r="F283" i="1"/>
  <c r="G283" i="1"/>
  <c r="H283" i="1" s="1"/>
  <c r="F284" i="1"/>
  <c r="G284" i="1" s="1"/>
  <c r="H284" i="1" s="1"/>
  <c r="F285" i="1"/>
  <c r="G285" i="1" s="1"/>
  <c r="H285" i="1" s="1"/>
  <c r="F286" i="1"/>
  <c r="G286" i="1" s="1"/>
  <c r="H286" i="1" s="1"/>
  <c r="F287" i="1"/>
  <c r="G287" i="1"/>
  <c r="H287" i="1" s="1"/>
  <c r="F288" i="1"/>
  <c r="G288" i="1" s="1"/>
  <c r="H288" i="1" s="1"/>
  <c r="F289" i="1"/>
  <c r="G289" i="1" s="1"/>
  <c r="H289" i="1" s="1"/>
  <c r="F290" i="1"/>
  <c r="G290" i="1" s="1"/>
  <c r="H290" i="1" s="1"/>
  <c r="F291" i="1"/>
  <c r="G291" i="1"/>
  <c r="H291" i="1" s="1"/>
  <c r="F292" i="1"/>
  <c r="G292" i="1" s="1"/>
  <c r="H292" i="1" s="1"/>
  <c r="F293" i="1"/>
  <c r="G293" i="1" s="1"/>
  <c r="H293" i="1" s="1"/>
  <c r="F294" i="1"/>
  <c r="G294" i="1" s="1"/>
  <c r="H294" i="1" s="1"/>
  <c r="F295" i="1"/>
  <c r="G295" i="1"/>
  <c r="H295" i="1" s="1"/>
  <c r="F296" i="1"/>
  <c r="G296" i="1" s="1"/>
  <c r="H296" i="1" s="1"/>
  <c r="F297" i="1"/>
  <c r="G297" i="1" s="1"/>
  <c r="H297" i="1" s="1"/>
  <c r="F298" i="1"/>
  <c r="G298" i="1" s="1"/>
  <c r="H298" i="1"/>
  <c r="F299" i="1"/>
  <c r="G299" i="1"/>
  <c r="H299" i="1" s="1"/>
  <c r="F300" i="1"/>
  <c r="G300" i="1" s="1"/>
  <c r="H300" i="1" s="1"/>
  <c r="F301" i="1"/>
  <c r="G301" i="1" s="1"/>
  <c r="H301" i="1" s="1"/>
  <c r="F302" i="1"/>
  <c r="G302" i="1" s="1"/>
  <c r="H302" i="1" s="1"/>
  <c r="F303" i="1"/>
  <c r="G303" i="1"/>
  <c r="H303" i="1" s="1"/>
  <c r="F304" i="1"/>
  <c r="G304" i="1" s="1"/>
  <c r="H304" i="1" s="1"/>
  <c r="F305" i="1"/>
  <c r="G305" i="1" s="1"/>
  <c r="H305" i="1" s="1"/>
  <c r="F306" i="1"/>
  <c r="G306" i="1" s="1"/>
  <c r="H306" i="1" s="1"/>
  <c r="F307" i="1"/>
  <c r="G307" i="1"/>
  <c r="H307" i="1" s="1"/>
  <c r="F308" i="1"/>
  <c r="G308" i="1" s="1"/>
  <c r="H308" i="1" s="1"/>
  <c r="F309" i="1"/>
  <c r="G309" i="1" s="1"/>
  <c r="H309" i="1" s="1"/>
  <c r="F310" i="1"/>
  <c r="G310" i="1" s="1"/>
  <c r="H310" i="1" s="1"/>
  <c r="F311" i="1"/>
  <c r="G311" i="1"/>
  <c r="H311" i="1" s="1"/>
  <c r="F312" i="1"/>
  <c r="G312" i="1" s="1"/>
  <c r="H312" i="1" s="1"/>
  <c r="F313" i="1"/>
  <c r="G313" i="1" s="1"/>
  <c r="H313" i="1" s="1"/>
  <c r="F314" i="1"/>
  <c r="G314" i="1" s="1"/>
  <c r="H314" i="1"/>
  <c r="F315" i="1"/>
  <c r="G315" i="1"/>
  <c r="H315" i="1" s="1"/>
  <c r="F316" i="1"/>
  <c r="G316" i="1" s="1"/>
  <c r="H316" i="1" s="1"/>
  <c r="F317" i="1"/>
  <c r="G317" i="1" s="1"/>
  <c r="H317" i="1" s="1"/>
  <c r="F318" i="1"/>
  <c r="G318" i="1" s="1"/>
  <c r="H318" i="1" s="1"/>
  <c r="F319" i="1"/>
  <c r="G319" i="1"/>
  <c r="H319" i="1"/>
  <c r="F320" i="1"/>
  <c r="G320" i="1" s="1"/>
  <c r="H320" i="1" s="1"/>
  <c r="F321" i="1"/>
  <c r="G321" i="1" s="1"/>
  <c r="H321" i="1" s="1"/>
  <c r="F322" i="1"/>
  <c r="G322" i="1" s="1"/>
  <c r="H322" i="1" s="1"/>
  <c r="F323" i="1"/>
  <c r="G323" i="1"/>
  <c r="H323" i="1" s="1"/>
  <c r="F324" i="1"/>
  <c r="G324" i="1" s="1"/>
  <c r="H324" i="1" s="1"/>
  <c r="F325" i="1"/>
  <c r="G325" i="1" s="1"/>
  <c r="H325" i="1" s="1"/>
  <c r="F326" i="1"/>
  <c r="G326" i="1"/>
  <c r="H326" i="1" s="1"/>
  <c r="F327" i="1"/>
  <c r="G327" i="1"/>
  <c r="H327" i="1" s="1"/>
  <c r="F328" i="1"/>
  <c r="G328" i="1" s="1"/>
  <c r="H328" i="1" s="1"/>
  <c r="F329" i="1"/>
  <c r="G329" i="1"/>
  <c r="H329" i="1" s="1"/>
  <c r="F330" i="1"/>
  <c r="G330" i="1" s="1"/>
  <c r="H330" i="1"/>
  <c r="F331" i="1"/>
  <c r="G331" i="1"/>
  <c r="H331" i="1" s="1"/>
  <c r="F332" i="1"/>
  <c r="G332" i="1" s="1"/>
  <c r="H332" i="1"/>
  <c r="F333" i="1"/>
  <c r="G333" i="1" s="1"/>
  <c r="H333" i="1"/>
  <c r="F334" i="1"/>
  <c r="G334" i="1" s="1"/>
  <c r="H334" i="1" s="1"/>
  <c r="F335" i="1"/>
  <c r="G335" i="1" s="1"/>
  <c r="H335" i="1" s="1"/>
  <c r="F336" i="1"/>
  <c r="G336" i="1"/>
  <c r="H336" i="1"/>
  <c r="F337" i="1"/>
  <c r="G337" i="1" s="1"/>
  <c r="H337" i="1"/>
  <c r="F338" i="1"/>
  <c r="G338" i="1" s="1"/>
  <c r="H338" i="1" s="1"/>
  <c r="F339" i="1"/>
  <c r="G339" i="1" s="1"/>
  <c r="H339" i="1" s="1"/>
  <c r="F340" i="1"/>
  <c r="G340" i="1"/>
  <c r="H340" i="1"/>
  <c r="F341" i="1"/>
  <c r="G341" i="1" s="1"/>
  <c r="H341" i="1"/>
  <c r="F342" i="1"/>
  <c r="G342" i="1" s="1"/>
  <c r="H342" i="1" s="1"/>
  <c r="F343" i="1"/>
  <c r="G343" i="1" s="1"/>
  <c r="H343" i="1" s="1"/>
  <c r="F344" i="1"/>
  <c r="G344" i="1"/>
  <c r="H344" i="1"/>
  <c r="F345" i="1"/>
  <c r="G345" i="1" s="1"/>
  <c r="H345" i="1"/>
  <c r="F346" i="1"/>
  <c r="G346" i="1" s="1"/>
  <c r="H346" i="1" s="1"/>
  <c r="F347" i="1"/>
  <c r="G347" i="1" s="1"/>
  <c r="H347" i="1" s="1"/>
  <c r="F348" i="1"/>
  <c r="G348" i="1"/>
  <c r="H348" i="1"/>
  <c r="F349" i="1"/>
  <c r="G349" i="1" s="1"/>
  <c r="H349" i="1"/>
  <c r="F350" i="1"/>
  <c r="G350" i="1" s="1"/>
  <c r="H350" i="1" s="1"/>
  <c r="F351" i="1"/>
  <c r="G351" i="1" s="1"/>
  <c r="H351" i="1" s="1"/>
  <c r="F352" i="1"/>
  <c r="G352" i="1"/>
  <c r="H352" i="1"/>
  <c r="F353" i="1"/>
  <c r="G353" i="1" s="1"/>
  <c r="H353" i="1"/>
  <c r="F354" i="1"/>
  <c r="G354" i="1" s="1"/>
  <c r="H354" i="1" s="1"/>
  <c r="F355" i="1"/>
  <c r="G355" i="1" s="1"/>
  <c r="H355" i="1" s="1"/>
  <c r="F356" i="1"/>
  <c r="G356" i="1"/>
  <c r="H356" i="1"/>
  <c r="F357" i="1"/>
  <c r="G357" i="1" s="1"/>
  <c r="H357" i="1"/>
  <c r="F358" i="1"/>
  <c r="G358" i="1" s="1"/>
  <c r="H358" i="1" s="1"/>
  <c r="F359" i="1"/>
  <c r="G359" i="1" s="1"/>
  <c r="H359" i="1" s="1"/>
  <c r="F360" i="1"/>
  <c r="G360" i="1"/>
  <c r="H360" i="1"/>
  <c r="F361" i="1"/>
  <c r="G361" i="1" s="1"/>
  <c r="H361" i="1"/>
  <c r="F362" i="1"/>
  <c r="G362" i="1" s="1"/>
  <c r="H362" i="1" s="1"/>
  <c r="F363" i="1"/>
  <c r="G363" i="1" s="1"/>
  <c r="H363" i="1" s="1"/>
  <c r="F364" i="1"/>
  <c r="G364" i="1"/>
  <c r="H364" i="1"/>
  <c r="F365" i="1"/>
  <c r="G365" i="1" s="1"/>
  <c r="H365" i="1"/>
  <c r="F366" i="1"/>
  <c r="G366" i="1" s="1"/>
  <c r="H366" i="1" s="1"/>
  <c r="F367" i="1"/>
  <c r="G367" i="1" s="1"/>
  <c r="H367" i="1" s="1"/>
  <c r="F368" i="1"/>
  <c r="G368" i="1"/>
  <c r="H368" i="1"/>
  <c r="F369" i="1"/>
  <c r="G369" i="1" s="1"/>
  <c r="H369" i="1"/>
  <c r="F370" i="1"/>
  <c r="G370" i="1" s="1"/>
  <c r="H370" i="1" s="1"/>
  <c r="F371" i="1"/>
  <c r="G371" i="1" s="1"/>
  <c r="H371" i="1" s="1"/>
  <c r="F372" i="1"/>
  <c r="G372" i="1"/>
  <c r="H372" i="1"/>
  <c r="F373" i="1"/>
  <c r="G373" i="1" s="1"/>
  <c r="H373" i="1"/>
  <c r="F374" i="1"/>
  <c r="G374" i="1" s="1"/>
  <c r="H374" i="1" s="1"/>
  <c r="F375" i="1"/>
  <c r="G375" i="1" s="1"/>
  <c r="H375" i="1" s="1"/>
  <c r="F376" i="1"/>
  <c r="G376" i="1"/>
  <c r="H376" i="1"/>
  <c r="F377" i="1"/>
  <c r="G377" i="1" s="1"/>
  <c r="H377" i="1"/>
  <c r="F378" i="1"/>
  <c r="G378" i="1" s="1"/>
  <c r="H378" i="1" s="1"/>
  <c r="F379" i="1"/>
  <c r="G379" i="1" s="1"/>
  <c r="H379" i="1" s="1"/>
  <c r="F380" i="1"/>
  <c r="G380" i="1"/>
  <c r="H380" i="1"/>
  <c r="F381" i="1"/>
  <c r="G381" i="1" s="1"/>
  <c r="H381" i="1"/>
  <c r="F382" i="1"/>
  <c r="G382" i="1" s="1"/>
  <c r="H382" i="1" s="1"/>
  <c r="F383" i="1"/>
  <c r="G383" i="1" s="1"/>
  <c r="H383" i="1" s="1"/>
  <c r="F384" i="1"/>
  <c r="G384" i="1"/>
  <c r="H384" i="1"/>
  <c r="F385" i="1"/>
  <c r="G385" i="1" s="1"/>
  <c r="H385" i="1"/>
  <c r="F386" i="1"/>
  <c r="G386" i="1" s="1"/>
  <c r="H386" i="1" s="1"/>
  <c r="F387" i="1"/>
  <c r="G387" i="1" s="1"/>
  <c r="H387" i="1" s="1"/>
  <c r="F388" i="1"/>
  <c r="G388" i="1"/>
  <c r="H388" i="1"/>
  <c r="F389" i="1"/>
  <c r="G389" i="1" s="1"/>
  <c r="H389" i="1"/>
  <c r="F390" i="1"/>
  <c r="G390" i="1" s="1"/>
  <c r="H390" i="1" s="1"/>
  <c r="F391" i="1"/>
  <c r="G391" i="1" s="1"/>
  <c r="H391" i="1" s="1"/>
  <c r="F392" i="1"/>
  <c r="G392" i="1"/>
  <c r="H392" i="1"/>
  <c r="F393" i="1"/>
  <c r="G393" i="1" s="1"/>
  <c r="H393" i="1"/>
  <c r="F394" i="1"/>
  <c r="G394" i="1" s="1"/>
  <c r="H394" i="1" s="1"/>
  <c r="F395" i="1"/>
  <c r="G395" i="1" s="1"/>
  <c r="H395" i="1" s="1"/>
  <c r="F396" i="1"/>
  <c r="G396" i="1"/>
  <c r="H396" i="1"/>
  <c r="F397" i="1"/>
  <c r="G397" i="1" s="1"/>
  <c r="H397" i="1"/>
  <c r="F398" i="1"/>
  <c r="G398" i="1" s="1"/>
  <c r="H398" i="1" s="1"/>
  <c r="F399" i="1"/>
  <c r="G399" i="1" s="1"/>
  <c r="H399" i="1" s="1"/>
  <c r="F400" i="1"/>
  <c r="G400" i="1"/>
  <c r="H400" i="1"/>
  <c r="F401" i="1"/>
  <c r="G401" i="1" s="1"/>
  <c r="H401" i="1"/>
  <c r="F402" i="1"/>
  <c r="G402" i="1" s="1"/>
  <c r="H402" i="1" s="1"/>
  <c r="F403" i="1"/>
  <c r="G403" i="1" s="1"/>
  <c r="H403" i="1" s="1"/>
  <c r="F404" i="1"/>
  <c r="G404" i="1"/>
  <c r="H404" i="1"/>
  <c r="F405" i="1"/>
  <c r="G405" i="1" s="1"/>
  <c r="H405" i="1"/>
  <c r="F406" i="1"/>
  <c r="G406" i="1" s="1"/>
  <c r="H406" i="1" s="1"/>
  <c r="F407" i="1"/>
  <c r="G407" i="1" s="1"/>
  <c r="H407" i="1" s="1"/>
  <c r="F408" i="1"/>
  <c r="G408" i="1"/>
  <c r="H408" i="1"/>
  <c r="F409" i="1"/>
  <c r="G409" i="1" s="1"/>
  <c r="H409" i="1"/>
  <c r="F410" i="1"/>
  <c r="G410" i="1" s="1"/>
  <c r="H410" i="1" s="1"/>
  <c r="F411" i="1"/>
  <c r="G411" i="1" s="1"/>
  <c r="H411" i="1" s="1"/>
  <c r="F412" i="1"/>
  <c r="G412" i="1"/>
  <c r="H412" i="1"/>
  <c r="F413" i="1"/>
  <c r="G413" i="1" s="1"/>
  <c r="H413" i="1"/>
  <c r="F414" i="1"/>
  <c r="G414" i="1" s="1"/>
  <c r="H414" i="1" s="1"/>
  <c r="F415" i="1"/>
  <c r="G415" i="1" s="1"/>
  <c r="H415" i="1" s="1"/>
  <c r="F416" i="1"/>
  <c r="G416" i="1"/>
  <c r="H416" i="1"/>
  <c r="F417" i="1"/>
  <c r="G417" i="1" s="1"/>
  <c r="H417" i="1"/>
  <c r="F418" i="1"/>
  <c r="G418" i="1" s="1"/>
  <c r="H418" i="1" s="1"/>
  <c r="F419" i="1"/>
  <c r="G419" i="1" s="1"/>
  <c r="H419" i="1" s="1"/>
  <c r="F420" i="1"/>
  <c r="G420" i="1"/>
  <c r="H420" i="1"/>
  <c r="F421" i="1"/>
  <c r="G421" i="1" s="1"/>
  <c r="H421" i="1"/>
  <c r="F422" i="1"/>
  <c r="G422" i="1" s="1"/>
  <c r="H422" i="1" s="1"/>
  <c r="F423" i="1"/>
  <c r="G423" i="1" s="1"/>
  <c r="H423" i="1" s="1"/>
  <c r="F424" i="1"/>
  <c r="G424" i="1"/>
  <c r="H424" i="1"/>
  <c r="F425" i="1"/>
  <c r="G425" i="1" s="1"/>
  <c r="H425" i="1"/>
  <c r="F426" i="1"/>
  <c r="G426" i="1" s="1"/>
  <c r="H426" i="1" s="1"/>
  <c r="F427" i="1"/>
  <c r="G427" i="1" s="1"/>
  <c r="H427" i="1" s="1"/>
  <c r="F428" i="1"/>
  <c r="G428" i="1"/>
  <c r="H428" i="1"/>
  <c r="F429" i="1"/>
  <c r="G429" i="1" s="1"/>
  <c r="H429" i="1"/>
  <c r="F430" i="1"/>
  <c r="G430" i="1" s="1"/>
  <c r="H430" i="1" s="1"/>
  <c r="F431" i="1"/>
  <c r="G431" i="1" s="1"/>
  <c r="H431" i="1" s="1"/>
  <c r="F432" i="1"/>
  <c r="G432" i="1"/>
  <c r="H432" i="1"/>
  <c r="F433" i="1"/>
  <c r="G433" i="1" s="1"/>
  <c r="H433" i="1"/>
  <c r="F434" i="1"/>
  <c r="G434" i="1" s="1"/>
  <c r="H434" i="1" s="1"/>
  <c r="F435" i="1"/>
  <c r="G435" i="1" s="1"/>
  <c r="H435" i="1" s="1"/>
  <c r="F436" i="1"/>
  <c r="G436" i="1"/>
  <c r="H436" i="1"/>
  <c r="F437" i="1"/>
  <c r="G437" i="1" s="1"/>
  <c r="H437" i="1"/>
  <c r="F438" i="1"/>
  <c r="G438" i="1" s="1"/>
  <c r="H438" i="1" s="1"/>
  <c r="F439" i="1"/>
  <c r="G439" i="1" s="1"/>
  <c r="H439" i="1" s="1"/>
  <c r="F440" i="1"/>
  <c r="G440" i="1"/>
  <c r="H440" i="1"/>
  <c r="F441" i="1"/>
  <c r="G441" i="1" s="1"/>
  <c r="H441" i="1"/>
  <c r="F442" i="1"/>
  <c r="G442" i="1" s="1"/>
  <c r="H442" i="1" s="1"/>
  <c r="F443" i="1"/>
  <c r="G443" i="1" s="1"/>
  <c r="H443" i="1" s="1"/>
  <c r="F444" i="1"/>
  <c r="G444" i="1"/>
  <c r="H444" i="1"/>
  <c r="F445" i="1"/>
  <c r="G445" i="1" s="1"/>
  <c r="H445" i="1"/>
  <c r="F446" i="1"/>
  <c r="G446" i="1" s="1"/>
  <c r="H446" i="1" s="1"/>
  <c r="F447" i="1"/>
  <c r="G447" i="1" s="1"/>
  <c r="H447" i="1" s="1"/>
  <c r="F448" i="1"/>
  <c r="G448" i="1"/>
  <c r="H448" i="1"/>
  <c r="F449" i="1"/>
  <c r="G449" i="1" s="1"/>
  <c r="H449" i="1"/>
  <c r="F450" i="1"/>
  <c r="G450" i="1" s="1"/>
  <c r="H450" i="1" s="1"/>
  <c r="F451" i="1"/>
  <c r="G451" i="1" s="1"/>
  <c r="H451" i="1" s="1"/>
  <c r="F452" i="1"/>
  <c r="G452" i="1"/>
  <c r="H452" i="1"/>
  <c r="F453" i="1"/>
  <c r="G453" i="1" s="1"/>
  <c r="H453" i="1"/>
  <c r="F454" i="1"/>
  <c r="G454" i="1" s="1"/>
  <c r="H454" i="1" s="1"/>
  <c r="F455" i="1"/>
  <c r="G455" i="1" s="1"/>
  <c r="H455" i="1" s="1"/>
  <c r="F456" i="1"/>
  <c r="G456" i="1"/>
  <c r="H456" i="1"/>
  <c r="F457" i="1"/>
  <c r="G457" i="1" s="1"/>
  <c r="H457" i="1"/>
  <c r="F458" i="1"/>
  <c r="G458" i="1"/>
  <c r="H458" i="1" s="1"/>
  <c r="F459" i="1"/>
  <c r="G459" i="1"/>
  <c r="H459" i="1" s="1"/>
  <c r="F460" i="1"/>
  <c r="G460" i="1"/>
  <c r="H460" i="1"/>
  <c r="F461" i="1"/>
  <c r="G461" i="1" s="1"/>
  <c r="H461" i="1"/>
  <c r="F462" i="1"/>
  <c r="G462" i="1"/>
  <c r="H462" i="1" s="1"/>
  <c r="F463" i="1"/>
  <c r="G463" i="1"/>
  <c r="H463" i="1" s="1"/>
  <c r="F464" i="1"/>
  <c r="G464" i="1"/>
  <c r="H464" i="1"/>
  <c r="F465" i="1"/>
  <c r="G465" i="1" s="1"/>
  <c r="H465" i="1"/>
  <c r="F466" i="1"/>
  <c r="G466" i="1"/>
  <c r="H466" i="1" s="1"/>
  <c r="F467" i="1"/>
  <c r="G467" i="1"/>
  <c r="H467" i="1" s="1"/>
  <c r="F468" i="1"/>
  <c r="G468" i="1"/>
  <c r="H468" i="1"/>
  <c r="F469" i="1"/>
  <c r="G469" i="1" s="1"/>
  <c r="H469" i="1"/>
  <c r="F470" i="1"/>
  <c r="G470" i="1"/>
  <c r="H470" i="1" s="1"/>
  <c r="F471" i="1"/>
  <c r="G471" i="1"/>
  <c r="H471" i="1" s="1"/>
  <c r="F472" i="1"/>
  <c r="G472" i="1"/>
  <c r="H472" i="1"/>
  <c r="F473" i="1"/>
  <c r="G473" i="1" s="1"/>
  <c r="H473" i="1"/>
  <c r="F474" i="1"/>
  <c r="G474" i="1"/>
  <c r="H474" i="1" s="1"/>
  <c r="F475" i="1"/>
  <c r="G475" i="1"/>
  <c r="H475" i="1" s="1"/>
  <c r="F476" i="1"/>
  <c r="G476" i="1"/>
  <c r="H476" i="1"/>
  <c r="F477" i="1"/>
  <c r="G477" i="1" s="1"/>
  <c r="H477" i="1"/>
  <c r="F478" i="1"/>
  <c r="G478" i="1"/>
  <c r="H478" i="1" s="1"/>
  <c r="F479" i="1"/>
  <c r="G479" i="1"/>
  <c r="H479" i="1" s="1"/>
  <c r="F480" i="1"/>
  <c r="G480" i="1"/>
  <c r="H480" i="1"/>
  <c r="F481" i="1"/>
  <c r="G481" i="1" s="1"/>
  <c r="H481" i="1"/>
  <c r="F482" i="1"/>
  <c r="G482" i="1"/>
  <c r="H482" i="1" s="1"/>
  <c r="F483" i="1"/>
  <c r="G483" i="1"/>
  <c r="H483" i="1" s="1"/>
  <c r="F484" i="1"/>
  <c r="G484" i="1"/>
  <c r="H484" i="1"/>
  <c r="F485" i="1"/>
  <c r="G485" i="1" s="1"/>
  <c r="H485" i="1"/>
  <c r="F486" i="1"/>
  <c r="G486" i="1"/>
  <c r="H486" i="1" s="1"/>
  <c r="F487" i="1"/>
  <c r="G487" i="1"/>
  <c r="H487" i="1" s="1"/>
  <c r="F488" i="1"/>
  <c r="G488" i="1"/>
  <c r="H488" i="1"/>
  <c r="F489" i="1"/>
  <c r="G489" i="1" s="1"/>
  <c r="H489" i="1"/>
  <c r="F490" i="1"/>
  <c r="G490" i="1"/>
  <c r="H490" i="1" s="1"/>
  <c r="F491" i="1"/>
  <c r="G491" i="1"/>
  <c r="H491" i="1" s="1"/>
  <c r="F492" i="1"/>
  <c r="G492" i="1"/>
  <c r="H492" i="1"/>
  <c r="F493" i="1"/>
  <c r="G493" i="1" s="1"/>
  <c r="H493" i="1"/>
  <c r="F494" i="1"/>
  <c r="G494" i="1"/>
  <c r="H494" i="1" s="1"/>
  <c r="F495" i="1"/>
  <c r="G495" i="1"/>
  <c r="H495" i="1" s="1"/>
  <c r="F496" i="1"/>
  <c r="G496" i="1"/>
  <c r="H496" i="1"/>
  <c r="F497" i="1"/>
  <c r="G497" i="1" s="1"/>
  <c r="H497" i="1"/>
  <c r="F498" i="1"/>
  <c r="G498" i="1"/>
  <c r="H498" i="1" s="1"/>
  <c r="F499" i="1"/>
  <c r="G499" i="1"/>
  <c r="H499" i="1" s="1"/>
  <c r="F500" i="1"/>
  <c r="G500" i="1"/>
  <c r="H500" i="1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B258" i="5"/>
  <c r="H511" i="2"/>
  <c r="M20" i="2"/>
  <c r="G6" i="2" s="1"/>
  <c r="M14" i="2"/>
  <c r="A5" i="5" s="1"/>
  <c r="M5" i="2"/>
  <c r="G2" i="2" s="1"/>
  <c r="S6" i="2"/>
  <c r="P3" i="1"/>
  <c r="F3" i="1" s="1"/>
  <c r="G3" i="1" s="1"/>
  <c r="H3" i="1" s="1"/>
  <c r="P4" i="1"/>
  <c r="F4" i="1" s="1"/>
  <c r="G4" i="1" s="1"/>
  <c r="H4" i="1" s="1"/>
  <c r="P5" i="1"/>
  <c r="F5" i="1" s="1"/>
  <c r="G5" i="1" s="1"/>
  <c r="H5" i="1" s="1"/>
  <c r="P6" i="1"/>
  <c r="F6" i="1" s="1"/>
  <c r="G6" i="1" s="1"/>
  <c r="H6" i="1" s="1"/>
  <c r="P7" i="1"/>
  <c r="F7" i="1" s="1"/>
  <c r="G7" i="1" s="1"/>
  <c r="H7" i="1" s="1"/>
  <c r="P8" i="1"/>
  <c r="F8" i="1" s="1"/>
  <c r="G8" i="1" s="1"/>
  <c r="H8" i="1" s="1"/>
  <c r="P9" i="1"/>
  <c r="F9" i="1" s="1"/>
  <c r="G9" i="1" s="1"/>
  <c r="H9" i="1" s="1"/>
  <c r="P10" i="1"/>
  <c r="F10" i="1" s="1"/>
  <c r="G10" i="1" s="1"/>
  <c r="H10" i="1" s="1"/>
  <c r="P11" i="1"/>
  <c r="F11" i="1" s="1"/>
  <c r="G11" i="1" s="1"/>
  <c r="H11" i="1" s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2" i="1"/>
  <c r="F2" i="1" s="1"/>
  <c r="G2" i="1" s="1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E9" i="5"/>
  <c r="F7" i="5"/>
  <c r="F6" i="5"/>
  <c r="A6" i="5"/>
  <c r="F5" i="5"/>
  <c r="F4" i="5"/>
  <c r="A4" i="5"/>
  <c r="F3" i="5"/>
  <c r="A3" i="5"/>
  <c r="F2" i="5"/>
  <c r="F1" i="5"/>
  <c r="A1" i="5"/>
  <c r="H1000" i="4"/>
  <c r="K7" i="2"/>
  <c r="G7" i="2"/>
  <c r="K5" i="2"/>
  <c r="K4" i="2"/>
  <c r="G4" i="2"/>
  <c r="K3" i="2"/>
  <c r="G3" i="2"/>
  <c r="K2" i="2"/>
  <c r="K1" i="2"/>
  <c r="G1" i="2"/>
  <c r="O11" i="1" l="1"/>
  <c r="O10" i="1"/>
  <c r="O9" i="1"/>
  <c r="O8" i="1"/>
  <c r="O7" i="1"/>
  <c r="O6" i="1"/>
  <c r="C6" i="2" s="1"/>
  <c r="O5" i="1"/>
  <c r="O4" i="1"/>
  <c r="O3" i="1"/>
  <c r="O2" i="1"/>
  <c r="C6" i="3"/>
  <c r="A7" i="5"/>
  <c r="T1000" i="4"/>
  <c r="H2" i="1"/>
  <c r="G5" i="2"/>
  <c r="A2" i="5"/>
  <c r="C11" i="3" l="1"/>
  <c r="C11" i="2"/>
  <c r="C10" i="2"/>
  <c r="C10" i="3"/>
  <c r="C9" i="3"/>
  <c r="C9" i="2"/>
  <c r="C8" i="2"/>
  <c r="C8" i="3"/>
  <c r="C7" i="3"/>
  <c r="C7" i="2"/>
  <c r="C5" i="2"/>
  <c r="C5" i="3"/>
  <c r="C4" i="3"/>
  <c r="C4" i="2"/>
  <c r="C3" i="2"/>
  <c r="C3" i="3"/>
  <c r="C2" i="2"/>
  <c r="C2" i="3"/>
  <c r="A368" i="3" l="1"/>
  <c r="B368" i="3" s="1"/>
  <c r="A381" i="3"/>
  <c r="B381" i="3" s="1"/>
  <c r="A403" i="3"/>
  <c r="B403" i="3" s="1"/>
  <c r="A432" i="3"/>
  <c r="B432" i="3" s="1"/>
  <c r="A460" i="3"/>
  <c r="B460" i="3" s="1"/>
  <c r="A471" i="3"/>
  <c r="B471" i="3" s="1"/>
  <c r="A497" i="3"/>
  <c r="B497" i="3" s="1"/>
  <c r="A524" i="3"/>
  <c r="B524" i="3" s="1"/>
  <c r="A535" i="3"/>
  <c r="B535" i="3" s="1"/>
  <c r="A563" i="3"/>
  <c r="B563" i="3" s="1"/>
  <c r="A583" i="3"/>
  <c r="B583" i="3" s="1"/>
  <c r="A599" i="3"/>
  <c r="B599" i="3" s="1"/>
  <c r="A615" i="3"/>
  <c r="B615" i="3" s="1"/>
  <c r="A631" i="3"/>
  <c r="B631" i="3" s="1"/>
  <c r="A663" i="3"/>
  <c r="B663" i="3" s="1"/>
  <c r="A363" i="3"/>
  <c r="B363" i="3" s="1"/>
  <c r="A704" i="3"/>
  <c r="B704" i="3" s="1"/>
  <c r="A675" i="3"/>
  <c r="B675" i="3" s="1"/>
  <c r="A664" i="3"/>
  <c r="B664" i="3" s="1"/>
  <c r="A648" i="3"/>
  <c r="B648" i="3" s="1"/>
  <c r="A632" i="3"/>
  <c r="B632" i="3" s="1"/>
  <c r="A616" i="3"/>
  <c r="B616" i="3" s="1"/>
  <c r="A600" i="3"/>
  <c r="B600" i="3" s="1"/>
  <c r="A584" i="3"/>
  <c r="B584" i="3" s="1"/>
  <c r="A373" i="3"/>
  <c r="B373" i="3" s="1"/>
  <c r="A395" i="3"/>
  <c r="B395" i="3" s="1"/>
  <c r="A425" i="3"/>
  <c r="B425" i="3" s="1"/>
  <c r="A452" i="3"/>
  <c r="B452" i="3" s="1"/>
  <c r="A463" i="3"/>
  <c r="B463" i="3" s="1"/>
  <c r="A489" i="3"/>
  <c r="B489" i="3" s="1"/>
  <c r="A516" i="3"/>
  <c r="B516" i="3" s="1"/>
  <c r="A527" i="3"/>
  <c r="B527" i="3" s="1"/>
  <c r="A553" i="3"/>
  <c r="B553" i="3" s="1"/>
  <c r="A365" i="3"/>
  <c r="B365" i="3" s="1"/>
  <c r="A387" i="3"/>
  <c r="B387" i="3" s="1"/>
  <c r="A417" i="3"/>
  <c r="B417" i="3" s="1"/>
  <c r="A444" i="3"/>
  <c r="B444" i="3" s="1"/>
  <c r="A455" i="3"/>
  <c r="B455" i="3" s="1"/>
  <c r="A481" i="3"/>
  <c r="B481" i="3" s="1"/>
  <c r="A508" i="3"/>
  <c r="B508" i="3" s="1"/>
  <c r="A519" i="3"/>
  <c r="B519" i="3" s="1"/>
  <c r="A545" i="3"/>
  <c r="B545" i="3" s="1"/>
  <c r="A572" i="3"/>
  <c r="B572" i="3" s="1"/>
  <c r="A654" i="3"/>
  <c r="B654" i="3" s="1"/>
  <c r="A712" i="3"/>
  <c r="B712" i="3" s="1"/>
  <c r="A379" i="3"/>
  <c r="B379" i="3" s="1"/>
  <c r="A409" i="3"/>
  <c r="B409" i="3" s="1"/>
  <c r="A436" i="3"/>
  <c r="B436" i="3" s="1"/>
  <c r="A447" i="3"/>
  <c r="B447" i="3" s="1"/>
  <c r="A473" i="3"/>
  <c r="B473" i="3" s="1"/>
  <c r="A500" i="3"/>
  <c r="B500" i="3" s="1"/>
  <c r="A511" i="3"/>
  <c r="B511" i="3" s="1"/>
  <c r="A537" i="3"/>
  <c r="B537" i="3" s="1"/>
  <c r="A564" i="3"/>
  <c r="B564" i="3" s="1"/>
  <c r="A575" i="3"/>
  <c r="B575" i="3" s="1"/>
  <c r="A2" i="3"/>
  <c r="B2" i="3" s="1"/>
  <c r="A10" i="3"/>
  <c r="B10" i="3" s="1"/>
  <c r="A18" i="3"/>
  <c r="B18" i="3" s="1"/>
  <c r="A26" i="3"/>
  <c r="B26" i="3" s="1"/>
  <c r="A34" i="3"/>
  <c r="B34" i="3" s="1"/>
  <c r="A42" i="3"/>
  <c r="B42" i="3" s="1"/>
  <c r="A50" i="3"/>
  <c r="B50" i="3" s="1"/>
  <c r="A58" i="3"/>
  <c r="B58" i="3" s="1"/>
  <c r="A66" i="3"/>
  <c r="B66" i="3" s="1"/>
  <c r="A74" i="3"/>
  <c r="B74" i="3" s="1"/>
  <c r="A82" i="3"/>
  <c r="B82" i="3" s="1"/>
  <c r="A90" i="3"/>
  <c r="B90" i="3" s="1"/>
  <c r="A98" i="3"/>
  <c r="B98" i="3" s="1"/>
  <c r="A106" i="3"/>
  <c r="B106" i="3" s="1"/>
  <c r="A114" i="3"/>
  <c r="B114" i="3" s="1"/>
  <c r="A122" i="3"/>
  <c r="B122" i="3" s="1"/>
  <c r="A130" i="3"/>
  <c r="B130" i="3" s="1"/>
  <c r="A138" i="3"/>
  <c r="B138" i="3" s="1"/>
  <c r="A146" i="3"/>
  <c r="B146" i="3" s="1"/>
  <c r="A154" i="3"/>
  <c r="B154" i="3" s="1"/>
  <c r="A162" i="3"/>
  <c r="B162" i="3" s="1"/>
  <c r="A170" i="3"/>
  <c r="B170" i="3" s="1"/>
  <c r="A178" i="3"/>
  <c r="B178" i="3" s="1"/>
  <c r="A186" i="3"/>
  <c r="B186" i="3" s="1"/>
  <c r="A194" i="3"/>
  <c r="B194" i="3" s="1"/>
  <c r="A202" i="3"/>
  <c r="B202" i="3" s="1"/>
  <c r="A210" i="3"/>
  <c r="B210" i="3" s="1"/>
  <c r="A218" i="3"/>
  <c r="B218" i="3" s="1"/>
  <c r="A226" i="3"/>
  <c r="B226" i="3" s="1"/>
  <c r="A234" i="3"/>
  <c r="B234" i="3" s="1"/>
  <c r="A242" i="3"/>
  <c r="B242" i="3" s="1"/>
  <c r="A250" i="3"/>
  <c r="B250" i="3" s="1"/>
  <c r="A258" i="3"/>
  <c r="B258" i="3" s="1"/>
  <c r="A266" i="3"/>
  <c r="B266" i="3" s="1"/>
  <c r="A274" i="3"/>
  <c r="B274" i="3" s="1"/>
  <c r="A282" i="3"/>
  <c r="B282" i="3" s="1"/>
  <c r="A290" i="3"/>
  <c r="B290" i="3" s="1"/>
  <c r="A298" i="3"/>
  <c r="B298" i="3" s="1"/>
  <c r="A306" i="3"/>
  <c r="B306" i="3" s="1"/>
  <c r="A314" i="3"/>
  <c r="B314" i="3" s="1"/>
  <c r="A322" i="3"/>
  <c r="B322" i="3" s="1"/>
  <c r="A330" i="3"/>
  <c r="B330" i="3" s="1"/>
  <c r="A338" i="3"/>
  <c r="B338" i="3" s="1"/>
  <c r="A346" i="3"/>
  <c r="B346" i="3" s="1"/>
  <c r="A354" i="3"/>
  <c r="B354" i="3" s="1"/>
  <c r="A362" i="3"/>
  <c r="B362" i="3" s="1"/>
  <c r="A383" i="3"/>
  <c r="B383" i="3" s="1"/>
  <c r="A399" i="3"/>
  <c r="B399" i="3" s="1"/>
  <c r="A430" i="3"/>
  <c r="B430" i="3" s="1"/>
  <c r="A454" i="3"/>
  <c r="B454" i="3" s="1"/>
  <c r="A486" i="3"/>
  <c r="B486" i="3" s="1"/>
  <c r="A518" i="3"/>
  <c r="B518" i="3" s="1"/>
  <c r="A550" i="3"/>
  <c r="B550" i="3" s="1"/>
  <c r="A582" i="3"/>
  <c r="B582" i="3" s="1"/>
  <c r="A614" i="3"/>
  <c r="B614" i="3" s="1"/>
  <c r="A694" i="3"/>
  <c r="B694" i="3" s="1"/>
  <c r="A588" i="3"/>
  <c r="B588" i="3" s="1"/>
  <c r="A620" i="3"/>
  <c r="B620" i="3" s="1"/>
  <c r="A644" i="3"/>
  <c r="B644" i="3" s="1"/>
  <c r="A660" i="3"/>
  <c r="B660" i="3" s="1"/>
  <c r="A670" i="3"/>
  <c r="B670" i="3" s="1"/>
  <c r="A690" i="3"/>
  <c r="B690" i="3" s="1"/>
  <c r="A702" i="3"/>
  <c r="B702" i="3" s="1"/>
  <c r="A718" i="3"/>
  <c r="B718" i="3" s="1"/>
  <c r="A726" i="3"/>
  <c r="B726" i="3" s="1"/>
  <c r="A734" i="3"/>
  <c r="B734" i="3" s="1"/>
  <c r="A369" i="3"/>
  <c r="B369" i="3" s="1"/>
  <c r="A396" i="3"/>
  <c r="B396" i="3" s="1"/>
  <c r="A407" i="3"/>
  <c r="B407" i="3" s="1"/>
  <c r="A433" i="3"/>
  <c r="B433" i="3" s="1"/>
  <c r="A464" i="3"/>
  <c r="B464" i="3" s="1"/>
  <c r="A477" i="3"/>
  <c r="B477" i="3" s="1"/>
  <c r="A499" i="3"/>
  <c r="B499" i="3" s="1"/>
  <c r="A528" i="3"/>
  <c r="B528" i="3" s="1"/>
  <c r="A541" i="3"/>
  <c r="B541" i="3" s="1"/>
  <c r="A567" i="3"/>
  <c r="B567" i="3" s="1"/>
  <c r="A589" i="3"/>
  <c r="B589" i="3" s="1"/>
  <c r="A605" i="3"/>
  <c r="B605" i="3" s="1"/>
  <c r="A621" i="3"/>
  <c r="B621" i="3" s="1"/>
  <c r="A639" i="3"/>
  <c r="B639" i="3" s="1"/>
  <c r="A683" i="3"/>
  <c r="B683" i="3" s="1"/>
  <c r="A709" i="3"/>
  <c r="B709" i="3" s="1"/>
  <c r="A692" i="3"/>
  <c r="B692" i="3" s="1"/>
  <c r="A674" i="3"/>
  <c r="B674" i="3" s="1"/>
  <c r="A657" i="3"/>
  <c r="B657" i="3" s="1"/>
  <c r="A641" i="3"/>
  <c r="B641" i="3" s="1"/>
  <c r="A625" i="3"/>
  <c r="B625" i="3" s="1"/>
  <c r="A609" i="3"/>
  <c r="B609" i="3" s="1"/>
  <c r="A593" i="3"/>
  <c r="B593" i="3" s="1"/>
  <c r="A577" i="3"/>
  <c r="B577" i="3" s="1"/>
  <c r="A388" i="3"/>
  <c r="B388" i="3" s="1"/>
  <c r="A405" i="3"/>
  <c r="B405" i="3" s="1"/>
  <c r="A427" i="3"/>
  <c r="B427" i="3" s="1"/>
  <c r="A456" i="3"/>
  <c r="B456" i="3" s="1"/>
  <c r="A469" i="3"/>
  <c r="B469" i="3" s="1"/>
  <c r="A491" i="3"/>
  <c r="B491" i="3" s="1"/>
  <c r="A520" i="3"/>
  <c r="B520" i="3" s="1"/>
  <c r="A533" i="3"/>
  <c r="B533" i="3" s="1"/>
  <c r="A555" i="3"/>
  <c r="B555" i="3" s="1"/>
  <c r="A380" i="3"/>
  <c r="B380" i="3" s="1"/>
  <c r="A397" i="3"/>
  <c r="B397" i="3" s="1"/>
  <c r="A419" i="3"/>
  <c r="B419" i="3" s="1"/>
  <c r="A448" i="3"/>
  <c r="B448" i="3" s="1"/>
  <c r="A461" i="3"/>
  <c r="B461" i="3" s="1"/>
  <c r="A483" i="3"/>
  <c r="B483" i="3" s="1"/>
  <c r="A512" i="3"/>
  <c r="B512" i="3" s="1"/>
  <c r="A525" i="3"/>
  <c r="B525" i="3" s="1"/>
  <c r="A547" i="3"/>
  <c r="B547" i="3" s="1"/>
  <c r="A630" i="3"/>
  <c r="B630" i="3" s="1"/>
  <c r="A662" i="3"/>
  <c r="B662" i="3" s="1"/>
  <c r="A372" i="3"/>
  <c r="B372" i="3" s="1"/>
  <c r="A389" i="3"/>
  <c r="B389" i="3" s="1"/>
  <c r="A411" i="3"/>
  <c r="B411" i="3" s="1"/>
  <c r="A440" i="3"/>
  <c r="B440" i="3" s="1"/>
  <c r="A453" i="3"/>
  <c r="B453" i="3" s="1"/>
  <c r="A475" i="3"/>
  <c r="B475" i="3" s="1"/>
  <c r="A504" i="3"/>
  <c r="B504" i="3" s="1"/>
  <c r="A517" i="3"/>
  <c r="B517" i="3" s="1"/>
  <c r="A539" i="3"/>
  <c r="B539" i="3" s="1"/>
  <c r="A568" i="3"/>
  <c r="B568" i="3" s="1"/>
  <c r="A679" i="3"/>
  <c r="B679" i="3" s="1"/>
  <c r="A4" i="3"/>
  <c r="B4" i="3" s="1"/>
  <c r="A12" i="3"/>
  <c r="B12" i="3" s="1"/>
  <c r="A20" i="3"/>
  <c r="B20" i="3" s="1"/>
  <c r="A28" i="3"/>
  <c r="B28" i="3" s="1"/>
  <c r="A36" i="3"/>
  <c r="B36" i="3" s="1"/>
  <c r="A44" i="3"/>
  <c r="B44" i="3" s="1"/>
  <c r="A52" i="3"/>
  <c r="B52" i="3" s="1"/>
  <c r="A60" i="3"/>
  <c r="B60" i="3" s="1"/>
  <c r="A68" i="3"/>
  <c r="B68" i="3" s="1"/>
  <c r="A76" i="3"/>
  <c r="B76" i="3" s="1"/>
  <c r="A84" i="3"/>
  <c r="B84" i="3" s="1"/>
  <c r="A92" i="3"/>
  <c r="B92" i="3" s="1"/>
  <c r="A100" i="3"/>
  <c r="B100" i="3" s="1"/>
  <c r="A108" i="3"/>
  <c r="B108" i="3" s="1"/>
  <c r="A116" i="3"/>
  <c r="B116" i="3" s="1"/>
  <c r="A124" i="3"/>
  <c r="B124" i="3" s="1"/>
  <c r="A132" i="3"/>
  <c r="B132" i="3" s="1"/>
  <c r="A140" i="3"/>
  <c r="B140" i="3" s="1"/>
  <c r="A148" i="3"/>
  <c r="B148" i="3" s="1"/>
  <c r="A156" i="3"/>
  <c r="B156" i="3" s="1"/>
  <c r="A164" i="3"/>
  <c r="B164" i="3" s="1"/>
  <c r="A172" i="3"/>
  <c r="B172" i="3" s="1"/>
  <c r="A180" i="3"/>
  <c r="B180" i="3" s="1"/>
  <c r="A188" i="3"/>
  <c r="B188" i="3" s="1"/>
  <c r="A196" i="3"/>
  <c r="B196" i="3" s="1"/>
  <c r="A204" i="3"/>
  <c r="B204" i="3" s="1"/>
  <c r="A212" i="3"/>
  <c r="B212" i="3" s="1"/>
  <c r="A220" i="3"/>
  <c r="B220" i="3" s="1"/>
  <c r="A228" i="3"/>
  <c r="B228" i="3" s="1"/>
  <c r="A236" i="3"/>
  <c r="B236" i="3" s="1"/>
  <c r="A244" i="3"/>
  <c r="B244" i="3" s="1"/>
  <c r="A252" i="3"/>
  <c r="B252" i="3" s="1"/>
  <c r="A260" i="3"/>
  <c r="B260" i="3" s="1"/>
  <c r="A268" i="3"/>
  <c r="B268" i="3" s="1"/>
  <c r="A276" i="3"/>
  <c r="B276" i="3" s="1"/>
  <c r="A284" i="3"/>
  <c r="B284" i="3" s="1"/>
  <c r="A292" i="3"/>
  <c r="B292" i="3" s="1"/>
  <c r="A300" i="3"/>
  <c r="B300" i="3" s="1"/>
  <c r="A308" i="3"/>
  <c r="B308" i="3" s="1"/>
  <c r="A316" i="3"/>
  <c r="B316" i="3" s="1"/>
  <c r="A324" i="3"/>
  <c r="B324" i="3" s="1"/>
  <c r="A332" i="3"/>
  <c r="B332" i="3" s="1"/>
  <c r="A340" i="3"/>
  <c r="B340" i="3" s="1"/>
  <c r="A348" i="3"/>
  <c r="B348" i="3" s="1"/>
  <c r="A356" i="3"/>
  <c r="B356" i="3" s="1"/>
  <c r="A366" i="3"/>
  <c r="B366" i="3" s="1"/>
  <c r="A390" i="3"/>
  <c r="B390" i="3" s="1"/>
  <c r="A406" i="3"/>
  <c r="B406" i="3" s="1"/>
  <c r="A438" i="3"/>
  <c r="B438" i="3" s="1"/>
  <c r="A462" i="3"/>
  <c r="B462" i="3" s="1"/>
  <c r="A494" i="3"/>
  <c r="B494" i="3" s="1"/>
  <c r="A526" i="3"/>
  <c r="B526" i="3" s="1"/>
  <c r="A558" i="3"/>
  <c r="B558" i="3" s="1"/>
  <c r="A590" i="3"/>
  <c r="B590" i="3" s="1"/>
  <c r="A622" i="3"/>
  <c r="B622" i="3" s="1"/>
  <c r="A697" i="3"/>
  <c r="B697" i="3" s="1"/>
  <c r="A596" i="3"/>
  <c r="B596" i="3" s="1"/>
  <c r="A628" i="3"/>
  <c r="B628" i="3" s="1"/>
  <c r="A645" i="3"/>
  <c r="B645" i="3" s="1"/>
  <c r="A661" i="3"/>
  <c r="B661" i="3" s="1"/>
  <c r="A673" i="3"/>
  <c r="B673" i="3" s="1"/>
  <c r="A691" i="3"/>
  <c r="B691" i="3" s="1"/>
  <c r="A705" i="3"/>
  <c r="B705" i="3" s="1"/>
  <c r="A720" i="3"/>
  <c r="B720" i="3" s="1"/>
  <c r="A728" i="3"/>
  <c r="B728" i="3" s="1"/>
  <c r="A736" i="3"/>
  <c r="B736" i="3" s="1"/>
  <c r="A999" i="3"/>
  <c r="B999" i="3" s="1"/>
  <c r="A561" i="3"/>
  <c r="B561" i="3" s="1"/>
  <c r="A371" i="3"/>
  <c r="B371" i="3" s="1"/>
  <c r="A400" i="3"/>
  <c r="B400" i="3" s="1"/>
  <c r="A413" i="3"/>
  <c r="B413" i="3" s="1"/>
  <c r="A435" i="3"/>
  <c r="B435" i="3" s="1"/>
  <c r="A465" i="3"/>
  <c r="B465" i="3" s="1"/>
  <c r="A492" i="3"/>
  <c r="B492" i="3" s="1"/>
  <c r="A503" i="3"/>
  <c r="B503" i="3" s="1"/>
  <c r="A529" i="3"/>
  <c r="B529" i="3" s="1"/>
  <c r="A556" i="3"/>
  <c r="B556" i="3" s="1"/>
  <c r="A573" i="3"/>
  <c r="B573" i="3" s="1"/>
  <c r="A591" i="3"/>
  <c r="B591" i="3" s="1"/>
  <c r="A607" i="3"/>
  <c r="B607" i="3" s="1"/>
  <c r="A623" i="3"/>
  <c r="B623" i="3" s="1"/>
  <c r="A647" i="3"/>
  <c r="B647" i="3" s="1"/>
  <c r="A685" i="3"/>
  <c r="B685" i="3" s="1"/>
  <c r="A707" i="3"/>
  <c r="B707" i="3" s="1"/>
  <c r="A689" i="3"/>
  <c r="B689" i="3" s="1"/>
  <c r="A672" i="3"/>
  <c r="B672" i="3" s="1"/>
  <c r="A656" i="3"/>
  <c r="B656" i="3" s="1"/>
  <c r="A640" i="3"/>
  <c r="B640" i="3" s="1"/>
  <c r="A624" i="3"/>
  <c r="B624" i="3" s="1"/>
  <c r="A608" i="3"/>
  <c r="B608" i="3" s="1"/>
  <c r="A592" i="3"/>
  <c r="B592" i="3" s="1"/>
  <c r="A576" i="3"/>
  <c r="B576" i="3" s="1"/>
  <c r="A392" i="3"/>
  <c r="B392" i="3" s="1"/>
  <c r="A420" i="3"/>
  <c r="B420" i="3" s="1"/>
  <c r="A431" i="3"/>
  <c r="B431" i="3" s="1"/>
  <c r="A457" i="3"/>
  <c r="B457" i="3" s="1"/>
  <c r="A484" i="3"/>
  <c r="B484" i="3" s="1"/>
  <c r="A495" i="3"/>
  <c r="B495" i="3" s="1"/>
  <c r="A521" i="3"/>
  <c r="B521" i="3" s="1"/>
  <c r="A548" i="3"/>
  <c r="B548" i="3" s="1"/>
  <c r="A559" i="3"/>
  <c r="B559" i="3" s="1"/>
  <c r="A384" i="3"/>
  <c r="B384" i="3" s="1"/>
  <c r="A412" i="3"/>
  <c r="B412" i="3" s="1"/>
  <c r="A423" i="3"/>
  <c r="B423" i="3" s="1"/>
  <c r="A449" i="3"/>
  <c r="B449" i="3" s="1"/>
  <c r="A476" i="3"/>
  <c r="B476" i="3" s="1"/>
  <c r="A487" i="3"/>
  <c r="B487" i="3" s="1"/>
  <c r="A513" i="3"/>
  <c r="B513" i="3" s="1"/>
  <c r="A540" i="3"/>
  <c r="B540" i="3" s="1"/>
  <c r="A551" i="3"/>
  <c r="B551" i="3" s="1"/>
  <c r="A638" i="3"/>
  <c r="B638" i="3" s="1"/>
  <c r="A680" i="3"/>
  <c r="B680" i="3" s="1"/>
  <c r="A376" i="3"/>
  <c r="B376" i="3" s="1"/>
  <c r="A404" i="3"/>
  <c r="B404" i="3" s="1"/>
  <c r="A415" i="3"/>
  <c r="B415" i="3" s="1"/>
  <c r="A441" i="3"/>
  <c r="B441" i="3" s="1"/>
  <c r="A468" i="3"/>
  <c r="B468" i="3" s="1"/>
  <c r="A479" i="3"/>
  <c r="B479" i="3" s="1"/>
  <c r="A505" i="3"/>
  <c r="B505" i="3" s="1"/>
  <c r="A532" i="3"/>
  <c r="B532" i="3" s="1"/>
  <c r="A543" i="3"/>
  <c r="B543" i="3" s="1"/>
  <c r="A569" i="3"/>
  <c r="B569" i="3" s="1"/>
  <c r="A686" i="3"/>
  <c r="B686" i="3" s="1"/>
  <c r="A6" i="3"/>
  <c r="B6" i="3" s="1"/>
  <c r="A14" i="3"/>
  <c r="B14" i="3" s="1"/>
  <c r="A22" i="3"/>
  <c r="B22" i="3" s="1"/>
  <c r="A30" i="3"/>
  <c r="B30" i="3" s="1"/>
  <c r="A38" i="3"/>
  <c r="B38" i="3" s="1"/>
  <c r="A46" i="3"/>
  <c r="B46" i="3" s="1"/>
  <c r="A54" i="3"/>
  <c r="B54" i="3" s="1"/>
  <c r="A62" i="3"/>
  <c r="B62" i="3" s="1"/>
  <c r="A70" i="3"/>
  <c r="B70" i="3" s="1"/>
  <c r="A78" i="3"/>
  <c r="B78" i="3" s="1"/>
  <c r="A86" i="3"/>
  <c r="B86" i="3" s="1"/>
  <c r="A94" i="3"/>
  <c r="B94" i="3" s="1"/>
  <c r="A102" i="3"/>
  <c r="B102" i="3" s="1"/>
  <c r="A110" i="3"/>
  <c r="B110" i="3" s="1"/>
  <c r="A118" i="3"/>
  <c r="B118" i="3" s="1"/>
  <c r="A126" i="3"/>
  <c r="B126" i="3" s="1"/>
  <c r="A134" i="3"/>
  <c r="B134" i="3" s="1"/>
  <c r="A142" i="3"/>
  <c r="B142" i="3" s="1"/>
  <c r="A150" i="3"/>
  <c r="B150" i="3" s="1"/>
  <c r="A158" i="3"/>
  <c r="B158" i="3" s="1"/>
  <c r="A166" i="3"/>
  <c r="B166" i="3" s="1"/>
  <c r="A174" i="3"/>
  <c r="B174" i="3" s="1"/>
  <c r="A182" i="3"/>
  <c r="B182" i="3" s="1"/>
  <c r="A190" i="3"/>
  <c r="B190" i="3" s="1"/>
  <c r="A198" i="3"/>
  <c r="B198" i="3" s="1"/>
  <c r="A206" i="3"/>
  <c r="B206" i="3" s="1"/>
  <c r="A214" i="3"/>
  <c r="B214" i="3" s="1"/>
  <c r="A222" i="3"/>
  <c r="B222" i="3" s="1"/>
  <c r="A230" i="3"/>
  <c r="B230" i="3" s="1"/>
  <c r="A238" i="3"/>
  <c r="B238" i="3" s="1"/>
  <c r="A246" i="3"/>
  <c r="B246" i="3" s="1"/>
  <c r="A254" i="3"/>
  <c r="B254" i="3" s="1"/>
  <c r="A262" i="3"/>
  <c r="B262" i="3" s="1"/>
  <c r="A270" i="3"/>
  <c r="B270" i="3" s="1"/>
  <c r="A278" i="3"/>
  <c r="B278" i="3" s="1"/>
  <c r="A286" i="3"/>
  <c r="B286" i="3" s="1"/>
  <c r="A294" i="3"/>
  <c r="B294" i="3" s="1"/>
  <c r="A302" i="3"/>
  <c r="B302" i="3" s="1"/>
  <c r="A310" i="3"/>
  <c r="B310" i="3" s="1"/>
  <c r="A318" i="3"/>
  <c r="B318" i="3" s="1"/>
  <c r="A326" i="3"/>
  <c r="B326" i="3" s="1"/>
  <c r="A428" i="3"/>
  <c r="B428" i="3" s="1"/>
  <c r="A509" i="3"/>
  <c r="B509" i="3" s="1"/>
  <c r="A597" i="3"/>
  <c r="B597" i="3" s="1"/>
  <c r="A715" i="3"/>
  <c r="B715" i="3" s="1"/>
  <c r="A649" i="3"/>
  <c r="B649" i="3" s="1"/>
  <c r="A585" i="3"/>
  <c r="B585" i="3" s="1"/>
  <c r="A437" i="3"/>
  <c r="B437" i="3" s="1"/>
  <c r="A523" i="3"/>
  <c r="B523" i="3" s="1"/>
  <c r="A416" i="3"/>
  <c r="B416" i="3" s="1"/>
  <c r="A493" i="3"/>
  <c r="B493" i="3" s="1"/>
  <c r="A646" i="3"/>
  <c r="B646" i="3" s="1"/>
  <c r="A421" i="3"/>
  <c r="B421" i="3" s="1"/>
  <c r="A507" i="3"/>
  <c r="B507" i="3" s="1"/>
  <c r="A711" i="3"/>
  <c r="B711" i="3" s="1"/>
  <c r="A32" i="3"/>
  <c r="B32" i="3" s="1"/>
  <c r="A64" i="3"/>
  <c r="B64" i="3" s="1"/>
  <c r="A96" i="3"/>
  <c r="B96" i="3" s="1"/>
  <c r="A128" i="3"/>
  <c r="B128" i="3" s="1"/>
  <c r="A160" i="3"/>
  <c r="B160" i="3" s="1"/>
  <c r="A192" i="3"/>
  <c r="B192" i="3" s="1"/>
  <c r="A224" i="3"/>
  <c r="B224" i="3" s="1"/>
  <c r="A256" i="3"/>
  <c r="B256" i="3" s="1"/>
  <c r="A288" i="3"/>
  <c r="B288" i="3" s="1"/>
  <c r="A320" i="3"/>
  <c r="B320" i="3" s="1"/>
  <c r="A342" i="3"/>
  <c r="B342" i="3" s="1"/>
  <c r="A358" i="3"/>
  <c r="B358" i="3" s="1"/>
  <c r="A391" i="3"/>
  <c r="B391" i="3" s="1"/>
  <c r="A439" i="3"/>
  <c r="B439" i="3" s="1"/>
  <c r="A502" i="3"/>
  <c r="B502" i="3" s="1"/>
  <c r="A566" i="3"/>
  <c r="B566" i="3" s="1"/>
  <c r="A682" i="3"/>
  <c r="B682" i="3" s="1"/>
  <c r="A604" i="3"/>
  <c r="B604" i="3" s="1"/>
  <c r="A652" i="3"/>
  <c r="B652" i="3" s="1"/>
  <c r="A676" i="3"/>
  <c r="B676" i="3" s="1"/>
  <c r="A708" i="3"/>
  <c r="B708" i="3" s="1"/>
  <c r="A730" i="3"/>
  <c r="B730" i="3" s="1"/>
  <c r="A742" i="3"/>
  <c r="B742" i="3" s="1"/>
  <c r="A991" i="3"/>
  <c r="B991" i="3" s="1"/>
  <c r="A983" i="3"/>
  <c r="B983" i="3" s="1"/>
  <c r="A975" i="3"/>
  <c r="B975" i="3" s="1"/>
  <c r="A967" i="3"/>
  <c r="B967" i="3" s="1"/>
  <c r="A959" i="3"/>
  <c r="B959" i="3" s="1"/>
  <c r="A951" i="3"/>
  <c r="B951" i="3" s="1"/>
  <c r="A943" i="3"/>
  <c r="B943" i="3" s="1"/>
  <c r="A935" i="3"/>
  <c r="B935" i="3" s="1"/>
  <c r="A927" i="3"/>
  <c r="B927" i="3" s="1"/>
  <c r="A919" i="3"/>
  <c r="B919" i="3" s="1"/>
  <c r="A911" i="3"/>
  <c r="B911" i="3" s="1"/>
  <c r="A903" i="3"/>
  <c r="B903" i="3" s="1"/>
  <c r="A895" i="3"/>
  <c r="B895" i="3" s="1"/>
  <c r="A887" i="3"/>
  <c r="B887" i="3" s="1"/>
  <c r="A879" i="3"/>
  <c r="B879" i="3" s="1"/>
  <c r="A871" i="3"/>
  <c r="B871" i="3" s="1"/>
  <c r="A863" i="3"/>
  <c r="B863" i="3" s="1"/>
  <c r="A855" i="3"/>
  <c r="B855" i="3" s="1"/>
  <c r="A847" i="3"/>
  <c r="B847" i="3" s="1"/>
  <c r="A839" i="3"/>
  <c r="B839" i="3" s="1"/>
  <c r="A831" i="3"/>
  <c r="B831" i="3" s="1"/>
  <c r="A823" i="3"/>
  <c r="B823" i="3" s="1"/>
  <c r="A815" i="3"/>
  <c r="B815" i="3" s="1"/>
  <c r="A807" i="3"/>
  <c r="B807" i="3" s="1"/>
  <c r="A799" i="3"/>
  <c r="B799" i="3" s="1"/>
  <c r="A791" i="3"/>
  <c r="B791" i="3" s="1"/>
  <c r="A783" i="3"/>
  <c r="B783" i="3" s="1"/>
  <c r="A775" i="3"/>
  <c r="B775" i="3" s="1"/>
  <c r="A767" i="3"/>
  <c r="B767" i="3" s="1"/>
  <c r="A759" i="3"/>
  <c r="B759" i="3" s="1"/>
  <c r="A751" i="3"/>
  <c r="B751" i="3" s="1"/>
  <c r="A743" i="3"/>
  <c r="B743" i="3" s="1"/>
  <c r="A735" i="3"/>
  <c r="B735" i="3" s="1"/>
  <c r="A727" i="3"/>
  <c r="B727" i="3" s="1"/>
  <c r="A719" i="3"/>
  <c r="B719" i="3" s="1"/>
  <c r="A7" i="3"/>
  <c r="B7" i="3" s="1"/>
  <c r="A15" i="3"/>
  <c r="B15" i="3" s="1"/>
  <c r="A23" i="3"/>
  <c r="B23" i="3" s="1"/>
  <c r="A31" i="3"/>
  <c r="B31" i="3" s="1"/>
  <c r="A39" i="3"/>
  <c r="B39" i="3" s="1"/>
  <c r="A47" i="3"/>
  <c r="B47" i="3" s="1"/>
  <c r="A55" i="3"/>
  <c r="B55" i="3" s="1"/>
  <c r="A63" i="3"/>
  <c r="B63" i="3" s="1"/>
  <c r="A71" i="3"/>
  <c r="B71" i="3" s="1"/>
  <c r="A79" i="3"/>
  <c r="B79" i="3" s="1"/>
  <c r="A87" i="3"/>
  <c r="B87" i="3" s="1"/>
  <c r="A95" i="3"/>
  <c r="B95" i="3" s="1"/>
  <c r="A103" i="3"/>
  <c r="B103" i="3" s="1"/>
  <c r="A111" i="3"/>
  <c r="B111" i="3" s="1"/>
  <c r="A119" i="3"/>
  <c r="B119" i="3" s="1"/>
  <c r="A127" i="3"/>
  <c r="B127" i="3" s="1"/>
  <c r="A135" i="3"/>
  <c r="B135" i="3" s="1"/>
  <c r="A143" i="3"/>
  <c r="B143" i="3" s="1"/>
  <c r="A151" i="3"/>
  <c r="B151" i="3" s="1"/>
  <c r="A159" i="3"/>
  <c r="B159" i="3" s="1"/>
  <c r="A167" i="3"/>
  <c r="B167" i="3" s="1"/>
  <c r="A175" i="3"/>
  <c r="B175" i="3" s="1"/>
  <c r="A183" i="3"/>
  <c r="B183" i="3" s="1"/>
  <c r="A191" i="3"/>
  <c r="B191" i="3" s="1"/>
  <c r="A199" i="3"/>
  <c r="B199" i="3" s="1"/>
  <c r="A207" i="3"/>
  <c r="B207" i="3" s="1"/>
  <c r="A215" i="3"/>
  <c r="B215" i="3" s="1"/>
  <c r="A223" i="3"/>
  <c r="B223" i="3" s="1"/>
  <c r="A231" i="3"/>
  <c r="B231" i="3" s="1"/>
  <c r="A239" i="3"/>
  <c r="B239" i="3" s="1"/>
  <c r="A247" i="3"/>
  <c r="B247" i="3" s="1"/>
  <c r="A255" i="3"/>
  <c r="B255" i="3" s="1"/>
  <c r="A263" i="3"/>
  <c r="B263" i="3" s="1"/>
  <c r="A271" i="3"/>
  <c r="B271" i="3" s="1"/>
  <c r="A279" i="3"/>
  <c r="B279" i="3" s="1"/>
  <c r="A287" i="3"/>
  <c r="B287" i="3" s="1"/>
  <c r="A295" i="3"/>
  <c r="B295" i="3" s="1"/>
  <c r="A303" i="3"/>
  <c r="B303" i="3" s="1"/>
  <c r="A311" i="3"/>
  <c r="B311" i="3" s="1"/>
  <c r="A319" i="3"/>
  <c r="B319" i="3" s="1"/>
  <c r="A327" i="3"/>
  <c r="B327" i="3" s="1"/>
  <c r="A335" i="3"/>
  <c r="B335" i="3" s="1"/>
  <c r="A343" i="3"/>
  <c r="B343" i="3" s="1"/>
  <c r="A351" i="3"/>
  <c r="B351" i="3" s="1"/>
  <c r="A359" i="3"/>
  <c r="B359" i="3" s="1"/>
  <c r="A386" i="3"/>
  <c r="B386" i="3" s="1"/>
  <c r="A418" i="3"/>
  <c r="B418" i="3" s="1"/>
  <c r="A450" i="3"/>
  <c r="B450" i="3" s="1"/>
  <c r="A482" i="3"/>
  <c r="B482" i="3" s="1"/>
  <c r="A514" i="3"/>
  <c r="B514" i="3" s="1"/>
  <c r="A546" i="3"/>
  <c r="B546" i="3" s="1"/>
  <c r="A578" i="3"/>
  <c r="B578" i="3" s="1"/>
  <c r="A594" i="3"/>
  <c r="B594" i="3" s="1"/>
  <c r="A610" i="3"/>
  <c r="B610" i="3" s="1"/>
  <c r="A626" i="3"/>
  <c r="B626" i="3" s="1"/>
  <c r="A642" i="3"/>
  <c r="B642" i="3" s="1"/>
  <c r="A658" i="3"/>
  <c r="B658" i="3" s="1"/>
  <c r="A671" i="3"/>
  <c r="B671" i="3" s="1"/>
  <c r="A696" i="3"/>
  <c r="B696" i="3" s="1"/>
  <c r="A703" i="3"/>
  <c r="B703" i="3" s="1"/>
  <c r="A746" i="3"/>
  <c r="B746" i="3" s="1"/>
  <c r="A754" i="3"/>
  <c r="B754" i="3" s="1"/>
  <c r="A762" i="3"/>
  <c r="B762" i="3" s="1"/>
  <c r="A770" i="3"/>
  <c r="B770" i="3" s="1"/>
  <c r="A778" i="3"/>
  <c r="B778" i="3" s="1"/>
  <c r="A786" i="3"/>
  <c r="B786" i="3" s="1"/>
  <c r="A794" i="3"/>
  <c r="B794" i="3" s="1"/>
  <c r="A802" i="3"/>
  <c r="B802" i="3" s="1"/>
  <c r="A810" i="3"/>
  <c r="B810" i="3" s="1"/>
  <c r="A818" i="3"/>
  <c r="B818" i="3" s="1"/>
  <c r="A826" i="3"/>
  <c r="B826" i="3" s="1"/>
  <c r="A834" i="3"/>
  <c r="B834" i="3" s="1"/>
  <c r="A842" i="3"/>
  <c r="B842" i="3" s="1"/>
  <c r="A850" i="3"/>
  <c r="B850" i="3" s="1"/>
  <c r="A858" i="3"/>
  <c r="B858" i="3" s="1"/>
  <c r="A866" i="3"/>
  <c r="B866" i="3" s="1"/>
  <c r="A874" i="3"/>
  <c r="B874" i="3" s="1"/>
  <c r="A882" i="3"/>
  <c r="B882" i="3" s="1"/>
  <c r="A890" i="3"/>
  <c r="B890" i="3" s="1"/>
  <c r="A898" i="3"/>
  <c r="B898" i="3" s="1"/>
  <c r="A906" i="3"/>
  <c r="B906" i="3" s="1"/>
  <c r="A914" i="3"/>
  <c r="B914" i="3" s="1"/>
  <c r="A922" i="3"/>
  <c r="B922" i="3" s="1"/>
  <c r="A364" i="3"/>
  <c r="B364" i="3" s="1"/>
  <c r="A445" i="3"/>
  <c r="B445" i="3" s="1"/>
  <c r="A531" i="3"/>
  <c r="B531" i="3" s="1"/>
  <c r="A613" i="3"/>
  <c r="B613" i="3" s="1"/>
  <c r="A706" i="3"/>
  <c r="B706" i="3" s="1"/>
  <c r="A633" i="3"/>
  <c r="B633" i="3" s="1"/>
  <c r="A367" i="3"/>
  <c r="B367" i="3" s="1"/>
  <c r="A459" i="3"/>
  <c r="B459" i="3" s="1"/>
  <c r="A552" i="3"/>
  <c r="B552" i="3" s="1"/>
  <c r="A429" i="3"/>
  <c r="B429" i="3" s="1"/>
  <c r="A515" i="3"/>
  <c r="B515" i="3" s="1"/>
  <c r="A700" i="3"/>
  <c r="B700" i="3" s="1"/>
  <c r="A443" i="3"/>
  <c r="B443" i="3" s="1"/>
  <c r="A536" i="3"/>
  <c r="B536" i="3" s="1"/>
  <c r="A8" i="3"/>
  <c r="B8" i="3" s="1"/>
  <c r="A40" i="3"/>
  <c r="B40" i="3" s="1"/>
  <c r="A72" i="3"/>
  <c r="B72" i="3" s="1"/>
  <c r="A104" i="3"/>
  <c r="B104" i="3" s="1"/>
  <c r="A136" i="3"/>
  <c r="B136" i="3" s="1"/>
  <c r="A168" i="3"/>
  <c r="B168" i="3" s="1"/>
  <c r="A200" i="3"/>
  <c r="B200" i="3" s="1"/>
  <c r="A232" i="3"/>
  <c r="B232" i="3" s="1"/>
  <c r="A264" i="3"/>
  <c r="B264" i="3" s="1"/>
  <c r="A296" i="3"/>
  <c r="B296" i="3" s="1"/>
  <c r="A328" i="3"/>
  <c r="B328" i="3" s="1"/>
  <c r="A344" i="3"/>
  <c r="B344" i="3" s="1"/>
  <c r="A360" i="3"/>
  <c r="B360" i="3" s="1"/>
  <c r="A398" i="3"/>
  <c r="B398" i="3" s="1"/>
  <c r="A446" i="3"/>
  <c r="B446" i="3" s="1"/>
  <c r="A510" i="3"/>
  <c r="B510" i="3" s="1"/>
  <c r="A574" i="3"/>
  <c r="B574" i="3" s="1"/>
  <c r="A687" i="3"/>
  <c r="B687" i="3" s="1"/>
  <c r="A612" i="3"/>
  <c r="B612" i="3" s="1"/>
  <c r="A653" i="3"/>
  <c r="B653" i="3" s="1"/>
  <c r="A688" i="3"/>
  <c r="B688" i="3" s="1"/>
  <c r="A714" i="3"/>
  <c r="B714" i="3" s="1"/>
  <c r="A732" i="3"/>
  <c r="B732" i="3" s="1"/>
  <c r="A997" i="3"/>
  <c r="B997" i="3" s="1"/>
  <c r="A989" i="3"/>
  <c r="B989" i="3" s="1"/>
  <c r="A981" i="3"/>
  <c r="B981" i="3" s="1"/>
  <c r="A973" i="3"/>
  <c r="B973" i="3" s="1"/>
  <c r="A965" i="3"/>
  <c r="B965" i="3" s="1"/>
  <c r="A957" i="3"/>
  <c r="B957" i="3" s="1"/>
  <c r="A949" i="3"/>
  <c r="B949" i="3" s="1"/>
  <c r="A941" i="3"/>
  <c r="B941" i="3" s="1"/>
  <c r="A933" i="3"/>
  <c r="B933" i="3" s="1"/>
  <c r="A925" i="3"/>
  <c r="B925" i="3" s="1"/>
  <c r="A917" i="3"/>
  <c r="B917" i="3" s="1"/>
  <c r="A909" i="3"/>
  <c r="B909" i="3" s="1"/>
  <c r="A901" i="3"/>
  <c r="B901" i="3" s="1"/>
  <c r="A893" i="3"/>
  <c r="B893" i="3" s="1"/>
  <c r="A885" i="3"/>
  <c r="B885" i="3" s="1"/>
  <c r="A877" i="3"/>
  <c r="B877" i="3" s="1"/>
  <c r="A869" i="3"/>
  <c r="B869" i="3" s="1"/>
  <c r="A861" i="3"/>
  <c r="B861" i="3" s="1"/>
  <c r="A853" i="3"/>
  <c r="B853" i="3" s="1"/>
  <c r="A845" i="3"/>
  <c r="B845" i="3" s="1"/>
  <c r="A837" i="3"/>
  <c r="B837" i="3" s="1"/>
  <c r="A829" i="3"/>
  <c r="B829" i="3" s="1"/>
  <c r="A821" i="3"/>
  <c r="B821" i="3" s="1"/>
  <c r="A813" i="3"/>
  <c r="B813" i="3" s="1"/>
  <c r="A805" i="3"/>
  <c r="B805" i="3" s="1"/>
  <c r="A797" i="3"/>
  <c r="B797" i="3" s="1"/>
  <c r="A789" i="3"/>
  <c r="B789" i="3" s="1"/>
  <c r="A781" i="3"/>
  <c r="B781" i="3" s="1"/>
  <c r="A773" i="3"/>
  <c r="B773" i="3" s="1"/>
  <c r="A765" i="3"/>
  <c r="B765" i="3" s="1"/>
  <c r="A757" i="3"/>
  <c r="B757" i="3" s="1"/>
  <c r="A749" i="3"/>
  <c r="B749" i="3" s="1"/>
  <c r="A741" i="3"/>
  <c r="B741" i="3" s="1"/>
  <c r="A733" i="3"/>
  <c r="B733" i="3" s="1"/>
  <c r="A725" i="3"/>
  <c r="B725" i="3" s="1"/>
  <c r="A717" i="3"/>
  <c r="B717" i="3" s="1"/>
  <c r="A9" i="3"/>
  <c r="B9" i="3" s="1"/>
  <c r="A17" i="3"/>
  <c r="B17" i="3" s="1"/>
  <c r="A25" i="3"/>
  <c r="B25" i="3" s="1"/>
  <c r="A33" i="3"/>
  <c r="B33" i="3" s="1"/>
  <c r="A41" i="3"/>
  <c r="B41" i="3" s="1"/>
  <c r="A49" i="3"/>
  <c r="B49" i="3" s="1"/>
  <c r="A57" i="3"/>
  <c r="B57" i="3" s="1"/>
  <c r="A65" i="3"/>
  <c r="B65" i="3" s="1"/>
  <c r="A73" i="3"/>
  <c r="B73" i="3" s="1"/>
  <c r="A81" i="3"/>
  <c r="B81" i="3" s="1"/>
  <c r="A89" i="3"/>
  <c r="B89" i="3" s="1"/>
  <c r="A97" i="3"/>
  <c r="B97" i="3" s="1"/>
  <c r="A105" i="3"/>
  <c r="B105" i="3" s="1"/>
  <c r="A113" i="3"/>
  <c r="B113" i="3" s="1"/>
  <c r="A121" i="3"/>
  <c r="B121" i="3" s="1"/>
  <c r="A129" i="3"/>
  <c r="B129" i="3" s="1"/>
  <c r="A137" i="3"/>
  <c r="B137" i="3" s="1"/>
  <c r="A145" i="3"/>
  <c r="B145" i="3" s="1"/>
  <c r="A153" i="3"/>
  <c r="B153" i="3" s="1"/>
  <c r="A161" i="3"/>
  <c r="B161" i="3" s="1"/>
  <c r="A169" i="3"/>
  <c r="B169" i="3" s="1"/>
  <c r="A177" i="3"/>
  <c r="B177" i="3" s="1"/>
  <c r="A185" i="3"/>
  <c r="B185" i="3" s="1"/>
  <c r="A193" i="3"/>
  <c r="B193" i="3" s="1"/>
  <c r="A201" i="3"/>
  <c r="B201" i="3" s="1"/>
  <c r="A209" i="3"/>
  <c r="B209" i="3" s="1"/>
  <c r="A217" i="3"/>
  <c r="B217" i="3" s="1"/>
  <c r="A225" i="3"/>
  <c r="B225" i="3" s="1"/>
  <c r="A233" i="3"/>
  <c r="B233" i="3" s="1"/>
  <c r="A241" i="3"/>
  <c r="B241" i="3" s="1"/>
  <c r="A249" i="3"/>
  <c r="B249" i="3" s="1"/>
  <c r="A257" i="3"/>
  <c r="B257" i="3" s="1"/>
  <c r="A265" i="3"/>
  <c r="B265" i="3" s="1"/>
  <c r="A273" i="3"/>
  <c r="B273" i="3" s="1"/>
  <c r="A281" i="3"/>
  <c r="B281" i="3" s="1"/>
  <c r="A289" i="3"/>
  <c r="B289" i="3" s="1"/>
  <c r="A297" i="3"/>
  <c r="B297" i="3" s="1"/>
  <c r="A305" i="3"/>
  <c r="B305" i="3" s="1"/>
  <c r="A313" i="3"/>
  <c r="B313" i="3" s="1"/>
  <c r="A321" i="3"/>
  <c r="B321" i="3" s="1"/>
  <c r="A329" i="3"/>
  <c r="B329" i="3" s="1"/>
  <c r="A337" i="3"/>
  <c r="B337" i="3" s="1"/>
  <c r="A345" i="3"/>
  <c r="B345" i="3" s="1"/>
  <c r="A353" i="3"/>
  <c r="B353" i="3" s="1"/>
  <c r="A361" i="3"/>
  <c r="B361" i="3" s="1"/>
  <c r="A394" i="3"/>
  <c r="B394" i="3" s="1"/>
  <c r="A426" i="3"/>
  <c r="B426" i="3" s="1"/>
  <c r="A458" i="3"/>
  <c r="B458" i="3" s="1"/>
  <c r="A490" i="3"/>
  <c r="B490" i="3" s="1"/>
  <c r="A522" i="3"/>
  <c r="B522" i="3" s="1"/>
  <c r="A554" i="3"/>
  <c r="B554" i="3" s="1"/>
  <c r="A579" i="3"/>
  <c r="B579" i="3" s="1"/>
  <c r="A595" i="3"/>
  <c r="B595" i="3" s="1"/>
  <c r="A611" i="3"/>
  <c r="B611" i="3" s="1"/>
  <c r="A627" i="3"/>
  <c r="B627" i="3" s="1"/>
  <c r="A643" i="3"/>
  <c r="B643" i="3" s="1"/>
  <c r="A659" i="3"/>
  <c r="B659" i="3" s="1"/>
  <c r="A678" i="3"/>
  <c r="B678" i="3" s="1"/>
  <c r="A698" i="3"/>
  <c r="B698" i="3" s="1"/>
  <c r="A710" i="3"/>
  <c r="B710" i="3" s="1"/>
  <c r="A748" i="3"/>
  <c r="B748" i="3" s="1"/>
  <c r="A756" i="3"/>
  <c r="B756" i="3" s="1"/>
  <c r="A764" i="3"/>
  <c r="B764" i="3" s="1"/>
  <c r="A772" i="3"/>
  <c r="B772" i="3" s="1"/>
  <c r="A780" i="3"/>
  <c r="B780" i="3" s="1"/>
  <c r="A788" i="3"/>
  <c r="B788" i="3" s="1"/>
  <c r="A796" i="3"/>
  <c r="B796" i="3" s="1"/>
  <c r="A804" i="3"/>
  <c r="B804" i="3" s="1"/>
  <c r="A812" i="3"/>
  <c r="B812" i="3" s="1"/>
  <c r="A820" i="3"/>
  <c r="B820" i="3" s="1"/>
  <c r="A828" i="3"/>
  <c r="B828" i="3" s="1"/>
  <c r="A836" i="3"/>
  <c r="B836" i="3" s="1"/>
  <c r="A844" i="3"/>
  <c r="B844" i="3" s="1"/>
  <c r="A852" i="3"/>
  <c r="B852" i="3" s="1"/>
  <c r="A860" i="3"/>
  <c r="B860" i="3" s="1"/>
  <c r="A868" i="3"/>
  <c r="B868" i="3" s="1"/>
  <c r="A876" i="3"/>
  <c r="B876" i="3" s="1"/>
  <c r="A884" i="3"/>
  <c r="B884" i="3" s="1"/>
  <c r="A892" i="3"/>
  <c r="B892" i="3" s="1"/>
  <c r="A900" i="3"/>
  <c r="B900" i="3" s="1"/>
  <c r="A908" i="3"/>
  <c r="B908" i="3" s="1"/>
  <c r="A916" i="3"/>
  <c r="B916" i="3" s="1"/>
  <c r="A924" i="3"/>
  <c r="B924" i="3" s="1"/>
  <c r="A932" i="3"/>
  <c r="B932" i="3" s="1"/>
  <c r="A940" i="3"/>
  <c r="B940" i="3" s="1"/>
  <c r="A375" i="3"/>
  <c r="B375" i="3" s="1"/>
  <c r="A467" i="3"/>
  <c r="B467" i="3" s="1"/>
  <c r="A560" i="3"/>
  <c r="B560" i="3" s="1"/>
  <c r="A629" i="3"/>
  <c r="B629" i="3" s="1"/>
  <c r="A677" i="3"/>
  <c r="B677" i="3" s="1"/>
  <c r="A617" i="3"/>
  <c r="B617" i="3" s="1"/>
  <c r="A393" i="3"/>
  <c r="B393" i="3" s="1"/>
  <c r="A488" i="3"/>
  <c r="B488" i="3" s="1"/>
  <c r="A565" i="3"/>
  <c r="B565" i="3" s="1"/>
  <c r="A451" i="3"/>
  <c r="B451" i="3" s="1"/>
  <c r="A544" i="3"/>
  <c r="B544" i="3" s="1"/>
  <c r="A377" i="3"/>
  <c r="B377" i="3" s="1"/>
  <c r="A472" i="3"/>
  <c r="B472" i="3" s="1"/>
  <c r="A549" i="3"/>
  <c r="B549" i="3" s="1"/>
  <c r="A16" i="3"/>
  <c r="B16" i="3" s="1"/>
  <c r="A48" i="3"/>
  <c r="B48" i="3" s="1"/>
  <c r="A80" i="3"/>
  <c r="B80" i="3" s="1"/>
  <c r="A112" i="3"/>
  <c r="B112" i="3" s="1"/>
  <c r="A144" i="3"/>
  <c r="B144" i="3" s="1"/>
  <c r="A176" i="3"/>
  <c r="B176" i="3" s="1"/>
  <c r="A208" i="3"/>
  <c r="B208" i="3" s="1"/>
  <c r="A240" i="3"/>
  <c r="B240" i="3" s="1"/>
  <c r="A272" i="3"/>
  <c r="B272" i="3" s="1"/>
  <c r="A304" i="3"/>
  <c r="B304" i="3" s="1"/>
  <c r="A334" i="3"/>
  <c r="B334" i="3" s="1"/>
  <c r="A350" i="3"/>
  <c r="B350" i="3" s="1"/>
  <c r="A374" i="3"/>
  <c r="B374" i="3" s="1"/>
  <c r="A414" i="3"/>
  <c r="B414" i="3" s="1"/>
  <c r="A470" i="3"/>
  <c r="B470" i="3" s="1"/>
  <c r="A534" i="3"/>
  <c r="B534" i="3" s="1"/>
  <c r="A598" i="3"/>
  <c r="B598" i="3" s="1"/>
  <c r="A716" i="3"/>
  <c r="B716" i="3" s="1"/>
  <c r="A636" i="3"/>
  <c r="B636" i="3" s="1"/>
  <c r="A668" i="3"/>
  <c r="B668" i="3" s="1"/>
  <c r="A693" i="3"/>
  <c r="B693" i="3" s="1"/>
  <c r="A722" i="3"/>
  <c r="B722" i="3" s="1"/>
  <c r="A738" i="3"/>
  <c r="B738" i="3" s="1"/>
  <c r="A995" i="3"/>
  <c r="B995" i="3" s="1"/>
  <c r="A987" i="3"/>
  <c r="B987" i="3" s="1"/>
  <c r="A979" i="3"/>
  <c r="B979" i="3" s="1"/>
  <c r="A971" i="3"/>
  <c r="B971" i="3" s="1"/>
  <c r="A963" i="3"/>
  <c r="B963" i="3" s="1"/>
  <c r="A955" i="3"/>
  <c r="B955" i="3" s="1"/>
  <c r="A947" i="3"/>
  <c r="B947" i="3" s="1"/>
  <c r="A939" i="3"/>
  <c r="B939" i="3" s="1"/>
  <c r="A931" i="3"/>
  <c r="B931" i="3" s="1"/>
  <c r="A923" i="3"/>
  <c r="B923" i="3" s="1"/>
  <c r="A915" i="3"/>
  <c r="B915" i="3" s="1"/>
  <c r="A907" i="3"/>
  <c r="B907" i="3" s="1"/>
  <c r="A899" i="3"/>
  <c r="B899" i="3" s="1"/>
  <c r="A891" i="3"/>
  <c r="B891" i="3" s="1"/>
  <c r="A883" i="3"/>
  <c r="B883" i="3" s="1"/>
  <c r="A875" i="3"/>
  <c r="B875" i="3" s="1"/>
  <c r="A867" i="3"/>
  <c r="B867" i="3" s="1"/>
  <c r="A859" i="3"/>
  <c r="B859" i="3" s="1"/>
  <c r="A851" i="3"/>
  <c r="B851" i="3" s="1"/>
  <c r="A843" i="3"/>
  <c r="B843" i="3" s="1"/>
  <c r="A835" i="3"/>
  <c r="B835" i="3" s="1"/>
  <c r="A827" i="3"/>
  <c r="B827" i="3" s="1"/>
  <c r="A819" i="3"/>
  <c r="B819" i="3" s="1"/>
  <c r="A811" i="3"/>
  <c r="B811" i="3" s="1"/>
  <c r="A803" i="3"/>
  <c r="B803" i="3" s="1"/>
  <c r="A795" i="3"/>
  <c r="B795" i="3" s="1"/>
  <c r="A787" i="3"/>
  <c r="B787" i="3" s="1"/>
  <c r="A779" i="3"/>
  <c r="B779" i="3" s="1"/>
  <c r="A771" i="3"/>
  <c r="B771" i="3" s="1"/>
  <c r="A763" i="3"/>
  <c r="B763" i="3" s="1"/>
  <c r="A755" i="3"/>
  <c r="B755" i="3" s="1"/>
  <c r="A747" i="3"/>
  <c r="B747" i="3" s="1"/>
  <c r="A739" i="3"/>
  <c r="B739" i="3" s="1"/>
  <c r="A731" i="3"/>
  <c r="B731" i="3" s="1"/>
  <c r="A723" i="3"/>
  <c r="B723" i="3" s="1"/>
  <c r="A3" i="3"/>
  <c r="B3" i="3" s="1"/>
  <c r="A11" i="3"/>
  <c r="B11" i="3" s="1"/>
  <c r="A19" i="3"/>
  <c r="B19" i="3" s="1"/>
  <c r="A27" i="3"/>
  <c r="B27" i="3" s="1"/>
  <c r="A35" i="3"/>
  <c r="B35" i="3" s="1"/>
  <c r="A43" i="3"/>
  <c r="B43" i="3" s="1"/>
  <c r="A51" i="3"/>
  <c r="B51" i="3" s="1"/>
  <c r="A59" i="3"/>
  <c r="B59" i="3" s="1"/>
  <c r="A67" i="3"/>
  <c r="B67" i="3" s="1"/>
  <c r="A75" i="3"/>
  <c r="B75" i="3" s="1"/>
  <c r="A83" i="3"/>
  <c r="B83" i="3" s="1"/>
  <c r="A91" i="3"/>
  <c r="B91" i="3" s="1"/>
  <c r="A99" i="3"/>
  <c r="B99" i="3" s="1"/>
  <c r="A107" i="3"/>
  <c r="B107" i="3" s="1"/>
  <c r="A115" i="3"/>
  <c r="B115" i="3" s="1"/>
  <c r="A123" i="3"/>
  <c r="B123" i="3" s="1"/>
  <c r="A131" i="3"/>
  <c r="B131" i="3" s="1"/>
  <c r="A139" i="3"/>
  <c r="B139" i="3" s="1"/>
  <c r="A147" i="3"/>
  <c r="B147" i="3" s="1"/>
  <c r="A155" i="3"/>
  <c r="B155" i="3" s="1"/>
  <c r="A163" i="3"/>
  <c r="B163" i="3" s="1"/>
  <c r="A171" i="3"/>
  <c r="B171" i="3" s="1"/>
  <c r="A179" i="3"/>
  <c r="B179" i="3" s="1"/>
  <c r="A187" i="3"/>
  <c r="B187" i="3" s="1"/>
  <c r="A195" i="3"/>
  <c r="B195" i="3" s="1"/>
  <c r="A203" i="3"/>
  <c r="B203" i="3" s="1"/>
  <c r="A211" i="3"/>
  <c r="B211" i="3" s="1"/>
  <c r="A219" i="3"/>
  <c r="B219" i="3" s="1"/>
  <c r="A227" i="3"/>
  <c r="B227" i="3" s="1"/>
  <c r="A235" i="3"/>
  <c r="B235" i="3" s="1"/>
  <c r="A243" i="3"/>
  <c r="B243" i="3" s="1"/>
  <c r="A251" i="3"/>
  <c r="B251" i="3" s="1"/>
  <c r="A259" i="3"/>
  <c r="B259" i="3" s="1"/>
  <c r="A267" i="3"/>
  <c r="B267" i="3" s="1"/>
  <c r="A275" i="3"/>
  <c r="B275" i="3" s="1"/>
  <c r="A283" i="3"/>
  <c r="B283" i="3" s="1"/>
  <c r="A291" i="3"/>
  <c r="B291" i="3" s="1"/>
  <c r="A299" i="3"/>
  <c r="B299" i="3" s="1"/>
  <c r="A307" i="3"/>
  <c r="B307" i="3" s="1"/>
  <c r="A315" i="3"/>
  <c r="B315" i="3" s="1"/>
  <c r="A323" i="3"/>
  <c r="B323" i="3" s="1"/>
  <c r="A331" i="3"/>
  <c r="B331" i="3" s="1"/>
  <c r="A339" i="3"/>
  <c r="B339" i="3" s="1"/>
  <c r="A347" i="3"/>
  <c r="B347" i="3" s="1"/>
  <c r="A355" i="3"/>
  <c r="B355" i="3" s="1"/>
  <c r="A370" i="3"/>
  <c r="B370" i="3" s="1"/>
  <c r="A402" i="3"/>
  <c r="B402" i="3" s="1"/>
  <c r="A434" i="3"/>
  <c r="B434" i="3" s="1"/>
  <c r="A466" i="3"/>
  <c r="B466" i="3" s="1"/>
  <c r="A498" i="3"/>
  <c r="B498" i="3" s="1"/>
  <c r="A530" i="3"/>
  <c r="B530" i="3" s="1"/>
  <c r="A562" i="3"/>
  <c r="B562" i="3" s="1"/>
  <c r="A586" i="3"/>
  <c r="B586" i="3" s="1"/>
  <c r="A602" i="3"/>
  <c r="B602" i="3" s="1"/>
  <c r="A618" i="3"/>
  <c r="B618" i="3" s="1"/>
  <c r="A634" i="3"/>
  <c r="B634" i="3" s="1"/>
  <c r="A650" i="3"/>
  <c r="B650" i="3" s="1"/>
  <c r="A666" i="3"/>
  <c r="B666" i="3" s="1"/>
  <c r="A681" i="3"/>
  <c r="B681" i="3" s="1"/>
  <c r="A699" i="3"/>
  <c r="B699" i="3" s="1"/>
  <c r="A713" i="3"/>
  <c r="B713" i="3" s="1"/>
  <c r="A750" i="3"/>
  <c r="B750" i="3" s="1"/>
  <c r="A758" i="3"/>
  <c r="B758" i="3" s="1"/>
  <c r="A766" i="3"/>
  <c r="B766" i="3" s="1"/>
  <c r="A774" i="3"/>
  <c r="B774" i="3" s="1"/>
  <c r="A782" i="3"/>
  <c r="B782" i="3" s="1"/>
  <c r="A790" i="3"/>
  <c r="B790" i="3" s="1"/>
  <c r="A798" i="3"/>
  <c r="B798" i="3" s="1"/>
  <c r="A806" i="3"/>
  <c r="B806" i="3" s="1"/>
  <c r="A814" i="3"/>
  <c r="B814" i="3" s="1"/>
  <c r="A822" i="3"/>
  <c r="B822" i="3" s="1"/>
  <c r="A830" i="3"/>
  <c r="B830" i="3" s="1"/>
  <c r="A838" i="3"/>
  <c r="B838" i="3" s="1"/>
  <c r="A846" i="3"/>
  <c r="B846" i="3" s="1"/>
  <c r="A854" i="3"/>
  <c r="B854" i="3" s="1"/>
  <c r="A862" i="3"/>
  <c r="B862" i="3" s="1"/>
  <c r="A870" i="3"/>
  <c r="B870" i="3" s="1"/>
  <c r="A878" i="3"/>
  <c r="B878" i="3" s="1"/>
  <c r="A886" i="3"/>
  <c r="B886" i="3" s="1"/>
  <c r="A894" i="3"/>
  <c r="B894" i="3" s="1"/>
  <c r="A902" i="3"/>
  <c r="B902" i="3" s="1"/>
  <c r="A910" i="3"/>
  <c r="B910" i="3" s="1"/>
  <c r="A918" i="3"/>
  <c r="B918" i="3" s="1"/>
  <c r="A926" i="3"/>
  <c r="B926" i="3" s="1"/>
  <c r="A934" i="3"/>
  <c r="B934" i="3" s="1"/>
  <c r="A942" i="3"/>
  <c r="B942" i="3" s="1"/>
  <c r="A655" i="3"/>
  <c r="B655" i="3" s="1"/>
  <c r="A501" i="3"/>
  <c r="B501" i="3" s="1"/>
  <c r="A408" i="3"/>
  <c r="B408" i="3" s="1"/>
  <c r="A56" i="3"/>
  <c r="B56" i="3" s="1"/>
  <c r="A184" i="3"/>
  <c r="B184" i="3" s="1"/>
  <c r="A312" i="3"/>
  <c r="B312" i="3" s="1"/>
  <c r="A422" i="3"/>
  <c r="B422" i="3" s="1"/>
  <c r="A580" i="3"/>
  <c r="B580" i="3" s="1"/>
  <c r="A724" i="3"/>
  <c r="B724" i="3" s="1"/>
  <c r="A977" i="3"/>
  <c r="B977" i="3" s="1"/>
  <c r="A945" i="3"/>
  <c r="B945" i="3" s="1"/>
  <c r="A913" i="3"/>
  <c r="B913" i="3" s="1"/>
  <c r="A881" i="3"/>
  <c r="B881" i="3" s="1"/>
  <c r="A849" i="3"/>
  <c r="B849" i="3" s="1"/>
  <c r="A817" i="3"/>
  <c r="B817" i="3" s="1"/>
  <c r="A785" i="3"/>
  <c r="B785" i="3" s="1"/>
  <c r="A753" i="3"/>
  <c r="B753" i="3" s="1"/>
  <c r="A721" i="3"/>
  <c r="B721" i="3" s="1"/>
  <c r="A29" i="3"/>
  <c r="B29" i="3" s="1"/>
  <c r="A61" i="3"/>
  <c r="B61" i="3" s="1"/>
  <c r="A93" i="3"/>
  <c r="B93" i="3" s="1"/>
  <c r="A125" i="3"/>
  <c r="B125" i="3" s="1"/>
  <c r="A157" i="3"/>
  <c r="B157" i="3" s="1"/>
  <c r="A189" i="3"/>
  <c r="B189" i="3" s="1"/>
  <c r="A221" i="3"/>
  <c r="B221" i="3" s="1"/>
  <c r="A253" i="3"/>
  <c r="B253" i="3" s="1"/>
  <c r="A285" i="3"/>
  <c r="B285" i="3" s="1"/>
  <c r="A317" i="3"/>
  <c r="B317" i="3" s="1"/>
  <c r="A349" i="3"/>
  <c r="B349" i="3" s="1"/>
  <c r="A442" i="3"/>
  <c r="B442" i="3" s="1"/>
  <c r="A570" i="3"/>
  <c r="B570" i="3" s="1"/>
  <c r="A635" i="3"/>
  <c r="B635" i="3" s="1"/>
  <c r="A701" i="3"/>
  <c r="B701" i="3" s="1"/>
  <c r="A768" i="3"/>
  <c r="B768" i="3" s="1"/>
  <c r="A800" i="3"/>
  <c r="B800" i="3" s="1"/>
  <c r="A832" i="3"/>
  <c r="B832" i="3" s="1"/>
  <c r="A864" i="3"/>
  <c r="B864" i="3" s="1"/>
  <c r="A896" i="3"/>
  <c r="B896" i="3" s="1"/>
  <c r="A928" i="3"/>
  <c r="B928" i="3" s="1"/>
  <c r="A944" i="3"/>
  <c r="B944" i="3" s="1"/>
  <c r="A952" i="3"/>
  <c r="B952" i="3" s="1"/>
  <c r="A960" i="3"/>
  <c r="B960" i="3" s="1"/>
  <c r="A968" i="3"/>
  <c r="B968" i="3" s="1"/>
  <c r="A976" i="3"/>
  <c r="B976" i="3" s="1"/>
  <c r="A984" i="3"/>
  <c r="B984" i="3" s="1"/>
  <c r="A992" i="3"/>
  <c r="B992" i="3" s="1"/>
  <c r="A1000" i="3"/>
  <c r="B1000" i="3" s="1"/>
  <c r="A424" i="3"/>
  <c r="B424" i="3" s="1"/>
  <c r="A24" i="3"/>
  <c r="B24" i="3" s="1"/>
  <c r="A280" i="3"/>
  <c r="B280" i="3" s="1"/>
  <c r="A382" i="3"/>
  <c r="B382" i="3" s="1"/>
  <c r="A695" i="3"/>
  <c r="B695" i="3" s="1"/>
  <c r="A921" i="3"/>
  <c r="B921" i="3" s="1"/>
  <c r="A825" i="3"/>
  <c r="B825" i="3" s="1"/>
  <c r="A729" i="3"/>
  <c r="B729" i="3" s="1"/>
  <c r="A149" i="3"/>
  <c r="B149" i="3" s="1"/>
  <c r="A245" i="3"/>
  <c r="B245" i="3" s="1"/>
  <c r="A341" i="3"/>
  <c r="B341" i="3" s="1"/>
  <c r="A619" i="3"/>
  <c r="B619" i="3" s="1"/>
  <c r="A792" i="3"/>
  <c r="B792" i="3" s="1"/>
  <c r="A888" i="3"/>
  <c r="B888" i="3" s="1"/>
  <c r="A938" i="3"/>
  <c r="B938" i="3" s="1"/>
  <c r="A966" i="3"/>
  <c r="B966" i="3" s="1"/>
  <c r="A990" i="3"/>
  <c r="B990" i="3" s="1"/>
  <c r="A401" i="3"/>
  <c r="B401" i="3" s="1"/>
  <c r="A665" i="3"/>
  <c r="B665" i="3" s="1"/>
  <c r="A385" i="3"/>
  <c r="B385" i="3" s="1"/>
  <c r="A485" i="3"/>
  <c r="B485" i="3" s="1"/>
  <c r="A88" i="3"/>
  <c r="B88" i="3" s="1"/>
  <c r="A216" i="3"/>
  <c r="B216" i="3" s="1"/>
  <c r="A336" i="3"/>
  <c r="B336" i="3" s="1"/>
  <c r="A478" i="3"/>
  <c r="B478" i="3" s="1"/>
  <c r="A637" i="3"/>
  <c r="B637" i="3" s="1"/>
  <c r="A740" i="3"/>
  <c r="B740" i="3" s="1"/>
  <c r="A969" i="3"/>
  <c r="B969" i="3" s="1"/>
  <c r="A937" i="3"/>
  <c r="B937" i="3" s="1"/>
  <c r="A905" i="3"/>
  <c r="B905" i="3" s="1"/>
  <c r="A873" i="3"/>
  <c r="B873" i="3" s="1"/>
  <c r="A841" i="3"/>
  <c r="B841" i="3" s="1"/>
  <c r="A809" i="3"/>
  <c r="B809" i="3" s="1"/>
  <c r="A777" i="3"/>
  <c r="B777" i="3" s="1"/>
  <c r="A745" i="3"/>
  <c r="B745" i="3" s="1"/>
  <c r="A5" i="3"/>
  <c r="B5" i="3" s="1"/>
  <c r="A37" i="3"/>
  <c r="B37" i="3" s="1"/>
  <c r="A69" i="3"/>
  <c r="B69" i="3" s="1"/>
  <c r="A101" i="3"/>
  <c r="B101" i="3" s="1"/>
  <c r="A133" i="3"/>
  <c r="B133" i="3" s="1"/>
  <c r="A165" i="3"/>
  <c r="B165" i="3" s="1"/>
  <c r="A197" i="3"/>
  <c r="B197" i="3" s="1"/>
  <c r="A229" i="3"/>
  <c r="B229" i="3" s="1"/>
  <c r="A261" i="3"/>
  <c r="B261" i="3" s="1"/>
  <c r="A293" i="3"/>
  <c r="B293" i="3" s="1"/>
  <c r="A325" i="3"/>
  <c r="B325" i="3" s="1"/>
  <c r="A357" i="3"/>
  <c r="B357" i="3" s="1"/>
  <c r="A474" i="3"/>
  <c r="B474" i="3" s="1"/>
  <c r="A587" i="3"/>
  <c r="B587" i="3" s="1"/>
  <c r="A651" i="3"/>
  <c r="B651" i="3" s="1"/>
  <c r="A744" i="3"/>
  <c r="B744" i="3" s="1"/>
  <c r="A776" i="3"/>
  <c r="B776" i="3" s="1"/>
  <c r="A808" i="3"/>
  <c r="B808" i="3" s="1"/>
  <c r="A840" i="3"/>
  <c r="B840" i="3" s="1"/>
  <c r="A872" i="3"/>
  <c r="B872" i="3" s="1"/>
  <c r="A904" i="3"/>
  <c r="B904" i="3" s="1"/>
  <c r="A930" i="3"/>
  <c r="B930" i="3" s="1"/>
  <c r="A946" i="3"/>
  <c r="B946" i="3" s="1"/>
  <c r="A954" i="3"/>
  <c r="B954" i="3" s="1"/>
  <c r="A962" i="3"/>
  <c r="B962" i="3" s="1"/>
  <c r="A970" i="3"/>
  <c r="B970" i="3" s="1"/>
  <c r="A978" i="3"/>
  <c r="B978" i="3" s="1"/>
  <c r="A986" i="3"/>
  <c r="B986" i="3" s="1"/>
  <c r="A994" i="3"/>
  <c r="B994" i="3" s="1"/>
  <c r="A581" i="3"/>
  <c r="B581" i="3" s="1"/>
  <c r="A557" i="3"/>
  <c r="B557" i="3" s="1"/>
  <c r="A985" i="3"/>
  <c r="B985" i="3" s="1"/>
  <c r="A953" i="3"/>
  <c r="B953" i="3" s="1"/>
  <c r="A857" i="3"/>
  <c r="B857" i="3" s="1"/>
  <c r="A793" i="3"/>
  <c r="B793" i="3" s="1"/>
  <c r="A21" i="3"/>
  <c r="B21" i="3" s="1"/>
  <c r="A85" i="3"/>
  <c r="B85" i="3" s="1"/>
  <c r="A181" i="3"/>
  <c r="B181" i="3" s="1"/>
  <c r="A277" i="3"/>
  <c r="B277" i="3" s="1"/>
  <c r="A410" i="3"/>
  <c r="B410" i="3" s="1"/>
  <c r="A684" i="3"/>
  <c r="B684" i="3" s="1"/>
  <c r="A760" i="3"/>
  <c r="B760" i="3" s="1"/>
  <c r="A856" i="3"/>
  <c r="B856" i="3" s="1"/>
  <c r="A950" i="3"/>
  <c r="B950" i="3" s="1"/>
  <c r="A974" i="3"/>
  <c r="B974" i="3" s="1"/>
  <c r="A998" i="3"/>
  <c r="B998" i="3" s="1"/>
  <c r="A496" i="3"/>
  <c r="B496" i="3" s="1"/>
  <c r="A601" i="3"/>
  <c r="B601" i="3" s="1"/>
  <c r="A480" i="3"/>
  <c r="B480" i="3" s="1"/>
  <c r="A571" i="3"/>
  <c r="B571" i="3" s="1"/>
  <c r="A120" i="3"/>
  <c r="B120" i="3" s="1"/>
  <c r="A248" i="3"/>
  <c r="B248" i="3" s="1"/>
  <c r="A352" i="3"/>
  <c r="B352" i="3" s="1"/>
  <c r="A542" i="3"/>
  <c r="B542" i="3" s="1"/>
  <c r="A669" i="3"/>
  <c r="B669" i="3" s="1"/>
  <c r="A993" i="3"/>
  <c r="B993" i="3" s="1"/>
  <c r="A961" i="3"/>
  <c r="B961" i="3" s="1"/>
  <c r="A929" i="3"/>
  <c r="B929" i="3" s="1"/>
  <c r="A897" i="3"/>
  <c r="B897" i="3" s="1"/>
  <c r="A865" i="3"/>
  <c r="B865" i="3" s="1"/>
  <c r="A833" i="3"/>
  <c r="B833" i="3" s="1"/>
  <c r="A801" i="3"/>
  <c r="B801" i="3" s="1"/>
  <c r="A769" i="3"/>
  <c r="B769" i="3" s="1"/>
  <c r="A737" i="3"/>
  <c r="B737" i="3" s="1"/>
  <c r="A13" i="3"/>
  <c r="B13" i="3" s="1"/>
  <c r="A45" i="3"/>
  <c r="B45" i="3" s="1"/>
  <c r="A77" i="3"/>
  <c r="B77" i="3" s="1"/>
  <c r="A109" i="3"/>
  <c r="B109" i="3" s="1"/>
  <c r="A141" i="3"/>
  <c r="B141" i="3" s="1"/>
  <c r="A173" i="3"/>
  <c r="B173" i="3" s="1"/>
  <c r="A205" i="3"/>
  <c r="B205" i="3" s="1"/>
  <c r="A237" i="3"/>
  <c r="B237" i="3" s="1"/>
  <c r="A269" i="3"/>
  <c r="B269" i="3" s="1"/>
  <c r="A301" i="3"/>
  <c r="B301" i="3" s="1"/>
  <c r="A333" i="3"/>
  <c r="B333" i="3" s="1"/>
  <c r="A378" i="3"/>
  <c r="B378" i="3" s="1"/>
  <c r="A506" i="3"/>
  <c r="B506" i="3" s="1"/>
  <c r="A603" i="3"/>
  <c r="B603" i="3" s="1"/>
  <c r="A667" i="3"/>
  <c r="B667" i="3" s="1"/>
  <c r="A752" i="3"/>
  <c r="B752" i="3" s="1"/>
  <c r="A784" i="3"/>
  <c r="B784" i="3" s="1"/>
  <c r="A816" i="3"/>
  <c r="B816" i="3" s="1"/>
  <c r="A848" i="3"/>
  <c r="B848" i="3" s="1"/>
  <c r="A880" i="3"/>
  <c r="B880" i="3" s="1"/>
  <c r="A912" i="3"/>
  <c r="B912" i="3" s="1"/>
  <c r="A936" i="3"/>
  <c r="B936" i="3" s="1"/>
  <c r="A948" i="3"/>
  <c r="B948" i="3" s="1"/>
  <c r="A956" i="3"/>
  <c r="B956" i="3" s="1"/>
  <c r="A964" i="3"/>
  <c r="B964" i="3" s="1"/>
  <c r="A972" i="3"/>
  <c r="B972" i="3" s="1"/>
  <c r="A980" i="3"/>
  <c r="B980" i="3" s="1"/>
  <c r="A988" i="3"/>
  <c r="B988" i="3" s="1"/>
  <c r="A996" i="3"/>
  <c r="B996" i="3" s="1"/>
  <c r="A152" i="3"/>
  <c r="B152" i="3" s="1"/>
  <c r="A606" i="3"/>
  <c r="B606" i="3" s="1"/>
  <c r="A889" i="3"/>
  <c r="B889" i="3" s="1"/>
  <c r="A761" i="3"/>
  <c r="B761" i="3" s="1"/>
  <c r="A53" i="3"/>
  <c r="B53" i="3" s="1"/>
  <c r="A117" i="3"/>
  <c r="B117" i="3" s="1"/>
  <c r="A213" i="3"/>
  <c r="B213" i="3" s="1"/>
  <c r="A309" i="3"/>
  <c r="B309" i="3" s="1"/>
  <c r="A538" i="3"/>
  <c r="B538" i="3" s="1"/>
  <c r="A824" i="3"/>
  <c r="B824" i="3" s="1"/>
  <c r="A920" i="3"/>
  <c r="B920" i="3" s="1"/>
  <c r="A958" i="3"/>
  <c r="B958" i="3" s="1"/>
  <c r="A982" i="3"/>
  <c r="B982" i="3" s="1"/>
  <c r="A2" i="2"/>
  <c r="B2" i="2" s="1"/>
  <c r="A432" i="2"/>
  <c r="B432" i="2" s="1"/>
  <c r="A33" i="2"/>
  <c r="B33" i="2" s="1"/>
  <c r="A65" i="2"/>
  <c r="B65" i="2" s="1"/>
  <c r="A97" i="2"/>
  <c r="B97" i="2" s="1"/>
  <c r="A129" i="2"/>
  <c r="B129" i="2" s="1"/>
  <c r="A161" i="2"/>
  <c r="B161" i="2" s="1"/>
  <c r="A193" i="2"/>
  <c r="B193" i="2" s="1"/>
  <c r="A225" i="2"/>
  <c r="B225" i="2" s="1"/>
  <c r="A10" i="2"/>
  <c r="B10" i="2" s="1"/>
  <c r="A26" i="2"/>
  <c r="B26" i="2" s="1"/>
  <c r="A42" i="2"/>
  <c r="B42" i="2" s="1"/>
  <c r="A58" i="2"/>
  <c r="B58" i="2" s="1"/>
  <c r="A74" i="2"/>
  <c r="B74" i="2" s="1"/>
  <c r="A90" i="2"/>
  <c r="B90" i="2" s="1"/>
  <c r="A106" i="2"/>
  <c r="B106" i="2" s="1"/>
  <c r="A122" i="2"/>
  <c r="B122" i="2" s="1"/>
  <c r="A138" i="2"/>
  <c r="B138" i="2" s="1"/>
  <c r="A165" i="2"/>
  <c r="B165" i="2" s="1"/>
  <c r="A197" i="2"/>
  <c r="B197" i="2" s="1"/>
  <c r="A229" i="2"/>
  <c r="B229" i="2" s="1"/>
  <c r="A21" i="2"/>
  <c r="B21" i="2" s="1"/>
  <c r="A53" i="2"/>
  <c r="B53" i="2" s="1"/>
  <c r="A85" i="2"/>
  <c r="B85" i="2" s="1"/>
  <c r="A117" i="2"/>
  <c r="B117" i="2" s="1"/>
  <c r="A153" i="2"/>
  <c r="B153" i="2" s="1"/>
  <c r="A185" i="2"/>
  <c r="B185" i="2" s="1"/>
  <c r="A217" i="2"/>
  <c r="B217" i="2" s="1"/>
  <c r="A256" i="2"/>
  <c r="B256" i="2" s="1"/>
  <c r="A4" i="2"/>
  <c r="B4" i="2" s="1"/>
  <c r="A20" i="2"/>
  <c r="B20" i="2" s="1"/>
  <c r="A36" i="2"/>
  <c r="B36" i="2" s="1"/>
  <c r="A52" i="2"/>
  <c r="B52" i="2" s="1"/>
  <c r="A68" i="2"/>
  <c r="B68" i="2" s="1"/>
  <c r="A84" i="2"/>
  <c r="B84" i="2" s="1"/>
  <c r="A100" i="2"/>
  <c r="B100" i="2" s="1"/>
  <c r="A116" i="2"/>
  <c r="B116" i="2" s="1"/>
  <c r="A132" i="2"/>
  <c r="B132" i="2" s="1"/>
  <c r="A148" i="2"/>
  <c r="B148" i="2" s="1"/>
  <c r="A180" i="2"/>
  <c r="B180" i="2" s="1"/>
  <c r="A212" i="2"/>
  <c r="B212" i="2" s="1"/>
  <c r="A146" i="2"/>
  <c r="B146" i="2" s="1"/>
  <c r="A162" i="2"/>
  <c r="B162" i="2" s="1"/>
  <c r="A178" i="2"/>
  <c r="B178" i="2" s="1"/>
  <c r="A194" i="2"/>
  <c r="B194" i="2" s="1"/>
  <c r="A210" i="2"/>
  <c r="B210" i="2" s="1"/>
  <c r="A226" i="2"/>
  <c r="B226" i="2" s="1"/>
  <c r="A242" i="2"/>
  <c r="B242" i="2" s="1"/>
  <c r="A258" i="2"/>
  <c r="B258" i="2" s="1"/>
  <c r="A275" i="2"/>
  <c r="B275" i="2" s="1"/>
  <c r="A291" i="2"/>
  <c r="B291" i="2" s="1"/>
  <c r="A312" i="2"/>
  <c r="B312" i="2" s="1"/>
  <c r="A344" i="2"/>
  <c r="B344" i="2" s="1"/>
  <c r="A376" i="2"/>
  <c r="B376" i="2" s="1"/>
  <c r="A408" i="2"/>
  <c r="B408" i="2" s="1"/>
  <c r="A994" i="2"/>
  <c r="B994" i="2" s="1"/>
  <c r="A978" i="2"/>
  <c r="B978" i="2" s="1"/>
  <c r="A962" i="2"/>
  <c r="B962" i="2" s="1"/>
  <c r="A946" i="2"/>
  <c r="B946" i="2" s="1"/>
  <c r="A981" i="2"/>
  <c r="B981" i="2" s="1"/>
  <c r="A949" i="2"/>
  <c r="B949" i="2" s="1"/>
  <c r="A826" i="2"/>
  <c r="B826" i="2" s="1"/>
  <c r="A810" i="2"/>
  <c r="B810" i="2" s="1"/>
  <c r="A929" i="2"/>
  <c r="B929" i="2" s="1"/>
  <c r="A913" i="2"/>
  <c r="B913" i="2" s="1"/>
  <c r="A897" i="2"/>
  <c r="B897" i="2" s="1"/>
  <c r="A881" i="2"/>
  <c r="B881" i="2" s="1"/>
  <c r="A865" i="2"/>
  <c r="B865" i="2" s="1"/>
  <c r="A849" i="2"/>
  <c r="B849" i="2" s="1"/>
  <c r="A993" i="2"/>
  <c r="B993" i="2" s="1"/>
  <c r="A798" i="2"/>
  <c r="B798" i="2" s="1"/>
  <c r="A933" i="2"/>
  <c r="B933" i="2" s="1"/>
  <c r="A917" i="2"/>
  <c r="B917" i="2" s="1"/>
  <c r="A901" i="2"/>
  <c r="B901" i="2" s="1"/>
  <c r="A885" i="2"/>
  <c r="B885" i="2" s="1"/>
  <c r="A869" i="2"/>
  <c r="B869" i="2" s="1"/>
  <c r="A853" i="2"/>
  <c r="B853" i="2" s="1"/>
  <c r="A837" i="2"/>
  <c r="B837" i="2" s="1"/>
  <c r="A813" i="2"/>
  <c r="B813" i="2" s="1"/>
  <c r="A9" i="2"/>
  <c r="B9" i="2" s="1"/>
  <c r="A41" i="2"/>
  <c r="B41" i="2" s="1"/>
  <c r="A73" i="2"/>
  <c r="B73" i="2" s="1"/>
  <c r="A105" i="2"/>
  <c r="B105" i="2" s="1"/>
  <c r="A137" i="2"/>
  <c r="B137" i="2" s="1"/>
  <c r="A168" i="2"/>
  <c r="B168" i="2" s="1"/>
  <c r="A200" i="2"/>
  <c r="B200" i="2" s="1"/>
  <c r="A232" i="2"/>
  <c r="B232" i="2" s="1"/>
  <c r="A16" i="2"/>
  <c r="B16" i="2" s="1"/>
  <c r="A32" i="2"/>
  <c r="B32" i="2" s="1"/>
  <c r="A48" i="2"/>
  <c r="B48" i="2" s="1"/>
  <c r="A64" i="2"/>
  <c r="B64" i="2" s="1"/>
  <c r="A80" i="2"/>
  <c r="B80" i="2" s="1"/>
  <c r="A96" i="2"/>
  <c r="B96" i="2" s="1"/>
  <c r="A112" i="2"/>
  <c r="B112" i="2" s="1"/>
  <c r="A128" i="2"/>
  <c r="B128" i="2" s="1"/>
  <c r="A144" i="2"/>
  <c r="B144" i="2" s="1"/>
  <c r="A172" i="2"/>
  <c r="B172" i="2" s="1"/>
  <c r="A204" i="2"/>
  <c r="B204" i="2" s="1"/>
  <c r="A236" i="2"/>
  <c r="B236" i="2" s="1"/>
  <c r="A29" i="2"/>
  <c r="B29" i="2" s="1"/>
  <c r="A61" i="2"/>
  <c r="B61" i="2" s="1"/>
  <c r="A93" i="2"/>
  <c r="B93" i="2" s="1"/>
  <c r="A125" i="2"/>
  <c r="B125" i="2" s="1"/>
  <c r="A160" i="2"/>
  <c r="B160" i="2" s="1"/>
  <c r="A192" i="2"/>
  <c r="B192" i="2" s="1"/>
  <c r="A224" i="2"/>
  <c r="B224" i="2" s="1"/>
  <c r="A252" i="2"/>
  <c r="B252" i="2" s="1"/>
  <c r="A7" i="2"/>
  <c r="B7" i="2" s="1"/>
  <c r="A22" i="2"/>
  <c r="B22" i="2" s="1"/>
  <c r="A38" i="2"/>
  <c r="B38" i="2" s="1"/>
  <c r="A54" i="2"/>
  <c r="B54" i="2" s="1"/>
  <c r="A70" i="2"/>
  <c r="B70" i="2" s="1"/>
  <c r="A86" i="2"/>
  <c r="B86" i="2" s="1"/>
  <c r="A102" i="2"/>
  <c r="B102" i="2" s="1"/>
  <c r="A118" i="2"/>
  <c r="B118" i="2" s="1"/>
  <c r="A134" i="2"/>
  <c r="B134" i="2" s="1"/>
  <c r="A157" i="2"/>
  <c r="B157" i="2" s="1"/>
  <c r="A189" i="2"/>
  <c r="B189" i="2" s="1"/>
  <c r="A221" i="2"/>
  <c r="B221" i="2" s="1"/>
  <c r="A150" i="2"/>
  <c r="B150" i="2" s="1"/>
  <c r="A166" i="2"/>
  <c r="B166" i="2" s="1"/>
  <c r="A182" i="2"/>
  <c r="B182" i="2" s="1"/>
  <c r="A198" i="2"/>
  <c r="B198" i="2" s="1"/>
  <c r="A214" i="2"/>
  <c r="B214" i="2" s="1"/>
  <c r="A230" i="2"/>
  <c r="B230" i="2" s="1"/>
  <c r="A246" i="2"/>
  <c r="B246" i="2" s="1"/>
  <c r="A262" i="2"/>
  <c r="B262" i="2" s="1"/>
  <c r="A277" i="2"/>
  <c r="B277" i="2" s="1"/>
  <c r="A293" i="2"/>
  <c r="B293" i="2" s="1"/>
  <c r="A320" i="2"/>
  <c r="B320" i="2" s="1"/>
  <c r="A352" i="2"/>
  <c r="B352" i="2" s="1"/>
  <c r="A384" i="2"/>
  <c r="B384" i="2" s="1"/>
  <c r="A416" i="2"/>
  <c r="B416" i="2" s="1"/>
  <c r="A990" i="2"/>
  <c r="B990" i="2" s="1"/>
  <c r="A974" i="2"/>
  <c r="B974" i="2" s="1"/>
  <c r="A958" i="2"/>
  <c r="B958" i="2" s="1"/>
  <c r="A942" i="2"/>
  <c r="B942" i="2" s="1"/>
  <c r="A973" i="2"/>
  <c r="B973" i="2" s="1"/>
  <c r="A941" i="2"/>
  <c r="B941" i="2" s="1"/>
  <c r="A822" i="2"/>
  <c r="B822" i="2" s="1"/>
  <c r="A806" i="2"/>
  <c r="B806" i="2" s="1"/>
  <c r="A926" i="2"/>
  <c r="B926" i="2" s="1"/>
  <c r="A910" i="2"/>
  <c r="B910" i="2" s="1"/>
  <c r="A894" i="2"/>
  <c r="B894" i="2" s="1"/>
  <c r="A878" i="2"/>
  <c r="B878" i="2" s="1"/>
  <c r="A862" i="2"/>
  <c r="B862" i="2" s="1"/>
  <c r="A846" i="2"/>
  <c r="B846" i="2" s="1"/>
  <c r="A977" i="2"/>
  <c r="B977" i="2" s="1"/>
  <c r="A790" i="2"/>
  <c r="B790" i="2" s="1"/>
  <c r="A930" i="2"/>
  <c r="B930" i="2" s="1"/>
  <c r="A914" i="2"/>
  <c r="B914" i="2" s="1"/>
  <c r="A898" i="2"/>
  <c r="B898" i="2" s="1"/>
  <c r="A882" i="2"/>
  <c r="B882" i="2" s="1"/>
  <c r="A866" i="2"/>
  <c r="B866" i="2" s="1"/>
  <c r="A850" i="2"/>
  <c r="B850" i="2" s="1"/>
  <c r="A17" i="2"/>
  <c r="B17" i="2" s="1"/>
  <c r="A49" i="2"/>
  <c r="B49" i="2" s="1"/>
  <c r="A81" i="2"/>
  <c r="B81" i="2" s="1"/>
  <c r="A113" i="2"/>
  <c r="B113" i="2" s="1"/>
  <c r="A145" i="2"/>
  <c r="B145" i="2" s="1"/>
  <c r="A177" i="2"/>
  <c r="B177" i="2" s="1"/>
  <c r="A209" i="2"/>
  <c r="B209" i="2" s="1"/>
  <c r="A241" i="2"/>
  <c r="B241" i="2" s="1"/>
  <c r="A18" i="2"/>
  <c r="B18" i="2" s="1"/>
  <c r="A34" i="2"/>
  <c r="B34" i="2" s="1"/>
  <c r="A50" i="2"/>
  <c r="B50" i="2" s="1"/>
  <c r="A66" i="2"/>
  <c r="B66" i="2" s="1"/>
  <c r="A82" i="2"/>
  <c r="B82" i="2" s="1"/>
  <c r="A98" i="2"/>
  <c r="B98" i="2" s="1"/>
  <c r="A114" i="2"/>
  <c r="B114" i="2" s="1"/>
  <c r="A130" i="2"/>
  <c r="B130" i="2" s="1"/>
  <c r="A149" i="2"/>
  <c r="B149" i="2" s="1"/>
  <c r="A181" i="2"/>
  <c r="B181" i="2" s="1"/>
  <c r="A213" i="2"/>
  <c r="B213" i="2" s="1"/>
  <c r="A6" i="2"/>
  <c r="B6" i="2" s="1"/>
  <c r="A37" i="2"/>
  <c r="B37" i="2" s="1"/>
  <c r="A69" i="2"/>
  <c r="B69" i="2" s="1"/>
  <c r="A101" i="2"/>
  <c r="B101" i="2" s="1"/>
  <c r="A133" i="2"/>
  <c r="B133" i="2" s="1"/>
  <c r="A169" i="2"/>
  <c r="B169" i="2" s="1"/>
  <c r="A201" i="2"/>
  <c r="B201" i="2" s="1"/>
  <c r="A233" i="2"/>
  <c r="B233" i="2" s="1"/>
  <c r="A248" i="2"/>
  <c r="B248" i="2" s="1"/>
  <c r="A12" i="2"/>
  <c r="B12" i="2" s="1"/>
  <c r="A28" i="2"/>
  <c r="B28" i="2" s="1"/>
  <c r="A44" i="2"/>
  <c r="B44" i="2" s="1"/>
  <c r="A60" i="2"/>
  <c r="B60" i="2" s="1"/>
  <c r="A76" i="2"/>
  <c r="B76" i="2" s="1"/>
  <c r="A92" i="2"/>
  <c r="B92" i="2" s="1"/>
  <c r="A108" i="2"/>
  <c r="B108" i="2" s="1"/>
  <c r="A124" i="2"/>
  <c r="B124" i="2" s="1"/>
  <c r="A140" i="2"/>
  <c r="B140" i="2" s="1"/>
  <c r="A164" i="2"/>
  <c r="B164" i="2" s="1"/>
  <c r="A196" i="2"/>
  <c r="B196" i="2" s="1"/>
  <c r="A228" i="2"/>
  <c r="B228" i="2" s="1"/>
  <c r="A154" i="2"/>
  <c r="B154" i="2" s="1"/>
  <c r="A170" i="2"/>
  <c r="B170" i="2" s="1"/>
  <c r="A186" i="2"/>
  <c r="B186" i="2" s="1"/>
  <c r="A202" i="2"/>
  <c r="B202" i="2" s="1"/>
  <c r="A218" i="2"/>
  <c r="B218" i="2" s="1"/>
  <c r="A234" i="2"/>
  <c r="B234" i="2" s="1"/>
  <c r="A250" i="2"/>
  <c r="B250" i="2" s="1"/>
  <c r="A267" i="2"/>
  <c r="B267" i="2" s="1"/>
  <c r="A283" i="2"/>
  <c r="B283" i="2" s="1"/>
  <c r="A299" i="2"/>
  <c r="B299" i="2" s="1"/>
  <c r="A328" i="2"/>
  <c r="B328" i="2" s="1"/>
  <c r="A360" i="2"/>
  <c r="B360" i="2" s="1"/>
  <c r="A392" i="2"/>
  <c r="B392" i="2" s="1"/>
  <c r="A424" i="2"/>
  <c r="B424" i="2" s="1"/>
  <c r="A986" i="2"/>
  <c r="B986" i="2" s="1"/>
  <c r="A970" i="2"/>
  <c r="B970" i="2" s="1"/>
  <c r="A954" i="2"/>
  <c r="B954" i="2" s="1"/>
  <c r="A997" i="2"/>
  <c r="B997" i="2" s="1"/>
  <c r="A965" i="2"/>
  <c r="B965" i="2" s="1"/>
  <c r="A833" i="2"/>
  <c r="B833" i="2" s="1"/>
  <c r="A818" i="2"/>
  <c r="B818" i="2" s="1"/>
  <c r="A937" i="2"/>
  <c r="B937" i="2" s="1"/>
  <c r="A921" i="2"/>
  <c r="B921" i="2" s="1"/>
  <c r="A905" i="2"/>
  <c r="B905" i="2" s="1"/>
  <c r="A889" i="2"/>
  <c r="B889" i="2" s="1"/>
  <c r="A873" i="2"/>
  <c r="B873" i="2" s="1"/>
  <c r="A857" i="2"/>
  <c r="B857" i="2" s="1"/>
  <c r="A841" i="2"/>
  <c r="B841" i="2" s="1"/>
  <c r="A961" i="2"/>
  <c r="B961" i="2" s="1"/>
  <c r="A782" i="2"/>
  <c r="B782" i="2" s="1"/>
  <c r="A925" i="2"/>
  <c r="B925" i="2" s="1"/>
  <c r="A909" i="2"/>
  <c r="B909" i="2" s="1"/>
  <c r="A893" i="2"/>
  <c r="B893" i="2" s="1"/>
  <c r="A877" i="2"/>
  <c r="B877" i="2" s="1"/>
  <c r="A861" i="2"/>
  <c r="B861" i="2" s="1"/>
  <c r="A845" i="2"/>
  <c r="B845" i="2" s="1"/>
  <c r="A829" i="2"/>
  <c r="B829" i="2" s="1"/>
  <c r="A803" i="2"/>
  <c r="B803" i="2" s="1"/>
  <c r="A778" i="2"/>
  <c r="B778" i="2" s="1"/>
  <c r="A764" i="2"/>
  <c r="B764" i="2" s="1"/>
  <c r="A748" i="2"/>
  <c r="B748" i="2" s="1"/>
  <c r="A732" i="2"/>
  <c r="B732" i="2" s="1"/>
  <c r="A707" i="2"/>
  <c r="B707" i="2" s="1"/>
  <c r="A675" i="2"/>
  <c r="B675" i="2" s="1"/>
  <c r="A643" i="2"/>
  <c r="B643" i="2" s="1"/>
  <c r="A25" i="2"/>
  <c r="B25" i="2" s="1"/>
  <c r="A152" i="2"/>
  <c r="B152" i="2" s="1"/>
  <c r="A24" i="2"/>
  <c r="B24" i="2" s="1"/>
  <c r="A88" i="2"/>
  <c r="B88" i="2" s="1"/>
  <c r="A156" i="2"/>
  <c r="B156" i="2" s="1"/>
  <c r="A45" i="2"/>
  <c r="B45" i="2" s="1"/>
  <c r="A176" i="2"/>
  <c r="B176" i="2" s="1"/>
  <c r="A14" i="2"/>
  <c r="B14" i="2" s="1"/>
  <c r="A78" i="2"/>
  <c r="B78" i="2" s="1"/>
  <c r="A142" i="2"/>
  <c r="B142" i="2" s="1"/>
  <c r="A158" i="2"/>
  <c r="B158" i="2" s="1"/>
  <c r="A222" i="2"/>
  <c r="B222" i="2" s="1"/>
  <c r="A285" i="2"/>
  <c r="B285" i="2" s="1"/>
  <c r="A400" i="2"/>
  <c r="B400" i="2" s="1"/>
  <c r="A950" i="2"/>
  <c r="B950" i="2" s="1"/>
  <c r="A814" i="2"/>
  <c r="B814" i="2" s="1"/>
  <c r="A886" i="2"/>
  <c r="B886" i="2" s="1"/>
  <c r="A945" i="2"/>
  <c r="B945" i="2" s="1"/>
  <c r="A890" i="2"/>
  <c r="B890" i="2" s="1"/>
  <c r="A834" i="2"/>
  <c r="B834" i="2" s="1"/>
  <c r="A789" i="2"/>
  <c r="B789" i="2" s="1"/>
  <c r="A768" i="2"/>
  <c r="B768" i="2" s="1"/>
  <c r="A744" i="2"/>
  <c r="B744" i="2" s="1"/>
  <c r="A723" i="2"/>
  <c r="B723" i="2" s="1"/>
  <c r="A683" i="2"/>
  <c r="B683" i="2" s="1"/>
  <c r="A635" i="2"/>
  <c r="B635" i="2" s="1"/>
  <c r="A953" i="2"/>
  <c r="B953" i="2" s="1"/>
  <c r="A807" i="2"/>
  <c r="B807" i="2" s="1"/>
  <c r="A802" i="2"/>
  <c r="B802" i="2" s="1"/>
  <c r="A781" i="2"/>
  <c r="B781" i="2" s="1"/>
  <c r="A767" i="2"/>
  <c r="B767" i="2" s="1"/>
  <c r="A751" i="2"/>
  <c r="B751" i="2" s="1"/>
  <c r="A735" i="2"/>
  <c r="B735" i="2" s="1"/>
  <c r="A719" i="2"/>
  <c r="B719" i="2" s="1"/>
  <c r="A703" i="2"/>
  <c r="B703" i="2" s="1"/>
  <c r="A687" i="2"/>
  <c r="B687" i="2" s="1"/>
  <c r="A671" i="2"/>
  <c r="B671" i="2" s="1"/>
  <c r="A647" i="2"/>
  <c r="B647" i="2" s="1"/>
  <c r="A615" i="2"/>
  <c r="B615" i="2" s="1"/>
  <c r="A704" i="2"/>
  <c r="B704" i="2" s="1"/>
  <c r="A640" i="2"/>
  <c r="B640" i="2" s="1"/>
  <c r="A593" i="2"/>
  <c r="B593" i="2" s="1"/>
  <c r="A577" i="2"/>
  <c r="B577" i="2" s="1"/>
  <c r="A561" i="2"/>
  <c r="B561" i="2" s="1"/>
  <c r="A545" i="2"/>
  <c r="B545" i="2" s="1"/>
  <c r="A603" i="2"/>
  <c r="B603" i="2" s="1"/>
  <c r="A664" i="2"/>
  <c r="B664" i="2" s="1"/>
  <c r="A584" i="2"/>
  <c r="B584" i="2" s="1"/>
  <c r="A552" i="2"/>
  <c r="B552" i="2" s="1"/>
  <c r="A517" i="2"/>
  <c r="B517" i="2" s="1"/>
  <c r="A485" i="2"/>
  <c r="B485" i="2" s="1"/>
  <c r="A453" i="2"/>
  <c r="B453" i="2" s="1"/>
  <c r="A422" i="2"/>
  <c r="B422" i="2" s="1"/>
  <c r="A390" i="2"/>
  <c r="B390" i="2" s="1"/>
  <c r="A358" i="2"/>
  <c r="B358" i="2" s="1"/>
  <c r="A326" i="2"/>
  <c r="B326" i="2" s="1"/>
  <c r="A300" i="2"/>
  <c r="B300" i="2" s="1"/>
  <c r="A284" i="2"/>
  <c r="B284" i="2" s="1"/>
  <c r="A268" i="2"/>
  <c r="B268" i="2" s="1"/>
  <c r="A520" i="2"/>
  <c r="B520" i="2" s="1"/>
  <c r="A488" i="2"/>
  <c r="B488" i="2" s="1"/>
  <c r="A456" i="2"/>
  <c r="B456" i="2" s="1"/>
  <c r="A425" i="2"/>
  <c r="B425" i="2" s="1"/>
  <c r="A393" i="2"/>
  <c r="B393" i="2" s="1"/>
  <c r="A361" i="2"/>
  <c r="B361" i="2" s="1"/>
  <c r="A329" i="2"/>
  <c r="B329" i="2" s="1"/>
  <c r="A712" i="2"/>
  <c r="B712" i="2" s="1"/>
  <c r="A596" i="2"/>
  <c r="B596" i="2" s="1"/>
  <c r="A564" i="2"/>
  <c r="B564" i="2" s="1"/>
  <c r="A533" i="2"/>
  <c r="B533" i="2" s="1"/>
  <c r="A509" i="2"/>
  <c r="B509" i="2" s="1"/>
  <c r="A486" i="2"/>
  <c r="B486" i="2" s="1"/>
  <c r="A468" i="2"/>
  <c r="B468" i="2" s="1"/>
  <c r="A445" i="2"/>
  <c r="B445" i="2" s="1"/>
  <c r="A528" i="2"/>
  <c r="B528" i="2" s="1"/>
  <c r="A496" i="2"/>
  <c r="B496" i="2" s="1"/>
  <c r="A464" i="2"/>
  <c r="B464" i="2" s="1"/>
  <c r="A11" i="2"/>
  <c r="B11" i="2" s="1"/>
  <c r="A27" i="2"/>
  <c r="B27" i="2" s="1"/>
  <c r="A43" i="2"/>
  <c r="B43" i="2" s="1"/>
  <c r="A59" i="2"/>
  <c r="B59" i="2" s="1"/>
  <c r="A75" i="2"/>
  <c r="B75" i="2" s="1"/>
  <c r="A91" i="2"/>
  <c r="B91" i="2" s="1"/>
  <c r="A107" i="2"/>
  <c r="B107" i="2" s="1"/>
  <c r="A123" i="2"/>
  <c r="B123" i="2" s="1"/>
  <c r="A57" i="2"/>
  <c r="B57" i="2" s="1"/>
  <c r="A184" i="2"/>
  <c r="B184" i="2" s="1"/>
  <c r="A40" i="2"/>
  <c r="B40" i="2" s="1"/>
  <c r="A104" i="2"/>
  <c r="B104" i="2" s="1"/>
  <c r="A188" i="2"/>
  <c r="B188" i="2" s="1"/>
  <c r="A77" i="2"/>
  <c r="B77" i="2" s="1"/>
  <c r="A208" i="2"/>
  <c r="B208" i="2" s="1"/>
  <c r="A30" i="2"/>
  <c r="B30" i="2" s="1"/>
  <c r="A94" i="2"/>
  <c r="B94" i="2" s="1"/>
  <c r="A173" i="2"/>
  <c r="B173" i="2" s="1"/>
  <c r="A174" i="2"/>
  <c r="B174" i="2" s="1"/>
  <c r="A238" i="2"/>
  <c r="B238" i="2" s="1"/>
  <c r="A301" i="2"/>
  <c r="B301" i="2" s="1"/>
  <c r="A998" i="2"/>
  <c r="B998" i="2" s="1"/>
  <c r="A989" i="2"/>
  <c r="B989" i="2" s="1"/>
  <c r="A934" i="2"/>
  <c r="B934" i="2" s="1"/>
  <c r="A870" i="2"/>
  <c r="B870" i="2" s="1"/>
  <c r="A938" i="2"/>
  <c r="B938" i="2" s="1"/>
  <c r="A874" i="2"/>
  <c r="B874" i="2" s="1"/>
  <c r="A821" i="2"/>
  <c r="B821" i="2" s="1"/>
  <c r="A787" i="2"/>
  <c r="B787" i="2" s="1"/>
  <c r="A760" i="2"/>
  <c r="B760" i="2" s="1"/>
  <c r="A740" i="2"/>
  <c r="B740" i="2" s="1"/>
  <c r="A715" i="2"/>
  <c r="B715" i="2" s="1"/>
  <c r="A667" i="2"/>
  <c r="B667" i="2" s="1"/>
  <c r="A627" i="2"/>
  <c r="B627" i="2" s="1"/>
  <c r="A831" i="2"/>
  <c r="B831" i="2" s="1"/>
  <c r="A825" i="2"/>
  <c r="B825" i="2" s="1"/>
  <c r="A797" i="2"/>
  <c r="B797" i="2" s="1"/>
  <c r="A779" i="2"/>
  <c r="B779" i="2" s="1"/>
  <c r="A763" i="2"/>
  <c r="B763" i="2" s="1"/>
  <c r="A747" i="2"/>
  <c r="B747" i="2" s="1"/>
  <c r="A731" i="2"/>
  <c r="B731" i="2" s="1"/>
  <c r="A714" i="2"/>
  <c r="B714" i="2" s="1"/>
  <c r="A698" i="2"/>
  <c r="B698" i="2" s="1"/>
  <c r="A682" i="2"/>
  <c r="B682" i="2" s="1"/>
  <c r="A666" i="2"/>
  <c r="B666" i="2" s="1"/>
  <c r="A639" i="2"/>
  <c r="B639" i="2" s="1"/>
  <c r="A607" i="2"/>
  <c r="B607" i="2" s="1"/>
  <c r="A688" i="2"/>
  <c r="B688" i="2" s="1"/>
  <c r="A624" i="2"/>
  <c r="B624" i="2" s="1"/>
  <c r="A589" i="2"/>
  <c r="B589" i="2" s="1"/>
  <c r="A573" i="2"/>
  <c r="B573" i="2" s="1"/>
  <c r="A557" i="2"/>
  <c r="B557" i="2" s="1"/>
  <c r="A541" i="2"/>
  <c r="B541" i="2" s="1"/>
  <c r="A819" i="2"/>
  <c r="B819" i="2" s="1"/>
  <c r="A632" i="2"/>
  <c r="B632" i="2" s="1"/>
  <c r="A576" i="2"/>
  <c r="B576" i="2" s="1"/>
  <c r="A544" i="2"/>
  <c r="B544" i="2" s="1"/>
  <c r="A510" i="2"/>
  <c r="B510" i="2" s="1"/>
  <c r="A478" i="2"/>
  <c r="B478" i="2" s="1"/>
  <c r="A446" i="2"/>
  <c r="B446" i="2" s="1"/>
  <c r="A414" i="2"/>
  <c r="B414" i="2" s="1"/>
  <c r="A382" i="2"/>
  <c r="B382" i="2" s="1"/>
  <c r="A350" i="2"/>
  <c r="B350" i="2" s="1"/>
  <c r="A318" i="2"/>
  <c r="B318" i="2" s="1"/>
  <c r="A296" i="2"/>
  <c r="B296" i="2" s="1"/>
  <c r="A280" i="2"/>
  <c r="B280" i="2" s="1"/>
  <c r="A611" i="2"/>
  <c r="B611" i="2" s="1"/>
  <c r="A513" i="2"/>
  <c r="B513" i="2" s="1"/>
  <c r="A481" i="2"/>
  <c r="B481" i="2" s="1"/>
  <c r="A449" i="2"/>
  <c r="B449" i="2" s="1"/>
  <c r="A417" i="2"/>
  <c r="B417" i="2" s="1"/>
  <c r="A385" i="2"/>
  <c r="B385" i="2" s="1"/>
  <c r="A353" i="2"/>
  <c r="B353" i="2" s="1"/>
  <c r="A321" i="2"/>
  <c r="B321" i="2" s="1"/>
  <c r="A680" i="2"/>
  <c r="B680" i="2" s="1"/>
  <c r="A588" i="2"/>
  <c r="B588" i="2" s="1"/>
  <c r="A556" i="2"/>
  <c r="B556" i="2" s="1"/>
  <c r="A525" i="2"/>
  <c r="B525" i="2" s="1"/>
  <c r="A502" i="2"/>
  <c r="B502" i="2" s="1"/>
  <c r="A484" i="2"/>
  <c r="B484" i="2" s="1"/>
  <c r="A461" i="2"/>
  <c r="B461" i="2" s="1"/>
  <c r="A438" i="2"/>
  <c r="B438" i="2" s="1"/>
  <c r="A521" i="2"/>
  <c r="B521" i="2" s="1"/>
  <c r="A489" i="2"/>
  <c r="B489" i="2" s="1"/>
  <c r="A457" i="2"/>
  <c r="B457" i="2" s="1"/>
  <c r="A15" i="2"/>
  <c r="B15" i="2" s="1"/>
  <c r="A31" i="2"/>
  <c r="B31" i="2" s="1"/>
  <c r="A47" i="2"/>
  <c r="B47" i="2" s="1"/>
  <c r="A63" i="2"/>
  <c r="B63" i="2" s="1"/>
  <c r="A89" i="2"/>
  <c r="B89" i="2" s="1"/>
  <c r="A216" i="2"/>
  <c r="B216" i="2" s="1"/>
  <c r="A56" i="2"/>
  <c r="B56" i="2" s="1"/>
  <c r="A120" i="2"/>
  <c r="B120" i="2" s="1"/>
  <c r="A220" i="2"/>
  <c r="B220" i="2" s="1"/>
  <c r="A109" i="2"/>
  <c r="B109" i="2" s="1"/>
  <c r="A260" i="2"/>
  <c r="B260" i="2" s="1"/>
  <c r="A46" i="2"/>
  <c r="B46" i="2" s="1"/>
  <c r="A110" i="2"/>
  <c r="B110" i="2" s="1"/>
  <c r="A205" i="2"/>
  <c r="B205" i="2" s="1"/>
  <c r="A190" i="2"/>
  <c r="B190" i="2" s="1"/>
  <c r="A254" i="2"/>
  <c r="B254" i="2" s="1"/>
  <c r="A336" i="2"/>
  <c r="B336" i="2" s="1"/>
  <c r="A982" i="2"/>
  <c r="B982" i="2" s="1"/>
  <c r="A957" i="2"/>
  <c r="B957" i="2" s="1"/>
  <c r="A918" i="2"/>
  <c r="B918" i="2" s="1"/>
  <c r="A854" i="2"/>
  <c r="B854" i="2" s="1"/>
  <c r="A922" i="2"/>
  <c r="B922" i="2" s="1"/>
  <c r="A858" i="2"/>
  <c r="B858" i="2" s="1"/>
  <c r="A805" i="2"/>
  <c r="B805" i="2" s="1"/>
  <c r="A776" i="2"/>
  <c r="B776" i="2" s="1"/>
  <c r="A756" i="2"/>
  <c r="B756" i="2" s="1"/>
  <c r="A736" i="2"/>
  <c r="B736" i="2" s="1"/>
  <c r="A699" i="2"/>
  <c r="B699" i="2" s="1"/>
  <c r="A659" i="2"/>
  <c r="B659" i="2" s="1"/>
  <c r="A619" i="2"/>
  <c r="B619" i="2" s="1"/>
  <c r="A823" i="2"/>
  <c r="B823" i="2" s="1"/>
  <c r="A817" i="2"/>
  <c r="B817" i="2" s="1"/>
  <c r="A795" i="2"/>
  <c r="B795" i="2" s="1"/>
  <c r="A775" i="2"/>
  <c r="B775" i="2" s="1"/>
  <c r="A759" i="2"/>
  <c r="B759" i="2" s="1"/>
  <c r="A743" i="2"/>
  <c r="B743" i="2" s="1"/>
  <c r="A727" i="2"/>
  <c r="B727" i="2" s="1"/>
  <c r="A711" i="2"/>
  <c r="B711" i="2" s="1"/>
  <c r="A695" i="2"/>
  <c r="B695" i="2" s="1"/>
  <c r="A679" i="2"/>
  <c r="B679" i="2" s="1"/>
  <c r="A663" i="2"/>
  <c r="B663" i="2" s="1"/>
  <c r="A631" i="2"/>
  <c r="B631" i="2" s="1"/>
  <c r="A599" i="2"/>
  <c r="B599" i="2" s="1"/>
  <c r="A672" i="2"/>
  <c r="B672" i="2" s="1"/>
  <c r="A608" i="2"/>
  <c r="B608" i="2" s="1"/>
  <c r="A585" i="2"/>
  <c r="B585" i="2" s="1"/>
  <c r="A569" i="2"/>
  <c r="B569" i="2" s="1"/>
  <c r="A553" i="2"/>
  <c r="B553" i="2" s="1"/>
  <c r="A969" i="2"/>
  <c r="B969" i="2" s="1"/>
  <c r="A811" i="2"/>
  <c r="B811" i="2" s="1"/>
  <c r="A600" i="2"/>
  <c r="B600" i="2" s="1"/>
  <c r="A568" i="2"/>
  <c r="B568" i="2" s="1"/>
  <c r="A532" i="2"/>
  <c r="B532" i="2" s="1"/>
  <c r="A501" i="2"/>
  <c r="B501" i="2" s="1"/>
  <c r="A469" i="2"/>
  <c r="B469" i="2" s="1"/>
  <c r="A437" i="2"/>
  <c r="B437" i="2" s="1"/>
  <c r="A406" i="2"/>
  <c r="B406" i="2" s="1"/>
  <c r="A374" i="2"/>
  <c r="B374" i="2" s="1"/>
  <c r="A342" i="2"/>
  <c r="B342" i="2" s="1"/>
  <c r="A310" i="2"/>
  <c r="B310" i="2" s="1"/>
  <c r="A292" i="2"/>
  <c r="B292" i="2" s="1"/>
  <c r="A276" i="2"/>
  <c r="B276" i="2" s="1"/>
  <c r="A536" i="2"/>
  <c r="B536" i="2" s="1"/>
  <c r="A504" i="2"/>
  <c r="B504" i="2" s="1"/>
  <c r="A472" i="2"/>
  <c r="B472" i="2" s="1"/>
  <c r="A440" i="2"/>
  <c r="B440" i="2" s="1"/>
  <c r="A409" i="2"/>
  <c r="B409" i="2" s="1"/>
  <c r="A377" i="2"/>
  <c r="B377" i="2" s="1"/>
  <c r="A345" i="2"/>
  <c r="B345" i="2" s="1"/>
  <c r="A313" i="2"/>
  <c r="B313" i="2" s="1"/>
  <c r="A648" i="2"/>
  <c r="B648" i="2" s="1"/>
  <c r="A580" i="2"/>
  <c r="B580" i="2" s="1"/>
  <c r="A548" i="2"/>
  <c r="B548" i="2" s="1"/>
  <c r="A518" i="2"/>
  <c r="B518" i="2" s="1"/>
  <c r="A500" i="2"/>
  <c r="B500" i="2" s="1"/>
  <c r="A477" i="2"/>
  <c r="B477" i="2" s="1"/>
  <c r="A454" i="2"/>
  <c r="B454" i="2" s="1"/>
  <c r="A436" i="2"/>
  <c r="B436" i="2" s="1"/>
  <c r="A512" i="2"/>
  <c r="B512" i="2" s="1"/>
  <c r="A480" i="2"/>
  <c r="B480" i="2" s="1"/>
  <c r="A448" i="2"/>
  <c r="B448" i="2" s="1"/>
  <c r="A19" i="2"/>
  <c r="B19" i="2" s="1"/>
  <c r="A35" i="2"/>
  <c r="B35" i="2" s="1"/>
  <c r="A51" i="2"/>
  <c r="B51" i="2" s="1"/>
  <c r="A67" i="2"/>
  <c r="B67" i="2" s="1"/>
  <c r="A83" i="2"/>
  <c r="B83" i="2" s="1"/>
  <c r="A99" i="2"/>
  <c r="B99" i="2" s="1"/>
  <c r="A115" i="2"/>
  <c r="B115" i="2" s="1"/>
  <c r="A131" i="2"/>
  <c r="B131" i="2" s="1"/>
  <c r="A147" i="2"/>
  <c r="B147" i="2" s="1"/>
  <c r="A163" i="2"/>
  <c r="B163" i="2" s="1"/>
  <c r="A179" i="2"/>
  <c r="B179" i="2" s="1"/>
  <c r="A195" i="2"/>
  <c r="B195" i="2" s="1"/>
  <c r="A211" i="2"/>
  <c r="B211" i="2" s="1"/>
  <c r="A227" i="2"/>
  <c r="B227" i="2" s="1"/>
  <c r="A243" i="2"/>
  <c r="B243" i="2" s="1"/>
  <c r="A259" i="2"/>
  <c r="B259" i="2" s="1"/>
  <c r="A271" i="2"/>
  <c r="B271" i="2" s="1"/>
  <c r="A287" i="2"/>
  <c r="B287" i="2" s="1"/>
  <c r="A303" i="2"/>
  <c r="B303" i="2" s="1"/>
  <c r="A324" i="2"/>
  <c r="B324" i="2" s="1"/>
  <c r="A356" i="2"/>
  <c r="B356" i="2" s="1"/>
  <c r="A388" i="2"/>
  <c r="B388" i="2" s="1"/>
  <c r="A420" i="2"/>
  <c r="B420" i="2" s="1"/>
  <c r="A253" i="2"/>
  <c r="B253" i="2" s="1"/>
  <c r="A309" i="2"/>
  <c r="B309" i="2" s="1"/>
  <c r="A341" i="2"/>
  <c r="B341" i="2" s="1"/>
  <c r="A373" i="2"/>
  <c r="B373" i="2" s="1"/>
  <c r="A405" i="2"/>
  <c r="B405" i="2" s="1"/>
  <c r="A441" i="2"/>
  <c r="B441" i="2" s="1"/>
  <c r="A490" i="2"/>
  <c r="B490" i="2" s="1"/>
  <c r="A539" i="2"/>
  <c r="B539" i="2" s="1"/>
  <c r="A571" i="2"/>
  <c r="B571" i="2" s="1"/>
  <c r="A618" i="2"/>
  <c r="B618" i="2" s="1"/>
  <c r="A689" i="2"/>
  <c r="B689" i="2" s="1"/>
  <c r="A801" i="2"/>
  <c r="B801" i="2" s="1"/>
  <c r="A278" i="2"/>
  <c r="B278" i="2" s="1"/>
  <c r="A294" i="2"/>
  <c r="B294" i="2" s="1"/>
  <c r="A307" i="2"/>
  <c r="B307" i="2" s="1"/>
  <c r="A323" i="2"/>
  <c r="B323" i="2" s="1"/>
  <c r="A339" i="2"/>
  <c r="B339" i="2" s="1"/>
  <c r="A355" i="2"/>
  <c r="B355" i="2" s="1"/>
  <c r="A379" i="2"/>
  <c r="B379" i="2" s="1"/>
  <c r="A395" i="2"/>
  <c r="B395" i="2" s="1"/>
  <c r="A411" i="2"/>
  <c r="B411" i="2" s="1"/>
  <c r="A427" i="2"/>
  <c r="B427" i="2" s="1"/>
  <c r="A487" i="2"/>
  <c r="B487" i="2" s="1"/>
  <c r="A535" i="2"/>
  <c r="B535" i="2" s="1"/>
  <c r="A644" i="2"/>
  <c r="B644" i="2" s="1"/>
  <c r="A708" i="2"/>
  <c r="B708" i="2" s="1"/>
  <c r="A466" i="2"/>
  <c r="B466" i="2" s="1"/>
  <c r="A531" i="2"/>
  <c r="B531" i="2" s="1"/>
  <c r="A567" i="2"/>
  <c r="B567" i="2" s="1"/>
  <c r="A602" i="2"/>
  <c r="B602" i="2" s="1"/>
  <c r="A121" i="2"/>
  <c r="B121" i="2" s="1"/>
  <c r="A13" i="2"/>
  <c r="B13" i="2" s="1"/>
  <c r="A126" i="2"/>
  <c r="B126" i="2" s="1"/>
  <c r="A368" i="2"/>
  <c r="B368" i="2" s="1"/>
  <c r="A838" i="2"/>
  <c r="B838" i="2" s="1"/>
  <c r="A772" i="2"/>
  <c r="B772" i="2" s="1"/>
  <c r="A651" i="2"/>
  <c r="B651" i="2" s="1"/>
  <c r="A786" i="2"/>
  <c r="B786" i="2" s="1"/>
  <c r="A722" i="2"/>
  <c r="B722" i="2" s="1"/>
  <c r="A655" i="2"/>
  <c r="B655" i="2" s="1"/>
  <c r="A597" i="2"/>
  <c r="B597" i="2" s="1"/>
  <c r="A827" i="2"/>
  <c r="B827" i="2" s="1"/>
  <c r="A526" i="2"/>
  <c r="B526" i="2" s="1"/>
  <c r="A398" i="2"/>
  <c r="B398" i="2" s="1"/>
  <c r="A288" i="2"/>
  <c r="B288" i="2" s="1"/>
  <c r="A465" i="2"/>
  <c r="B465" i="2" s="1"/>
  <c r="A337" i="2"/>
  <c r="B337" i="2" s="1"/>
  <c r="A540" i="2"/>
  <c r="B540" i="2" s="1"/>
  <c r="A452" i="2"/>
  <c r="B452" i="2" s="1"/>
  <c r="A5" i="2"/>
  <c r="B5" i="2" s="1"/>
  <c r="A71" i="2"/>
  <c r="B71" i="2" s="1"/>
  <c r="A103" i="2"/>
  <c r="B103" i="2" s="1"/>
  <c r="A135" i="2"/>
  <c r="B135" i="2" s="1"/>
  <c r="A155" i="2"/>
  <c r="B155" i="2" s="1"/>
  <c r="A175" i="2"/>
  <c r="B175" i="2" s="1"/>
  <c r="A199" i="2"/>
  <c r="B199" i="2" s="1"/>
  <c r="A219" i="2"/>
  <c r="B219" i="2" s="1"/>
  <c r="A239" i="2"/>
  <c r="B239" i="2" s="1"/>
  <c r="A263" i="2"/>
  <c r="B263" i="2" s="1"/>
  <c r="A279" i="2"/>
  <c r="B279" i="2" s="1"/>
  <c r="A297" i="2"/>
  <c r="B297" i="2" s="1"/>
  <c r="A332" i="2"/>
  <c r="B332" i="2" s="1"/>
  <c r="A372" i="2"/>
  <c r="B372" i="2" s="1"/>
  <c r="A412" i="2"/>
  <c r="B412" i="2" s="1"/>
  <c r="A257" i="2"/>
  <c r="B257" i="2" s="1"/>
  <c r="A325" i="2"/>
  <c r="B325" i="2" s="1"/>
  <c r="A365" i="2"/>
  <c r="B365" i="2" s="1"/>
  <c r="A413" i="2"/>
  <c r="B413" i="2" s="1"/>
  <c r="A458" i="2"/>
  <c r="B458" i="2" s="1"/>
  <c r="A534" i="2"/>
  <c r="B534" i="2" s="1"/>
  <c r="A579" i="2"/>
  <c r="B579" i="2" s="1"/>
  <c r="A650" i="2"/>
  <c r="B650" i="2" s="1"/>
  <c r="A8" i="2"/>
  <c r="B8" i="2" s="1"/>
  <c r="A141" i="2"/>
  <c r="B141" i="2" s="1"/>
  <c r="A237" i="2"/>
  <c r="B237" i="2" s="1"/>
  <c r="A966" i="2"/>
  <c r="B966" i="2" s="1"/>
  <c r="A906" i="2"/>
  <c r="B906" i="2" s="1"/>
  <c r="A752" i="2"/>
  <c r="B752" i="2" s="1"/>
  <c r="A985" i="2"/>
  <c r="B985" i="2" s="1"/>
  <c r="A771" i="2"/>
  <c r="B771" i="2" s="1"/>
  <c r="A706" i="2"/>
  <c r="B706" i="2" s="1"/>
  <c r="A623" i="2"/>
  <c r="B623" i="2" s="1"/>
  <c r="A581" i="2"/>
  <c r="B581" i="2" s="1"/>
  <c r="A696" i="2"/>
  <c r="B696" i="2" s="1"/>
  <c r="A494" i="2"/>
  <c r="B494" i="2" s="1"/>
  <c r="A366" i="2"/>
  <c r="B366" i="2" s="1"/>
  <c r="A272" i="2"/>
  <c r="B272" i="2" s="1"/>
  <c r="A433" i="2"/>
  <c r="B433" i="2" s="1"/>
  <c r="A516" i="2"/>
  <c r="B516" i="2" s="1"/>
  <c r="A537" i="2"/>
  <c r="B537" i="2" s="1"/>
  <c r="A23" i="2"/>
  <c r="B23" i="2" s="1"/>
  <c r="A79" i="2"/>
  <c r="B79" i="2" s="1"/>
  <c r="A111" i="2"/>
  <c r="B111" i="2" s="1"/>
  <c r="A139" i="2"/>
  <c r="B139" i="2" s="1"/>
  <c r="A159" i="2"/>
  <c r="B159" i="2" s="1"/>
  <c r="A183" i="2"/>
  <c r="B183" i="2" s="1"/>
  <c r="A203" i="2"/>
  <c r="B203" i="2" s="1"/>
  <c r="A223" i="2"/>
  <c r="B223" i="2" s="1"/>
  <c r="A247" i="2"/>
  <c r="B247" i="2" s="1"/>
  <c r="A3" i="2"/>
  <c r="B3" i="2" s="1"/>
  <c r="A281" i="2"/>
  <c r="B281" i="2" s="1"/>
  <c r="A305" i="2"/>
  <c r="B305" i="2" s="1"/>
  <c r="A340" i="2"/>
  <c r="B340" i="2" s="1"/>
  <c r="A380" i="2"/>
  <c r="B380" i="2" s="1"/>
  <c r="A428" i="2"/>
  <c r="B428" i="2" s="1"/>
  <c r="A261" i="2"/>
  <c r="B261" i="2" s="1"/>
  <c r="A333" i="2"/>
  <c r="B333" i="2" s="1"/>
  <c r="A381" i="2"/>
  <c r="B381" i="2" s="1"/>
  <c r="A421" i="2"/>
  <c r="B421" i="2" s="1"/>
  <c r="A474" i="2"/>
  <c r="B474" i="2" s="1"/>
  <c r="A547" i="2"/>
  <c r="B547" i="2" s="1"/>
  <c r="A587" i="2"/>
  <c r="B587" i="2" s="1"/>
  <c r="A657" i="2"/>
  <c r="B657" i="2" s="1"/>
  <c r="A266" i="2"/>
  <c r="B266" i="2" s="1"/>
  <c r="A286" i="2"/>
  <c r="B286" i="2" s="1"/>
  <c r="A306" i="2"/>
  <c r="B306" i="2" s="1"/>
  <c r="A330" i="2"/>
  <c r="B330" i="2" s="1"/>
  <c r="A347" i="2"/>
  <c r="B347" i="2" s="1"/>
  <c r="A363" i="2"/>
  <c r="B363" i="2" s="1"/>
  <c r="A386" i="2"/>
  <c r="B386" i="2" s="1"/>
  <c r="A403" i="2"/>
  <c r="B403" i="2" s="1"/>
  <c r="A426" i="2"/>
  <c r="B426" i="2" s="1"/>
  <c r="A503" i="2"/>
  <c r="B503" i="2" s="1"/>
  <c r="A612" i="2"/>
  <c r="B612" i="2" s="1"/>
  <c r="A686" i="2"/>
  <c r="B686" i="2" s="1"/>
  <c r="A482" i="2"/>
  <c r="B482" i="2" s="1"/>
  <c r="A551" i="2"/>
  <c r="B551" i="2" s="1"/>
  <c r="A591" i="2"/>
  <c r="B591" i="2" s="1"/>
  <c r="A705" i="2"/>
  <c r="B705" i="2" s="1"/>
  <c r="A766" i="2"/>
  <c r="B766" i="2" s="1"/>
  <c r="A335" i="2"/>
  <c r="B335" i="2" s="1"/>
  <c r="A391" i="2"/>
  <c r="B391" i="2" s="1"/>
  <c r="A423" i="2"/>
  <c r="B423" i="2" s="1"/>
  <c r="A460" i="2"/>
  <c r="B460" i="2" s="1"/>
  <c r="A492" i="2"/>
  <c r="B492" i="2" s="1"/>
  <c r="A524" i="2"/>
  <c r="B524" i="2" s="1"/>
  <c r="A614" i="2"/>
  <c r="B614" i="2" s="1"/>
  <c r="A670" i="2"/>
  <c r="B670" i="2" s="1"/>
  <c r="A796" i="2"/>
  <c r="B796" i="2" s="1"/>
  <c r="A459" i="2"/>
  <c r="B459" i="2" s="1"/>
  <c r="A491" i="2"/>
  <c r="B491" i="2" s="1"/>
  <c r="A523" i="2"/>
  <c r="B523" i="2" s="1"/>
  <c r="A609" i="2"/>
  <c r="B609" i="2" s="1"/>
  <c r="A738" i="2"/>
  <c r="B738" i="2" s="1"/>
  <c r="A542" i="2"/>
  <c r="B542" i="2" s="1"/>
  <c r="A558" i="2"/>
  <c r="B558" i="2" s="1"/>
  <c r="A574" i="2"/>
  <c r="B574" i="2" s="1"/>
  <c r="A590" i="2"/>
  <c r="B590" i="2" s="1"/>
  <c r="A617" i="2"/>
  <c r="B617" i="2" s="1"/>
  <c r="A636" i="2"/>
  <c r="B636" i="2" s="1"/>
  <c r="A662" i="2"/>
  <c r="B662" i="2" s="1"/>
  <c r="A681" i="2"/>
  <c r="B681" i="2" s="1"/>
  <c r="A700" i="2"/>
  <c r="B700" i="2" s="1"/>
  <c r="A726" i="2"/>
  <c r="B726" i="2" s="1"/>
  <c r="A785" i="2"/>
  <c r="B785" i="2" s="1"/>
  <c r="A72" i="2"/>
  <c r="B72" i="2" s="1"/>
  <c r="A244" i="2"/>
  <c r="B244" i="2" s="1"/>
  <c r="A206" i="2"/>
  <c r="B206" i="2" s="1"/>
  <c r="A830" i="2"/>
  <c r="B830" i="2" s="1"/>
  <c r="A842" i="2"/>
  <c r="B842" i="2" s="1"/>
  <c r="A728" i="2"/>
  <c r="B728" i="2" s="1"/>
  <c r="A815" i="2"/>
  <c r="B815" i="2" s="1"/>
  <c r="A755" i="2"/>
  <c r="B755" i="2" s="1"/>
  <c r="A690" i="2"/>
  <c r="B690" i="2" s="1"/>
  <c r="A720" i="2"/>
  <c r="B720" i="2" s="1"/>
  <c r="A565" i="2"/>
  <c r="B565" i="2" s="1"/>
  <c r="A592" i="2"/>
  <c r="B592" i="2" s="1"/>
  <c r="A462" i="2"/>
  <c r="B462" i="2" s="1"/>
  <c r="A334" i="2"/>
  <c r="B334" i="2" s="1"/>
  <c r="A529" i="2"/>
  <c r="B529" i="2" s="1"/>
  <c r="A401" i="2"/>
  <c r="B401" i="2" s="1"/>
  <c r="A616" i="2"/>
  <c r="B616" i="2" s="1"/>
  <c r="A493" i="2"/>
  <c r="B493" i="2" s="1"/>
  <c r="A505" i="2"/>
  <c r="B505" i="2" s="1"/>
  <c r="A39" i="2"/>
  <c r="B39" i="2" s="1"/>
  <c r="A87" i="2"/>
  <c r="B87" i="2" s="1"/>
  <c r="A119" i="2"/>
  <c r="B119" i="2" s="1"/>
  <c r="A143" i="2"/>
  <c r="B143" i="2" s="1"/>
  <c r="A167" i="2"/>
  <c r="B167" i="2" s="1"/>
  <c r="A187" i="2"/>
  <c r="B187" i="2" s="1"/>
  <c r="A207" i="2"/>
  <c r="B207" i="2" s="1"/>
  <c r="A231" i="2"/>
  <c r="B231" i="2" s="1"/>
  <c r="A251" i="2"/>
  <c r="B251" i="2" s="1"/>
  <c r="A265" i="2"/>
  <c r="B265" i="2" s="1"/>
  <c r="A289" i="2"/>
  <c r="B289" i="2" s="1"/>
  <c r="A308" i="2"/>
  <c r="B308" i="2" s="1"/>
  <c r="A348" i="2"/>
  <c r="B348" i="2" s="1"/>
  <c r="A396" i="2"/>
  <c r="B396" i="2" s="1"/>
  <c r="A245" i="2"/>
  <c r="B245" i="2" s="1"/>
  <c r="A264" i="2"/>
  <c r="B264" i="2" s="1"/>
  <c r="A349" i="2"/>
  <c r="B349" i="2" s="1"/>
  <c r="A389" i="2"/>
  <c r="B389" i="2" s="1"/>
  <c r="A429" i="2"/>
  <c r="B429" i="2" s="1"/>
  <c r="A506" i="2"/>
  <c r="B506" i="2" s="1"/>
  <c r="A555" i="2"/>
  <c r="B555" i="2" s="1"/>
  <c r="A595" i="2"/>
  <c r="B595" i="2" s="1"/>
  <c r="A721" i="2"/>
  <c r="B721" i="2" s="1"/>
  <c r="A270" i="2"/>
  <c r="B270" i="2" s="1"/>
  <c r="A290" i="2"/>
  <c r="B290" i="2" s="1"/>
  <c r="A314" i="2"/>
  <c r="B314" i="2" s="1"/>
  <c r="A331" i="2"/>
  <c r="B331" i="2" s="1"/>
  <c r="A354" i="2"/>
  <c r="B354" i="2" s="1"/>
  <c r="A370" i="2"/>
  <c r="B370" i="2" s="1"/>
  <c r="A387" i="2"/>
  <c r="B387" i="2" s="1"/>
  <c r="A410" i="2"/>
  <c r="B410" i="2" s="1"/>
  <c r="A439" i="2"/>
  <c r="B439" i="2" s="1"/>
  <c r="A519" i="2"/>
  <c r="B519" i="2" s="1"/>
  <c r="A622" i="2"/>
  <c r="B622" i="2" s="1"/>
  <c r="A718" i="2"/>
  <c r="B718" i="2" s="1"/>
  <c r="A498" i="2"/>
  <c r="B498" i="2" s="1"/>
  <c r="A559" i="2"/>
  <c r="B559" i="2" s="1"/>
  <c r="A634" i="2"/>
  <c r="B634" i="2" s="1"/>
  <c r="A730" i="2"/>
  <c r="B730" i="2" s="1"/>
  <c r="A311" i="2"/>
  <c r="B311" i="2" s="1"/>
  <c r="A343" i="2"/>
  <c r="B343" i="2" s="1"/>
  <c r="A367" i="2"/>
  <c r="B367" i="2" s="1"/>
  <c r="A399" i="2"/>
  <c r="B399" i="2" s="1"/>
  <c r="A431" i="2"/>
  <c r="B431" i="2" s="1"/>
  <c r="A463" i="2"/>
  <c r="B463" i="2" s="1"/>
  <c r="A495" i="2"/>
  <c r="B495" i="2" s="1"/>
  <c r="A527" i="2"/>
  <c r="B527" i="2" s="1"/>
  <c r="A628" i="2"/>
  <c r="B628" i="2" s="1"/>
  <c r="A692" i="2"/>
  <c r="B692" i="2" s="1"/>
  <c r="A435" i="2"/>
  <c r="B435" i="2" s="1"/>
  <c r="A467" i="2"/>
  <c r="B467" i="2" s="1"/>
  <c r="A499" i="2"/>
  <c r="B499" i="2" s="1"/>
  <c r="A626" i="2"/>
  <c r="B626" i="2" s="1"/>
  <c r="A754" i="2"/>
  <c r="B754" i="2" s="1"/>
  <c r="A240" i="2"/>
  <c r="B240" i="2" s="1"/>
  <c r="A136" i="2"/>
  <c r="B136" i="2" s="1"/>
  <c r="A62" i="2"/>
  <c r="B62" i="2" s="1"/>
  <c r="A269" i="2"/>
  <c r="B269" i="2" s="1"/>
  <c r="A902" i="2"/>
  <c r="B902" i="2" s="1"/>
  <c r="A794" i="2"/>
  <c r="B794" i="2" s="1"/>
  <c r="A691" i="2"/>
  <c r="B691" i="2" s="1"/>
  <c r="A809" i="2"/>
  <c r="B809" i="2" s="1"/>
  <c r="A739" i="2"/>
  <c r="B739" i="2" s="1"/>
  <c r="A674" i="2"/>
  <c r="B674" i="2" s="1"/>
  <c r="A656" i="2"/>
  <c r="B656" i="2" s="1"/>
  <c r="A549" i="2"/>
  <c r="B549" i="2" s="1"/>
  <c r="A560" i="2"/>
  <c r="B560" i="2" s="1"/>
  <c r="A430" i="2"/>
  <c r="B430" i="2" s="1"/>
  <c r="A304" i="2"/>
  <c r="B304" i="2" s="1"/>
  <c r="A497" i="2"/>
  <c r="B497" i="2" s="1"/>
  <c r="A369" i="2"/>
  <c r="B369" i="2" s="1"/>
  <c r="A572" i="2"/>
  <c r="B572" i="2" s="1"/>
  <c r="A470" i="2"/>
  <c r="B470" i="2" s="1"/>
  <c r="A473" i="2"/>
  <c r="B473" i="2" s="1"/>
  <c r="A55" i="2"/>
  <c r="B55" i="2" s="1"/>
  <c r="A95" i="2"/>
  <c r="B95" i="2" s="1"/>
  <c r="A127" i="2"/>
  <c r="B127" i="2" s="1"/>
  <c r="A151" i="2"/>
  <c r="B151" i="2" s="1"/>
  <c r="A171" i="2"/>
  <c r="B171" i="2" s="1"/>
  <c r="A191" i="2"/>
  <c r="B191" i="2" s="1"/>
  <c r="A215" i="2"/>
  <c r="B215" i="2" s="1"/>
  <c r="A235" i="2"/>
  <c r="B235" i="2" s="1"/>
  <c r="A255" i="2"/>
  <c r="B255" i="2" s="1"/>
  <c r="A273" i="2"/>
  <c r="B273" i="2" s="1"/>
  <c r="A295" i="2"/>
  <c r="B295" i="2" s="1"/>
  <c r="A316" i="2"/>
  <c r="B316" i="2" s="1"/>
  <c r="A364" i="2"/>
  <c r="B364" i="2" s="1"/>
  <c r="A404" i="2"/>
  <c r="B404" i="2" s="1"/>
  <c r="A249" i="2"/>
  <c r="B249" i="2" s="1"/>
  <c r="A317" i="2"/>
  <c r="B317" i="2" s="1"/>
  <c r="A357" i="2"/>
  <c r="B357" i="2" s="1"/>
  <c r="A397" i="2"/>
  <c r="B397" i="2" s="1"/>
  <c r="A442" i="2"/>
  <c r="B442" i="2" s="1"/>
  <c r="A522" i="2"/>
  <c r="B522" i="2" s="1"/>
  <c r="A563" i="2"/>
  <c r="B563" i="2" s="1"/>
  <c r="A625" i="2"/>
  <c r="B625" i="2" s="1"/>
  <c r="A746" i="2"/>
  <c r="B746" i="2" s="1"/>
  <c r="A274" i="2"/>
  <c r="B274" i="2" s="1"/>
  <c r="A298" i="2"/>
  <c r="B298" i="2" s="1"/>
  <c r="A315" i="2"/>
  <c r="B315" i="2" s="1"/>
  <c r="A338" i="2"/>
  <c r="B338" i="2" s="1"/>
  <c r="A371" i="2"/>
  <c r="B371" i="2" s="1"/>
  <c r="A394" i="2"/>
  <c r="B394" i="2" s="1"/>
  <c r="A418" i="2"/>
  <c r="B418" i="2" s="1"/>
  <c r="A455" i="2"/>
  <c r="B455" i="2" s="1"/>
  <c r="A530" i="2"/>
  <c r="B530" i="2" s="1"/>
  <c r="A654" i="2"/>
  <c r="B654" i="2" s="1"/>
  <c r="A434" i="2"/>
  <c r="B434" i="2" s="1"/>
  <c r="A514" i="2"/>
  <c r="B514" i="2" s="1"/>
  <c r="A575" i="2"/>
  <c r="B575" i="2" s="1"/>
  <c r="A641" i="2"/>
  <c r="B641" i="2" s="1"/>
  <c r="A734" i="2"/>
  <c r="B734" i="2" s="1"/>
  <c r="A319" i="2"/>
  <c r="B319" i="2" s="1"/>
  <c r="A351" i="2"/>
  <c r="B351" i="2" s="1"/>
  <c r="A375" i="2"/>
  <c r="B375" i="2" s="1"/>
  <c r="A407" i="2"/>
  <c r="B407" i="2" s="1"/>
  <c r="A444" i="2"/>
  <c r="B444" i="2" s="1"/>
  <c r="A476" i="2"/>
  <c r="B476" i="2" s="1"/>
  <c r="A508" i="2"/>
  <c r="B508" i="2" s="1"/>
  <c r="A538" i="2"/>
  <c r="B538" i="2" s="1"/>
  <c r="A638" i="2"/>
  <c r="B638" i="2" s="1"/>
  <c r="A702" i="2"/>
  <c r="B702" i="2" s="1"/>
  <c r="A443" i="2"/>
  <c r="B443" i="2" s="1"/>
  <c r="A475" i="2"/>
  <c r="B475" i="2" s="1"/>
  <c r="A507" i="2"/>
  <c r="B507" i="2" s="1"/>
  <c r="A642" i="2"/>
  <c r="B642" i="2" s="1"/>
  <c r="A770" i="2"/>
  <c r="B770" i="2" s="1"/>
  <c r="A550" i="2"/>
  <c r="B550" i="2" s="1"/>
  <c r="A566" i="2"/>
  <c r="B566" i="2" s="1"/>
  <c r="A582" i="2"/>
  <c r="B582" i="2" s="1"/>
  <c r="A598" i="2"/>
  <c r="B598" i="2" s="1"/>
  <c r="A630" i="2"/>
  <c r="B630" i="2" s="1"/>
  <c r="A649" i="2"/>
  <c r="B649" i="2" s="1"/>
  <c r="A282" i="2"/>
  <c r="B282" i="2" s="1"/>
  <c r="A362" i="2"/>
  <c r="B362" i="2" s="1"/>
  <c r="A471" i="2"/>
  <c r="B471" i="2" s="1"/>
  <c r="A543" i="2"/>
  <c r="B543" i="2" s="1"/>
  <c r="A327" i="2"/>
  <c r="B327" i="2" s="1"/>
  <c r="A447" i="2"/>
  <c r="B447" i="2" s="1"/>
  <c r="A660" i="2"/>
  <c r="B660" i="2" s="1"/>
  <c r="A515" i="2"/>
  <c r="B515" i="2" s="1"/>
  <c r="A546" i="2"/>
  <c r="B546" i="2" s="1"/>
  <c r="A578" i="2"/>
  <c r="B578" i="2" s="1"/>
  <c r="A620" i="2"/>
  <c r="B620" i="2" s="1"/>
  <c r="A665" i="2"/>
  <c r="B665" i="2" s="1"/>
  <c r="A694" i="2"/>
  <c r="B694" i="2" s="1"/>
  <c r="A716" i="2"/>
  <c r="B716" i="2" s="1"/>
  <c r="A783" i="2"/>
  <c r="B783" i="2" s="1"/>
  <c r="A621" i="2"/>
  <c r="B621" i="2" s="1"/>
  <c r="A653" i="2"/>
  <c r="B653" i="2" s="1"/>
  <c r="A677" i="2"/>
  <c r="B677" i="2" s="1"/>
  <c r="A701" i="2"/>
  <c r="B701" i="2" s="1"/>
  <c r="A793" i="2"/>
  <c r="B793" i="2" s="1"/>
  <c r="A737" i="2"/>
  <c r="B737" i="2" s="1"/>
  <c r="A753" i="2"/>
  <c r="B753" i="2" s="1"/>
  <c r="A769" i="2"/>
  <c r="B769" i="2" s="1"/>
  <c r="A792" i="2"/>
  <c r="B792" i="2" s="1"/>
  <c r="A839" i="2"/>
  <c r="B839" i="2" s="1"/>
  <c r="A871" i="2"/>
  <c r="B871" i="2" s="1"/>
  <c r="A903" i="2"/>
  <c r="B903" i="2" s="1"/>
  <c r="A935" i="2"/>
  <c r="B935" i="2" s="1"/>
  <c r="A995" i="2"/>
  <c r="B995" i="2" s="1"/>
  <c r="A816" i="2"/>
  <c r="B816" i="2" s="1"/>
  <c r="A835" i="2"/>
  <c r="B835" i="2" s="1"/>
  <c r="A867" i="2"/>
  <c r="B867" i="2" s="1"/>
  <c r="A899" i="2"/>
  <c r="B899" i="2" s="1"/>
  <c r="A931" i="2"/>
  <c r="B931" i="2" s="1"/>
  <c r="A987" i="2"/>
  <c r="B987" i="2" s="1"/>
  <c r="A848" i="2"/>
  <c r="B848" i="2" s="1"/>
  <c r="A864" i="2"/>
  <c r="B864" i="2" s="1"/>
  <c r="A880" i="2"/>
  <c r="B880" i="2" s="1"/>
  <c r="A896" i="2"/>
  <c r="B896" i="2" s="1"/>
  <c r="A912" i="2"/>
  <c r="B912" i="2" s="1"/>
  <c r="A928" i="2"/>
  <c r="B928" i="2" s="1"/>
  <c r="A943" i="2"/>
  <c r="B943" i="2" s="1"/>
  <c r="A975" i="2"/>
  <c r="B975" i="2" s="1"/>
  <c r="A952" i="2"/>
  <c r="B952" i="2" s="1"/>
  <c r="A968" i="2"/>
  <c r="B968" i="2" s="1"/>
  <c r="A984" i="2"/>
  <c r="B984" i="2" s="1"/>
  <c r="A1000" i="2"/>
  <c r="B1000" i="2" s="1"/>
  <c r="A302" i="2"/>
  <c r="B302" i="2" s="1"/>
  <c r="A378" i="2"/>
  <c r="B378" i="2" s="1"/>
  <c r="A601" i="2"/>
  <c r="B601" i="2" s="1"/>
  <c r="A583" i="2"/>
  <c r="B583" i="2" s="1"/>
  <c r="A359" i="2"/>
  <c r="B359" i="2" s="1"/>
  <c r="A479" i="2"/>
  <c r="B479" i="2" s="1"/>
  <c r="A724" i="2"/>
  <c r="B724" i="2" s="1"/>
  <c r="A604" i="2"/>
  <c r="B604" i="2" s="1"/>
  <c r="A554" i="2"/>
  <c r="B554" i="2" s="1"/>
  <c r="A586" i="2"/>
  <c r="B586" i="2" s="1"/>
  <c r="A633" i="2"/>
  <c r="B633" i="2" s="1"/>
  <c r="A668" i="2"/>
  <c r="B668" i="2" s="1"/>
  <c r="A697" i="2"/>
  <c r="B697" i="2" s="1"/>
  <c r="A742" i="2"/>
  <c r="B742" i="2" s="1"/>
  <c r="A799" i="2"/>
  <c r="B799" i="2" s="1"/>
  <c r="A629" i="2"/>
  <c r="B629" i="2" s="1"/>
  <c r="A661" i="2"/>
  <c r="B661" i="2" s="1"/>
  <c r="A685" i="2"/>
  <c r="B685" i="2" s="1"/>
  <c r="A725" i="2"/>
  <c r="B725" i="2" s="1"/>
  <c r="A804" i="2"/>
  <c r="B804" i="2" s="1"/>
  <c r="A741" i="2"/>
  <c r="B741" i="2" s="1"/>
  <c r="A757" i="2"/>
  <c r="B757" i="2" s="1"/>
  <c r="A773" i="2"/>
  <c r="B773" i="2" s="1"/>
  <c r="A800" i="2"/>
  <c r="B800" i="2" s="1"/>
  <c r="A847" i="2"/>
  <c r="B847" i="2" s="1"/>
  <c r="A879" i="2"/>
  <c r="B879" i="2" s="1"/>
  <c r="A911" i="2"/>
  <c r="B911" i="2" s="1"/>
  <c r="A947" i="2"/>
  <c r="B947" i="2" s="1"/>
  <c r="A832" i="2"/>
  <c r="B832" i="2" s="1"/>
  <c r="A820" i="2"/>
  <c r="B820" i="2" s="1"/>
  <c r="A843" i="2"/>
  <c r="B843" i="2" s="1"/>
  <c r="A875" i="2"/>
  <c r="B875" i="2" s="1"/>
  <c r="A907" i="2"/>
  <c r="B907" i="2" s="1"/>
  <c r="A939" i="2"/>
  <c r="B939" i="2" s="1"/>
  <c r="A836" i="2"/>
  <c r="B836" i="2" s="1"/>
  <c r="A852" i="2"/>
  <c r="B852" i="2" s="1"/>
  <c r="A868" i="2"/>
  <c r="B868" i="2" s="1"/>
  <c r="A884" i="2"/>
  <c r="B884" i="2" s="1"/>
  <c r="A900" i="2"/>
  <c r="B900" i="2" s="1"/>
  <c r="A916" i="2"/>
  <c r="B916" i="2" s="1"/>
  <c r="A932" i="2"/>
  <c r="B932" i="2" s="1"/>
  <c r="A951" i="2"/>
  <c r="B951" i="2" s="1"/>
  <c r="A983" i="2"/>
  <c r="B983" i="2" s="1"/>
  <c r="A940" i="2"/>
  <c r="B940" i="2" s="1"/>
  <c r="A956" i="2"/>
  <c r="B956" i="2" s="1"/>
  <c r="A972" i="2"/>
  <c r="B972" i="2" s="1"/>
  <c r="A988" i="2"/>
  <c r="B988" i="2" s="1"/>
  <c r="A322" i="2"/>
  <c r="B322" i="2" s="1"/>
  <c r="A402" i="2"/>
  <c r="B402" i="2" s="1"/>
  <c r="A676" i="2"/>
  <c r="B676" i="2" s="1"/>
  <c r="A673" i="2"/>
  <c r="B673" i="2" s="1"/>
  <c r="A383" i="2"/>
  <c r="B383" i="2" s="1"/>
  <c r="A511" i="2"/>
  <c r="B511" i="2" s="1"/>
  <c r="A451" i="2"/>
  <c r="B451" i="2" s="1"/>
  <c r="A658" i="2"/>
  <c r="B658" i="2" s="1"/>
  <c r="A562" i="2"/>
  <c r="B562" i="2" s="1"/>
  <c r="A594" i="2"/>
  <c r="B594" i="2" s="1"/>
  <c r="A646" i="2"/>
  <c r="B646" i="2" s="1"/>
  <c r="A678" i="2"/>
  <c r="B678" i="2" s="1"/>
  <c r="A710" i="2"/>
  <c r="B710" i="2" s="1"/>
  <c r="A758" i="2"/>
  <c r="B758" i="2" s="1"/>
  <c r="A605" i="2"/>
  <c r="B605" i="2" s="1"/>
  <c r="A637" i="2"/>
  <c r="B637" i="2" s="1"/>
  <c r="A669" i="2"/>
  <c r="B669" i="2" s="1"/>
  <c r="A709" i="2"/>
  <c r="B709" i="2" s="1"/>
  <c r="A777" i="2"/>
  <c r="B777" i="2" s="1"/>
  <c r="A729" i="2"/>
  <c r="B729" i="2" s="1"/>
  <c r="A745" i="2"/>
  <c r="B745" i="2" s="1"/>
  <c r="A761" i="2"/>
  <c r="B761" i="2" s="1"/>
  <c r="A791" i="2"/>
  <c r="B791" i="2" s="1"/>
  <c r="A855" i="2"/>
  <c r="B855" i="2" s="1"/>
  <c r="A887" i="2"/>
  <c r="B887" i="2" s="1"/>
  <c r="A919" i="2"/>
  <c r="B919" i="2" s="1"/>
  <c r="A963" i="2"/>
  <c r="B963" i="2" s="1"/>
  <c r="A808" i="2"/>
  <c r="B808" i="2" s="1"/>
  <c r="A824" i="2"/>
  <c r="B824" i="2" s="1"/>
  <c r="A851" i="2"/>
  <c r="B851" i="2" s="1"/>
  <c r="A883" i="2"/>
  <c r="B883" i="2" s="1"/>
  <c r="A915" i="2"/>
  <c r="B915" i="2" s="1"/>
  <c r="A955" i="2"/>
  <c r="B955" i="2" s="1"/>
  <c r="A840" i="2"/>
  <c r="B840" i="2" s="1"/>
  <c r="A856" i="2"/>
  <c r="B856" i="2" s="1"/>
  <c r="A872" i="2"/>
  <c r="B872" i="2" s="1"/>
  <c r="A888" i="2"/>
  <c r="B888" i="2" s="1"/>
  <c r="A904" i="2"/>
  <c r="B904" i="2" s="1"/>
  <c r="A920" i="2"/>
  <c r="B920" i="2" s="1"/>
  <c r="A936" i="2"/>
  <c r="B936" i="2" s="1"/>
  <c r="A959" i="2"/>
  <c r="B959" i="2" s="1"/>
  <c r="A991" i="2"/>
  <c r="B991" i="2" s="1"/>
  <c r="A944" i="2"/>
  <c r="B944" i="2" s="1"/>
  <c r="A960" i="2"/>
  <c r="B960" i="2" s="1"/>
  <c r="A976" i="2"/>
  <c r="B976" i="2" s="1"/>
  <c r="A992" i="2"/>
  <c r="B992" i="2" s="1"/>
  <c r="A346" i="2"/>
  <c r="B346" i="2" s="1"/>
  <c r="A415" i="2"/>
  <c r="B415" i="2" s="1"/>
  <c r="A570" i="2"/>
  <c r="B570" i="2" s="1"/>
  <c r="A713" i="2"/>
  <c r="B713" i="2" s="1"/>
  <c r="A733" i="2"/>
  <c r="B733" i="2" s="1"/>
  <c r="A979" i="2"/>
  <c r="B979" i="2" s="1"/>
  <c r="A891" i="2"/>
  <c r="B891" i="2" s="1"/>
  <c r="A860" i="2"/>
  <c r="B860" i="2" s="1"/>
  <c r="A924" i="2"/>
  <c r="B924" i="2" s="1"/>
  <c r="A948" i="2"/>
  <c r="B948" i="2" s="1"/>
  <c r="A419" i="2"/>
  <c r="B419" i="2" s="1"/>
  <c r="A606" i="2"/>
  <c r="B606" i="2" s="1"/>
  <c r="A610" i="2"/>
  <c r="B610" i="2" s="1"/>
  <c r="A774" i="2"/>
  <c r="B774" i="2" s="1"/>
  <c r="A693" i="2"/>
  <c r="B693" i="2" s="1"/>
  <c r="A749" i="2"/>
  <c r="B749" i="2" s="1"/>
  <c r="A863" i="2"/>
  <c r="B863" i="2" s="1"/>
  <c r="A812" i="2"/>
  <c r="B812" i="2" s="1"/>
  <c r="A923" i="2"/>
  <c r="B923" i="2" s="1"/>
  <c r="A876" i="2"/>
  <c r="B876" i="2" s="1"/>
  <c r="A964" i="2"/>
  <c r="B964" i="2" s="1"/>
  <c r="A450" i="2"/>
  <c r="B450" i="2" s="1"/>
  <c r="A483" i="2"/>
  <c r="B483" i="2" s="1"/>
  <c r="A652" i="2"/>
  <c r="B652" i="2" s="1"/>
  <c r="A613" i="2"/>
  <c r="B613" i="2" s="1"/>
  <c r="A717" i="2"/>
  <c r="B717" i="2" s="1"/>
  <c r="A765" i="2"/>
  <c r="B765" i="2" s="1"/>
  <c r="A895" i="2"/>
  <c r="B895" i="2" s="1"/>
  <c r="A828" i="2"/>
  <c r="B828" i="2" s="1"/>
  <c r="A971" i="2"/>
  <c r="B971" i="2" s="1"/>
  <c r="A892" i="2"/>
  <c r="B892" i="2" s="1"/>
  <c r="A967" i="2"/>
  <c r="B967" i="2" s="1"/>
  <c r="A980" i="2"/>
  <c r="B980" i="2" s="1"/>
  <c r="A762" i="2"/>
  <c r="B762" i="2" s="1"/>
  <c r="A788" i="2"/>
  <c r="B788" i="2" s="1"/>
  <c r="A844" i="2"/>
  <c r="B844" i="2" s="1"/>
  <c r="A750" i="2"/>
  <c r="B750" i="2" s="1"/>
  <c r="A996" i="2"/>
  <c r="B996" i="2" s="1"/>
  <c r="A780" i="2"/>
  <c r="B780" i="2" s="1"/>
  <c r="A784" i="2"/>
  <c r="B784" i="2" s="1"/>
  <c r="A908" i="2"/>
  <c r="B908" i="2" s="1"/>
  <c r="A859" i="2"/>
  <c r="B859" i="2" s="1"/>
  <c r="A684" i="2"/>
  <c r="B684" i="2" s="1"/>
  <c r="A927" i="2"/>
  <c r="B927" i="2" s="1"/>
  <c r="A999" i="2"/>
  <c r="B999" i="2" s="1"/>
  <c r="A645" i="2"/>
  <c r="B645" i="2" s="1"/>
  <c r="F2" i="3" l="1"/>
  <c r="G2" i="3" s="1"/>
  <c r="G13" i="2"/>
  <c r="K13" i="2" s="1"/>
  <c r="G17" i="2"/>
  <c r="K17" i="2" s="1"/>
  <c r="G21" i="2"/>
  <c r="K21" i="2" s="1"/>
  <c r="G25" i="2"/>
  <c r="K25" i="2" s="1"/>
  <c r="G29" i="2"/>
  <c r="K29" i="2" s="1"/>
  <c r="G33" i="2"/>
  <c r="K33" i="2" s="1"/>
  <c r="G37" i="2"/>
  <c r="K37" i="2" s="1"/>
  <c r="G41" i="2"/>
  <c r="K41" i="2" s="1"/>
  <c r="G45" i="2"/>
  <c r="K45" i="2" s="1"/>
  <c r="G49" i="2"/>
  <c r="K49" i="2" s="1"/>
  <c r="G53" i="2"/>
  <c r="K53" i="2" s="1"/>
  <c r="G57" i="2"/>
  <c r="K57" i="2" s="1"/>
  <c r="G61" i="2"/>
  <c r="K61" i="2" s="1"/>
  <c r="G65" i="2"/>
  <c r="K65" i="2" s="1"/>
  <c r="G69" i="2"/>
  <c r="K69" i="2" s="1"/>
  <c r="G73" i="2"/>
  <c r="K73" i="2" s="1"/>
  <c r="G77" i="2"/>
  <c r="K77" i="2" s="1"/>
  <c r="G81" i="2"/>
  <c r="K81" i="2" s="1"/>
  <c r="G85" i="2"/>
  <c r="K85" i="2" s="1"/>
  <c r="G89" i="2"/>
  <c r="K89" i="2" s="1"/>
  <c r="G93" i="2"/>
  <c r="K93" i="2" s="1"/>
  <c r="G97" i="2"/>
  <c r="K97" i="2" s="1"/>
  <c r="G101" i="2"/>
  <c r="K101" i="2" s="1"/>
  <c r="G105" i="2"/>
  <c r="K105" i="2" s="1"/>
  <c r="G109" i="2"/>
  <c r="K109" i="2" s="1"/>
  <c r="G113" i="2"/>
  <c r="K113" i="2" s="1"/>
  <c r="G117" i="2"/>
  <c r="K117" i="2" s="1"/>
  <c r="G121" i="2"/>
  <c r="K121" i="2" s="1"/>
  <c r="G125" i="2"/>
  <c r="K125" i="2" s="1"/>
  <c r="G129" i="2"/>
  <c r="K129" i="2" s="1"/>
  <c r="G133" i="2"/>
  <c r="K133" i="2" s="1"/>
  <c r="G137" i="2"/>
  <c r="K137" i="2" s="1"/>
  <c r="G141" i="2"/>
  <c r="K141" i="2" s="1"/>
  <c r="G145" i="2"/>
  <c r="K145" i="2" s="1"/>
  <c r="G149" i="2"/>
  <c r="K149" i="2" s="1"/>
  <c r="G153" i="2"/>
  <c r="K153" i="2" s="1"/>
  <c r="G157" i="2"/>
  <c r="K157" i="2" s="1"/>
  <c r="G161" i="2"/>
  <c r="K161" i="2" s="1"/>
  <c r="G165" i="2"/>
  <c r="K165" i="2" s="1"/>
  <c r="G169" i="2"/>
  <c r="K169" i="2" s="1"/>
  <c r="G173" i="2"/>
  <c r="K173" i="2" s="1"/>
  <c r="G177" i="2"/>
  <c r="K177" i="2" s="1"/>
  <c r="G181" i="2"/>
  <c r="K181" i="2" s="1"/>
  <c r="G185" i="2"/>
  <c r="K185" i="2" s="1"/>
  <c r="G189" i="2"/>
  <c r="K189" i="2" s="1"/>
  <c r="G193" i="2"/>
  <c r="K193" i="2" s="1"/>
  <c r="G197" i="2"/>
  <c r="K197" i="2" s="1"/>
  <c r="G201" i="2"/>
  <c r="K201" i="2" s="1"/>
  <c r="G205" i="2"/>
  <c r="K205" i="2" s="1"/>
  <c r="G209" i="2"/>
  <c r="K209" i="2" s="1"/>
  <c r="G213" i="2"/>
  <c r="K213" i="2" s="1"/>
  <c r="G217" i="2"/>
  <c r="K217" i="2" s="1"/>
  <c r="G221" i="2"/>
  <c r="K221" i="2" s="1"/>
  <c r="G225" i="2"/>
  <c r="K225" i="2" s="1"/>
  <c r="G229" i="2"/>
  <c r="K229" i="2" s="1"/>
  <c r="G233" i="2"/>
  <c r="K233" i="2" s="1"/>
  <c r="G237" i="2"/>
  <c r="K237" i="2" s="1"/>
  <c r="G241" i="2"/>
  <c r="K241" i="2" s="1"/>
  <c r="G245" i="2"/>
  <c r="K245" i="2" s="1"/>
  <c r="G249" i="2"/>
  <c r="K249" i="2" s="1"/>
  <c r="G253" i="2"/>
  <c r="K253" i="2" s="1"/>
  <c r="G257" i="2"/>
  <c r="K257" i="2" s="1"/>
  <c r="G261" i="2"/>
  <c r="K261" i="2" s="1"/>
  <c r="G265" i="2"/>
  <c r="K265" i="2" s="1"/>
  <c r="G269" i="2"/>
  <c r="K269" i="2" s="1"/>
  <c r="G273" i="2"/>
  <c r="K273" i="2" s="1"/>
  <c r="G277" i="2"/>
  <c r="K277" i="2" s="1"/>
  <c r="G281" i="2"/>
  <c r="K281" i="2" s="1"/>
  <c r="G10" i="2"/>
  <c r="K10" i="2" s="1"/>
  <c r="G14" i="2"/>
  <c r="K14" i="2" s="1"/>
  <c r="G18" i="2"/>
  <c r="K18" i="2" s="1"/>
  <c r="G22" i="2"/>
  <c r="K22" i="2" s="1"/>
  <c r="G26" i="2"/>
  <c r="K26" i="2" s="1"/>
  <c r="G30" i="2"/>
  <c r="K30" i="2" s="1"/>
  <c r="G34" i="2"/>
  <c r="K34" i="2" s="1"/>
  <c r="G38" i="2"/>
  <c r="K38" i="2" s="1"/>
  <c r="G42" i="2"/>
  <c r="K42" i="2" s="1"/>
  <c r="G46" i="2"/>
  <c r="K46" i="2" s="1"/>
  <c r="G50" i="2"/>
  <c r="K50" i="2" s="1"/>
  <c r="G54" i="2"/>
  <c r="K54" i="2" s="1"/>
  <c r="G58" i="2"/>
  <c r="K58" i="2" s="1"/>
  <c r="G62" i="2"/>
  <c r="K62" i="2" s="1"/>
  <c r="G66" i="2"/>
  <c r="K66" i="2" s="1"/>
  <c r="G70" i="2"/>
  <c r="K70" i="2" s="1"/>
  <c r="G74" i="2"/>
  <c r="K74" i="2" s="1"/>
  <c r="G78" i="2"/>
  <c r="K78" i="2" s="1"/>
  <c r="G82" i="2"/>
  <c r="K82" i="2" s="1"/>
  <c r="G86" i="2"/>
  <c r="K86" i="2" s="1"/>
  <c r="G90" i="2"/>
  <c r="K90" i="2" s="1"/>
  <c r="G94" i="2"/>
  <c r="K94" i="2" s="1"/>
  <c r="G98" i="2"/>
  <c r="K98" i="2" s="1"/>
  <c r="G102" i="2"/>
  <c r="K102" i="2" s="1"/>
  <c r="G106" i="2"/>
  <c r="K106" i="2" s="1"/>
  <c r="G110" i="2"/>
  <c r="K110" i="2" s="1"/>
  <c r="G114" i="2"/>
  <c r="K114" i="2" s="1"/>
  <c r="G118" i="2"/>
  <c r="K118" i="2" s="1"/>
  <c r="G122" i="2"/>
  <c r="K122" i="2" s="1"/>
  <c r="G126" i="2"/>
  <c r="K126" i="2" s="1"/>
  <c r="G130" i="2"/>
  <c r="K130" i="2" s="1"/>
  <c r="G134" i="2"/>
  <c r="K134" i="2" s="1"/>
  <c r="G138" i="2"/>
  <c r="K138" i="2" s="1"/>
  <c r="G142" i="2"/>
  <c r="K142" i="2" s="1"/>
  <c r="G146" i="2"/>
  <c r="K146" i="2" s="1"/>
  <c r="G150" i="2"/>
  <c r="K150" i="2" s="1"/>
  <c r="G154" i="2"/>
  <c r="K154" i="2" s="1"/>
  <c r="G158" i="2"/>
  <c r="K158" i="2" s="1"/>
  <c r="G162" i="2"/>
  <c r="K162" i="2" s="1"/>
  <c r="G166" i="2"/>
  <c r="K166" i="2" s="1"/>
  <c r="G170" i="2"/>
  <c r="K170" i="2" s="1"/>
  <c r="G174" i="2"/>
  <c r="K174" i="2" s="1"/>
  <c r="G178" i="2"/>
  <c r="K178" i="2" s="1"/>
  <c r="G182" i="2"/>
  <c r="K182" i="2" s="1"/>
  <c r="G186" i="2"/>
  <c r="K186" i="2" s="1"/>
  <c r="G190" i="2"/>
  <c r="K190" i="2" s="1"/>
  <c r="G194" i="2"/>
  <c r="K194" i="2" s="1"/>
  <c r="G198" i="2"/>
  <c r="K198" i="2" s="1"/>
  <c r="G202" i="2"/>
  <c r="K202" i="2" s="1"/>
  <c r="G206" i="2"/>
  <c r="K206" i="2" s="1"/>
  <c r="G210" i="2"/>
  <c r="K210" i="2" s="1"/>
  <c r="G214" i="2"/>
  <c r="K214" i="2" s="1"/>
  <c r="G218" i="2"/>
  <c r="K218" i="2" s="1"/>
  <c r="G222" i="2"/>
  <c r="K222" i="2" s="1"/>
  <c r="G226" i="2"/>
  <c r="K226" i="2" s="1"/>
  <c r="G230" i="2"/>
  <c r="K230" i="2" s="1"/>
  <c r="G234" i="2"/>
  <c r="K234" i="2" s="1"/>
  <c r="G238" i="2"/>
  <c r="K238" i="2" s="1"/>
  <c r="G242" i="2"/>
  <c r="K242" i="2" s="1"/>
  <c r="G246" i="2"/>
  <c r="K246" i="2" s="1"/>
  <c r="G250" i="2"/>
  <c r="K250" i="2" s="1"/>
  <c r="G254" i="2"/>
  <c r="K254" i="2" s="1"/>
  <c r="G258" i="2"/>
  <c r="K258" i="2" s="1"/>
  <c r="G262" i="2"/>
  <c r="K262" i="2" s="1"/>
  <c r="G266" i="2"/>
  <c r="K266" i="2" s="1"/>
  <c r="G11" i="2"/>
  <c r="K11" i="2" s="1"/>
  <c r="G15" i="2"/>
  <c r="K15" i="2" s="1"/>
  <c r="G19" i="2"/>
  <c r="K19" i="2" s="1"/>
  <c r="G23" i="2"/>
  <c r="K23" i="2" s="1"/>
  <c r="G27" i="2"/>
  <c r="K27" i="2" s="1"/>
  <c r="G31" i="2"/>
  <c r="K31" i="2" s="1"/>
  <c r="G35" i="2"/>
  <c r="K35" i="2" s="1"/>
  <c r="G39" i="2"/>
  <c r="K39" i="2" s="1"/>
  <c r="G43" i="2"/>
  <c r="K43" i="2" s="1"/>
  <c r="G47" i="2"/>
  <c r="K47" i="2" s="1"/>
  <c r="G51" i="2"/>
  <c r="K51" i="2" s="1"/>
  <c r="G55" i="2"/>
  <c r="K55" i="2" s="1"/>
  <c r="G59" i="2"/>
  <c r="K59" i="2" s="1"/>
  <c r="G63" i="2"/>
  <c r="K63" i="2" s="1"/>
  <c r="G67" i="2"/>
  <c r="K67" i="2" s="1"/>
  <c r="G71" i="2"/>
  <c r="K71" i="2" s="1"/>
  <c r="G75" i="2"/>
  <c r="K75" i="2" s="1"/>
  <c r="G79" i="2"/>
  <c r="K79" i="2" s="1"/>
  <c r="G83" i="2"/>
  <c r="K83" i="2" s="1"/>
  <c r="G87" i="2"/>
  <c r="K87" i="2" s="1"/>
  <c r="G91" i="2"/>
  <c r="K91" i="2" s="1"/>
  <c r="G95" i="2"/>
  <c r="K95" i="2" s="1"/>
  <c r="G99" i="2"/>
  <c r="K99" i="2" s="1"/>
  <c r="G103" i="2"/>
  <c r="K103" i="2" s="1"/>
  <c r="G107" i="2"/>
  <c r="K107" i="2" s="1"/>
  <c r="G111" i="2"/>
  <c r="K111" i="2" s="1"/>
  <c r="G115" i="2"/>
  <c r="K115" i="2" s="1"/>
  <c r="G119" i="2"/>
  <c r="K119" i="2" s="1"/>
  <c r="G123" i="2"/>
  <c r="K123" i="2" s="1"/>
  <c r="G127" i="2"/>
  <c r="K127" i="2" s="1"/>
  <c r="G131" i="2"/>
  <c r="K131" i="2" s="1"/>
  <c r="G135" i="2"/>
  <c r="K135" i="2" s="1"/>
  <c r="G139" i="2"/>
  <c r="K139" i="2" s="1"/>
  <c r="G143" i="2"/>
  <c r="K143" i="2" s="1"/>
  <c r="G147" i="2"/>
  <c r="K147" i="2" s="1"/>
  <c r="G151" i="2"/>
  <c r="K151" i="2" s="1"/>
  <c r="G155" i="2"/>
  <c r="K155" i="2" s="1"/>
  <c r="G159" i="2"/>
  <c r="K159" i="2" s="1"/>
  <c r="G163" i="2"/>
  <c r="K163" i="2" s="1"/>
  <c r="G167" i="2"/>
  <c r="K167" i="2" s="1"/>
  <c r="G171" i="2"/>
  <c r="K171" i="2" s="1"/>
  <c r="G175" i="2"/>
  <c r="K175" i="2" s="1"/>
  <c r="G179" i="2"/>
  <c r="K179" i="2" s="1"/>
  <c r="G183" i="2"/>
  <c r="K183" i="2" s="1"/>
  <c r="G187" i="2"/>
  <c r="K187" i="2" s="1"/>
  <c r="G191" i="2"/>
  <c r="K191" i="2" s="1"/>
  <c r="G195" i="2"/>
  <c r="K195" i="2" s="1"/>
  <c r="G199" i="2"/>
  <c r="K199" i="2" s="1"/>
  <c r="G203" i="2"/>
  <c r="K203" i="2" s="1"/>
  <c r="G207" i="2"/>
  <c r="K207" i="2" s="1"/>
  <c r="G211" i="2"/>
  <c r="K211" i="2" s="1"/>
  <c r="G215" i="2"/>
  <c r="K215" i="2" s="1"/>
  <c r="G219" i="2"/>
  <c r="K219" i="2" s="1"/>
  <c r="G223" i="2"/>
  <c r="K223" i="2" s="1"/>
  <c r="G227" i="2"/>
  <c r="K227" i="2" s="1"/>
  <c r="G231" i="2"/>
  <c r="K231" i="2" s="1"/>
  <c r="G235" i="2"/>
  <c r="K235" i="2" s="1"/>
  <c r="G239" i="2"/>
  <c r="K239" i="2" s="1"/>
  <c r="G243" i="2"/>
  <c r="K243" i="2" s="1"/>
  <c r="G247" i="2"/>
  <c r="K247" i="2" s="1"/>
  <c r="G251" i="2"/>
  <c r="K251" i="2" s="1"/>
  <c r="G255" i="2"/>
  <c r="K255" i="2" s="1"/>
  <c r="G259" i="2"/>
  <c r="K259" i="2" s="1"/>
  <c r="G263" i="2"/>
  <c r="K263" i="2" s="1"/>
  <c r="G267" i="2"/>
  <c r="K267" i="2" s="1"/>
  <c r="G271" i="2"/>
  <c r="K271" i="2" s="1"/>
  <c r="G275" i="2"/>
  <c r="K275" i="2" s="1"/>
  <c r="G279" i="2"/>
  <c r="K279" i="2" s="1"/>
  <c r="G283" i="2"/>
  <c r="K283" i="2" s="1"/>
  <c r="G287" i="2"/>
  <c r="K287" i="2" s="1"/>
  <c r="G291" i="2"/>
  <c r="K291" i="2" s="1"/>
  <c r="G295" i="2"/>
  <c r="K295" i="2" s="1"/>
  <c r="G299" i="2"/>
  <c r="K299" i="2" s="1"/>
  <c r="G12" i="2"/>
  <c r="K12" i="2" s="1"/>
  <c r="G16" i="2"/>
  <c r="K16" i="2" s="1"/>
  <c r="G20" i="2"/>
  <c r="K20" i="2" s="1"/>
  <c r="G24" i="2"/>
  <c r="K24" i="2" s="1"/>
  <c r="G28" i="2"/>
  <c r="K28" i="2" s="1"/>
  <c r="G32" i="2"/>
  <c r="K32" i="2" s="1"/>
  <c r="G36" i="2"/>
  <c r="K36" i="2" s="1"/>
  <c r="G40" i="2"/>
  <c r="K40" i="2" s="1"/>
  <c r="G44" i="2"/>
  <c r="K44" i="2" s="1"/>
  <c r="G48" i="2"/>
  <c r="K48" i="2" s="1"/>
  <c r="G52" i="2"/>
  <c r="K52" i="2" s="1"/>
  <c r="G56" i="2"/>
  <c r="K56" i="2" s="1"/>
  <c r="G60" i="2"/>
  <c r="K60" i="2" s="1"/>
  <c r="G64" i="2"/>
  <c r="K64" i="2" s="1"/>
  <c r="G68" i="2"/>
  <c r="K68" i="2" s="1"/>
  <c r="G72" i="2"/>
  <c r="K72" i="2" s="1"/>
  <c r="G76" i="2"/>
  <c r="K76" i="2" s="1"/>
  <c r="G80" i="2"/>
  <c r="K80" i="2" s="1"/>
  <c r="G84" i="2"/>
  <c r="K84" i="2" s="1"/>
  <c r="G88" i="2"/>
  <c r="K88" i="2" s="1"/>
  <c r="G92" i="2"/>
  <c r="K92" i="2" s="1"/>
  <c r="G96" i="2"/>
  <c r="K96" i="2" s="1"/>
  <c r="G100" i="2"/>
  <c r="K100" i="2" s="1"/>
  <c r="G104" i="2"/>
  <c r="K104" i="2" s="1"/>
  <c r="G108" i="2"/>
  <c r="K108" i="2" s="1"/>
  <c r="G112" i="2"/>
  <c r="K112" i="2" s="1"/>
  <c r="G116" i="2"/>
  <c r="K116" i="2" s="1"/>
  <c r="G120" i="2"/>
  <c r="K120" i="2" s="1"/>
  <c r="G124" i="2"/>
  <c r="K124" i="2" s="1"/>
  <c r="G128" i="2"/>
  <c r="K128" i="2" s="1"/>
  <c r="G132" i="2"/>
  <c r="K132" i="2" s="1"/>
  <c r="G136" i="2"/>
  <c r="K136" i="2" s="1"/>
  <c r="G140" i="2"/>
  <c r="K140" i="2" s="1"/>
  <c r="G144" i="2"/>
  <c r="K144" i="2" s="1"/>
  <c r="G148" i="2"/>
  <c r="K148" i="2" s="1"/>
  <c r="G152" i="2"/>
  <c r="K152" i="2" s="1"/>
  <c r="G156" i="2"/>
  <c r="K156" i="2" s="1"/>
  <c r="G160" i="2"/>
  <c r="K160" i="2" s="1"/>
  <c r="G164" i="2"/>
  <c r="K164" i="2" s="1"/>
  <c r="G168" i="2"/>
  <c r="K168" i="2" s="1"/>
  <c r="G172" i="2"/>
  <c r="K172" i="2" s="1"/>
  <c r="G176" i="2"/>
  <c r="K176" i="2" s="1"/>
  <c r="G180" i="2"/>
  <c r="K180" i="2" s="1"/>
  <c r="G184" i="2"/>
  <c r="K184" i="2" s="1"/>
  <c r="G188" i="2"/>
  <c r="K188" i="2" s="1"/>
  <c r="G192" i="2"/>
  <c r="K192" i="2" s="1"/>
  <c r="G196" i="2"/>
  <c r="K196" i="2" s="1"/>
  <c r="G200" i="2"/>
  <c r="K200" i="2" s="1"/>
  <c r="G204" i="2"/>
  <c r="K204" i="2" s="1"/>
  <c r="G208" i="2"/>
  <c r="K208" i="2" s="1"/>
  <c r="G212" i="2"/>
  <c r="K212" i="2" s="1"/>
  <c r="G216" i="2"/>
  <c r="K216" i="2" s="1"/>
  <c r="G220" i="2"/>
  <c r="K220" i="2" s="1"/>
  <c r="G224" i="2"/>
  <c r="K224" i="2" s="1"/>
  <c r="G228" i="2"/>
  <c r="K228" i="2" s="1"/>
  <c r="G232" i="2"/>
  <c r="K232" i="2" s="1"/>
  <c r="G236" i="2"/>
  <c r="K236" i="2" s="1"/>
  <c r="G240" i="2"/>
  <c r="K240" i="2" s="1"/>
  <c r="G244" i="2"/>
  <c r="K244" i="2" s="1"/>
  <c r="G248" i="2"/>
  <c r="K248" i="2" s="1"/>
  <c r="G252" i="2"/>
  <c r="K252" i="2" s="1"/>
  <c r="G256" i="2"/>
  <c r="K256" i="2" s="1"/>
  <c r="G260" i="2"/>
  <c r="K260" i="2" s="1"/>
  <c r="G264" i="2"/>
  <c r="K264" i="2" s="1"/>
  <c r="G268" i="2"/>
  <c r="K268" i="2" s="1"/>
  <c r="G272" i="2"/>
  <c r="K272" i="2" s="1"/>
  <c r="G276" i="2"/>
  <c r="K276" i="2" s="1"/>
  <c r="G280" i="2"/>
  <c r="K280" i="2" s="1"/>
  <c r="G284" i="2"/>
  <c r="K284" i="2" s="1"/>
  <c r="G288" i="2"/>
  <c r="K288" i="2" s="1"/>
  <c r="G292" i="2"/>
  <c r="K292" i="2" s="1"/>
  <c r="G296" i="2"/>
  <c r="K296" i="2" s="1"/>
  <c r="G300" i="2"/>
  <c r="K300" i="2" s="1"/>
  <c r="G304" i="2"/>
  <c r="K304" i="2" s="1"/>
  <c r="G308" i="2"/>
  <c r="K308" i="2" s="1"/>
  <c r="G312" i="2"/>
  <c r="K312" i="2" s="1"/>
  <c r="G316" i="2"/>
  <c r="K316" i="2" s="1"/>
  <c r="G320" i="2"/>
  <c r="K320" i="2" s="1"/>
  <c r="G324" i="2"/>
  <c r="K324" i="2" s="1"/>
  <c r="G328" i="2"/>
  <c r="K328" i="2" s="1"/>
  <c r="G332" i="2"/>
  <c r="K332" i="2" s="1"/>
  <c r="G336" i="2"/>
  <c r="K336" i="2" s="1"/>
  <c r="G340" i="2"/>
  <c r="K340" i="2" s="1"/>
  <c r="G344" i="2"/>
  <c r="K344" i="2" s="1"/>
  <c r="G348" i="2"/>
  <c r="K348" i="2" s="1"/>
  <c r="G270" i="2"/>
  <c r="K270" i="2" s="1"/>
  <c r="G285" i="2"/>
  <c r="K285" i="2" s="1"/>
  <c r="G293" i="2"/>
  <c r="K293" i="2" s="1"/>
  <c r="G301" i="2"/>
  <c r="K301" i="2" s="1"/>
  <c r="G306" i="2"/>
  <c r="K306" i="2" s="1"/>
  <c r="G311" i="2"/>
  <c r="K311" i="2" s="1"/>
  <c r="G317" i="2"/>
  <c r="K317" i="2" s="1"/>
  <c r="G322" i="2"/>
  <c r="K322" i="2" s="1"/>
  <c r="G327" i="2"/>
  <c r="K327" i="2" s="1"/>
  <c r="G333" i="2"/>
  <c r="K333" i="2" s="1"/>
  <c r="G338" i="2"/>
  <c r="K338" i="2" s="1"/>
  <c r="G343" i="2"/>
  <c r="K343" i="2" s="1"/>
  <c r="G349" i="2"/>
  <c r="K349" i="2" s="1"/>
  <c r="G353" i="2"/>
  <c r="K353" i="2" s="1"/>
  <c r="G357" i="2"/>
  <c r="K357" i="2" s="1"/>
  <c r="G361" i="2"/>
  <c r="K361" i="2" s="1"/>
  <c r="G365" i="2"/>
  <c r="K365" i="2" s="1"/>
  <c r="G369" i="2"/>
  <c r="K369" i="2" s="1"/>
  <c r="G373" i="2"/>
  <c r="K373" i="2" s="1"/>
  <c r="G377" i="2"/>
  <c r="K377" i="2" s="1"/>
  <c r="G381" i="2"/>
  <c r="K381" i="2" s="1"/>
  <c r="G385" i="2"/>
  <c r="K385" i="2" s="1"/>
  <c r="G389" i="2"/>
  <c r="K389" i="2" s="1"/>
  <c r="G393" i="2"/>
  <c r="K393" i="2" s="1"/>
  <c r="G397" i="2"/>
  <c r="K397" i="2" s="1"/>
  <c r="G401" i="2"/>
  <c r="K401" i="2" s="1"/>
  <c r="G405" i="2"/>
  <c r="K405" i="2" s="1"/>
  <c r="G409" i="2"/>
  <c r="K409" i="2" s="1"/>
  <c r="G413" i="2"/>
  <c r="K413" i="2" s="1"/>
  <c r="G417" i="2"/>
  <c r="K417" i="2" s="1"/>
  <c r="G421" i="2"/>
  <c r="K421" i="2" s="1"/>
  <c r="G425" i="2"/>
  <c r="K425" i="2" s="1"/>
  <c r="G429" i="2"/>
  <c r="K429" i="2" s="1"/>
  <c r="G433" i="2"/>
  <c r="K433" i="2" s="1"/>
  <c r="G437" i="2"/>
  <c r="K437" i="2" s="1"/>
  <c r="G441" i="2"/>
  <c r="K441" i="2" s="1"/>
  <c r="G445" i="2"/>
  <c r="K445" i="2" s="1"/>
  <c r="G449" i="2"/>
  <c r="K449" i="2" s="1"/>
  <c r="G453" i="2"/>
  <c r="K453" i="2" s="1"/>
  <c r="G457" i="2"/>
  <c r="K457" i="2" s="1"/>
  <c r="G461" i="2"/>
  <c r="K461" i="2" s="1"/>
  <c r="G465" i="2"/>
  <c r="K465" i="2" s="1"/>
  <c r="G469" i="2"/>
  <c r="K469" i="2" s="1"/>
  <c r="G473" i="2"/>
  <c r="K473" i="2" s="1"/>
  <c r="G477" i="2"/>
  <c r="K477" i="2" s="1"/>
  <c r="G481" i="2"/>
  <c r="K481" i="2" s="1"/>
  <c r="G485" i="2"/>
  <c r="K485" i="2" s="1"/>
  <c r="G489" i="2"/>
  <c r="K489" i="2" s="1"/>
  <c r="G493" i="2"/>
  <c r="K493" i="2" s="1"/>
  <c r="G497" i="2"/>
  <c r="K497" i="2" s="1"/>
  <c r="G501" i="2"/>
  <c r="K501" i="2" s="1"/>
  <c r="G274" i="2"/>
  <c r="K274" i="2" s="1"/>
  <c r="G286" i="2"/>
  <c r="K286" i="2" s="1"/>
  <c r="G294" i="2"/>
  <c r="K294" i="2" s="1"/>
  <c r="G302" i="2"/>
  <c r="K302" i="2" s="1"/>
  <c r="G307" i="2"/>
  <c r="K307" i="2" s="1"/>
  <c r="G313" i="2"/>
  <c r="K313" i="2" s="1"/>
  <c r="G318" i="2"/>
  <c r="K318" i="2" s="1"/>
  <c r="G323" i="2"/>
  <c r="K323" i="2" s="1"/>
  <c r="G329" i="2"/>
  <c r="K329" i="2" s="1"/>
  <c r="G334" i="2"/>
  <c r="K334" i="2" s="1"/>
  <c r="G339" i="2"/>
  <c r="K339" i="2" s="1"/>
  <c r="G345" i="2"/>
  <c r="K345" i="2" s="1"/>
  <c r="G350" i="2"/>
  <c r="K350" i="2" s="1"/>
  <c r="G354" i="2"/>
  <c r="K354" i="2" s="1"/>
  <c r="G358" i="2"/>
  <c r="K358" i="2" s="1"/>
  <c r="G362" i="2"/>
  <c r="K362" i="2" s="1"/>
  <c r="G366" i="2"/>
  <c r="K366" i="2" s="1"/>
  <c r="G370" i="2"/>
  <c r="K370" i="2" s="1"/>
  <c r="G374" i="2"/>
  <c r="K374" i="2" s="1"/>
  <c r="G378" i="2"/>
  <c r="K378" i="2" s="1"/>
  <c r="G382" i="2"/>
  <c r="K382" i="2" s="1"/>
  <c r="G386" i="2"/>
  <c r="K386" i="2" s="1"/>
  <c r="G390" i="2"/>
  <c r="K390" i="2" s="1"/>
  <c r="G394" i="2"/>
  <c r="K394" i="2" s="1"/>
  <c r="G398" i="2"/>
  <c r="K398" i="2" s="1"/>
  <c r="G402" i="2"/>
  <c r="K402" i="2" s="1"/>
  <c r="G406" i="2"/>
  <c r="K406" i="2" s="1"/>
  <c r="G410" i="2"/>
  <c r="K410" i="2" s="1"/>
  <c r="G414" i="2"/>
  <c r="K414" i="2" s="1"/>
  <c r="G418" i="2"/>
  <c r="K418" i="2" s="1"/>
  <c r="G422" i="2"/>
  <c r="K422" i="2" s="1"/>
  <c r="G426" i="2"/>
  <c r="K426" i="2" s="1"/>
  <c r="G430" i="2"/>
  <c r="K430" i="2" s="1"/>
  <c r="G434" i="2"/>
  <c r="K434" i="2" s="1"/>
  <c r="G438" i="2"/>
  <c r="K438" i="2" s="1"/>
  <c r="G442" i="2"/>
  <c r="K442" i="2" s="1"/>
  <c r="G446" i="2"/>
  <c r="K446" i="2" s="1"/>
  <c r="G450" i="2"/>
  <c r="K450" i="2" s="1"/>
  <c r="G454" i="2"/>
  <c r="K454" i="2" s="1"/>
  <c r="G458" i="2"/>
  <c r="K458" i="2" s="1"/>
  <c r="G462" i="2"/>
  <c r="K462" i="2" s="1"/>
  <c r="G466" i="2"/>
  <c r="K466" i="2" s="1"/>
  <c r="G470" i="2"/>
  <c r="K470" i="2" s="1"/>
  <c r="G474" i="2"/>
  <c r="K474" i="2" s="1"/>
  <c r="G478" i="2"/>
  <c r="K478" i="2" s="1"/>
  <c r="G482" i="2"/>
  <c r="K482" i="2" s="1"/>
  <c r="G486" i="2"/>
  <c r="K486" i="2" s="1"/>
  <c r="G490" i="2"/>
  <c r="K490" i="2" s="1"/>
  <c r="G494" i="2"/>
  <c r="K494" i="2" s="1"/>
  <c r="G498" i="2"/>
  <c r="K498" i="2" s="1"/>
  <c r="G502" i="2"/>
  <c r="K502" i="2" s="1"/>
  <c r="G278" i="2"/>
  <c r="K278" i="2" s="1"/>
  <c r="G289" i="2"/>
  <c r="K289" i="2" s="1"/>
  <c r="G297" i="2"/>
  <c r="K297" i="2" s="1"/>
  <c r="G303" i="2"/>
  <c r="K303" i="2" s="1"/>
  <c r="G309" i="2"/>
  <c r="K309" i="2" s="1"/>
  <c r="G314" i="2"/>
  <c r="K314" i="2" s="1"/>
  <c r="G319" i="2"/>
  <c r="K319" i="2" s="1"/>
  <c r="G325" i="2"/>
  <c r="K325" i="2" s="1"/>
  <c r="G330" i="2"/>
  <c r="K330" i="2" s="1"/>
  <c r="G335" i="2"/>
  <c r="K335" i="2" s="1"/>
  <c r="G341" i="2"/>
  <c r="K341" i="2" s="1"/>
  <c r="G346" i="2"/>
  <c r="K346" i="2" s="1"/>
  <c r="G351" i="2"/>
  <c r="K351" i="2" s="1"/>
  <c r="G355" i="2"/>
  <c r="K355" i="2" s="1"/>
  <c r="G359" i="2"/>
  <c r="K359" i="2" s="1"/>
  <c r="G363" i="2"/>
  <c r="K363" i="2" s="1"/>
  <c r="G367" i="2"/>
  <c r="K367" i="2" s="1"/>
  <c r="G371" i="2"/>
  <c r="K371" i="2" s="1"/>
  <c r="G375" i="2"/>
  <c r="K375" i="2" s="1"/>
  <c r="G379" i="2"/>
  <c r="K379" i="2" s="1"/>
  <c r="G383" i="2"/>
  <c r="K383" i="2" s="1"/>
  <c r="G387" i="2"/>
  <c r="K387" i="2" s="1"/>
  <c r="G391" i="2"/>
  <c r="K391" i="2" s="1"/>
  <c r="G395" i="2"/>
  <c r="K395" i="2" s="1"/>
  <c r="G399" i="2"/>
  <c r="K399" i="2" s="1"/>
  <c r="G403" i="2"/>
  <c r="K403" i="2" s="1"/>
  <c r="G407" i="2"/>
  <c r="K407" i="2" s="1"/>
  <c r="G411" i="2"/>
  <c r="K411" i="2" s="1"/>
  <c r="G415" i="2"/>
  <c r="K415" i="2" s="1"/>
  <c r="G419" i="2"/>
  <c r="K419" i="2" s="1"/>
  <c r="G423" i="2"/>
  <c r="K423" i="2" s="1"/>
  <c r="G427" i="2"/>
  <c r="K427" i="2" s="1"/>
  <c r="G431" i="2"/>
  <c r="K431" i="2" s="1"/>
  <c r="G435" i="2"/>
  <c r="K435" i="2" s="1"/>
  <c r="G439" i="2"/>
  <c r="K439" i="2" s="1"/>
  <c r="G443" i="2"/>
  <c r="K443" i="2" s="1"/>
  <c r="G447" i="2"/>
  <c r="K447" i="2" s="1"/>
  <c r="G451" i="2"/>
  <c r="K451" i="2" s="1"/>
  <c r="G455" i="2"/>
  <c r="K455" i="2" s="1"/>
  <c r="G459" i="2"/>
  <c r="K459" i="2" s="1"/>
  <c r="G463" i="2"/>
  <c r="K463" i="2" s="1"/>
  <c r="G467" i="2"/>
  <c r="K467" i="2" s="1"/>
  <c r="G471" i="2"/>
  <c r="K471" i="2" s="1"/>
  <c r="G475" i="2"/>
  <c r="K475" i="2" s="1"/>
  <c r="G479" i="2"/>
  <c r="K479" i="2" s="1"/>
  <c r="G483" i="2"/>
  <c r="K483" i="2" s="1"/>
  <c r="G487" i="2"/>
  <c r="K487" i="2" s="1"/>
  <c r="G491" i="2"/>
  <c r="K491" i="2" s="1"/>
  <c r="G495" i="2"/>
  <c r="K495" i="2" s="1"/>
  <c r="G499" i="2"/>
  <c r="K499" i="2" s="1"/>
  <c r="G503" i="2"/>
  <c r="K503" i="2" s="1"/>
  <c r="G282" i="2"/>
  <c r="K282" i="2" s="1"/>
  <c r="G290" i="2"/>
  <c r="K290" i="2" s="1"/>
  <c r="G298" i="2"/>
  <c r="K298" i="2" s="1"/>
  <c r="G305" i="2"/>
  <c r="K305" i="2" s="1"/>
  <c r="G310" i="2"/>
  <c r="K310" i="2" s="1"/>
  <c r="G315" i="2"/>
  <c r="K315" i="2" s="1"/>
  <c r="G321" i="2"/>
  <c r="K321" i="2" s="1"/>
  <c r="G326" i="2"/>
  <c r="K326" i="2" s="1"/>
  <c r="G331" i="2"/>
  <c r="K331" i="2" s="1"/>
  <c r="G337" i="2"/>
  <c r="K337" i="2" s="1"/>
  <c r="G342" i="2"/>
  <c r="K342" i="2" s="1"/>
  <c r="G347" i="2"/>
  <c r="K347" i="2" s="1"/>
  <c r="G352" i="2"/>
  <c r="K352" i="2" s="1"/>
  <c r="G356" i="2"/>
  <c r="K356" i="2" s="1"/>
  <c r="G360" i="2"/>
  <c r="K360" i="2" s="1"/>
  <c r="G364" i="2"/>
  <c r="K364" i="2" s="1"/>
  <c r="G368" i="2"/>
  <c r="K368" i="2" s="1"/>
  <c r="G372" i="2"/>
  <c r="K372" i="2" s="1"/>
  <c r="G376" i="2"/>
  <c r="K376" i="2" s="1"/>
  <c r="G380" i="2"/>
  <c r="K380" i="2" s="1"/>
  <c r="G384" i="2"/>
  <c r="K384" i="2" s="1"/>
  <c r="G388" i="2"/>
  <c r="K388" i="2" s="1"/>
  <c r="G392" i="2"/>
  <c r="K392" i="2" s="1"/>
  <c r="G396" i="2"/>
  <c r="K396" i="2" s="1"/>
  <c r="G400" i="2"/>
  <c r="K400" i="2" s="1"/>
  <c r="G404" i="2"/>
  <c r="K404" i="2" s="1"/>
  <c r="G408" i="2"/>
  <c r="K408" i="2" s="1"/>
  <c r="G412" i="2"/>
  <c r="K412" i="2" s="1"/>
  <c r="G416" i="2"/>
  <c r="K416" i="2" s="1"/>
  <c r="G420" i="2"/>
  <c r="K420" i="2" s="1"/>
  <c r="G424" i="2"/>
  <c r="K424" i="2" s="1"/>
  <c r="G428" i="2"/>
  <c r="K428" i="2" s="1"/>
  <c r="G432" i="2"/>
  <c r="K432" i="2" s="1"/>
  <c r="G436" i="2"/>
  <c r="K436" i="2" s="1"/>
  <c r="G440" i="2"/>
  <c r="K440" i="2" s="1"/>
  <c r="G456" i="2"/>
  <c r="K456" i="2" s="1"/>
  <c r="G472" i="2"/>
  <c r="K472" i="2" s="1"/>
  <c r="G488" i="2"/>
  <c r="K488" i="2" s="1"/>
  <c r="G444" i="2"/>
  <c r="K444" i="2" s="1"/>
  <c r="G460" i="2"/>
  <c r="K460" i="2" s="1"/>
  <c r="G476" i="2"/>
  <c r="K476" i="2" s="1"/>
  <c r="G492" i="2"/>
  <c r="K492" i="2" s="1"/>
  <c r="G452" i="2"/>
  <c r="K452" i="2" s="1"/>
  <c r="G484" i="2"/>
  <c r="K484" i="2" s="1"/>
  <c r="G448" i="2"/>
  <c r="K448" i="2" s="1"/>
  <c r="G464" i="2"/>
  <c r="K464" i="2" s="1"/>
  <c r="G480" i="2"/>
  <c r="K480" i="2" s="1"/>
  <c r="G496" i="2"/>
  <c r="K496" i="2" s="1"/>
  <c r="G468" i="2"/>
  <c r="K468" i="2" s="1"/>
  <c r="G500" i="2"/>
  <c r="K500" i="2" s="1"/>
  <c r="F6" i="3"/>
  <c r="F14" i="3"/>
  <c r="F22" i="3"/>
  <c r="F31" i="3"/>
  <c r="F47" i="3"/>
  <c r="F63" i="3"/>
  <c r="F79" i="3"/>
  <c r="F95" i="3"/>
  <c r="F5" i="3"/>
  <c r="F21" i="3"/>
  <c r="F37" i="3"/>
  <c r="F43" i="3"/>
  <c r="F59" i="3"/>
  <c r="F75" i="3"/>
  <c r="F91" i="3"/>
  <c r="F107" i="3"/>
  <c r="F123" i="3"/>
  <c r="F139" i="3"/>
  <c r="F155" i="3"/>
  <c r="F171" i="3"/>
  <c r="F48" i="3"/>
  <c r="F80" i="3"/>
  <c r="F114" i="3"/>
  <c r="F132" i="3"/>
  <c r="F153" i="3"/>
  <c r="F174" i="3"/>
  <c r="F190" i="3"/>
  <c r="F206" i="3"/>
  <c r="F222" i="3"/>
  <c r="F230" i="3"/>
  <c r="F238" i="3"/>
  <c r="F246" i="3"/>
  <c r="F49" i="3"/>
  <c r="F81" i="3"/>
  <c r="F111" i="3"/>
  <c r="F136" i="3"/>
  <c r="F157" i="3"/>
  <c r="F177" i="3"/>
  <c r="F193" i="3"/>
  <c r="F209" i="3"/>
  <c r="F15" i="3"/>
  <c r="F61" i="3"/>
  <c r="F93" i="3"/>
  <c r="F119" i="3"/>
  <c r="F144" i="3"/>
  <c r="F165" i="3"/>
  <c r="F183" i="3"/>
  <c r="F199" i="3"/>
  <c r="F215" i="3"/>
  <c r="F227" i="3"/>
  <c r="F235" i="3"/>
  <c r="F243" i="3"/>
  <c r="F251" i="3"/>
  <c r="F259" i="3"/>
  <c r="F267" i="3"/>
  <c r="F275" i="3"/>
  <c r="F283" i="3"/>
  <c r="F291" i="3"/>
  <c r="F299" i="3"/>
  <c r="F307" i="3"/>
  <c r="F315" i="3"/>
  <c r="F323" i="3"/>
  <c r="F52" i="3"/>
  <c r="F141" i="3"/>
  <c r="F192" i="3"/>
  <c r="F338" i="3"/>
  <c r="F354" i="3"/>
  <c r="F370" i="3"/>
  <c r="F386" i="3"/>
  <c r="F402" i="3"/>
  <c r="F418" i="3"/>
  <c r="F434" i="3"/>
  <c r="F450" i="3"/>
  <c r="F100" i="3"/>
  <c r="F184" i="3"/>
  <c r="F252" i="3"/>
  <c r="F268" i="3"/>
  <c r="F284" i="3"/>
  <c r="F300" i="3"/>
  <c r="F316" i="3"/>
  <c r="F331" i="3"/>
  <c r="F347" i="3"/>
  <c r="F105" i="3"/>
  <c r="F208" i="3"/>
  <c r="F342" i="3"/>
  <c r="F358" i="3"/>
  <c r="F374" i="3"/>
  <c r="F390" i="3"/>
  <c r="F406" i="3"/>
  <c r="F422" i="3"/>
  <c r="F438" i="3"/>
  <c r="F454" i="3"/>
  <c r="F463" i="3"/>
  <c r="F471" i="3"/>
  <c r="F479" i="3"/>
  <c r="F487" i="3"/>
  <c r="F495" i="3"/>
  <c r="F503" i="3"/>
  <c r="F511" i="3"/>
  <c r="F519" i="3"/>
  <c r="F266" i="3"/>
  <c r="F340" i="3"/>
  <c r="F379" i="3"/>
  <c r="F411" i="3"/>
  <c r="F443" i="3"/>
  <c r="F474" i="3"/>
  <c r="F506" i="3"/>
  <c r="F189" i="3"/>
  <c r="F302" i="3"/>
  <c r="F359" i="3"/>
  <c r="F391" i="3"/>
  <c r="F423" i="3"/>
  <c r="F455" i="3"/>
  <c r="F488" i="3"/>
  <c r="F520" i="3"/>
  <c r="F528" i="3"/>
  <c r="F200" i="3"/>
  <c r="F306" i="3"/>
  <c r="F360" i="3"/>
  <c r="F392" i="3"/>
  <c r="F424" i="3"/>
  <c r="F456" i="3"/>
  <c r="F486" i="3"/>
  <c r="F518" i="3"/>
  <c r="F383" i="3"/>
  <c r="F516" i="3"/>
  <c r="F540" i="3"/>
  <c r="F555" i="3"/>
  <c r="F571" i="3"/>
  <c r="F587" i="3"/>
  <c r="F603" i="3"/>
  <c r="F619" i="3"/>
  <c r="F635" i="3"/>
  <c r="F651" i="3"/>
  <c r="F667" i="3"/>
  <c r="F683" i="3"/>
  <c r="F699" i="3"/>
  <c r="F715" i="3"/>
  <c r="F731" i="3"/>
  <c r="F747" i="3"/>
  <c r="F758" i="3"/>
  <c r="F766" i="3"/>
  <c r="F774" i="3"/>
  <c r="F782" i="3"/>
  <c r="F790" i="3"/>
  <c r="F798" i="3"/>
  <c r="F806" i="3"/>
  <c r="F814" i="3"/>
  <c r="F822" i="3"/>
  <c r="F830" i="3"/>
  <c r="F838" i="3"/>
  <c r="F846" i="3"/>
  <c r="F854" i="3"/>
  <c r="F862" i="3"/>
  <c r="F870" i="3"/>
  <c r="F878" i="3"/>
  <c r="F886" i="3"/>
  <c r="F894" i="3"/>
  <c r="F278" i="3"/>
  <c r="F452" i="3"/>
  <c r="F533" i="3"/>
  <c r="F549" i="3"/>
  <c r="F566" i="3"/>
  <c r="F582" i="3"/>
  <c r="F598" i="3"/>
  <c r="F614" i="3"/>
  <c r="F630" i="3"/>
  <c r="F646" i="3"/>
  <c r="F662" i="3"/>
  <c r="F678" i="3"/>
  <c r="F694" i="3"/>
  <c r="F710" i="3"/>
  <c r="F726" i="3"/>
  <c r="F742" i="3"/>
  <c r="F348" i="3"/>
  <c r="F468" i="3"/>
  <c r="F534" i="3"/>
  <c r="F550" i="3"/>
  <c r="F567" i="3"/>
  <c r="F583" i="3"/>
  <c r="F599" i="3"/>
  <c r="F615" i="3"/>
  <c r="F631" i="3"/>
  <c r="F647" i="3"/>
  <c r="F663" i="3"/>
  <c r="F679" i="3"/>
  <c r="F695" i="3"/>
  <c r="F711" i="3"/>
  <c r="F727" i="3"/>
  <c r="F743" i="3"/>
  <c r="F755" i="3"/>
  <c r="F763" i="3"/>
  <c r="F771" i="3"/>
  <c r="F779" i="3"/>
  <c r="F787" i="3"/>
  <c r="F795" i="3"/>
  <c r="F803" i="3"/>
  <c r="F811" i="3"/>
  <c r="F819" i="3"/>
  <c r="F827" i="3"/>
  <c r="F835" i="3"/>
  <c r="F843" i="3"/>
  <c r="F851" i="3"/>
  <c r="F859" i="3"/>
  <c r="F867" i="3"/>
  <c r="F875" i="3"/>
  <c r="F883" i="3"/>
  <c r="F891" i="3"/>
  <c r="F899" i="3"/>
  <c r="F907" i="3"/>
  <c r="F915" i="3"/>
  <c r="F923" i="3"/>
  <c r="F8" i="3"/>
  <c r="F16" i="3"/>
  <c r="F24" i="3"/>
  <c r="F34" i="3"/>
  <c r="F50" i="3"/>
  <c r="F66" i="3"/>
  <c r="F82" i="3"/>
  <c r="F98" i="3"/>
  <c r="F9" i="3"/>
  <c r="F25" i="3"/>
  <c r="F30" i="3"/>
  <c r="F46" i="3"/>
  <c r="F62" i="3"/>
  <c r="F78" i="3"/>
  <c r="F94" i="3"/>
  <c r="F110" i="3"/>
  <c r="F126" i="3"/>
  <c r="F142" i="3"/>
  <c r="F158" i="3"/>
  <c r="F7" i="3"/>
  <c r="F53" i="3"/>
  <c r="F85" i="3"/>
  <c r="F117" i="3"/>
  <c r="F135" i="3"/>
  <c r="F160" i="3"/>
  <c r="F179" i="3"/>
  <c r="F195" i="3"/>
  <c r="F211" i="3"/>
  <c r="F224" i="3"/>
  <c r="F232" i="3"/>
  <c r="F240" i="3"/>
  <c r="F11" i="3"/>
  <c r="F60" i="3"/>
  <c r="F92" i="3"/>
  <c r="F122" i="3"/>
  <c r="F140" i="3"/>
  <c r="F161" i="3"/>
  <c r="F180" i="3"/>
  <c r="F196" i="3"/>
  <c r="F212" i="3"/>
  <c r="F40" i="3"/>
  <c r="F72" i="3"/>
  <c r="F104" i="3"/>
  <c r="F130" i="3"/>
  <c r="F148" i="3"/>
  <c r="F169" i="3"/>
  <c r="F186" i="3"/>
  <c r="F202" i="3"/>
  <c r="F218" i="3"/>
  <c r="F229" i="3"/>
  <c r="F237" i="3"/>
  <c r="F245" i="3"/>
  <c r="F253" i="3"/>
  <c r="F261" i="3"/>
  <c r="F269" i="3"/>
  <c r="F277" i="3"/>
  <c r="F285" i="3"/>
  <c r="F293" i="3"/>
  <c r="F301" i="3"/>
  <c r="F309" i="3"/>
  <c r="F317" i="3"/>
  <c r="F325" i="3"/>
  <c r="F73" i="3"/>
  <c r="F156" i="3"/>
  <c r="F213" i="3"/>
  <c r="F341" i="3"/>
  <c r="F357" i="3"/>
  <c r="F373" i="3"/>
  <c r="F389" i="3"/>
  <c r="F405" i="3"/>
  <c r="F421" i="3"/>
  <c r="F437" i="3"/>
  <c r="F453" i="3"/>
  <c r="F145" i="3"/>
  <c r="F205" i="3"/>
  <c r="F256" i="3"/>
  <c r="F272" i="3"/>
  <c r="F288" i="3"/>
  <c r="F304" i="3"/>
  <c r="F320" i="3"/>
  <c r="F336" i="3"/>
  <c r="F352" i="3"/>
  <c r="F120" i="3"/>
  <c r="F329" i="3"/>
  <c r="F345" i="3"/>
  <c r="F361" i="3"/>
  <c r="F377" i="3"/>
  <c r="F393" i="3"/>
  <c r="F409" i="3"/>
  <c r="F425" i="3"/>
  <c r="F441" i="3"/>
  <c r="F457" i="3"/>
  <c r="F465" i="3"/>
  <c r="F473" i="3"/>
  <c r="F481" i="3"/>
  <c r="F489" i="3"/>
  <c r="F497" i="3"/>
  <c r="F505" i="3"/>
  <c r="F513" i="3"/>
  <c r="F124" i="3"/>
  <c r="F282" i="3"/>
  <c r="F351" i="3"/>
  <c r="F384" i="3"/>
  <c r="F416" i="3"/>
  <c r="F448" i="3"/>
  <c r="F482" i="3"/>
  <c r="F514" i="3"/>
  <c r="F254" i="3"/>
  <c r="F318" i="3"/>
  <c r="F364" i="3"/>
  <c r="F396" i="3"/>
  <c r="F428" i="3"/>
  <c r="F464" i="3"/>
  <c r="F496" i="3"/>
  <c r="F522" i="3"/>
  <c r="F530" i="3"/>
  <c r="F258" i="3"/>
  <c r="F322" i="3"/>
  <c r="F371" i="3"/>
  <c r="F403" i="3"/>
  <c r="F435" i="3"/>
  <c r="F462" i="3"/>
  <c r="F494" i="3"/>
  <c r="F109" i="3"/>
  <c r="F404" i="3"/>
  <c r="F525" i="3"/>
  <c r="F544" i="3"/>
  <c r="F560" i="3"/>
  <c r="F576" i="3"/>
  <c r="F592" i="3"/>
  <c r="F608" i="3"/>
  <c r="F624" i="3"/>
  <c r="F640" i="3"/>
  <c r="F656" i="3"/>
  <c r="F672" i="3"/>
  <c r="F688" i="3"/>
  <c r="F704" i="3"/>
  <c r="F720" i="3"/>
  <c r="F736" i="3"/>
  <c r="F752" i="3"/>
  <c r="F760" i="3"/>
  <c r="F768" i="3"/>
  <c r="F776" i="3"/>
  <c r="F784" i="3"/>
  <c r="F792" i="3"/>
  <c r="F800" i="3"/>
  <c r="F808" i="3"/>
  <c r="F816" i="3"/>
  <c r="F824" i="3"/>
  <c r="F832" i="3"/>
  <c r="F840" i="3"/>
  <c r="F848" i="3"/>
  <c r="F856" i="3"/>
  <c r="F864" i="3"/>
  <c r="F872" i="3"/>
  <c r="F880" i="3"/>
  <c r="F888" i="3"/>
  <c r="F896" i="3"/>
  <c r="F367" i="3"/>
  <c r="F476" i="3"/>
  <c r="F537" i="3"/>
  <c r="F553" i="3"/>
  <c r="F569" i="3"/>
  <c r="F585" i="3"/>
  <c r="F601" i="3"/>
  <c r="F617" i="3"/>
  <c r="F633" i="3"/>
  <c r="F649" i="3"/>
  <c r="F665" i="3"/>
  <c r="F681" i="3"/>
  <c r="F697" i="3"/>
  <c r="F713" i="3"/>
  <c r="F729" i="3"/>
  <c r="F745" i="3"/>
  <c r="F372" i="3"/>
  <c r="F500" i="3"/>
  <c r="F538" i="3"/>
  <c r="F556" i="3"/>
  <c r="F572" i="3"/>
  <c r="F588" i="3"/>
  <c r="F604" i="3"/>
  <c r="F620" i="3"/>
  <c r="F636" i="3"/>
  <c r="F652" i="3"/>
  <c r="F668" i="3"/>
  <c r="F684" i="3"/>
  <c r="F700" i="3"/>
  <c r="F716" i="3"/>
  <c r="F732" i="3"/>
  <c r="F748" i="3"/>
  <c r="F757" i="3"/>
  <c r="F765" i="3"/>
  <c r="F773" i="3"/>
  <c r="F781" i="3"/>
  <c r="F789" i="3"/>
  <c r="F797" i="3"/>
  <c r="F805" i="3"/>
  <c r="F813" i="3"/>
  <c r="F821" i="3"/>
  <c r="F829" i="3"/>
  <c r="F837" i="3"/>
  <c r="F845" i="3"/>
  <c r="F853" i="3"/>
  <c r="F861" i="3"/>
  <c r="F869" i="3"/>
  <c r="F877" i="3"/>
  <c r="F885" i="3"/>
  <c r="F893" i="3"/>
  <c r="F901" i="3"/>
  <c r="F909" i="3"/>
  <c r="F917" i="3"/>
  <c r="F925" i="3"/>
  <c r="F3" i="3"/>
  <c r="F10" i="3"/>
  <c r="F18" i="3"/>
  <c r="F26" i="3"/>
  <c r="F39" i="3"/>
  <c r="F55" i="3"/>
  <c r="F71" i="3"/>
  <c r="F87" i="3"/>
  <c r="F103" i="3"/>
  <c r="F13" i="3"/>
  <c r="F29" i="3"/>
  <c r="F35" i="3"/>
  <c r="F51" i="3"/>
  <c r="F67" i="3"/>
  <c r="F83" i="3"/>
  <c r="F99" i="3"/>
  <c r="F115" i="3"/>
  <c r="F131" i="3"/>
  <c r="F147" i="3"/>
  <c r="F163" i="3"/>
  <c r="F23" i="3"/>
  <c r="F64" i="3"/>
  <c r="F96" i="3"/>
  <c r="F121" i="3"/>
  <c r="F146" i="3"/>
  <c r="F164" i="3"/>
  <c r="F182" i="3"/>
  <c r="F198" i="3"/>
  <c r="F214" i="3"/>
  <c r="F226" i="3"/>
  <c r="F234" i="3"/>
  <c r="F242" i="3"/>
  <c r="F27" i="3"/>
  <c r="F65" i="3"/>
  <c r="F97" i="3"/>
  <c r="F125" i="3"/>
  <c r="F143" i="3"/>
  <c r="F168" i="3"/>
  <c r="F185" i="3"/>
  <c r="F201" i="3"/>
  <c r="F217" i="3"/>
  <c r="F45" i="3"/>
  <c r="F77" i="3"/>
  <c r="F112" i="3"/>
  <c r="F133" i="3"/>
  <c r="F151" i="3"/>
  <c r="F175" i="3"/>
  <c r="F191" i="3"/>
  <c r="F207" i="3"/>
  <c r="F223" i="3"/>
  <c r="F231" i="3"/>
  <c r="F239" i="3"/>
  <c r="F247" i="3"/>
  <c r="F255" i="3"/>
  <c r="F263" i="3"/>
  <c r="F271" i="3"/>
  <c r="F279" i="3"/>
  <c r="F287" i="3"/>
  <c r="F295" i="3"/>
  <c r="F303" i="3"/>
  <c r="F311" i="3"/>
  <c r="F319" i="3"/>
  <c r="F327" i="3"/>
  <c r="F113" i="3"/>
  <c r="F170" i="3"/>
  <c r="F330" i="3"/>
  <c r="F346" i="3"/>
  <c r="F362" i="3"/>
  <c r="F378" i="3"/>
  <c r="F394" i="3"/>
  <c r="F410" i="3"/>
  <c r="F426" i="3"/>
  <c r="F442" i="3"/>
  <c r="F33" i="3"/>
  <c r="F159" i="3"/>
  <c r="F216" i="3"/>
  <c r="F260" i="3"/>
  <c r="F276" i="3"/>
  <c r="F292" i="3"/>
  <c r="F308" i="3"/>
  <c r="F324" i="3"/>
  <c r="F339" i="3"/>
  <c r="F41" i="3"/>
  <c r="F176" i="3"/>
  <c r="F334" i="3"/>
  <c r="F350" i="3"/>
  <c r="F366" i="3"/>
  <c r="F382" i="3"/>
  <c r="F398" i="3"/>
  <c r="F414" i="3"/>
  <c r="F430" i="3"/>
  <c r="F446" i="3"/>
  <c r="F459" i="3"/>
  <c r="F467" i="3"/>
  <c r="F475" i="3"/>
  <c r="F483" i="3"/>
  <c r="F491" i="3"/>
  <c r="F499" i="3"/>
  <c r="F507" i="3"/>
  <c r="F515" i="3"/>
  <c r="F221" i="3"/>
  <c r="F298" i="3"/>
  <c r="F363" i="3"/>
  <c r="F395" i="3"/>
  <c r="F427" i="3"/>
  <c r="F458" i="3"/>
  <c r="F490" i="3"/>
  <c r="F68" i="3"/>
  <c r="F270" i="3"/>
  <c r="F332" i="3"/>
  <c r="F375" i="3"/>
  <c r="F407" i="3"/>
  <c r="F439" i="3"/>
  <c r="F472" i="3"/>
  <c r="F504" i="3"/>
  <c r="F524" i="3"/>
  <c r="F89" i="3"/>
  <c r="F274" i="3"/>
  <c r="F335" i="3"/>
  <c r="F376" i="3"/>
  <c r="F408" i="3"/>
  <c r="F440" i="3"/>
  <c r="F470" i="3"/>
  <c r="F502" i="3"/>
  <c r="F262" i="3"/>
  <c r="F447" i="3"/>
  <c r="F532" i="3"/>
  <c r="F548" i="3"/>
  <c r="F563" i="3"/>
  <c r="F579" i="3"/>
  <c r="F595" i="3"/>
  <c r="F611" i="3"/>
  <c r="F627" i="3"/>
  <c r="F643" i="3"/>
  <c r="F659" i="3"/>
  <c r="F675" i="3"/>
  <c r="F691" i="3"/>
  <c r="F707" i="3"/>
  <c r="F723" i="3"/>
  <c r="F739" i="3"/>
  <c r="F754" i="3"/>
  <c r="F762" i="3"/>
  <c r="F770" i="3"/>
  <c r="F778" i="3"/>
  <c r="F786" i="3"/>
  <c r="F794" i="3"/>
  <c r="F802" i="3"/>
  <c r="F810" i="3"/>
  <c r="F818" i="3"/>
  <c r="F826" i="3"/>
  <c r="F834" i="3"/>
  <c r="F842" i="3"/>
  <c r="F850" i="3"/>
  <c r="F858" i="3"/>
  <c r="F866" i="3"/>
  <c r="F874" i="3"/>
  <c r="F882" i="3"/>
  <c r="F890" i="3"/>
  <c r="F898" i="3"/>
  <c r="F388" i="3"/>
  <c r="F508" i="3"/>
  <c r="F541" i="3"/>
  <c r="F558" i="3"/>
  <c r="F574" i="3"/>
  <c r="F590" i="3"/>
  <c r="F606" i="3"/>
  <c r="F622" i="3"/>
  <c r="F638" i="3"/>
  <c r="F654" i="3"/>
  <c r="F670" i="3"/>
  <c r="F20" i="3"/>
  <c r="F74" i="3"/>
  <c r="F32" i="3"/>
  <c r="F86" i="3"/>
  <c r="F150" i="3"/>
  <c r="F101" i="3"/>
  <c r="F187" i="3"/>
  <c r="F236" i="3"/>
  <c r="F108" i="3"/>
  <c r="F188" i="3"/>
  <c r="F88" i="3"/>
  <c r="F178" i="3"/>
  <c r="F233" i="3"/>
  <c r="F265" i="3"/>
  <c r="F297" i="3"/>
  <c r="F19" i="3"/>
  <c r="F349" i="3"/>
  <c r="F413" i="3"/>
  <c r="F173" i="3"/>
  <c r="F296" i="3"/>
  <c r="F84" i="3"/>
  <c r="F369" i="3"/>
  <c r="F433" i="3"/>
  <c r="F477" i="3"/>
  <c r="F509" i="3"/>
  <c r="F368" i="3"/>
  <c r="F498" i="3"/>
  <c r="F380" i="3"/>
  <c r="F512" i="3"/>
  <c r="F355" i="3"/>
  <c r="F478" i="3"/>
  <c r="F536" i="3"/>
  <c r="F600" i="3"/>
  <c r="F664" i="3"/>
  <c r="F728" i="3"/>
  <c r="F772" i="3"/>
  <c r="F804" i="3"/>
  <c r="F836" i="3"/>
  <c r="F868" i="3"/>
  <c r="F900" i="3"/>
  <c r="F561" i="3"/>
  <c r="F625" i="3"/>
  <c r="F686" i="3"/>
  <c r="F718" i="3"/>
  <c r="F750" i="3"/>
  <c r="F521" i="3"/>
  <c r="F559" i="3"/>
  <c r="F591" i="3"/>
  <c r="F623" i="3"/>
  <c r="F655" i="3"/>
  <c r="F687" i="3"/>
  <c r="F719" i="3"/>
  <c r="F751" i="3"/>
  <c r="F767" i="3"/>
  <c r="F783" i="3"/>
  <c r="F799" i="3"/>
  <c r="F815" i="3"/>
  <c r="F831" i="3"/>
  <c r="F847" i="3"/>
  <c r="F863" i="3"/>
  <c r="F879" i="3"/>
  <c r="F895" i="3"/>
  <c r="F911" i="3"/>
  <c r="F927" i="3"/>
  <c r="F935" i="3"/>
  <c r="F943" i="3"/>
  <c r="F951" i="3"/>
  <c r="F399" i="3"/>
  <c r="F586" i="3"/>
  <c r="F650" i="3"/>
  <c r="F714" i="3"/>
  <c r="F908" i="3"/>
  <c r="F924" i="3"/>
  <c r="F940" i="3"/>
  <c r="F956" i="3"/>
  <c r="F973" i="3"/>
  <c r="F989" i="3"/>
  <c r="F605" i="3"/>
  <c r="F975" i="3"/>
  <c r="F420" i="3"/>
  <c r="F578" i="3"/>
  <c r="F642" i="3"/>
  <c r="F706" i="3"/>
  <c r="F960" i="3"/>
  <c r="F976" i="3"/>
  <c r="F992" i="3"/>
  <c r="F626" i="3"/>
  <c r="F972" i="3"/>
  <c r="F531" i="3"/>
  <c r="F602" i="3"/>
  <c r="F666" i="3"/>
  <c r="F730" i="3"/>
  <c r="F910" i="3"/>
  <c r="F926" i="3"/>
  <c r="F942" i="3"/>
  <c r="F958" i="3"/>
  <c r="F974" i="3"/>
  <c r="F990" i="3"/>
  <c r="F562" i="3"/>
  <c r="F669" i="3"/>
  <c r="F988" i="3"/>
  <c r="F657" i="3"/>
  <c r="F575" i="3"/>
  <c r="F671" i="3"/>
  <c r="F759" i="3"/>
  <c r="F807" i="3"/>
  <c r="F855" i="3"/>
  <c r="F903" i="3"/>
  <c r="F931" i="3"/>
  <c r="F955" i="3"/>
  <c r="F682" i="3"/>
  <c r="F932" i="3"/>
  <c r="F981" i="3"/>
  <c r="F999" i="3"/>
  <c r="F674" i="3"/>
  <c r="F984" i="3"/>
  <c r="F356" i="3"/>
  <c r="F698" i="3"/>
  <c r="F918" i="3"/>
  <c r="F966" i="3"/>
  <c r="F594" i="3"/>
  <c r="F12" i="3"/>
  <c r="F70" i="3"/>
  <c r="F228" i="3"/>
  <c r="F56" i="3"/>
  <c r="F257" i="3"/>
  <c r="F333" i="3"/>
  <c r="F280" i="3"/>
  <c r="F417" i="3"/>
  <c r="F314" i="3"/>
  <c r="F290" i="3"/>
  <c r="F584" i="3"/>
  <c r="F764" i="3"/>
  <c r="F860" i="3"/>
  <c r="F545" i="3"/>
  <c r="F705" i="3"/>
  <c r="F546" i="3"/>
  <c r="F644" i="3"/>
  <c r="F740" i="3"/>
  <c r="F793" i="3"/>
  <c r="F825" i="3"/>
  <c r="F873" i="3"/>
  <c r="F921" i="3"/>
  <c r="F949" i="3"/>
  <c r="F693" i="3"/>
  <c r="F936" i="3"/>
  <c r="F986" i="3"/>
  <c r="F310" i="3"/>
  <c r="F685" i="3"/>
  <c r="F971" i="3"/>
  <c r="F964" i="3"/>
  <c r="F645" i="3"/>
  <c r="F922" i="3"/>
  <c r="F969" i="3"/>
  <c r="F637" i="3"/>
  <c r="F28" i="3"/>
  <c r="F90" i="3"/>
  <c r="F38" i="3"/>
  <c r="F102" i="3"/>
  <c r="F166" i="3"/>
  <c r="F128" i="3"/>
  <c r="F203" i="3"/>
  <c r="F244" i="3"/>
  <c r="F129" i="3"/>
  <c r="F204" i="3"/>
  <c r="F116" i="3"/>
  <c r="F194" i="3"/>
  <c r="F241" i="3"/>
  <c r="F273" i="3"/>
  <c r="F305" i="3"/>
  <c r="F127" i="3"/>
  <c r="F365" i="3"/>
  <c r="F429" i="3"/>
  <c r="F248" i="3"/>
  <c r="F312" i="3"/>
  <c r="F197" i="3"/>
  <c r="F385" i="3"/>
  <c r="F449" i="3"/>
  <c r="F485" i="3"/>
  <c r="F517" i="3"/>
  <c r="F400" i="3"/>
  <c r="F138" i="3"/>
  <c r="F412" i="3"/>
  <c r="F526" i="3"/>
  <c r="F387" i="3"/>
  <c r="F510" i="3"/>
  <c r="F552" i="3"/>
  <c r="F616" i="3"/>
  <c r="F680" i="3"/>
  <c r="F744" i="3"/>
  <c r="F780" i="3"/>
  <c r="F812" i="3"/>
  <c r="F844" i="3"/>
  <c r="F876" i="3"/>
  <c r="F431" i="3"/>
  <c r="F577" i="3"/>
  <c r="F641" i="3"/>
  <c r="F689" i="3"/>
  <c r="F721" i="3"/>
  <c r="F294" i="3"/>
  <c r="F529" i="3"/>
  <c r="F564" i="3"/>
  <c r="F596" i="3"/>
  <c r="F628" i="3"/>
  <c r="F660" i="3"/>
  <c r="F692" i="3"/>
  <c r="F724" i="3"/>
  <c r="F753" i="3"/>
  <c r="F769" i="3"/>
  <c r="F785" i="3"/>
  <c r="F801" i="3"/>
  <c r="F817" i="3"/>
  <c r="F833" i="3"/>
  <c r="F849" i="3"/>
  <c r="F865" i="3"/>
  <c r="F881" i="3"/>
  <c r="F897" i="3"/>
  <c r="F913" i="3"/>
  <c r="F929" i="3"/>
  <c r="F937" i="3"/>
  <c r="F945" i="3"/>
  <c r="F953" i="3"/>
  <c r="F539" i="3"/>
  <c r="F597" i="3"/>
  <c r="F661" i="3"/>
  <c r="F725" i="3"/>
  <c r="F912" i="3"/>
  <c r="F928" i="3"/>
  <c r="F944" i="3"/>
  <c r="F962" i="3"/>
  <c r="F978" i="3"/>
  <c r="F994" i="3"/>
  <c r="F690" i="3"/>
  <c r="F983" i="3"/>
  <c r="F523" i="3"/>
  <c r="F589" i="3"/>
  <c r="F653" i="3"/>
  <c r="F717" i="3"/>
  <c r="F963" i="3"/>
  <c r="F979" i="3"/>
  <c r="F995" i="3"/>
  <c r="F658" i="3"/>
  <c r="F991" i="3"/>
  <c r="F547" i="3"/>
  <c r="F613" i="3"/>
  <c r="F677" i="3"/>
  <c r="F741" i="3"/>
  <c r="F914" i="3"/>
  <c r="F930" i="3"/>
  <c r="F946" i="3"/>
  <c r="F961" i="3"/>
  <c r="F977" i="3"/>
  <c r="F993" i="3"/>
  <c r="F573" i="3"/>
  <c r="F722" i="3"/>
  <c r="F996" i="3"/>
  <c r="F632" i="3"/>
  <c r="F820" i="3"/>
  <c r="F884" i="3"/>
  <c r="F593" i="3"/>
  <c r="F734" i="3"/>
  <c r="F542" i="3"/>
  <c r="F639" i="3"/>
  <c r="F703" i="3"/>
  <c r="F775" i="3"/>
  <c r="F823" i="3"/>
  <c r="F871" i="3"/>
  <c r="F919" i="3"/>
  <c r="F947" i="3"/>
  <c r="F618" i="3"/>
  <c r="F746" i="3"/>
  <c r="F948" i="3"/>
  <c r="F997" i="3"/>
  <c r="F543" i="3"/>
  <c r="F738" i="3"/>
  <c r="F1000" i="3"/>
  <c r="F570" i="3"/>
  <c r="F902" i="3"/>
  <c r="F950" i="3"/>
  <c r="F982" i="3"/>
  <c r="F959" i="3"/>
  <c r="F58" i="3"/>
  <c r="F134" i="3"/>
  <c r="F167" i="3"/>
  <c r="F172" i="3"/>
  <c r="F225" i="3"/>
  <c r="F321" i="3"/>
  <c r="F57" i="3"/>
  <c r="F353" i="3"/>
  <c r="F501" i="3"/>
  <c r="F343" i="3"/>
  <c r="F451" i="3"/>
  <c r="F648" i="3"/>
  <c r="F796" i="3"/>
  <c r="F892" i="3"/>
  <c r="F673" i="3"/>
  <c r="F436" i="3"/>
  <c r="F612" i="3"/>
  <c r="F708" i="3"/>
  <c r="F777" i="3"/>
  <c r="F841" i="3"/>
  <c r="F889" i="3"/>
  <c r="F933" i="3"/>
  <c r="F957" i="3"/>
  <c r="F629" i="3"/>
  <c r="F920" i="3"/>
  <c r="F970" i="3"/>
  <c r="F967" i="3"/>
  <c r="F621" i="3"/>
  <c r="F987" i="3"/>
  <c r="F492" i="3"/>
  <c r="F709" i="3"/>
  <c r="F938" i="3"/>
  <c r="F985" i="3"/>
  <c r="F980" i="3"/>
  <c r="F4" i="3"/>
  <c r="F42" i="3"/>
  <c r="F106" i="3"/>
  <c r="F54" i="3"/>
  <c r="F118" i="3"/>
  <c r="F36" i="3"/>
  <c r="F149" i="3"/>
  <c r="F219" i="3"/>
  <c r="F44" i="3"/>
  <c r="F154" i="3"/>
  <c r="F220" i="3"/>
  <c r="F137" i="3"/>
  <c r="F210" i="3"/>
  <c r="F249" i="3"/>
  <c r="F281" i="3"/>
  <c r="F313" i="3"/>
  <c r="F181" i="3"/>
  <c r="F381" i="3"/>
  <c r="F445" i="3"/>
  <c r="F264" i="3"/>
  <c r="F328" i="3"/>
  <c r="F337" i="3"/>
  <c r="F401" i="3"/>
  <c r="F461" i="3"/>
  <c r="F493" i="3"/>
  <c r="F250" i="3"/>
  <c r="F432" i="3"/>
  <c r="F286" i="3"/>
  <c r="F444" i="3"/>
  <c r="F152" i="3"/>
  <c r="F419" i="3"/>
  <c r="F326" i="3"/>
  <c r="F568" i="3"/>
  <c r="F696" i="3"/>
  <c r="F756" i="3"/>
  <c r="F788" i="3"/>
  <c r="F852" i="3"/>
  <c r="F527" i="3"/>
  <c r="F702" i="3"/>
  <c r="F415" i="3"/>
  <c r="F607" i="3"/>
  <c r="F735" i="3"/>
  <c r="F791" i="3"/>
  <c r="F839" i="3"/>
  <c r="F887" i="3"/>
  <c r="F939" i="3"/>
  <c r="F554" i="3"/>
  <c r="F916" i="3"/>
  <c r="F965" i="3"/>
  <c r="F733" i="3"/>
  <c r="F610" i="3"/>
  <c r="F968" i="3"/>
  <c r="F701" i="3"/>
  <c r="F634" i="3"/>
  <c r="F934" i="3"/>
  <c r="F998" i="3"/>
  <c r="F17" i="3"/>
  <c r="F69" i="3"/>
  <c r="F76" i="3"/>
  <c r="F162" i="3"/>
  <c r="F289" i="3"/>
  <c r="F397" i="3"/>
  <c r="F344" i="3"/>
  <c r="F469" i="3"/>
  <c r="F466" i="3"/>
  <c r="F480" i="3"/>
  <c r="F484" i="3"/>
  <c r="F712" i="3"/>
  <c r="F828" i="3"/>
  <c r="F609" i="3"/>
  <c r="F737" i="3"/>
  <c r="F580" i="3"/>
  <c r="F676" i="3"/>
  <c r="F761" i="3"/>
  <c r="F809" i="3"/>
  <c r="F857" i="3"/>
  <c r="F905" i="3"/>
  <c r="F941" i="3"/>
  <c r="F565" i="3"/>
  <c r="F904" i="3"/>
  <c r="F952" i="3"/>
  <c r="F460" i="3"/>
  <c r="F557" i="3"/>
  <c r="F749" i="3"/>
  <c r="F551" i="3"/>
  <c r="F581" i="3"/>
  <c r="F906" i="3"/>
  <c r="F954" i="3"/>
  <c r="F535" i="3"/>
  <c r="L2" i="3"/>
  <c r="J2" i="3" l="1"/>
  <c r="J500" i="2"/>
  <c r="J464" i="2"/>
  <c r="J492" i="2"/>
  <c r="J488" i="2"/>
  <c r="J436" i="2"/>
  <c r="J420" i="2"/>
  <c r="J404" i="2"/>
  <c r="J388" i="2"/>
  <c r="J372" i="2"/>
  <c r="J356" i="2"/>
  <c r="J337" i="2"/>
  <c r="J315" i="2"/>
  <c r="J290" i="2"/>
  <c r="J495" i="2"/>
  <c r="J479" i="2"/>
  <c r="J463" i="2"/>
  <c r="J447" i="2"/>
  <c r="J431" i="2"/>
  <c r="J415" i="2"/>
  <c r="J399" i="2"/>
  <c r="J383" i="2"/>
  <c r="J367" i="2"/>
  <c r="J351" i="2"/>
  <c r="J330" i="2"/>
  <c r="J309" i="2"/>
  <c r="J278" i="2"/>
  <c r="J490" i="2"/>
  <c r="J474" i="2"/>
  <c r="J458" i="2"/>
  <c r="J442" i="2"/>
  <c r="J426" i="2"/>
  <c r="J410" i="2"/>
  <c r="J394" i="2"/>
  <c r="J378" i="2"/>
  <c r="J362" i="2"/>
  <c r="J345" i="2"/>
  <c r="J323" i="2"/>
  <c r="J302" i="2"/>
  <c r="J501" i="2"/>
  <c r="J485" i="2"/>
  <c r="J469" i="2"/>
  <c r="J453" i="2"/>
  <c r="J437" i="2"/>
  <c r="J421" i="2"/>
  <c r="J405" i="2"/>
  <c r="J389" i="2"/>
  <c r="J373" i="2"/>
  <c r="J357" i="2"/>
  <c r="J338" i="2"/>
  <c r="J317" i="2"/>
  <c r="J293" i="2"/>
  <c r="J344" i="2"/>
  <c r="J328" i="2"/>
  <c r="J312" i="2"/>
  <c r="J296" i="2"/>
  <c r="J280" i="2"/>
  <c r="J264" i="2"/>
  <c r="J248" i="2"/>
  <c r="J232" i="2"/>
  <c r="J216" i="2"/>
  <c r="J200" i="2"/>
  <c r="J184" i="2"/>
  <c r="J168" i="2"/>
  <c r="J152" i="2"/>
  <c r="J136" i="2"/>
  <c r="J120" i="2"/>
  <c r="J104" i="2"/>
  <c r="J88" i="2"/>
  <c r="J72" i="2"/>
  <c r="J56" i="2"/>
  <c r="J40" i="2"/>
  <c r="J24" i="2"/>
  <c r="J299" i="2"/>
  <c r="J283" i="2"/>
  <c r="J267" i="2"/>
  <c r="J251" i="2"/>
  <c r="J235" i="2"/>
  <c r="J219" i="2"/>
  <c r="J203" i="2"/>
  <c r="J187" i="2"/>
  <c r="J171" i="2"/>
  <c r="J155" i="2"/>
  <c r="J139" i="2"/>
  <c r="J123" i="2"/>
  <c r="J107" i="2"/>
  <c r="J91" i="2"/>
  <c r="J75" i="2"/>
  <c r="J59" i="2"/>
  <c r="J43" i="2"/>
  <c r="J27" i="2"/>
  <c r="J11" i="2"/>
  <c r="J254" i="2"/>
  <c r="J238" i="2"/>
  <c r="J222" i="2"/>
  <c r="J206" i="2"/>
  <c r="J190" i="2"/>
  <c r="J174" i="2"/>
  <c r="J158" i="2"/>
  <c r="J142" i="2"/>
  <c r="J126" i="2"/>
  <c r="J110" i="2"/>
  <c r="J94" i="2"/>
  <c r="J78" i="2"/>
  <c r="J62" i="2"/>
  <c r="J46" i="2"/>
  <c r="J30" i="2"/>
  <c r="J14" i="2"/>
  <c r="J273" i="2"/>
  <c r="J257" i="2"/>
  <c r="J241" i="2"/>
  <c r="J225" i="2"/>
  <c r="J209" i="2"/>
  <c r="J193" i="2"/>
  <c r="J177" i="2"/>
  <c r="J161" i="2"/>
  <c r="J145" i="2"/>
  <c r="J129" i="2"/>
  <c r="J113" i="2"/>
  <c r="J97" i="2"/>
  <c r="J81" i="2"/>
  <c r="J65" i="2"/>
  <c r="J49" i="2"/>
  <c r="J33" i="2"/>
  <c r="J17" i="2"/>
  <c r="J468" i="2"/>
  <c r="J448" i="2"/>
  <c r="J476" i="2"/>
  <c r="J472" i="2"/>
  <c r="J432" i="2"/>
  <c r="J416" i="2"/>
  <c r="J400" i="2"/>
  <c r="J384" i="2"/>
  <c r="J368" i="2"/>
  <c r="J352" i="2"/>
  <c r="J331" i="2"/>
  <c r="J310" i="2"/>
  <c r="J282" i="2"/>
  <c r="J491" i="2"/>
  <c r="J475" i="2"/>
  <c r="J459" i="2"/>
  <c r="J443" i="2"/>
  <c r="J427" i="2"/>
  <c r="J411" i="2"/>
  <c r="J395" i="2"/>
  <c r="J379" i="2"/>
  <c r="J363" i="2"/>
  <c r="J346" i="2"/>
  <c r="J325" i="2"/>
  <c r="J303" i="2"/>
  <c r="J502" i="2"/>
  <c r="J486" i="2"/>
  <c r="J470" i="2"/>
  <c r="J454" i="2"/>
  <c r="J438" i="2"/>
  <c r="J422" i="2"/>
  <c r="J406" i="2"/>
  <c r="J390" i="2"/>
  <c r="J374" i="2"/>
  <c r="J358" i="2"/>
  <c r="J339" i="2"/>
  <c r="J318" i="2"/>
  <c r="J294" i="2"/>
  <c r="J497" i="2"/>
  <c r="J481" i="2"/>
  <c r="J465" i="2"/>
  <c r="J449" i="2"/>
  <c r="J433" i="2"/>
  <c r="J417" i="2"/>
  <c r="J401" i="2"/>
  <c r="J385" i="2"/>
  <c r="J369" i="2"/>
  <c r="J353" i="2"/>
  <c r="J333" i="2"/>
  <c r="J311" i="2"/>
  <c r="J285" i="2"/>
  <c r="J340" i="2"/>
  <c r="J324" i="2"/>
  <c r="J308" i="2"/>
  <c r="J292" i="2"/>
  <c r="J276" i="2"/>
  <c r="J260" i="2"/>
  <c r="J244" i="2"/>
  <c r="J228" i="2"/>
  <c r="J212" i="2"/>
  <c r="J196" i="2"/>
  <c r="J180" i="2"/>
  <c r="J164" i="2"/>
  <c r="J148" i="2"/>
  <c r="J132" i="2"/>
  <c r="J116" i="2"/>
  <c r="J100" i="2"/>
  <c r="J84" i="2"/>
  <c r="J68" i="2"/>
  <c r="J52" i="2"/>
  <c r="J36" i="2"/>
  <c r="J20" i="2"/>
  <c r="J295" i="2"/>
  <c r="J279" i="2"/>
  <c r="J263" i="2"/>
  <c r="J247" i="2"/>
  <c r="J231" i="2"/>
  <c r="J215" i="2"/>
  <c r="J199" i="2"/>
  <c r="J183" i="2"/>
  <c r="J167" i="2"/>
  <c r="J151" i="2"/>
  <c r="J135" i="2"/>
  <c r="J119" i="2"/>
  <c r="J103" i="2"/>
  <c r="J87" i="2"/>
  <c r="J71" i="2"/>
  <c r="J55" i="2"/>
  <c r="J39" i="2"/>
  <c r="J23" i="2"/>
  <c r="J266" i="2"/>
  <c r="J250" i="2"/>
  <c r="J234" i="2"/>
  <c r="J218" i="2"/>
  <c r="J202" i="2"/>
  <c r="J186" i="2"/>
  <c r="J170" i="2"/>
  <c r="J154" i="2"/>
  <c r="J138" i="2"/>
  <c r="J122" i="2"/>
  <c r="J106" i="2"/>
  <c r="J90" i="2"/>
  <c r="J74" i="2"/>
  <c r="J58" i="2"/>
  <c r="J42" i="2"/>
  <c r="J26" i="2"/>
  <c r="J10" i="2"/>
  <c r="J269" i="2"/>
  <c r="J253" i="2"/>
  <c r="J237" i="2"/>
  <c r="J221" i="2"/>
  <c r="J205" i="2"/>
  <c r="J189" i="2"/>
  <c r="J173" i="2"/>
  <c r="J157" i="2"/>
  <c r="J141" i="2"/>
  <c r="J125" i="2"/>
  <c r="J109" i="2"/>
  <c r="J93" i="2"/>
  <c r="J77" i="2"/>
  <c r="J61" i="2"/>
  <c r="J45" i="2"/>
  <c r="J29" i="2"/>
  <c r="J13" i="2"/>
  <c r="J496" i="2"/>
  <c r="J484" i="2"/>
  <c r="J460" i="2"/>
  <c r="J456" i="2"/>
  <c r="J428" i="2"/>
  <c r="J412" i="2"/>
  <c r="J396" i="2"/>
  <c r="J380" i="2"/>
  <c r="J364" i="2"/>
  <c r="J347" i="2"/>
  <c r="J326" i="2"/>
  <c r="J305" i="2"/>
  <c r="J503" i="2"/>
  <c r="J487" i="2"/>
  <c r="J471" i="2"/>
  <c r="J455" i="2"/>
  <c r="J439" i="2"/>
  <c r="J423" i="2"/>
  <c r="J407" i="2"/>
  <c r="J391" i="2"/>
  <c r="J375" i="2"/>
  <c r="J359" i="2"/>
  <c r="J341" i="2"/>
  <c r="J319" i="2"/>
  <c r="J297" i="2"/>
  <c r="J498" i="2"/>
  <c r="J482" i="2"/>
  <c r="J466" i="2"/>
  <c r="J450" i="2"/>
  <c r="J434" i="2"/>
  <c r="J418" i="2"/>
  <c r="J402" i="2"/>
  <c r="J386" i="2"/>
  <c r="J370" i="2"/>
  <c r="J354" i="2"/>
  <c r="J334" i="2"/>
  <c r="J313" i="2"/>
  <c r="J286" i="2"/>
  <c r="J493" i="2"/>
  <c r="J477" i="2"/>
  <c r="J461" i="2"/>
  <c r="J445" i="2"/>
  <c r="J429" i="2"/>
  <c r="J413" i="2"/>
  <c r="J397" i="2"/>
  <c r="J381" i="2"/>
  <c r="J365" i="2"/>
  <c r="J349" i="2"/>
  <c r="J327" i="2"/>
  <c r="J306" i="2"/>
  <c r="J270" i="2"/>
  <c r="J336" i="2"/>
  <c r="J320" i="2"/>
  <c r="J304" i="2"/>
  <c r="J288" i="2"/>
  <c r="J272" i="2"/>
  <c r="J256" i="2"/>
  <c r="J240" i="2"/>
  <c r="J224" i="2"/>
  <c r="J208" i="2"/>
  <c r="J192" i="2"/>
  <c r="J176" i="2"/>
  <c r="J160" i="2"/>
  <c r="J144" i="2"/>
  <c r="J128" i="2"/>
  <c r="J112" i="2"/>
  <c r="J96" i="2"/>
  <c r="J80" i="2"/>
  <c r="J64" i="2"/>
  <c r="J48" i="2"/>
  <c r="J32" i="2"/>
  <c r="J16" i="2"/>
  <c r="J291" i="2"/>
  <c r="J275" i="2"/>
  <c r="J259" i="2"/>
  <c r="J243" i="2"/>
  <c r="J227" i="2"/>
  <c r="J211" i="2"/>
  <c r="J195" i="2"/>
  <c r="J179" i="2"/>
  <c r="J163" i="2"/>
  <c r="J147" i="2"/>
  <c r="J131" i="2"/>
  <c r="J115" i="2"/>
  <c r="J99" i="2"/>
  <c r="J83" i="2"/>
  <c r="J67" i="2"/>
  <c r="J51" i="2"/>
  <c r="J35" i="2"/>
  <c r="J19" i="2"/>
  <c r="J262" i="2"/>
  <c r="J246" i="2"/>
  <c r="J230" i="2"/>
  <c r="J214" i="2"/>
  <c r="J198" i="2"/>
  <c r="J182" i="2"/>
  <c r="J166" i="2"/>
  <c r="J150" i="2"/>
  <c r="J134" i="2"/>
  <c r="J118" i="2"/>
  <c r="J102" i="2"/>
  <c r="J86" i="2"/>
  <c r="J70" i="2"/>
  <c r="J54" i="2"/>
  <c r="J38" i="2"/>
  <c r="J22" i="2"/>
  <c r="J281" i="2"/>
  <c r="J265" i="2"/>
  <c r="J249" i="2"/>
  <c r="J233" i="2"/>
  <c r="J217" i="2"/>
  <c r="J201" i="2"/>
  <c r="J185" i="2"/>
  <c r="J169" i="2"/>
  <c r="J153" i="2"/>
  <c r="J137" i="2"/>
  <c r="J121" i="2"/>
  <c r="J105" i="2"/>
  <c r="J89" i="2"/>
  <c r="J73" i="2"/>
  <c r="J57" i="2"/>
  <c r="J41" i="2"/>
  <c r="J25" i="2"/>
  <c r="J480" i="2"/>
  <c r="J452" i="2"/>
  <c r="J444" i="2"/>
  <c r="J440" i="2"/>
  <c r="J424" i="2"/>
  <c r="J408" i="2"/>
  <c r="J392" i="2"/>
  <c r="J376" i="2"/>
  <c r="J360" i="2"/>
  <c r="J342" i="2"/>
  <c r="J321" i="2"/>
  <c r="J298" i="2"/>
  <c r="J499" i="2"/>
  <c r="J483" i="2"/>
  <c r="J467" i="2"/>
  <c r="J451" i="2"/>
  <c r="J435" i="2"/>
  <c r="J419" i="2"/>
  <c r="J403" i="2"/>
  <c r="J387" i="2"/>
  <c r="J371" i="2"/>
  <c r="J355" i="2"/>
  <c r="J335" i="2"/>
  <c r="J314" i="2"/>
  <c r="J289" i="2"/>
  <c r="J494" i="2"/>
  <c r="J478" i="2"/>
  <c r="J462" i="2"/>
  <c r="J446" i="2"/>
  <c r="J430" i="2"/>
  <c r="J414" i="2"/>
  <c r="J398" i="2"/>
  <c r="J382" i="2"/>
  <c r="J366" i="2"/>
  <c r="J350" i="2"/>
  <c r="J329" i="2"/>
  <c r="J307" i="2"/>
  <c r="J274" i="2"/>
  <c r="J489" i="2"/>
  <c r="J473" i="2"/>
  <c r="J457" i="2"/>
  <c r="J441" i="2"/>
  <c r="J425" i="2"/>
  <c r="J409" i="2"/>
  <c r="J393" i="2"/>
  <c r="J377" i="2"/>
  <c r="J361" i="2"/>
  <c r="J343" i="2"/>
  <c r="J322" i="2"/>
  <c r="J301" i="2"/>
  <c r="J348" i="2"/>
  <c r="J332" i="2"/>
  <c r="J316" i="2"/>
  <c r="J300" i="2"/>
  <c r="J284" i="2"/>
  <c r="J268" i="2"/>
  <c r="J252" i="2"/>
  <c r="J236" i="2"/>
  <c r="J220" i="2"/>
  <c r="J204" i="2"/>
  <c r="J188" i="2"/>
  <c r="J172" i="2"/>
  <c r="J156" i="2"/>
  <c r="J140" i="2"/>
  <c r="J124" i="2"/>
  <c r="J108" i="2"/>
  <c r="J92" i="2"/>
  <c r="J76" i="2"/>
  <c r="J60" i="2"/>
  <c r="J44" i="2"/>
  <c r="J28" i="2"/>
  <c r="J12" i="2"/>
  <c r="J287" i="2"/>
  <c r="J271" i="2"/>
  <c r="J255" i="2"/>
  <c r="J239" i="2"/>
  <c r="J223" i="2"/>
  <c r="J207" i="2"/>
  <c r="J191" i="2"/>
  <c r="J175" i="2"/>
  <c r="J159" i="2"/>
  <c r="J143" i="2"/>
  <c r="J127" i="2"/>
  <c r="J111" i="2"/>
  <c r="J95" i="2"/>
  <c r="J79" i="2"/>
  <c r="J63" i="2"/>
  <c r="J47" i="2"/>
  <c r="J31" i="2"/>
  <c r="J15" i="2"/>
  <c r="J258" i="2"/>
  <c r="J242" i="2"/>
  <c r="J226" i="2"/>
  <c r="J210" i="2"/>
  <c r="J194" i="2"/>
  <c r="J178" i="2"/>
  <c r="J162" i="2"/>
  <c r="J146" i="2"/>
  <c r="J130" i="2"/>
  <c r="J114" i="2"/>
  <c r="J98" i="2"/>
  <c r="J82" i="2"/>
  <c r="J66" i="2"/>
  <c r="J50" i="2"/>
  <c r="J34" i="2"/>
  <c r="J18" i="2"/>
  <c r="J277" i="2"/>
  <c r="J261" i="2"/>
  <c r="J245" i="2"/>
  <c r="J229" i="2"/>
  <c r="J213" i="2"/>
  <c r="J197" i="2"/>
  <c r="J181" i="2"/>
  <c r="J165" i="2"/>
  <c r="J149" i="2"/>
  <c r="J133" i="2"/>
  <c r="J117" i="2"/>
  <c r="J101" i="2"/>
  <c r="J85" i="2"/>
  <c r="J69" i="2"/>
  <c r="J53" i="2"/>
  <c r="J37" i="2"/>
  <c r="J21" i="2"/>
  <c r="H500" i="2"/>
  <c r="I500" i="2"/>
  <c r="I464" i="2"/>
  <c r="H464" i="2"/>
  <c r="H492" i="2"/>
  <c r="I492" i="2"/>
  <c r="I488" i="2"/>
  <c r="H488" i="2"/>
  <c r="H436" i="2"/>
  <c r="I436" i="2"/>
  <c r="I420" i="2"/>
  <c r="H420" i="2"/>
  <c r="H404" i="2"/>
  <c r="I404" i="2"/>
  <c r="I388" i="2"/>
  <c r="H388" i="2"/>
  <c r="H372" i="2"/>
  <c r="I372" i="2"/>
  <c r="I356" i="2"/>
  <c r="H356" i="2"/>
  <c r="I337" i="2"/>
  <c r="H337" i="2"/>
  <c r="I315" i="2"/>
  <c r="H315" i="2"/>
  <c r="I290" i="2"/>
  <c r="H290" i="2"/>
  <c r="I495" i="2"/>
  <c r="H495" i="2"/>
  <c r="I479" i="2"/>
  <c r="H479" i="2"/>
  <c r="I463" i="2"/>
  <c r="H463" i="2"/>
  <c r="I447" i="2"/>
  <c r="H447" i="2"/>
  <c r="I431" i="2"/>
  <c r="H431" i="2"/>
  <c r="I415" i="2"/>
  <c r="H415" i="2"/>
  <c r="I399" i="2"/>
  <c r="H399" i="2"/>
  <c r="I383" i="2"/>
  <c r="H383" i="2"/>
  <c r="I367" i="2"/>
  <c r="H367" i="2"/>
  <c r="I351" i="2"/>
  <c r="H351" i="2"/>
  <c r="I330" i="2"/>
  <c r="H330" i="2"/>
  <c r="I309" i="2"/>
  <c r="H309" i="2"/>
  <c r="I278" i="2"/>
  <c r="H278" i="2"/>
  <c r="I490" i="2"/>
  <c r="H490" i="2"/>
  <c r="I474" i="2"/>
  <c r="H474" i="2"/>
  <c r="I458" i="2"/>
  <c r="H458" i="2"/>
  <c r="I442" i="2"/>
  <c r="H442" i="2"/>
  <c r="I426" i="2"/>
  <c r="H426" i="2"/>
  <c r="I410" i="2"/>
  <c r="H410" i="2"/>
  <c r="I394" i="2"/>
  <c r="H394" i="2"/>
  <c r="I378" i="2"/>
  <c r="H378" i="2"/>
  <c r="I362" i="2"/>
  <c r="H362" i="2"/>
  <c r="I345" i="2"/>
  <c r="H345" i="2"/>
  <c r="I323" i="2"/>
  <c r="H323" i="2"/>
  <c r="I302" i="2"/>
  <c r="H302" i="2"/>
  <c r="I501" i="2"/>
  <c r="H501" i="2"/>
  <c r="I485" i="2"/>
  <c r="H485" i="2"/>
  <c r="I469" i="2"/>
  <c r="H469" i="2"/>
  <c r="I453" i="2"/>
  <c r="H453" i="2"/>
  <c r="I437" i="2"/>
  <c r="H437" i="2"/>
  <c r="I421" i="2"/>
  <c r="H421" i="2"/>
  <c r="I405" i="2"/>
  <c r="H405" i="2"/>
  <c r="I389" i="2"/>
  <c r="H389" i="2"/>
  <c r="I373" i="2"/>
  <c r="H373" i="2"/>
  <c r="I357" i="2"/>
  <c r="H357" i="2"/>
  <c r="I338" i="2"/>
  <c r="H338" i="2"/>
  <c r="I317" i="2"/>
  <c r="H317" i="2"/>
  <c r="I293" i="2"/>
  <c r="H293" i="2"/>
  <c r="I344" i="2"/>
  <c r="H344" i="2"/>
  <c r="I328" i="2"/>
  <c r="H328" i="2"/>
  <c r="I312" i="2"/>
  <c r="H312" i="2"/>
  <c r="I296" i="2"/>
  <c r="H296" i="2"/>
  <c r="I280" i="2"/>
  <c r="H280" i="2"/>
  <c r="I264" i="2"/>
  <c r="H264" i="2"/>
  <c r="I248" i="2"/>
  <c r="H248" i="2"/>
  <c r="I232" i="2"/>
  <c r="H232" i="2"/>
  <c r="I216" i="2"/>
  <c r="H216" i="2"/>
  <c r="I200" i="2"/>
  <c r="H200" i="2"/>
  <c r="I184" i="2"/>
  <c r="H184" i="2"/>
  <c r="I168" i="2"/>
  <c r="H168" i="2"/>
  <c r="I152" i="2"/>
  <c r="H152" i="2"/>
  <c r="I136" i="2"/>
  <c r="H136" i="2"/>
  <c r="I120" i="2"/>
  <c r="H120" i="2"/>
  <c r="I104" i="2"/>
  <c r="H104" i="2"/>
  <c r="I88" i="2"/>
  <c r="H88" i="2"/>
  <c r="I72" i="2"/>
  <c r="H72" i="2"/>
  <c r="I56" i="2"/>
  <c r="H56" i="2"/>
  <c r="I40" i="2"/>
  <c r="H40" i="2"/>
  <c r="I24" i="2"/>
  <c r="H24" i="2"/>
  <c r="I299" i="2"/>
  <c r="H299" i="2"/>
  <c r="I283" i="2"/>
  <c r="H283" i="2"/>
  <c r="I267" i="2"/>
  <c r="H267" i="2"/>
  <c r="I251" i="2"/>
  <c r="H251" i="2"/>
  <c r="I235" i="2"/>
  <c r="H235" i="2"/>
  <c r="I219" i="2"/>
  <c r="H219" i="2"/>
  <c r="I203" i="2"/>
  <c r="H203" i="2"/>
  <c r="I187" i="2"/>
  <c r="H187" i="2"/>
  <c r="I171" i="2"/>
  <c r="H171" i="2"/>
  <c r="I155" i="2"/>
  <c r="H155" i="2"/>
  <c r="I139" i="2"/>
  <c r="H139" i="2"/>
  <c r="I123" i="2"/>
  <c r="H123" i="2"/>
  <c r="I107" i="2"/>
  <c r="H107" i="2"/>
  <c r="I91" i="2"/>
  <c r="H91" i="2"/>
  <c r="I75" i="2"/>
  <c r="H75" i="2"/>
  <c r="I59" i="2"/>
  <c r="H59" i="2"/>
  <c r="I43" i="2"/>
  <c r="H43" i="2"/>
  <c r="I27" i="2"/>
  <c r="H27" i="2"/>
  <c r="I11" i="2"/>
  <c r="H11" i="2"/>
  <c r="I254" i="2"/>
  <c r="H254" i="2"/>
  <c r="I238" i="2"/>
  <c r="H238" i="2"/>
  <c r="I222" i="2"/>
  <c r="H222" i="2"/>
  <c r="I206" i="2"/>
  <c r="H206" i="2"/>
  <c r="I190" i="2"/>
  <c r="H190" i="2"/>
  <c r="I174" i="2"/>
  <c r="H174" i="2"/>
  <c r="I158" i="2"/>
  <c r="H158" i="2"/>
  <c r="I142" i="2"/>
  <c r="H142" i="2"/>
  <c r="I126" i="2"/>
  <c r="H126" i="2"/>
  <c r="I110" i="2"/>
  <c r="H110" i="2"/>
  <c r="I94" i="2"/>
  <c r="H94" i="2"/>
  <c r="I78" i="2"/>
  <c r="H78" i="2"/>
  <c r="I62" i="2"/>
  <c r="H62" i="2"/>
  <c r="I46" i="2"/>
  <c r="H46" i="2"/>
  <c r="I30" i="2"/>
  <c r="H30" i="2"/>
  <c r="I14" i="2"/>
  <c r="H14" i="2"/>
  <c r="I273" i="2"/>
  <c r="H273" i="2"/>
  <c r="I257" i="2"/>
  <c r="H257" i="2"/>
  <c r="I241" i="2"/>
  <c r="H241" i="2"/>
  <c r="I225" i="2"/>
  <c r="H225" i="2"/>
  <c r="I209" i="2"/>
  <c r="H209" i="2"/>
  <c r="I193" i="2"/>
  <c r="H193" i="2"/>
  <c r="I177" i="2"/>
  <c r="H177" i="2"/>
  <c r="I161" i="2"/>
  <c r="H161" i="2"/>
  <c r="I145" i="2"/>
  <c r="H145" i="2"/>
  <c r="I129" i="2"/>
  <c r="H129" i="2"/>
  <c r="I113" i="2"/>
  <c r="H113" i="2"/>
  <c r="I97" i="2"/>
  <c r="H97" i="2"/>
  <c r="I81" i="2"/>
  <c r="H81" i="2"/>
  <c r="I65" i="2"/>
  <c r="H65" i="2"/>
  <c r="I49" i="2"/>
  <c r="H49" i="2"/>
  <c r="I33" i="2"/>
  <c r="H33" i="2"/>
  <c r="I17" i="2"/>
  <c r="H17" i="2"/>
  <c r="H468" i="2"/>
  <c r="I468" i="2"/>
  <c r="I448" i="2"/>
  <c r="H448" i="2"/>
  <c r="H476" i="2"/>
  <c r="I476" i="2"/>
  <c r="I472" i="2"/>
  <c r="H472" i="2"/>
  <c r="I432" i="2"/>
  <c r="H432" i="2"/>
  <c r="I416" i="2"/>
  <c r="H416" i="2"/>
  <c r="I400" i="2"/>
  <c r="H400" i="2"/>
  <c r="I384" i="2"/>
  <c r="H384" i="2"/>
  <c r="I368" i="2"/>
  <c r="H368" i="2"/>
  <c r="I352" i="2"/>
  <c r="H352" i="2"/>
  <c r="I331" i="2"/>
  <c r="H331" i="2"/>
  <c r="I310" i="2"/>
  <c r="H310" i="2"/>
  <c r="I282" i="2"/>
  <c r="H282" i="2"/>
  <c r="I491" i="2"/>
  <c r="H491" i="2"/>
  <c r="I475" i="2"/>
  <c r="H475" i="2"/>
  <c r="I459" i="2"/>
  <c r="H459" i="2"/>
  <c r="I443" i="2"/>
  <c r="H443" i="2"/>
  <c r="I427" i="2"/>
  <c r="H427" i="2"/>
  <c r="I411" i="2"/>
  <c r="H411" i="2"/>
  <c r="I395" i="2"/>
  <c r="H395" i="2"/>
  <c r="I379" i="2"/>
  <c r="H379" i="2"/>
  <c r="I363" i="2"/>
  <c r="H363" i="2"/>
  <c r="I346" i="2"/>
  <c r="H346" i="2"/>
  <c r="I325" i="2"/>
  <c r="H325" i="2"/>
  <c r="I303" i="2"/>
  <c r="H303" i="2"/>
  <c r="I502" i="2"/>
  <c r="H502" i="2"/>
  <c r="I486" i="2"/>
  <c r="H486" i="2"/>
  <c r="I470" i="2"/>
  <c r="H470" i="2"/>
  <c r="I454" i="2"/>
  <c r="H454" i="2"/>
  <c r="I438" i="2"/>
  <c r="H438" i="2"/>
  <c r="I422" i="2"/>
  <c r="H422" i="2"/>
  <c r="I406" i="2"/>
  <c r="H406" i="2"/>
  <c r="I390" i="2"/>
  <c r="H390" i="2"/>
  <c r="I374" i="2"/>
  <c r="H374" i="2"/>
  <c r="I358" i="2"/>
  <c r="H358" i="2"/>
  <c r="I339" i="2"/>
  <c r="H339" i="2"/>
  <c r="I318" i="2"/>
  <c r="H318" i="2"/>
  <c r="I294" i="2"/>
  <c r="H294" i="2"/>
  <c r="I497" i="2"/>
  <c r="H497" i="2"/>
  <c r="I481" i="2"/>
  <c r="H481" i="2"/>
  <c r="I465" i="2"/>
  <c r="H465" i="2"/>
  <c r="I449" i="2"/>
  <c r="H449" i="2"/>
  <c r="I433" i="2"/>
  <c r="H433" i="2"/>
  <c r="I417" i="2"/>
  <c r="H417" i="2"/>
  <c r="I401" i="2"/>
  <c r="H401" i="2"/>
  <c r="I385" i="2"/>
  <c r="H385" i="2"/>
  <c r="I369" i="2"/>
  <c r="H369" i="2"/>
  <c r="I353" i="2"/>
  <c r="H353" i="2"/>
  <c r="I333" i="2"/>
  <c r="H333" i="2"/>
  <c r="I311" i="2"/>
  <c r="H311" i="2"/>
  <c r="I285" i="2"/>
  <c r="H285" i="2"/>
  <c r="I340" i="2"/>
  <c r="H340" i="2"/>
  <c r="I324" i="2"/>
  <c r="H324" i="2"/>
  <c r="I308" i="2"/>
  <c r="H308" i="2"/>
  <c r="I292" i="2"/>
  <c r="H292" i="2"/>
  <c r="I276" i="2"/>
  <c r="H276" i="2"/>
  <c r="I260" i="2"/>
  <c r="H260" i="2"/>
  <c r="I244" i="2"/>
  <c r="H244" i="2"/>
  <c r="I228" i="2"/>
  <c r="H228" i="2"/>
  <c r="I212" i="2"/>
  <c r="H212" i="2"/>
  <c r="I196" i="2"/>
  <c r="H196" i="2"/>
  <c r="I180" i="2"/>
  <c r="H180" i="2"/>
  <c r="I164" i="2"/>
  <c r="H164" i="2"/>
  <c r="I148" i="2"/>
  <c r="H148" i="2"/>
  <c r="I132" i="2"/>
  <c r="H132" i="2"/>
  <c r="I116" i="2"/>
  <c r="H116" i="2"/>
  <c r="I100" i="2"/>
  <c r="H100" i="2"/>
  <c r="I84" i="2"/>
  <c r="H84" i="2"/>
  <c r="I68" i="2"/>
  <c r="H68" i="2"/>
  <c r="I52" i="2"/>
  <c r="H52" i="2"/>
  <c r="I36" i="2"/>
  <c r="H36" i="2"/>
  <c r="I20" i="2"/>
  <c r="H20" i="2"/>
  <c r="I295" i="2"/>
  <c r="H295" i="2"/>
  <c r="I279" i="2"/>
  <c r="H279" i="2"/>
  <c r="I263" i="2"/>
  <c r="H263" i="2"/>
  <c r="I247" i="2"/>
  <c r="H247" i="2"/>
  <c r="I231" i="2"/>
  <c r="H231" i="2"/>
  <c r="I215" i="2"/>
  <c r="H215" i="2"/>
  <c r="I199" i="2"/>
  <c r="H199" i="2"/>
  <c r="I183" i="2"/>
  <c r="H183" i="2"/>
  <c r="I167" i="2"/>
  <c r="H167" i="2"/>
  <c r="I151" i="2"/>
  <c r="H151" i="2"/>
  <c r="I135" i="2"/>
  <c r="H135" i="2"/>
  <c r="I119" i="2"/>
  <c r="H119" i="2"/>
  <c r="I103" i="2"/>
  <c r="H103" i="2"/>
  <c r="I87" i="2"/>
  <c r="H87" i="2"/>
  <c r="I71" i="2"/>
  <c r="H71" i="2"/>
  <c r="I55" i="2"/>
  <c r="H55" i="2"/>
  <c r="I39" i="2"/>
  <c r="H39" i="2"/>
  <c r="I23" i="2"/>
  <c r="H23" i="2"/>
  <c r="I266" i="2"/>
  <c r="H266" i="2"/>
  <c r="I250" i="2"/>
  <c r="H250" i="2"/>
  <c r="I234" i="2"/>
  <c r="H234" i="2"/>
  <c r="I218" i="2"/>
  <c r="H218" i="2"/>
  <c r="I202" i="2"/>
  <c r="H202" i="2"/>
  <c r="I186" i="2"/>
  <c r="H186" i="2"/>
  <c r="I170" i="2"/>
  <c r="H170" i="2"/>
  <c r="I154" i="2"/>
  <c r="H154" i="2"/>
  <c r="I138" i="2"/>
  <c r="H138" i="2"/>
  <c r="I122" i="2"/>
  <c r="H122" i="2"/>
  <c r="I106" i="2"/>
  <c r="H106" i="2"/>
  <c r="I90" i="2"/>
  <c r="H90" i="2"/>
  <c r="I74" i="2"/>
  <c r="H74" i="2"/>
  <c r="I58" i="2"/>
  <c r="H58" i="2"/>
  <c r="I42" i="2"/>
  <c r="H42" i="2"/>
  <c r="I26" i="2"/>
  <c r="H26" i="2"/>
  <c r="I10" i="2"/>
  <c r="H10" i="2"/>
  <c r="I269" i="2"/>
  <c r="H269" i="2"/>
  <c r="I253" i="2"/>
  <c r="H253" i="2"/>
  <c r="I237" i="2"/>
  <c r="H237" i="2"/>
  <c r="I221" i="2"/>
  <c r="H221" i="2"/>
  <c r="I205" i="2"/>
  <c r="H205" i="2"/>
  <c r="I189" i="2"/>
  <c r="H189" i="2"/>
  <c r="I173" i="2"/>
  <c r="H173" i="2"/>
  <c r="I157" i="2"/>
  <c r="H157" i="2"/>
  <c r="I141" i="2"/>
  <c r="H141" i="2"/>
  <c r="I125" i="2"/>
  <c r="H125" i="2"/>
  <c r="I109" i="2"/>
  <c r="H109" i="2"/>
  <c r="I93" i="2"/>
  <c r="H93" i="2"/>
  <c r="I77" i="2"/>
  <c r="H77" i="2"/>
  <c r="I61" i="2"/>
  <c r="H61" i="2"/>
  <c r="I45" i="2"/>
  <c r="H45" i="2"/>
  <c r="I29" i="2"/>
  <c r="H29" i="2"/>
  <c r="I13" i="2"/>
  <c r="H13" i="2"/>
  <c r="I496" i="2"/>
  <c r="H496" i="2"/>
  <c r="I484" i="2"/>
  <c r="H484" i="2"/>
  <c r="H460" i="2"/>
  <c r="I460" i="2"/>
  <c r="I456" i="2"/>
  <c r="H456" i="2"/>
  <c r="H428" i="2"/>
  <c r="I428" i="2"/>
  <c r="H412" i="2"/>
  <c r="I412" i="2"/>
  <c r="H396" i="2"/>
  <c r="I396" i="2"/>
  <c r="H380" i="2"/>
  <c r="I380" i="2"/>
  <c r="H364" i="2"/>
  <c r="I364" i="2"/>
  <c r="I347" i="2"/>
  <c r="H347" i="2"/>
  <c r="I326" i="2"/>
  <c r="H326" i="2"/>
  <c r="I305" i="2"/>
  <c r="H305" i="2"/>
  <c r="I503" i="2"/>
  <c r="H503" i="2"/>
  <c r="I487" i="2"/>
  <c r="H487" i="2"/>
  <c r="I471" i="2"/>
  <c r="H471" i="2"/>
  <c r="I455" i="2"/>
  <c r="H455" i="2"/>
  <c r="I439" i="2"/>
  <c r="H439" i="2"/>
  <c r="I423" i="2"/>
  <c r="H423" i="2"/>
  <c r="I407" i="2"/>
  <c r="H407" i="2"/>
  <c r="I391" i="2"/>
  <c r="H391" i="2"/>
  <c r="I375" i="2"/>
  <c r="H375" i="2"/>
  <c r="I359" i="2"/>
  <c r="H359" i="2"/>
  <c r="I341" i="2"/>
  <c r="H341" i="2"/>
  <c r="I319" i="2"/>
  <c r="H319" i="2"/>
  <c r="I297" i="2"/>
  <c r="H297" i="2"/>
  <c r="I498" i="2"/>
  <c r="H498" i="2"/>
  <c r="I482" i="2"/>
  <c r="H482" i="2"/>
  <c r="I466" i="2"/>
  <c r="H466" i="2"/>
  <c r="I450" i="2"/>
  <c r="H450" i="2"/>
  <c r="I434" i="2"/>
  <c r="H434" i="2"/>
  <c r="I418" i="2"/>
  <c r="H418" i="2"/>
  <c r="I402" i="2"/>
  <c r="H402" i="2"/>
  <c r="I386" i="2"/>
  <c r="H386" i="2"/>
  <c r="I370" i="2"/>
  <c r="H370" i="2"/>
  <c r="I354" i="2"/>
  <c r="H354" i="2"/>
  <c r="I334" i="2"/>
  <c r="H334" i="2"/>
  <c r="I313" i="2"/>
  <c r="H313" i="2"/>
  <c r="I286" i="2"/>
  <c r="H286" i="2"/>
  <c r="I493" i="2"/>
  <c r="H493" i="2"/>
  <c r="I477" i="2"/>
  <c r="H477" i="2"/>
  <c r="I461" i="2"/>
  <c r="H461" i="2"/>
  <c r="I445" i="2"/>
  <c r="H445" i="2"/>
  <c r="I429" i="2"/>
  <c r="H429" i="2"/>
  <c r="I413" i="2"/>
  <c r="H413" i="2"/>
  <c r="I397" i="2"/>
  <c r="H397" i="2"/>
  <c r="I381" i="2"/>
  <c r="H381" i="2"/>
  <c r="I365" i="2"/>
  <c r="H365" i="2"/>
  <c r="I349" i="2"/>
  <c r="H349" i="2"/>
  <c r="I327" i="2"/>
  <c r="H327" i="2"/>
  <c r="I306" i="2"/>
  <c r="H306" i="2"/>
  <c r="I270" i="2"/>
  <c r="H270" i="2"/>
  <c r="I336" i="2"/>
  <c r="H336" i="2"/>
  <c r="I320" i="2"/>
  <c r="H320" i="2"/>
  <c r="I304" i="2"/>
  <c r="H304" i="2"/>
  <c r="I288" i="2"/>
  <c r="H288" i="2"/>
  <c r="I272" i="2"/>
  <c r="H272" i="2"/>
  <c r="I256" i="2"/>
  <c r="H256" i="2"/>
  <c r="I240" i="2"/>
  <c r="H240" i="2"/>
  <c r="I224" i="2"/>
  <c r="H224" i="2"/>
  <c r="I208" i="2"/>
  <c r="H208" i="2"/>
  <c r="I192" i="2"/>
  <c r="H192" i="2"/>
  <c r="I176" i="2"/>
  <c r="H176" i="2"/>
  <c r="I160" i="2"/>
  <c r="H160" i="2"/>
  <c r="I144" i="2"/>
  <c r="H144" i="2"/>
  <c r="I128" i="2"/>
  <c r="H128" i="2"/>
  <c r="I112" i="2"/>
  <c r="H112" i="2"/>
  <c r="I96" i="2"/>
  <c r="H96" i="2"/>
  <c r="I80" i="2"/>
  <c r="H80" i="2"/>
  <c r="I64" i="2"/>
  <c r="H64" i="2"/>
  <c r="I48" i="2"/>
  <c r="H48" i="2"/>
  <c r="I32" i="2"/>
  <c r="H32" i="2"/>
  <c r="I16" i="2"/>
  <c r="H16" i="2"/>
  <c r="I291" i="2"/>
  <c r="H291" i="2"/>
  <c r="I275" i="2"/>
  <c r="H275" i="2"/>
  <c r="I259" i="2"/>
  <c r="H259" i="2"/>
  <c r="I243" i="2"/>
  <c r="H243" i="2"/>
  <c r="I227" i="2"/>
  <c r="H227" i="2"/>
  <c r="I211" i="2"/>
  <c r="H211" i="2"/>
  <c r="I195" i="2"/>
  <c r="H195" i="2"/>
  <c r="I179" i="2"/>
  <c r="H179" i="2"/>
  <c r="I163" i="2"/>
  <c r="H163" i="2"/>
  <c r="I147" i="2"/>
  <c r="H147" i="2"/>
  <c r="I131" i="2"/>
  <c r="H131" i="2"/>
  <c r="I115" i="2"/>
  <c r="H115" i="2"/>
  <c r="I99" i="2"/>
  <c r="H99" i="2"/>
  <c r="I83" i="2"/>
  <c r="H83" i="2"/>
  <c r="I67" i="2"/>
  <c r="H67" i="2"/>
  <c r="I51" i="2"/>
  <c r="H51" i="2"/>
  <c r="I35" i="2"/>
  <c r="H35" i="2"/>
  <c r="I19" i="2"/>
  <c r="H19" i="2"/>
  <c r="I262" i="2"/>
  <c r="H262" i="2"/>
  <c r="I246" i="2"/>
  <c r="H246" i="2"/>
  <c r="I230" i="2"/>
  <c r="H230" i="2"/>
  <c r="I214" i="2"/>
  <c r="H214" i="2"/>
  <c r="I198" i="2"/>
  <c r="H198" i="2"/>
  <c r="I182" i="2"/>
  <c r="H182" i="2"/>
  <c r="I166" i="2"/>
  <c r="H166" i="2"/>
  <c r="I150" i="2"/>
  <c r="H150" i="2"/>
  <c r="I134" i="2"/>
  <c r="H134" i="2"/>
  <c r="I118" i="2"/>
  <c r="H118" i="2"/>
  <c r="I102" i="2"/>
  <c r="H102" i="2"/>
  <c r="I86" i="2"/>
  <c r="H86" i="2"/>
  <c r="I70" i="2"/>
  <c r="H70" i="2"/>
  <c r="I54" i="2"/>
  <c r="H54" i="2"/>
  <c r="I38" i="2"/>
  <c r="H38" i="2"/>
  <c r="I22" i="2"/>
  <c r="H22" i="2"/>
  <c r="I281" i="2"/>
  <c r="H281" i="2"/>
  <c r="I265" i="2"/>
  <c r="H265" i="2"/>
  <c r="I249" i="2"/>
  <c r="H249" i="2"/>
  <c r="I233" i="2"/>
  <c r="H233" i="2"/>
  <c r="I217" i="2"/>
  <c r="H217" i="2"/>
  <c r="I201" i="2"/>
  <c r="H201" i="2"/>
  <c r="I185" i="2"/>
  <c r="H185" i="2"/>
  <c r="I169" i="2"/>
  <c r="H169" i="2"/>
  <c r="I153" i="2"/>
  <c r="H153" i="2"/>
  <c r="I137" i="2"/>
  <c r="H137" i="2"/>
  <c r="I121" i="2"/>
  <c r="H121" i="2"/>
  <c r="I105" i="2"/>
  <c r="H105" i="2"/>
  <c r="I89" i="2"/>
  <c r="H89" i="2"/>
  <c r="I73" i="2"/>
  <c r="H73" i="2"/>
  <c r="I57" i="2"/>
  <c r="H57" i="2"/>
  <c r="I41" i="2"/>
  <c r="H41" i="2"/>
  <c r="I25" i="2"/>
  <c r="H25" i="2"/>
  <c r="I480" i="2"/>
  <c r="H480" i="2"/>
  <c r="I452" i="2"/>
  <c r="H452" i="2"/>
  <c r="H444" i="2"/>
  <c r="I444" i="2"/>
  <c r="I440" i="2"/>
  <c r="H440" i="2"/>
  <c r="I424" i="2"/>
  <c r="H424" i="2"/>
  <c r="I408" i="2"/>
  <c r="H408" i="2"/>
  <c r="I392" i="2"/>
  <c r="H392" i="2"/>
  <c r="I376" i="2"/>
  <c r="H376" i="2"/>
  <c r="I360" i="2"/>
  <c r="H360" i="2"/>
  <c r="I342" i="2"/>
  <c r="H342" i="2"/>
  <c r="I321" i="2"/>
  <c r="H321" i="2"/>
  <c r="I298" i="2"/>
  <c r="H298" i="2"/>
  <c r="I499" i="2"/>
  <c r="H499" i="2"/>
  <c r="I483" i="2"/>
  <c r="H483" i="2"/>
  <c r="I467" i="2"/>
  <c r="H467" i="2"/>
  <c r="I451" i="2"/>
  <c r="H451" i="2"/>
  <c r="I435" i="2"/>
  <c r="H435" i="2"/>
  <c r="I419" i="2"/>
  <c r="H419" i="2"/>
  <c r="I403" i="2"/>
  <c r="H403" i="2"/>
  <c r="I387" i="2"/>
  <c r="H387" i="2"/>
  <c r="I371" i="2"/>
  <c r="H371" i="2"/>
  <c r="I355" i="2"/>
  <c r="H355" i="2"/>
  <c r="I335" i="2"/>
  <c r="H335" i="2"/>
  <c r="I314" i="2"/>
  <c r="H314" i="2"/>
  <c r="I289" i="2"/>
  <c r="H289" i="2"/>
  <c r="I494" i="2"/>
  <c r="H494" i="2"/>
  <c r="I478" i="2"/>
  <c r="H478" i="2"/>
  <c r="I462" i="2"/>
  <c r="H462" i="2"/>
  <c r="I446" i="2"/>
  <c r="H446" i="2"/>
  <c r="I430" i="2"/>
  <c r="H430" i="2"/>
  <c r="I414" i="2"/>
  <c r="H414" i="2"/>
  <c r="I398" i="2"/>
  <c r="H398" i="2"/>
  <c r="I382" i="2"/>
  <c r="H382" i="2"/>
  <c r="I366" i="2"/>
  <c r="H366" i="2"/>
  <c r="I350" i="2"/>
  <c r="H350" i="2"/>
  <c r="I329" i="2"/>
  <c r="H329" i="2"/>
  <c r="I307" i="2"/>
  <c r="H307" i="2"/>
  <c r="I274" i="2"/>
  <c r="H274" i="2"/>
  <c r="I489" i="2"/>
  <c r="H489" i="2"/>
  <c r="I473" i="2"/>
  <c r="H473" i="2"/>
  <c r="I457" i="2"/>
  <c r="H457" i="2"/>
  <c r="I441" i="2"/>
  <c r="H441" i="2"/>
  <c r="I425" i="2"/>
  <c r="H425" i="2"/>
  <c r="I409" i="2"/>
  <c r="H409" i="2"/>
  <c r="I393" i="2"/>
  <c r="H393" i="2"/>
  <c r="I377" i="2"/>
  <c r="H377" i="2"/>
  <c r="I361" i="2"/>
  <c r="H361" i="2"/>
  <c r="I343" i="2"/>
  <c r="H343" i="2"/>
  <c r="I322" i="2"/>
  <c r="H322" i="2"/>
  <c r="I301" i="2"/>
  <c r="H301" i="2"/>
  <c r="I348" i="2"/>
  <c r="H348" i="2"/>
  <c r="I332" i="2"/>
  <c r="H332" i="2"/>
  <c r="I316" i="2"/>
  <c r="H316" i="2"/>
  <c r="I300" i="2"/>
  <c r="H300" i="2"/>
  <c r="I284" i="2"/>
  <c r="H284" i="2"/>
  <c r="I268" i="2"/>
  <c r="H268" i="2"/>
  <c r="I252" i="2"/>
  <c r="H252" i="2"/>
  <c r="I236" i="2"/>
  <c r="H236" i="2"/>
  <c r="I220" i="2"/>
  <c r="H220" i="2"/>
  <c r="I204" i="2"/>
  <c r="H204" i="2"/>
  <c r="I188" i="2"/>
  <c r="H188" i="2"/>
  <c r="I172" i="2"/>
  <c r="H172" i="2"/>
  <c r="I156" i="2"/>
  <c r="H156" i="2"/>
  <c r="I140" i="2"/>
  <c r="H140" i="2"/>
  <c r="I124" i="2"/>
  <c r="H124" i="2"/>
  <c r="I108" i="2"/>
  <c r="H108" i="2"/>
  <c r="I92" i="2"/>
  <c r="H92" i="2"/>
  <c r="I76" i="2"/>
  <c r="H76" i="2"/>
  <c r="I60" i="2"/>
  <c r="H60" i="2"/>
  <c r="I44" i="2"/>
  <c r="H44" i="2"/>
  <c r="I28" i="2"/>
  <c r="H28" i="2"/>
  <c r="I12" i="2"/>
  <c r="H12" i="2"/>
  <c r="I287" i="2"/>
  <c r="H287" i="2"/>
  <c r="I271" i="2"/>
  <c r="H271" i="2"/>
  <c r="I255" i="2"/>
  <c r="H255" i="2"/>
  <c r="I239" i="2"/>
  <c r="H239" i="2"/>
  <c r="I223" i="2"/>
  <c r="H223" i="2"/>
  <c r="I207" i="2"/>
  <c r="H207" i="2"/>
  <c r="I191" i="2"/>
  <c r="H191" i="2"/>
  <c r="I175" i="2"/>
  <c r="H175" i="2"/>
  <c r="I159" i="2"/>
  <c r="H159" i="2"/>
  <c r="I143" i="2"/>
  <c r="H143" i="2"/>
  <c r="I127" i="2"/>
  <c r="H127" i="2"/>
  <c r="I111" i="2"/>
  <c r="H111" i="2"/>
  <c r="I95" i="2"/>
  <c r="H95" i="2"/>
  <c r="I79" i="2"/>
  <c r="H79" i="2"/>
  <c r="I63" i="2"/>
  <c r="H63" i="2"/>
  <c r="I47" i="2"/>
  <c r="H47" i="2"/>
  <c r="I31" i="2"/>
  <c r="H31" i="2"/>
  <c r="I15" i="2"/>
  <c r="H15" i="2"/>
  <c r="I258" i="2"/>
  <c r="H258" i="2"/>
  <c r="I242" i="2"/>
  <c r="H242" i="2"/>
  <c r="I226" i="2"/>
  <c r="H226" i="2"/>
  <c r="I210" i="2"/>
  <c r="H210" i="2"/>
  <c r="I194" i="2"/>
  <c r="H194" i="2"/>
  <c r="I178" i="2"/>
  <c r="H178" i="2"/>
  <c r="I162" i="2"/>
  <c r="H162" i="2"/>
  <c r="I146" i="2"/>
  <c r="H146" i="2"/>
  <c r="I130" i="2"/>
  <c r="H130" i="2"/>
  <c r="I114" i="2"/>
  <c r="H114" i="2"/>
  <c r="I98" i="2"/>
  <c r="H98" i="2"/>
  <c r="I82" i="2"/>
  <c r="H82" i="2"/>
  <c r="I66" i="2"/>
  <c r="H66" i="2"/>
  <c r="I50" i="2"/>
  <c r="H50" i="2"/>
  <c r="I34" i="2"/>
  <c r="H34" i="2"/>
  <c r="I18" i="2"/>
  <c r="H18" i="2"/>
  <c r="I277" i="2"/>
  <c r="H277" i="2"/>
  <c r="I261" i="2"/>
  <c r="H261" i="2"/>
  <c r="I245" i="2"/>
  <c r="H245" i="2"/>
  <c r="I229" i="2"/>
  <c r="H229" i="2"/>
  <c r="I213" i="2"/>
  <c r="H213" i="2"/>
  <c r="I197" i="2"/>
  <c r="H197" i="2"/>
  <c r="I181" i="2"/>
  <c r="H181" i="2"/>
  <c r="I165" i="2"/>
  <c r="H165" i="2"/>
  <c r="I149" i="2"/>
  <c r="H149" i="2"/>
  <c r="I133" i="2"/>
  <c r="H133" i="2"/>
  <c r="I117" i="2"/>
  <c r="H117" i="2"/>
  <c r="I101" i="2"/>
  <c r="H101" i="2"/>
  <c r="I85" i="2"/>
  <c r="H85" i="2"/>
  <c r="I69" i="2"/>
  <c r="H69" i="2"/>
  <c r="I53" i="2"/>
  <c r="H53" i="2"/>
  <c r="I37" i="2"/>
  <c r="H37" i="2"/>
  <c r="I21" i="2"/>
  <c r="H21" i="2"/>
  <c r="G954" i="3"/>
  <c r="H954" i="3"/>
  <c r="M954" i="3" s="1"/>
  <c r="J954" i="3"/>
  <c r="I954" i="3"/>
  <c r="G906" i="3"/>
  <c r="J906" i="3"/>
  <c r="I906" i="3"/>
  <c r="H906" i="3"/>
  <c r="M906" i="3" s="1"/>
  <c r="G565" i="3"/>
  <c r="J565" i="3"/>
  <c r="I565" i="3"/>
  <c r="H565" i="3"/>
  <c r="M565" i="3" s="1"/>
  <c r="G737" i="3"/>
  <c r="I737" i="3"/>
  <c r="H737" i="3"/>
  <c r="M737" i="3" s="1"/>
  <c r="J737" i="3"/>
  <c r="G344" i="3"/>
  <c r="I344" i="3"/>
  <c r="H344" i="3"/>
  <c r="M344" i="3" s="1"/>
  <c r="J344" i="3"/>
  <c r="G998" i="3"/>
  <c r="I998" i="3"/>
  <c r="H998" i="3"/>
  <c r="M998" i="3" s="1"/>
  <c r="J998" i="3"/>
  <c r="G916" i="3"/>
  <c r="J916" i="3"/>
  <c r="I916" i="3"/>
  <c r="H916" i="3"/>
  <c r="M916" i="3" s="1"/>
  <c r="G788" i="3"/>
  <c r="J788" i="3"/>
  <c r="I788" i="3"/>
  <c r="H788" i="3"/>
  <c r="M788" i="3" s="1"/>
  <c r="M2" i="1"/>
  <c r="G581" i="3"/>
  <c r="J581" i="3"/>
  <c r="I581" i="3"/>
  <c r="H581" i="3"/>
  <c r="M581" i="3" s="1"/>
  <c r="G460" i="3"/>
  <c r="J460" i="3"/>
  <c r="H460" i="3"/>
  <c r="M460" i="3" s="1"/>
  <c r="I460" i="3"/>
  <c r="G941" i="3"/>
  <c r="I941" i="3"/>
  <c r="J941" i="3"/>
  <c r="H941" i="3"/>
  <c r="M941" i="3" s="1"/>
  <c r="G761" i="3"/>
  <c r="J761" i="3"/>
  <c r="I761" i="3"/>
  <c r="H761" i="3"/>
  <c r="M761" i="3" s="1"/>
  <c r="G609" i="3"/>
  <c r="J609" i="3"/>
  <c r="I609" i="3"/>
  <c r="H609" i="3"/>
  <c r="M609" i="3" s="1"/>
  <c r="G480" i="3"/>
  <c r="J480" i="3"/>
  <c r="I480" i="3"/>
  <c r="H480" i="3"/>
  <c r="M480" i="3" s="1"/>
  <c r="G397" i="3"/>
  <c r="H397" i="3"/>
  <c r="M397" i="3" s="1"/>
  <c r="J397" i="3"/>
  <c r="I397" i="3"/>
  <c r="G69" i="3"/>
  <c r="H69" i="3"/>
  <c r="M69" i="3" s="1"/>
  <c r="J69" i="3"/>
  <c r="I69" i="3"/>
  <c r="G934" i="3"/>
  <c r="I934" i="3"/>
  <c r="J934" i="3"/>
  <c r="H934" i="3"/>
  <c r="M934" i="3" s="1"/>
  <c r="G610" i="3"/>
  <c r="H610" i="3"/>
  <c r="M610" i="3" s="1"/>
  <c r="I610" i="3"/>
  <c r="J610" i="3"/>
  <c r="G554" i="3"/>
  <c r="I554" i="3"/>
  <c r="J554" i="3"/>
  <c r="H554" i="3"/>
  <c r="M554" i="3" s="1"/>
  <c r="G791" i="3"/>
  <c r="H791" i="3"/>
  <c r="M791" i="3" s="1"/>
  <c r="J791" i="3"/>
  <c r="I791" i="3"/>
  <c r="G702" i="3"/>
  <c r="J702" i="3"/>
  <c r="H702" i="3"/>
  <c r="M702" i="3" s="1"/>
  <c r="I702" i="3"/>
  <c r="G756" i="3"/>
  <c r="J756" i="3"/>
  <c r="I756" i="3"/>
  <c r="H756" i="3"/>
  <c r="M756" i="3" s="1"/>
  <c r="G419" i="3"/>
  <c r="J419" i="3"/>
  <c r="H419" i="3"/>
  <c r="M419" i="3" s="1"/>
  <c r="I419" i="3"/>
  <c r="G432" i="3"/>
  <c r="I432" i="3"/>
  <c r="H432" i="3"/>
  <c r="M432" i="3" s="1"/>
  <c r="J432" i="3"/>
  <c r="G401" i="3"/>
  <c r="J401" i="3"/>
  <c r="H401" i="3"/>
  <c r="M401" i="3" s="1"/>
  <c r="I401" i="3"/>
  <c r="G445" i="3"/>
  <c r="I445" i="3"/>
  <c r="H445" i="3"/>
  <c r="M445" i="3" s="1"/>
  <c r="J445" i="3"/>
  <c r="G281" i="3"/>
  <c r="H281" i="3"/>
  <c r="M281" i="3" s="1"/>
  <c r="J281" i="3"/>
  <c r="I281" i="3"/>
  <c r="G220" i="3"/>
  <c r="I220" i="3"/>
  <c r="H220" i="3"/>
  <c r="M220" i="3" s="1"/>
  <c r="J220" i="3"/>
  <c r="G149" i="3"/>
  <c r="I149" i="3"/>
  <c r="H149" i="3"/>
  <c r="M149" i="3" s="1"/>
  <c r="J149" i="3"/>
  <c r="G106" i="3"/>
  <c r="J106" i="3"/>
  <c r="I106" i="3"/>
  <c r="H106" i="3"/>
  <c r="M106" i="3" s="1"/>
  <c r="G985" i="3"/>
  <c r="I985" i="3"/>
  <c r="H985" i="3"/>
  <c r="M985" i="3" s="1"/>
  <c r="J985" i="3"/>
  <c r="G987" i="3"/>
  <c r="I987" i="3"/>
  <c r="H987" i="3"/>
  <c r="M987" i="3" s="1"/>
  <c r="J987" i="3"/>
  <c r="G920" i="3"/>
  <c r="I920" i="3"/>
  <c r="H920" i="3"/>
  <c r="M920" i="3" s="1"/>
  <c r="J920" i="3"/>
  <c r="G889" i="3"/>
  <c r="J889" i="3"/>
  <c r="I889" i="3"/>
  <c r="H889" i="3"/>
  <c r="M889" i="3" s="1"/>
  <c r="G612" i="3"/>
  <c r="I612" i="3"/>
  <c r="H612" i="3"/>
  <c r="M612" i="3" s="1"/>
  <c r="J612" i="3"/>
  <c r="G796" i="3"/>
  <c r="I796" i="3"/>
  <c r="H796" i="3"/>
  <c r="M796" i="3" s="1"/>
  <c r="J796" i="3"/>
  <c r="G501" i="3"/>
  <c r="I501" i="3"/>
  <c r="H501" i="3"/>
  <c r="M501" i="3" s="1"/>
  <c r="J501" i="3"/>
  <c r="G225" i="3"/>
  <c r="J225" i="3"/>
  <c r="I225" i="3"/>
  <c r="H225" i="3"/>
  <c r="M225" i="3" s="1"/>
  <c r="G58" i="3"/>
  <c r="H58" i="3"/>
  <c r="M58" i="3" s="1"/>
  <c r="J58" i="3"/>
  <c r="I58" i="3"/>
  <c r="G902" i="3"/>
  <c r="I902" i="3"/>
  <c r="H902" i="3"/>
  <c r="M902" i="3" s="1"/>
  <c r="J902" i="3"/>
  <c r="G543" i="3"/>
  <c r="J543" i="3"/>
  <c r="I543" i="3"/>
  <c r="H543" i="3"/>
  <c r="M543" i="3" s="1"/>
  <c r="G618" i="3"/>
  <c r="I618" i="3"/>
  <c r="J618" i="3"/>
  <c r="H618" i="3"/>
  <c r="M618" i="3" s="1"/>
  <c r="G823" i="3"/>
  <c r="H823" i="3"/>
  <c r="M823" i="3" s="1"/>
  <c r="I823" i="3"/>
  <c r="J823" i="3"/>
  <c r="G542" i="3"/>
  <c r="J542" i="3"/>
  <c r="I542" i="3"/>
  <c r="H542" i="3"/>
  <c r="M542" i="3" s="1"/>
  <c r="G820" i="3"/>
  <c r="J820" i="3"/>
  <c r="I820" i="3"/>
  <c r="H820" i="3"/>
  <c r="M820" i="3" s="1"/>
  <c r="G573" i="3"/>
  <c r="H573" i="3"/>
  <c r="M573" i="3" s="1"/>
  <c r="J573" i="3"/>
  <c r="I573" i="3"/>
  <c r="G946" i="3"/>
  <c r="J946" i="3"/>
  <c r="I946" i="3"/>
  <c r="H946" i="3"/>
  <c r="M946" i="3" s="1"/>
  <c r="G677" i="3"/>
  <c r="H677" i="3"/>
  <c r="M677" i="3" s="1"/>
  <c r="I677" i="3"/>
  <c r="J677" i="3"/>
  <c r="G658" i="3"/>
  <c r="H658" i="3"/>
  <c r="M658" i="3" s="1"/>
  <c r="J658" i="3"/>
  <c r="I658" i="3"/>
  <c r="G717" i="3"/>
  <c r="I717" i="3"/>
  <c r="H717" i="3"/>
  <c r="M717" i="3" s="1"/>
  <c r="J717" i="3"/>
  <c r="G983" i="3"/>
  <c r="H983" i="3"/>
  <c r="M983" i="3" s="1"/>
  <c r="J983" i="3"/>
  <c r="I983" i="3"/>
  <c r="G962" i="3"/>
  <c r="J962" i="3"/>
  <c r="I962" i="3"/>
  <c r="H962" i="3"/>
  <c r="M962" i="3" s="1"/>
  <c r="G725" i="3"/>
  <c r="H725" i="3"/>
  <c r="M725" i="3" s="1"/>
  <c r="J725" i="3"/>
  <c r="I725" i="3"/>
  <c r="G953" i="3"/>
  <c r="J953" i="3"/>
  <c r="I953" i="3"/>
  <c r="H953" i="3"/>
  <c r="M953" i="3" s="1"/>
  <c r="G913" i="3"/>
  <c r="I913" i="3"/>
  <c r="H913" i="3"/>
  <c r="M913" i="3" s="1"/>
  <c r="J913" i="3"/>
  <c r="G849" i="3"/>
  <c r="I849" i="3"/>
  <c r="H849" i="3"/>
  <c r="M849" i="3" s="1"/>
  <c r="J849" i="3"/>
  <c r="G785" i="3"/>
  <c r="I785" i="3"/>
  <c r="H785" i="3"/>
  <c r="M785" i="3" s="1"/>
  <c r="J785" i="3"/>
  <c r="G692" i="3"/>
  <c r="J692" i="3"/>
  <c r="H692" i="3"/>
  <c r="M692" i="3" s="1"/>
  <c r="I692" i="3"/>
  <c r="G564" i="3"/>
  <c r="J564" i="3"/>
  <c r="H564" i="3"/>
  <c r="M564" i="3" s="1"/>
  <c r="I564" i="3"/>
  <c r="G689" i="3"/>
  <c r="H689" i="3"/>
  <c r="M689" i="3" s="1"/>
  <c r="J689" i="3"/>
  <c r="I689" i="3"/>
  <c r="G876" i="3"/>
  <c r="J876" i="3"/>
  <c r="I876" i="3"/>
  <c r="H876" i="3"/>
  <c r="M876" i="3" s="1"/>
  <c r="G744" i="3"/>
  <c r="J744" i="3"/>
  <c r="I744" i="3"/>
  <c r="H744" i="3"/>
  <c r="M744" i="3" s="1"/>
  <c r="G510" i="3"/>
  <c r="J510" i="3"/>
  <c r="I510" i="3"/>
  <c r="H510" i="3"/>
  <c r="M510" i="3" s="1"/>
  <c r="G138" i="3"/>
  <c r="I138" i="3"/>
  <c r="H138" i="3"/>
  <c r="M138" i="3" s="1"/>
  <c r="J138" i="3"/>
  <c r="G449" i="3"/>
  <c r="H449" i="3"/>
  <c r="M449" i="3" s="1"/>
  <c r="J449" i="3"/>
  <c r="I449" i="3"/>
  <c r="G248" i="3"/>
  <c r="I248" i="3"/>
  <c r="H248" i="3"/>
  <c r="M248" i="3" s="1"/>
  <c r="J248" i="3"/>
  <c r="G305" i="3"/>
  <c r="I305" i="3"/>
  <c r="H305" i="3"/>
  <c r="M305" i="3" s="1"/>
  <c r="J305" i="3"/>
  <c r="G116" i="3"/>
  <c r="I116" i="3"/>
  <c r="J116" i="3"/>
  <c r="H116" i="3"/>
  <c r="M116" i="3" s="1"/>
  <c r="G203" i="3"/>
  <c r="H203" i="3"/>
  <c r="M203" i="3" s="1"/>
  <c r="J203" i="3"/>
  <c r="I203" i="3"/>
  <c r="G38" i="3"/>
  <c r="J38" i="3"/>
  <c r="I38" i="3"/>
  <c r="H38" i="3"/>
  <c r="M38" i="3" s="1"/>
  <c r="G969" i="3"/>
  <c r="I969" i="3"/>
  <c r="H969" i="3"/>
  <c r="M969" i="3" s="1"/>
  <c r="J969" i="3"/>
  <c r="G971" i="3"/>
  <c r="H971" i="3"/>
  <c r="M971" i="3" s="1"/>
  <c r="J971" i="3"/>
  <c r="I971" i="3"/>
  <c r="G936" i="3"/>
  <c r="I936" i="3"/>
  <c r="J936" i="3"/>
  <c r="H936" i="3"/>
  <c r="M936" i="3" s="1"/>
  <c r="G873" i="3"/>
  <c r="H873" i="3"/>
  <c r="M873" i="3" s="1"/>
  <c r="J873" i="3"/>
  <c r="I873" i="3"/>
  <c r="G644" i="3"/>
  <c r="I644" i="3"/>
  <c r="J644" i="3"/>
  <c r="H644" i="3"/>
  <c r="M644" i="3" s="1"/>
  <c r="G860" i="3"/>
  <c r="I860" i="3"/>
  <c r="H860" i="3"/>
  <c r="M860" i="3" s="1"/>
  <c r="J860" i="3"/>
  <c r="G314" i="3"/>
  <c r="H314" i="3"/>
  <c r="M314" i="3" s="1"/>
  <c r="J314" i="3"/>
  <c r="I314" i="3"/>
  <c r="G257" i="3"/>
  <c r="J257" i="3"/>
  <c r="I257" i="3"/>
  <c r="H257" i="3"/>
  <c r="M257" i="3" s="1"/>
  <c r="G12" i="3"/>
  <c r="I12" i="3"/>
  <c r="H12" i="3"/>
  <c r="M12" i="3" s="1"/>
  <c r="J12" i="3"/>
  <c r="G698" i="3"/>
  <c r="I698" i="3"/>
  <c r="J698" i="3"/>
  <c r="H698" i="3"/>
  <c r="M698" i="3" s="1"/>
  <c r="G999" i="3"/>
  <c r="J999" i="3"/>
  <c r="I999" i="3"/>
  <c r="H999" i="3"/>
  <c r="M999" i="3" s="1"/>
  <c r="G955" i="3"/>
  <c r="I955" i="3"/>
  <c r="H955" i="3"/>
  <c r="M955" i="3" s="1"/>
  <c r="J955" i="3"/>
  <c r="G807" i="3"/>
  <c r="J807" i="3"/>
  <c r="I807" i="3"/>
  <c r="H807" i="3"/>
  <c r="M807" i="3" s="1"/>
  <c r="G657" i="3"/>
  <c r="H657" i="3"/>
  <c r="M657" i="3" s="1"/>
  <c r="J657" i="3"/>
  <c r="I657" i="3"/>
  <c r="G990" i="3"/>
  <c r="J990" i="3"/>
  <c r="I990" i="3"/>
  <c r="H990" i="3"/>
  <c r="M990" i="3" s="1"/>
  <c r="G926" i="3"/>
  <c r="J926" i="3"/>
  <c r="I926" i="3"/>
  <c r="H926" i="3"/>
  <c r="M926" i="3" s="1"/>
  <c r="G602" i="3"/>
  <c r="J602" i="3"/>
  <c r="H602" i="3"/>
  <c r="M602" i="3" s="1"/>
  <c r="I602" i="3"/>
  <c r="G992" i="3"/>
  <c r="H992" i="3"/>
  <c r="M992" i="3" s="1"/>
  <c r="J992" i="3"/>
  <c r="I992" i="3"/>
  <c r="G642" i="3"/>
  <c r="H642" i="3"/>
  <c r="M642" i="3" s="1"/>
  <c r="I642" i="3"/>
  <c r="J642" i="3"/>
  <c r="G605" i="3"/>
  <c r="H605" i="3"/>
  <c r="M605" i="3" s="1"/>
  <c r="J605" i="3"/>
  <c r="I605" i="3"/>
  <c r="G940" i="3"/>
  <c r="J940" i="3"/>
  <c r="I940" i="3"/>
  <c r="H940" i="3"/>
  <c r="M940" i="3" s="1"/>
  <c r="G650" i="3"/>
  <c r="I650" i="3"/>
  <c r="J650" i="3"/>
  <c r="H650" i="3"/>
  <c r="M650" i="3" s="1"/>
  <c r="G943" i="3"/>
  <c r="J943" i="3"/>
  <c r="I943" i="3"/>
  <c r="H943" i="3"/>
  <c r="M943" i="3" s="1"/>
  <c r="G895" i="3"/>
  <c r="I895" i="3"/>
  <c r="H895" i="3"/>
  <c r="M895" i="3" s="1"/>
  <c r="J895" i="3"/>
  <c r="G831" i="3"/>
  <c r="I831" i="3"/>
  <c r="H831" i="3"/>
  <c r="M831" i="3" s="1"/>
  <c r="J831" i="3"/>
  <c r="G767" i="3"/>
  <c r="I767" i="3"/>
  <c r="H767" i="3"/>
  <c r="M767" i="3" s="1"/>
  <c r="J767" i="3"/>
  <c r="G655" i="3"/>
  <c r="J655" i="3"/>
  <c r="I655" i="3"/>
  <c r="H655" i="3"/>
  <c r="M655" i="3" s="1"/>
  <c r="G521" i="3"/>
  <c r="J521" i="3"/>
  <c r="I521" i="3"/>
  <c r="H521" i="3"/>
  <c r="M521" i="3" s="1"/>
  <c r="G625" i="3"/>
  <c r="I625" i="3"/>
  <c r="H625" i="3"/>
  <c r="M625" i="3" s="1"/>
  <c r="J625" i="3"/>
  <c r="G836" i="3"/>
  <c r="H836" i="3"/>
  <c r="M836" i="3" s="1"/>
  <c r="J836" i="3"/>
  <c r="I836" i="3"/>
  <c r="G664" i="3"/>
  <c r="H664" i="3"/>
  <c r="M664" i="3" s="1"/>
  <c r="J664" i="3"/>
  <c r="I664" i="3"/>
  <c r="G355" i="3"/>
  <c r="I355" i="3"/>
  <c r="H355" i="3"/>
  <c r="M355" i="3" s="1"/>
  <c r="J355" i="3"/>
  <c r="G368" i="3"/>
  <c r="I368" i="3"/>
  <c r="H368" i="3"/>
  <c r="M368" i="3" s="1"/>
  <c r="J368" i="3"/>
  <c r="G369" i="3"/>
  <c r="I369" i="3"/>
  <c r="H369" i="3"/>
  <c r="M369" i="3" s="1"/>
  <c r="J369" i="3"/>
  <c r="G413" i="3"/>
  <c r="H413" i="3"/>
  <c r="M413" i="3" s="1"/>
  <c r="J413" i="3"/>
  <c r="I413" i="3"/>
  <c r="G265" i="3"/>
  <c r="J265" i="3"/>
  <c r="I265" i="3"/>
  <c r="H265" i="3"/>
  <c r="M265" i="3" s="1"/>
  <c r="G188" i="3"/>
  <c r="H188" i="3"/>
  <c r="M188" i="3" s="1"/>
  <c r="J188" i="3"/>
  <c r="I188" i="3"/>
  <c r="G101" i="3"/>
  <c r="J101" i="3"/>
  <c r="I101" i="3"/>
  <c r="H101" i="3"/>
  <c r="M101" i="3" s="1"/>
  <c r="G74" i="3"/>
  <c r="H74" i="3"/>
  <c r="M74" i="3" s="1"/>
  <c r="J74" i="3"/>
  <c r="I74" i="3"/>
  <c r="G638" i="3"/>
  <c r="J638" i="3"/>
  <c r="I638" i="3"/>
  <c r="H638" i="3"/>
  <c r="M638" i="3" s="1"/>
  <c r="G574" i="3"/>
  <c r="J574" i="3"/>
  <c r="I574" i="3"/>
  <c r="H574" i="3"/>
  <c r="M574" i="3" s="1"/>
  <c r="G388" i="3"/>
  <c r="J388" i="3"/>
  <c r="H388" i="3"/>
  <c r="M388" i="3" s="1"/>
  <c r="I388" i="3"/>
  <c r="G874" i="3"/>
  <c r="I874" i="3"/>
  <c r="J874" i="3"/>
  <c r="H874" i="3"/>
  <c r="M874" i="3" s="1"/>
  <c r="G842" i="3"/>
  <c r="J842" i="3"/>
  <c r="I842" i="3"/>
  <c r="H842" i="3"/>
  <c r="M842" i="3" s="1"/>
  <c r="G810" i="3"/>
  <c r="H810" i="3"/>
  <c r="M810" i="3" s="1"/>
  <c r="J810" i="3"/>
  <c r="I810" i="3"/>
  <c r="G778" i="3"/>
  <c r="I778" i="3"/>
  <c r="H778" i="3"/>
  <c r="M778" i="3" s="1"/>
  <c r="J778" i="3"/>
  <c r="G739" i="3"/>
  <c r="J739" i="3"/>
  <c r="I739" i="3"/>
  <c r="H739" i="3"/>
  <c r="M739" i="3" s="1"/>
  <c r="G675" i="3"/>
  <c r="H675" i="3"/>
  <c r="M675" i="3" s="1"/>
  <c r="I675" i="3"/>
  <c r="J675" i="3"/>
  <c r="G611" i="3"/>
  <c r="H611" i="3"/>
  <c r="M611" i="3" s="1"/>
  <c r="I611" i="3"/>
  <c r="J611" i="3"/>
  <c r="G548" i="3"/>
  <c r="H548" i="3"/>
  <c r="M548" i="3" s="1"/>
  <c r="J548" i="3"/>
  <c r="I548" i="3"/>
  <c r="G502" i="3"/>
  <c r="J502" i="3"/>
  <c r="I502" i="3"/>
  <c r="H502" i="3"/>
  <c r="M502" i="3" s="1"/>
  <c r="G376" i="3"/>
  <c r="H376" i="3"/>
  <c r="M376" i="3" s="1"/>
  <c r="J376" i="3"/>
  <c r="I376" i="3"/>
  <c r="G524" i="3"/>
  <c r="I524" i="3"/>
  <c r="H524" i="3"/>
  <c r="M524" i="3" s="1"/>
  <c r="J524" i="3"/>
  <c r="G407" i="3"/>
  <c r="H407" i="3"/>
  <c r="M407" i="3" s="1"/>
  <c r="J407" i="3"/>
  <c r="I407" i="3"/>
  <c r="G68" i="3"/>
  <c r="J68" i="3"/>
  <c r="I68" i="3"/>
  <c r="H68" i="3"/>
  <c r="M68" i="3" s="1"/>
  <c r="G395" i="3"/>
  <c r="H395" i="3"/>
  <c r="M395" i="3" s="1"/>
  <c r="I395" i="3"/>
  <c r="J395" i="3"/>
  <c r="G515" i="3"/>
  <c r="I515" i="3"/>
  <c r="J515" i="3"/>
  <c r="H515" i="3"/>
  <c r="M515" i="3" s="1"/>
  <c r="G483" i="3"/>
  <c r="H483" i="3"/>
  <c r="M483" i="3" s="1"/>
  <c r="I483" i="3"/>
  <c r="J483" i="3"/>
  <c r="G446" i="3"/>
  <c r="J446" i="3"/>
  <c r="I446" i="3"/>
  <c r="H446" i="3"/>
  <c r="M446" i="3" s="1"/>
  <c r="G382" i="3"/>
  <c r="J382" i="3"/>
  <c r="I382" i="3"/>
  <c r="H382" i="3"/>
  <c r="M382" i="3" s="1"/>
  <c r="G176" i="3"/>
  <c r="I176" i="3"/>
  <c r="H176" i="3"/>
  <c r="M176" i="3" s="1"/>
  <c r="J176" i="3"/>
  <c r="G308" i="3"/>
  <c r="J308" i="3"/>
  <c r="I308" i="3"/>
  <c r="H308" i="3"/>
  <c r="M308" i="3" s="1"/>
  <c r="G216" i="3"/>
  <c r="I216" i="3"/>
  <c r="H216" i="3"/>
  <c r="M216" i="3" s="1"/>
  <c r="J216" i="3"/>
  <c r="G426" i="3"/>
  <c r="I426" i="3"/>
  <c r="J426" i="3"/>
  <c r="H426" i="3"/>
  <c r="M426" i="3" s="1"/>
  <c r="G362" i="3"/>
  <c r="J362" i="3"/>
  <c r="I362" i="3"/>
  <c r="H362" i="3"/>
  <c r="M362" i="3" s="1"/>
  <c r="G113" i="3"/>
  <c r="I113" i="3"/>
  <c r="H113" i="3"/>
  <c r="M113" i="3" s="1"/>
  <c r="J113" i="3"/>
  <c r="G303" i="3"/>
  <c r="H303" i="3"/>
  <c r="M303" i="3" s="1"/>
  <c r="J303" i="3"/>
  <c r="I303" i="3"/>
  <c r="G271" i="3"/>
  <c r="H271" i="3"/>
  <c r="M271" i="3" s="1"/>
  <c r="J271" i="3"/>
  <c r="I271" i="3"/>
  <c r="G239" i="3"/>
  <c r="H239" i="3"/>
  <c r="M239" i="3" s="1"/>
  <c r="I239" i="3"/>
  <c r="J239" i="3"/>
  <c r="G191" i="3"/>
  <c r="J191" i="3"/>
  <c r="I191" i="3"/>
  <c r="H191" i="3"/>
  <c r="M191" i="3" s="1"/>
  <c r="G112" i="3"/>
  <c r="H112" i="3"/>
  <c r="M112" i="3" s="1"/>
  <c r="J112" i="3"/>
  <c r="I112" i="3"/>
  <c r="G201" i="3"/>
  <c r="J201" i="3"/>
  <c r="I201" i="3"/>
  <c r="H201" i="3"/>
  <c r="M201" i="3" s="1"/>
  <c r="G125" i="3"/>
  <c r="H125" i="3"/>
  <c r="M125" i="3" s="1"/>
  <c r="J125" i="3"/>
  <c r="I125" i="3"/>
  <c r="G242" i="3"/>
  <c r="H242" i="3"/>
  <c r="M242" i="3" s="1"/>
  <c r="J242" i="3"/>
  <c r="I242" i="3"/>
  <c r="G198" i="3"/>
  <c r="I198" i="3"/>
  <c r="J198" i="3"/>
  <c r="H198" i="3"/>
  <c r="M198" i="3" s="1"/>
  <c r="G121" i="3"/>
  <c r="H121" i="3"/>
  <c r="M121" i="3" s="1"/>
  <c r="J121" i="3"/>
  <c r="I121" i="3"/>
  <c r="G163" i="3"/>
  <c r="I163" i="3"/>
  <c r="H163" i="3"/>
  <c r="M163" i="3" s="1"/>
  <c r="J163" i="3"/>
  <c r="G99" i="3"/>
  <c r="I99" i="3"/>
  <c r="H99" i="3"/>
  <c r="M99" i="3" s="1"/>
  <c r="J99" i="3"/>
  <c r="G35" i="3"/>
  <c r="I35" i="3"/>
  <c r="H35" i="3"/>
  <c r="M35" i="3" s="1"/>
  <c r="J35" i="3"/>
  <c r="G87" i="3"/>
  <c r="J87" i="3"/>
  <c r="H87" i="3"/>
  <c r="M87" i="3" s="1"/>
  <c r="I87" i="3"/>
  <c r="G26" i="3"/>
  <c r="I26" i="3"/>
  <c r="H26" i="3"/>
  <c r="M26" i="3" s="1"/>
  <c r="J26" i="3"/>
  <c r="G925" i="3"/>
  <c r="I925" i="3"/>
  <c r="J925" i="3"/>
  <c r="H925" i="3"/>
  <c r="M925" i="3" s="1"/>
  <c r="G893" i="3"/>
  <c r="I893" i="3"/>
  <c r="H893" i="3"/>
  <c r="M893" i="3" s="1"/>
  <c r="J893" i="3"/>
  <c r="G861" i="3"/>
  <c r="I861" i="3"/>
  <c r="J861" i="3"/>
  <c r="H861" i="3"/>
  <c r="M861" i="3" s="1"/>
  <c r="G829" i="3"/>
  <c r="H829" i="3"/>
  <c r="M829" i="3" s="1"/>
  <c r="I829" i="3"/>
  <c r="J829" i="3"/>
  <c r="G797" i="3"/>
  <c r="H797" i="3"/>
  <c r="M797" i="3" s="1"/>
  <c r="J797" i="3"/>
  <c r="I797" i="3"/>
  <c r="G765" i="3"/>
  <c r="I765" i="3"/>
  <c r="J765" i="3"/>
  <c r="H765" i="3"/>
  <c r="M765" i="3" s="1"/>
  <c r="G716" i="3"/>
  <c r="J716" i="3"/>
  <c r="I716" i="3"/>
  <c r="H716" i="3"/>
  <c r="M716" i="3" s="1"/>
  <c r="G652" i="3"/>
  <c r="J652" i="3"/>
  <c r="I652" i="3"/>
  <c r="H652" i="3"/>
  <c r="M652" i="3" s="1"/>
  <c r="G588" i="3"/>
  <c r="I588" i="3"/>
  <c r="H588" i="3"/>
  <c r="M588" i="3" s="1"/>
  <c r="J588" i="3"/>
  <c r="G500" i="3"/>
  <c r="J500" i="3"/>
  <c r="I500" i="3"/>
  <c r="H500" i="3"/>
  <c r="M500" i="3" s="1"/>
  <c r="G713" i="3"/>
  <c r="I713" i="3"/>
  <c r="H713" i="3"/>
  <c r="M713" i="3" s="1"/>
  <c r="J713" i="3"/>
  <c r="G649" i="3"/>
  <c r="J649" i="3"/>
  <c r="I649" i="3"/>
  <c r="H649" i="3"/>
  <c r="M649" i="3" s="1"/>
  <c r="G585" i="3"/>
  <c r="H585" i="3"/>
  <c r="M585" i="3" s="1"/>
  <c r="J585" i="3"/>
  <c r="I585" i="3"/>
  <c r="G476" i="3"/>
  <c r="J476" i="3"/>
  <c r="I476" i="3"/>
  <c r="H476" i="3"/>
  <c r="M476" i="3" s="1"/>
  <c r="G880" i="3"/>
  <c r="J880" i="3"/>
  <c r="I880" i="3"/>
  <c r="H880" i="3"/>
  <c r="M880" i="3" s="1"/>
  <c r="G848" i="3"/>
  <c r="J848" i="3"/>
  <c r="I848" i="3"/>
  <c r="H848" i="3"/>
  <c r="M848" i="3" s="1"/>
  <c r="G816" i="3"/>
  <c r="J816" i="3"/>
  <c r="H816" i="3"/>
  <c r="M816" i="3" s="1"/>
  <c r="I816" i="3"/>
  <c r="G784" i="3"/>
  <c r="J784" i="3"/>
  <c r="H784" i="3"/>
  <c r="M784" i="3" s="1"/>
  <c r="I784" i="3"/>
  <c r="G752" i="3"/>
  <c r="J752" i="3"/>
  <c r="H752" i="3"/>
  <c r="M752" i="3" s="1"/>
  <c r="I752" i="3"/>
  <c r="G688" i="3"/>
  <c r="J688" i="3"/>
  <c r="I688" i="3"/>
  <c r="H688" i="3"/>
  <c r="M688" i="3" s="1"/>
  <c r="G624" i="3"/>
  <c r="I624" i="3"/>
  <c r="H624" i="3"/>
  <c r="M624" i="3" s="1"/>
  <c r="J624" i="3"/>
  <c r="G560" i="3"/>
  <c r="I560" i="3"/>
  <c r="H560" i="3"/>
  <c r="M560" i="3" s="1"/>
  <c r="J560" i="3"/>
  <c r="G109" i="3"/>
  <c r="J109" i="3"/>
  <c r="H109" i="3"/>
  <c r="M109" i="3" s="1"/>
  <c r="I109" i="3"/>
  <c r="G403" i="3"/>
  <c r="H403" i="3"/>
  <c r="M403" i="3" s="1"/>
  <c r="I403" i="3"/>
  <c r="J403" i="3"/>
  <c r="G530" i="3"/>
  <c r="H530" i="3"/>
  <c r="M530" i="3" s="1"/>
  <c r="J530" i="3"/>
  <c r="I530" i="3"/>
  <c r="G428" i="3"/>
  <c r="J428" i="3"/>
  <c r="I428" i="3"/>
  <c r="H428" i="3"/>
  <c r="M428" i="3" s="1"/>
  <c r="G254" i="3"/>
  <c r="I254" i="3"/>
  <c r="H254" i="3"/>
  <c r="M254" i="3" s="1"/>
  <c r="J254" i="3"/>
  <c r="G416" i="3"/>
  <c r="J416" i="3"/>
  <c r="H416" i="3"/>
  <c r="M416" i="3" s="1"/>
  <c r="I416" i="3"/>
  <c r="G124" i="3"/>
  <c r="I124" i="3"/>
  <c r="H124" i="3"/>
  <c r="M124" i="3" s="1"/>
  <c r="J124" i="3"/>
  <c r="G489" i="3"/>
  <c r="H489" i="3"/>
  <c r="M489" i="3" s="1"/>
  <c r="J489" i="3"/>
  <c r="I489" i="3"/>
  <c r="G457" i="3"/>
  <c r="H457" i="3"/>
  <c r="M457" i="3" s="1"/>
  <c r="J457" i="3"/>
  <c r="I457" i="3"/>
  <c r="G393" i="3"/>
  <c r="J393" i="3"/>
  <c r="I393" i="3"/>
  <c r="H393" i="3"/>
  <c r="M393" i="3" s="1"/>
  <c r="G329" i="3"/>
  <c r="J329" i="3"/>
  <c r="I329" i="3"/>
  <c r="H329" i="3"/>
  <c r="M329" i="3" s="1"/>
  <c r="G320" i="3"/>
  <c r="I320" i="3"/>
  <c r="H320" i="3"/>
  <c r="M320" i="3" s="1"/>
  <c r="J320" i="3"/>
  <c r="G256" i="3"/>
  <c r="J256" i="3"/>
  <c r="I256" i="3"/>
  <c r="H256" i="3"/>
  <c r="M256" i="3" s="1"/>
  <c r="G437" i="3"/>
  <c r="I437" i="3"/>
  <c r="H437" i="3"/>
  <c r="M437" i="3" s="1"/>
  <c r="J437" i="3"/>
  <c r="G373" i="3"/>
  <c r="J373" i="3"/>
  <c r="I373" i="3"/>
  <c r="H373" i="3"/>
  <c r="M373" i="3" s="1"/>
  <c r="G156" i="3"/>
  <c r="I156" i="3"/>
  <c r="H156" i="3"/>
  <c r="M156" i="3" s="1"/>
  <c r="J156" i="3"/>
  <c r="G309" i="3"/>
  <c r="I309" i="3"/>
  <c r="H309" i="3"/>
  <c r="M309" i="3" s="1"/>
  <c r="J309" i="3"/>
  <c r="G277" i="3"/>
  <c r="J277" i="3"/>
  <c r="H277" i="3"/>
  <c r="M277" i="3" s="1"/>
  <c r="I277" i="3"/>
  <c r="G245" i="3"/>
  <c r="H245" i="3"/>
  <c r="M245" i="3" s="1"/>
  <c r="J245" i="3"/>
  <c r="I245" i="3"/>
  <c r="G202" i="3"/>
  <c r="H202" i="3"/>
  <c r="M202" i="3" s="1"/>
  <c r="J202" i="3"/>
  <c r="I202" i="3"/>
  <c r="G130" i="3"/>
  <c r="J130" i="3"/>
  <c r="I130" i="3"/>
  <c r="H130" i="3"/>
  <c r="M130" i="3" s="1"/>
  <c r="G212" i="3"/>
  <c r="I212" i="3"/>
  <c r="H212" i="3"/>
  <c r="M212" i="3" s="1"/>
  <c r="J212" i="3"/>
  <c r="G140" i="3"/>
  <c r="I140" i="3"/>
  <c r="H140" i="3"/>
  <c r="M140" i="3" s="1"/>
  <c r="J140" i="3"/>
  <c r="G11" i="3"/>
  <c r="H11" i="3"/>
  <c r="M11" i="3" s="1"/>
  <c r="J11" i="3"/>
  <c r="I11" i="3"/>
  <c r="G211" i="3"/>
  <c r="J211" i="3"/>
  <c r="I211" i="3"/>
  <c r="H211" i="3"/>
  <c r="M211" i="3" s="1"/>
  <c r="G135" i="3"/>
  <c r="I135" i="3"/>
  <c r="H135" i="3"/>
  <c r="M135" i="3" s="1"/>
  <c r="J135" i="3"/>
  <c r="G7" i="3"/>
  <c r="I7" i="3"/>
  <c r="H7" i="3"/>
  <c r="M7" i="3" s="1"/>
  <c r="J7" i="3"/>
  <c r="G110" i="3"/>
  <c r="H110" i="3"/>
  <c r="M110" i="3" s="1"/>
  <c r="J110" i="3"/>
  <c r="I110" i="3"/>
  <c r="G46" i="3"/>
  <c r="I46" i="3"/>
  <c r="H46" i="3"/>
  <c r="M46" i="3" s="1"/>
  <c r="J46" i="3"/>
  <c r="G98" i="3"/>
  <c r="I98" i="3"/>
  <c r="H98" i="3"/>
  <c r="M98" i="3" s="1"/>
  <c r="J98" i="3"/>
  <c r="G34" i="3"/>
  <c r="H34" i="3"/>
  <c r="M34" i="3" s="1"/>
  <c r="J34" i="3"/>
  <c r="I34" i="3"/>
  <c r="G923" i="3"/>
  <c r="J923" i="3"/>
  <c r="I923" i="3"/>
  <c r="H923" i="3"/>
  <c r="M923" i="3" s="1"/>
  <c r="G891" i="3"/>
  <c r="I891" i="3"/>
  <c r="J891" i="3"/>
  <c r="H891" i="3"/>
  <c r="M891" i="3" s="1"/>
  <c r="G859" i="3"/>
  <c r="H859" i="3"/>
  <c r="M859" i="3" s="1"/>
  <c r="J859" i="3"/>
  <c r="I859" i="3"/>
  <c r="G827" i="3"/>
  <c r="I827" i="3"/>
  <c r="H827" i="3"/>
  <c r="M827" i="3" s="1"/>
  <c r="J827" i="3"/>
  <c r="G795" i="3"/>
  <c r="H795" i="3"/>
  <c r="M795" i="3" s="1"/>
  <c r="J795" i="3"/>
  <c r="I795" i="3"/>
  <c r="G763" i="3"/>
  <c r="I763" i="3"/>
  <c r="H763" i="3"/>
  <c r="M763" i="3" s="1"/>
  <c r="J763" i="3"/>
  <c r="G711" i="3"/>
  <c r="H711" i="3"/>
  <c r="M711" i="3" s="1"/>
  <c r="I711" i="3"/>
  <c r="J711" i="3"/>
  <c r="G647" i="3"/>
  <c r="H647" i="3"/>
  <c r="M647" i="3" s="1"/>
  <c r="J647" i="3"/>
  <c r="I647" i="3"/>
  <c r="G583" i="3"/>
  <c r="J583" i="3"/>
  <c r="I583" i="3"/>
  <c r="H583" i="3"/>
  <c r="M583" i="3" s="1"/>
  <c r="G468" i="3"/>
  <c r="J468" i="3"/>
  <c r="H468" i="3"/>
  <c r="M468" i="3" s="1"/>
  <c r="I468" i="3"/>
  <c r="G710" i="3"/>
  <c r="H710" i="3"/>
  <c r="M710" i="3" s="1"/>
  <c r="I710" i="3"/>
  <c r="J710" i="3"/>
  <c r="G646" i="3"/>
  <c r="I646" i="3"/>
  <c r="H646" i="3"/>
  <c r="M646" i="3" s="1"/>
  <c r="J646" i="3"/>
  <c r="G582" i="3"/>
  <c r="I582" i="3"/>
  <c r="H582" i="3"/>
  <c r="M582" i="3" s="1"/>
  <c r="J582" i="3"/>
  <c r="G452" i="3"/>
  <c r="H452" i="3"/>
  <c r="M452" i="3" s="1"/>
  <c r="J452" i="3"/>
  <c r="I452" i="3"/>
  <c r="G878" i="3"/>
  <c r="H878" i="3"/>
  <c r="M878" i="3" s="1"/>
  <c r="J878" i="3"/>
  <c r="I878" i="3"/>
  <c r="G846" i="3"/>
  <c r="H846" i="3"/>
  <c r="M846" i="3" s="1"/>
  <c r="I846" i="3"/>
  <c r="J846" i="3"/>
  <c r="G814" i="3"/>
  <c r="H814" i="3"/>
  <c r="M814" i="3" s="1"/>
  <c r="J814" i="3"/>
  <c r="I814" i="3"/>
  <c r="G782" i="3"/>
  <c r="H782" i="3"/>
  <c r="M782" i="3" s="1"/>
  <c r="J782" i="3"/>
  <c r="I782" i="3"/>
  <c r="G747" i="3"/>
  <c r="I747" i="3"/>
  <c r="H747" i="3"/>
  <c r="M747" i="3" s="1"/>
  <c r="J747" i="3"/>
  <c r="G683" i="3"/>
  <c r="H683" i="3"/>
  <c r="M683" i="3" s="1"/>
  <c r="J683" i="3"/>
  <c r="I683" i="3"/>
  <c r="G619" i="3"/>
  <c r="J619" i="3"/>
  <c r="H619" i="3"/>
  <c r="M619" i="3" s="1"/>
  <c r="I619" i="3"/>
  <c r="G555" i="3"/>
  <c r="H555" i="3"/>
  <c r="M555" i="3" s="1"/>
  <c r="I555" i="3"/>
  <c r="J555" i="3"/>
  <c r="G518" i="3"/>
  <c r="I518" i="3"/>
  <c r="H518" i="3"/>
  <c r="M518" i="3" s="1"/>
  <c r="J518" i="3"/>
  <c r="G392" i="3"/>
  <c r="J392" i="3"/>
  <c r="I392" i="3"/>
  <c r="H392" i="3"/>
  <c r="M392" i="3" s="1"/>
  <c r="G528" i="3"/>
  <c r="I528" i="3"/>
  <c r="H528" i="3"/>
  <c r="M528" i="3" s="1"/>
  <c r="J528" i="3"/>
  <c r="G423" i="3"/>
  <c r="H423" i="3"/>
  <c r="M423" i="3" s="1"/>
  <c r="J423" i="3"/>
  <c r="I423" i="3"/>
  <c r="G189" i="3"/>
  <c r="J189" i="3"/>
  <c r="I189" i="3"/>
  <c r="H189" i="3"/>
  <c r="M189" i="3" s="1"/>
  <c r="G411" i="3"/>
  <c r="H411" i="3"/>
  <c r="M411" i="3" s="1"/>
  <c r="I411" i="3"/>
  <c r="J411" i="3"/>
  <c r="G519" i="3"/>
  <c r="H519" i="3"/>
  <c r="M519" i="3" s="1"/>
  <c r="J519" i="3"/>
  <c r="I519" i="3"/>
  <c r="G487" i="3"/>
  <c r="I487" i="3"/>
  <c r="H487" i="3"/>
  <c r="M487" i="3" s="1"/>
  <c r="J487" i="3"/>
  <c r="G454" i="3"/>
  <c r="I454" i="3"/>
  <c r="H454" i="3"/>
  <c r="M454" i="3" s="1"/>
  <c r="J454" i="3"/>
  <c r="G390" i="3"/>
  <c r="I390" i="3"/>
  <c r="H390" i="3"/>
  <c r="M390" i="3" s="1"/>
  <c r="J390" i="3"/>
  <c r="G208" i="3"/>
  <c r="I208" i="3"/>
  <c r="H208" i="3"/>
  <c r="M208" i="3" s="1"/>
  <c r="J208" i="3"/>
  <c r="G316" i="3"/>
  <c r="H316" i="3"/>
  <c r="M316" i="3" s="1"/>
  <c r="J316" i="3"/>
  <c r="I316" i="3"/>
  <c r="G252" i="3"/>
  <c r="H252" i="3"/>
  <c r="M252" i="3" s="1"/>
  <c r="J252" i="3"/>
  <c r="I252" i="3"/>
  <c r="G434" i="3"/>
  <c r="J434" i="3"/>
  <c r="H434" i="3"/>
  <c r="M434" i="3" s="1"/>
  <c r="I434" i="3"/>
  <c r="G370" i="3"/>
  <c r="J370" i="3"/>
  <c r="H370" i="3"/>
  <c r="M370" i="3" s="1"/>
  <c r="I370" i="3"/>
  <c r="G141" i="3"/>
  <c r="H141" i="3"/>
  <c r="M141" i="3" s="1"/>
  <c r="J141" i="3"/>
  <c r="I141" i="3"/>
  <c r="G307" i="3"/>
  <c r="J307" i="3"/>
  <c r="I307" i="3"/>
  <c r="H307" i="3"/>
  <c r="M307" i="3" s="1"/>
  <c r="G275" i="3"/>
  <c r="J275" i="3"/>
  <c r="I275" i="3"/>
  <c r="H275" i="3"/>
  <c r="M275" i="3" s="1"/>
  <c r="G243" i="3"/>
  <c r="J243" i="3"/>
  <c r="I243" i="3"/>
  <c r="H243" i="3"/>
  <c r="M243" i="3" s="1"/>
  <c r="G199" i="3"/>
  <c r="I199" i="3"/>
  <c r="H199" i="3"/>
  <c r="M199" i="3" s="1"/>
  <c r="J199" i="3"/>
  <c r="G119" i="3"/>
  <c r="J119" i="3"/>
  <c r="I119" i="3"/>
  <c r="H119" i="3"/>
  <c r="M119" i="3" s="1"/>
  <c r="G209" i="3"/>
  <c r="I209" i="3"/>
  <c r="H209" i="3"/>
  <c r="M209" i="3" s="1"/>
  <c r="J209" i="3"/>
  <c r="G136" i="3"/>
  <c r="H136" i="3"/>
  <c r="M136" i="3" s="1"/>
  <c r="J136" i="3"/>
  <c r="I136" i="3"/>
  <c r="G246" i="3"/>
  <c r="H246" i="3"/>
  <c r="M246" i="3" s="1"/>
  <c r="J246" i="3"/>
  <c r="I246" i="3"/>
  <c r="G206" i="3"/>
  <c r="J206" i="3"/>
  <c r="I206" i="3"/>
  <c r="H206" i="3"/>
  <c r="M206" i="3" s="1"/>
  <c r="G132" i="3"/>
  <c r="I132" i="3"/>
  <c r="H132" i="3"/>
  <c r="M132" i="3" s="1"/>
  <c r="J132" i="3"/>
  <c r="G171" i="3"/>
  <c r="H171" i="3"/>
  <c r="M171" i="3" s="1"/>
  <c r="J171" i="3"/>
  <c r="I171" i="3"/>
  <c r="G107" i="3"/>
  <c r="H107" i="3"/>
  <c r="M107" i="3" s="1"/>
  <c r="J107" i="3"/>
  <c r="I107" i="3"/>
  <c r="G43" i="3"/>
  <c r="H43" i="3"/>
  <c r="M43" i="3" s="1"/>
  <c r="J43" i="3"/>
  <c r="I43" i="3"/>
  <c r="G95" i="3"/>
  <c r="J95" i="3"/>
  <c r="I95" i="3"/>
  <c r="H95" i="3"/>
  <c r="M95" i="3" s="1"/>
  <c r="G31" i="3"/>
  <c r="J31" i="3"/>
  <c r="I31" i="3"/>
  <c r="H31" i="3"/>
  <c r="M31" i="3" s="1"/>
  <c r="G749" i="3"/>
  <c r="I749" i="3"/>
  <c r="H749" i="3"/>
  <c r="M749" i="3" s="1"/>
  <c r="J749" i="3"/>
  <c r="G535" i="3"/>
  <c r="I535" i="3"/>
  <c r="H535" i="3"/>
  <c r="M535" i="3" s="1"/>
  <c r="J535" i="3"/>
  <c r="G551" i="3"/>
  <c r="H551" i="3"/>
  <c r="M551" i="3" s="1"/>
  <c r="J551" i="3"/>
  <c r="I551" i="3"/>
  <c r="G952" i="3"/>
  <c r="I952" i="3"/>
  <c r="H952" i="3"/>
  <c r="M952" i="3" s="1"/>
  <c r="J952" i="3"/>
  <c r="G905" i="3"/>
  <c r="I905" i="3"/>
  <c r="H905" i="3"/>
  <c r="M905" i="3" s="1"/>
  <c r="J905" i="3"/>
  <c r="G676" i="3"/>
  <c r="H676" i="3"/>
  <c r="M676" i="3" s="1"/>
  <c r="J676" i="3"/>
  <c r="I676" i="3"/>
  <c r="G828" i="3"/>
  <c r="I828" i="3"/>
  <c r="H828" i="3"/>
  <c r="M828" i="3" s="1"/>
  <c r="J828" i="3"/>
  <c r="G466" i="3"/>
  <c r="J466" i="3"/>
  <c r="H466" i="3"/>
  <c r="M466" i="3" s="1"/>
  <c r="I466" i="3"/>
  <c r="G289" i="3"/>
  <c r="J289" i="3"/>
  <c r="I289" i="3"/>
  <c r="H289" i="3"/>
  <c r="M289" i="3" s="1"/>
  <c r="G17" i="3"/>
  <c r="I17" i="3"/>
  <c r="H17" i="3"/>
  <c r="M17" i="3" s="1"/>
  <c r="J17" i="3"/>
  <c r="G634" i="3"/>
  <c r="J634" i="3"/>
  <c r="H634" i="3"/>
  <c r="M634" i="3" s="1"/>
  <c r="I634" i="3"/>
  <c r="G733" i="3"/>
  <c r="J733" i="3"/>
  <c r="I733" i="3"/>
  <c r="H733" i="3"/>
  <c r="M733" i="3" s="1"/>
  <c r="G939" i="3"/>
  <c r="I939" i="3"/>
  <c r="H939" i="3"/>
  <c r="M939" i="3" s="1"/>
  <c r="J939" i="3"/>
  <c r="G735" i="3"/>
  <c r="H735" i="3"/>
  <c r="M735" i="3" s="1"/>
  <c r="J735" i="3"/>
  <c r="I735" i="3"/>
  <c r="G527" i="3"/>
  <c r="J527" i="3"/>
  <c r="I527" i="3"/>
  <c r="H527" i="3"/>
  <c r="M527" i="3" s="1"/>
  <c r="G696" i="3"/>
  <c r="I696" i="3"/>
  <c r="H696" i="3"/>
  <c r="M696" i="3" s="1"/>
  <c r="J696" i="3"/>
  <c r="G152" i="3"/>
  <c r="H152" i="3"/>
  <c r="M152" i="3" s="1"/>
  <c r="J152" i="3"/>
  <c r="I152" i="3"/>
  <c r="G250" i="3"/>
  <c r="I250" i="3"/>
  <c r="H250" i="3"/>
  <c r="M250" i="3" s="1"/>
  <c r="J250" i="3"/>
  <c r="G337" i="3"/>
  <c r="I337" i="3"/>
  <c r="H337" i="3"/>
  <c r="M337" i="3" s="1"/>
  <c r="J337" i="3"/>
  <c r="G381" i="3"/>
  <c r="J381" i="3"/>
  <c r="I381" i="3"/>
  <c r="H381" i="3"/>
  <c r="M381" i="3" s="1"/>
  <c r="G249" i="3"/>
  <c r="H249" i="3"/>
  <c r="M249" i="3" s="1"/>
  <c r="J249" i="3"/>
  <c r="I249" i="3"/>
  <c r="G154" i="3"/>
  <c r="I154" i="3"/>
  <c r="J154" i="3"/>
  <c r="H154" i="3"/>
  <c r="M154" i="3" s="1"/>
  <c r="G36" i="3"/>
  <c r="H36" i="3"/>
  <c r="M36" i="3" s="1"/>
  <c r="J36" i="3"/>
  <c r="I36" i="3"/>
  <c r="G42" i="3"/>
  <c r="I42" i="3"/>
  <c r="H42" i="3"/>
  <c r="M42" i="3" s="1"/>
  <c r="J42" i="3"/>
  <c r="G938" i="3"/>
  <c r="I938" i="3"/>
  <c r="H938" i="3"/>
  <c r="M938" i="3" s="1"/>
  <c r="J938" i="3"/>
  <c r="G621" i="3"/>
  <c r="J621" i="3"/>
  <c r="I621" i="3"/>
  <c r="H621" i="3"/>
  <c r="M621" i="3" s="1"/>
  <c r="G629" i="3"/>
  <c r="H629" i="3"/>
  <c r="M629" i="3" s="1"/>
  <c r="J629" i="3"/>
  <c r="I629" i="3"/>
  <c r="G841" i="3"/>
  <c r="I841" i="3"/>
  <c r="H841" i="3"/>
  <c r="M841" i="3" s="1"/>
  <c r="J841" i="3"/>
  <c r="G436" i="3"/>
  <c r="I436" i="3"/>
  <c r="H436" i="3"/>
  <c r="M436" i="3" s="1"/>
  <c r="J436" i="3"/>
  <c r="G648" i="3"/>
  <c r="J648" i="3"/>
  <c r="H648" i="3"/>
  <c r="M648" i="3" s="1"/>
  <c r="I648" i="3"/>
  <c r="G353" i="3"/>
  <c r="J353" i="3"/>
  <c r="H353" i="3"/>
  <c r="M353" i="3" s="1"/>
  <c r="I353" i="3"/>
  <c r="G172" i="3"/>
  <c r="I172" i="3"/>
  <c r="H172" i="3"/>
  <c r="M172" i="3" s="1"/>
  <c r="J172" i="3"/>
  <c r="G959" i="3"/>
  <c r="I959" i="3"/>
  <c r="H959" i="3"/>
  <c r="M959" i="3" s="1"/>
  <c r="J959" i="3"/>
  <c r="G570" i="3"/>
  <c r="J570" i="3"/>
  <c r="H570" i="3"/>
  <c r="M570" i="3" s="1"/>
  <c r="I570" i="3"/>
  <c r="G997" i="3"/>
  <c r="I997" i="3"/>
  <c r="H997" i="3"/>
  <c r="M997" i="3" s="1"/>
  <c r="J997" i="3"/>
  <c r="G947" i="3"/>
  <c r="H947" i="3"/>
  <c r="M947" i="3" s="1"/>
  <c r="J947" i="3"/>
  <c r="I947" i="3"/>
  <c r="G775" i="3"/>
  <c r="I775" i="3"/>
  <c r="J775" i="3"/>
  <c r="H775" i="3"/>
  <c r="M775" i="3" s="1"/>
  <c r="G734" i="3"/>
  <c r="J734" i="3"/>
  <c r="I734" i="3"/>
  <c r="H734" i="3"/>
  <c r="M734" i="3" s="1"/>
  <c r="G632" i="3"/>
  <c r="H632" i="3"/>
  <c r="M632" i="3" s="1"/>
  <c r="J632" i="3"/>
  <c r="I632" i="3"/>
  <c r="G993" i="3"/>
  <c r="I993" i="3"/>
  <c r="H993" i="3"/>
  <c r="M993" i="3" s="1"/>
  <c r="J993" i="3"/>
  <c r="G930" i="3"/>
  <c r="H930" i="3"/>
  <c r="M930" i="3" s="1"/>
  <c r="J930" i="3"/>
  <c r="I930" i="3"/>
  <c r="G613" i="3"/>
  <c r="I613" i="3"/>
  <c r="H613" i="3"/>
  <c r="M613" i="3" s="1"/>
  <c r="J613" i="3"/>
  <c r="G995" i="3"/>
  <c r="I995" i="3"/>
  <c r="H995" i="3"/>
  <c r="M995" i="3" s="1"/>
  <c r="J995" i="3"/>
  <c r="G653" i="3"/>
  <c r="I653" i="3"/>
  <c r="H653" i="3"/>
  <c r="M653" i="3" s="1"/>
  <c r="J653" i="3"/>
  <c r="G690" i="3"/>
  <c r="J690" i="3"/>
  <c r="I690" i="3"/>
  <c r="H690" i="3"/>
  <c r="M690" i="3" s="1"/>
  <c r="G944" i="3"/>
  <c r="J944" i="3"/>
  <c r="I944" i="3"/>
  <c r="H944" i="3"/>
  <c r="M944" i="3" s="1"/>
  <c r="G661" i="3"/>
  <c r="H661" i="3"/>
  <c r="M661" i="3" s="1"/>
  <c r="J661" i="3"/>
  <c r="I661" i="3"/>
  <c r="G945" i="3"/>
  <c r="H945" i="3"/>
  <c r="M945" i="3" s="1"/>
  <c r="J945" i="3"/>
  <c r="I945" i="3"/>
  <c r="G897" i="3"/>
  <c r="J897" i="3"/>
  <c r="I897" i="3"/>
  <c r="H897" i="3"/>
  <c r="M897" i="3" s="1"/>
  <c r="G833" i="3"/>
  <c r="J833" i="3"/>
  <c r="H833" i="3"/>
  <c r="M833" i="3" s="1"/>
  <c r="I833" i="3"/>
  <c r="G769" i="3"/>
  <c r="J769" i="3"/>
  <c r="I769" i="3"/>
  <c r="H769" i="3"/>
  <c r="M769" i="3" s="1"/>
  <c r="G660" i="3"/>
  <c r="J660" i="3"/>
  <c r="I660" i="3"/>
  <c r="H660" i="3"/>
  <c r="M660" i="3" s="1"/>
  <c r="G529" i="3"/>
  <c r="H529" i="3"/>
  <c r="M529" i="3" s="1"/>
  <c r="J529" i="3"/>
  <c r="I529" i="3"/>
  <c r="G641" i="3"/>
  <c r="I641" i="3"/>
  <c r="J641" i="3"/>
  <c r="H641" i="3"/>
  <c r="M641" i="3" s="1"/>
  <c r="G844" i="3"/>
  <c r="J844" i="3"/>
  <c r="I844" i="3"/>
  <c r="H844" i="3"/>
  <c r="M844" i="3" s="1"/>
  <c r="G680" i="3"/>
  <c r="I680" i="3"/>
  <c r="J680" i="3"/>
  <c r="H680" i="3"/>
  <c r="M680" i="3" s="1"/>
  <c r="G387" i="3"/>
  <c r="I387" i="3"/>
  <c r="J387" i="3"/>
  <c r="H387" i="3"/>
  <c r="M387" i="3" s="1"/>
  <c r="G400" i="3"/>
  <c r="I400" i="3"/>
  <c r="H400" i="3"/>
  <c r="M400" i="3" s="1"/>
  <c r="J400" i="3"/>
  <c r="G385" i="3"/>
  <c r="I385" i="3"/>
  <c r="H385" i="3"/>
  <c r="M385" i="3" s="1"/>
  <c r="J385" i="3"/>
  <c r="G429" i="3"/>
  <c r="H429" i="3"/>
  <c r="M429" i="3" s="1"/>
  <c r="J429" i="3"/>
  <c r="I429" i="3"/>
  <c r="G273" i="3"/>
  <c r="I273" i="3"/>
  <c r="H273" i="3"/>
  <c r="M273" i="3" s="1"/>
  <c r="J273" i="3"/>
  <c r="G204" i="3"/>
  <c r="H204" i="3"/>
  <c r="M204" i="3" s="1"/>
  <c r="J204" i="3"/>
  <c r="I204" i="3"/>
  <c r="G128" i="3"/>
  <c r="J128" i="3"/>
  <c r="I128" i="3"/>
  <c r="H128" i="3"/>
  <c r="M128" i="3" s="1"/>
  <c r="G90" i="3"/>
  <c r="J90" i="3"/>
  <c r="I90" i="3"/>
  <c r="H90" i="3"/>
  <c r="M90" i="3" s="1"/>
  <c r="G922" i="3"/>
  <c r="I922" i="3"/>
  <c r="H922" i="3"/>
  <c r="M922" i="3" s="1"/>
  <c r="J922" i="3"/>
  <c r="G685" i="3"/>
  <c r="J685" i="3"/>
  <c r="I685" i="3"/>
  <c r="H685" i="3"/>
  <c r="M685" i="3" s="1"/>
  <c r="G693" i="3"/>
  <c r="J693" i="3"/>
  <c r="I693" i="3"/>
  <c r="H693" i="3"/>
  <c r="M693" i="3" s="1"/>
  <c r="G825" i="3"/>
  <c r="J825" i="3"/>
  <c r="I825" i="3"/>
  <c r="H825" i="3"/>
  <c r="M825" i="3" s="1"/>
  <c r="G546" i="3"/>
  <c r="H546" i="3"/>
  <c r="M546" i="3" s="1"/>
  <c r="I546" i="3"/>
  <c r="J546" i="3"/>
  <c r="G764" i="3"/>
  <c r="I764" i="3"/>
  <c r="H764" i="3"/>
  <c r="M764" i="3" s="1"/>
  <c r="J764" i="3"/>
  <c r="G417" i="3"/>
  <c r="H417" i="3"/>
  <c r="M417" i="3" s="1"/>
  <c r="J417" i="3"/>
  <c r="I417" i="3"/>
  <c r="G56" i="3"/>
  <c r="J56" i="3"/>
  <c r="I56" i="3"/>
  <c r="H56" i="3"/>
  <c r="M56" i="3" s="1"/>
  <c r="G594" i="3"/>
  <c r="H594" i="3"/>
  <c r="M594" i="3" s="1"/>
  <c r="J594" i="3"/>
  <c r="I594" i="3"/>
  <c r="G356" i="3"/>
  <c r="I356" i="3"/>
  <c r="H356" i="3"/>
  <c r="M356" i="3" s="1"/>
  <c r="J356" i="3"/>
  <c r="G981" i="3"/>
  <c r="J981" i="3"/>
  <c r="I981" i="3"/>
  <c r="H981" i="3"/>
  <c r="M981" i="3" s="1"/>
  <c r="G931" i="3"/>
  <c r="I931" i="3"/>
  <c r="H931" i="3"/>
  <c r="M931" i="3" s="1"/>
  <c r="J931" i="3"/>
  <c r="G759" i="3"/>
  <c r="I759" i="3"/>
  <c r="H759" i="3"/>
  <c r="M759" i="3" s="1"/>
  <c r="J759" i="3"/>
  <c r="G988" i="3"/>
  <c r="I988" i="3"/>
  <c r="H988" i="3"/>
  <c r="M988" i="3" s="1"/>
  <c r="J988" i="3"/>
  <c r="G974" i="3"/>
  <c r="H974" i="3"/>
  <c r="M974" i="3" s="1"/>
  <c r="J974" i="3"/>
  <c r="I974" i="3"/>
  <c r="G910" i="3"/>
  <c r="H910" i="3"/>
  <c r="M910" i="3" s="1"/>
  <c r="I910" i="3"/>
  <c r="J910" i="3"/>
  <c r="G531" i="3"/>
  <c r="J531" i="3"/>
  <c r="H531" i="3"/>
  <c r="M531" i="3" s="1"/>
  <c r="I531" i="3"/>
  <c r="G976" i="3"/>
  <c r="J976" i="3"/>
  <c r="I976" i="3"/>
  <c r="H976" i="3"/>
  <c r="M976" i="3" s="1"/>
  <c r="G578" i="3"/>
  <c r="H578" i="3"/>
  <c r="M578" i="3" s="1"/>
  <c r="I578" i="3"/>
  <c r="J578" i="3"/>
  <c r="G989" i="3"/>
  <c r="I989" i="3"/>
  <c r="H989" i="3"/>
  <c r="M989" i="3" s="1"/>
  <c r="J989" i="3"/>
  <c r="G924" i="3"/>
  <c r="I924" i="3"/>
  <c r="H924" i="3"/>
  <c r="M924" i="3" s="1"/>
  <c r="J924" i="3"/>
  <c r="G586" i="3"/>
  <c r="I586" i="3"/>
  <c r="J586" i="3"/>
  <c r="H586" i="3"/>
  <c r="M586" i="3" s="1"/>
  <c r="G935" i="3"/>
  <c r="J935" i="3"/>
  <c r="I935" i="3"/>
  <c r="H935" i="3"/>
  <c r="M935" i="3" s="1"/>
  <c r="G879" i="3"/>
  <c r="J879" i="3"/>
  <c r="I879" i="3"/>
  <c r="H879" i="3"/>
  <c r="M879" i="3" s="1"/>
  <c r="G815" i="3"/>
  <c r="J815" i="3"/>
  <c r="I815" i="3"/>
  <c r="H815" i="3"/>
  <c r="M815" i="3" s="1"/>
  <c r="G751" i="3"/>
  <c r="J751" i="3"/>
  <c r="I751" i="3"/>
  <c r="H751" i="3"/>
  <c r="M751" i="3" s="1"/>
  <c r="G623" i="3"/>
  <c r="H623" i="3"/>
  <c r="M623" i="3" s="1"/>
  <c r="J623" i="3"/>
  <c r="I623" i="3"/>
  <c r="G750" i="3"/>
  <c r="H750" i="3"/>
  <c r="M750" i="3" s="1"/>
  <c r="J750" i="3"/>
  <c r="I750" i="3"/>
  <c r="G561" i="3"/>
  <c r="H561" i="3"/>
  <c r="M561" i="3" s="1"/>
  <c r="J561" i="3"/>
  <c r="I561" i="3"/>
  <c r="G804" i="3"/>
  <c r="H804" i="3"/>
  <c r="M804" i="3" s="1"/>
  <c r="J804" i="3"/>
  <c r="I804" i="3"/>
  <c r="G600" i="3"/>
  <c r="H600" i="3"/>
  <c r="M600" i="3" s="1"/>
  <c r="J600" i="3"/>
  <c r="I600" i="3"/>
  <c r="G512" i="3"/>
  <c r="J512" i="3"/>
  <c r="I512" i="3"/>
  <c r="H512" i="3"/>
  <c r="M512" i="3" s="1"/>
  <c r="G509" i="3"/>
  <c r="I509" i="3"/>
  <c r="J509" i="3"/>
  <c r="H509" i="3"/>
  <c r="M509" i="3" s="1"/>
  <c r="G84" i="3"/>
  <c r="I84" i="3"/>
  <c r="H84" i="3"/>
  <c r="M84" i="3" s="1"/>
  <c r="J84" i="3"/>
  <c r="G349" i="3"/>
  <c r="H349" i="3"/>
  <c r="M349" i="3" s="1"/>
  <c r="J349" i="3"/>
  <c r="I349" i="3"/>
  <c r="G233" i="3"/>
  <c r="J233" i="3"/>
  <c r="I233" i="3"/>
  <c r="H233" i="3"/>
  <c r="M233" i="3" s="1"/>
  <c r="G108" i="3"/>
  <c r="J108" i="3"/>
  <c r="I108" i="3"/>
  <c r="H108" i="3"/>
  <c r="M108" i="3" s="1"/>
  <c r="G150" i="3"/>
  <c r="J150" i="3"/>
  <c r="I150" i="3"/>
  <c r="H150" i="3"/>
  <c r="M150" i="3" s="1"/>
  <c r="G20" i="3"/>
  <c r="H20" i="3"/>
  <c r="M20" i="3" s="1"/>
  <c r="J20" i="3"/>
  <c r="I20" i="3"/>
  <c r="G622" i="3"/>
  <c r="H622" i="3"/>
  <c r="M622" i="3" s="1"/>
  <c r="J622" i="3"/>
  <c r="I622" i="3"/>
  <c r="G558" i="3"/>
  <c r="H558" i="3"/>
  <c r="M558" i="3" s="1"/>
  <c r="J558" i="3"/>
  <c r="I558" i="3"/>
  <c r="G898" i="3"/>
  <c r="H898" i="3"/>
  <c r="M898" i="3" s="1"/>
  <c r="J898" i="3"/>
  <c r="I898" i="3"/>
  <c r="G866" i="3"/>
  <c r="H866" i="3"/>
  <c r="M866" i="3" s="1"/>
  <c r="J866" i="3"/>
  <c r="I866" i="3"/>
  <c r="G834" i="3"/>
  <c r="J834" i="3"/>
  <c r="I834" i="3"/>
  <c r="H834" i="3"/>
  <c r="M834" i="3" s="1"/>
  <c r="G802" i="3"/>
  <c r="I802" i="3"/>
  <c r="J802" i="3"/>
  <c r="H802" i="3"/>
  <c r="M802" i="3" s="1"/>
  <c r="G770" i="3"/>
  <c r="I770" i="3"/>
  <c r="H770" i="3"/>
  <c r="M770" i="3" s="1"/>
  <c r="J770" i="3"/>
  <c r="G723" i="3"/>
  <c r="I723" i="3"/>
  <c r="J723" i="3"/>
  <c r="H723" i="3"/>
  <c r="M723" i="3" s="1"/>
  <c r="G659" i="3"/>
  <c r="H659" i="3"/>
  <c r="M659" i="3" s="1"/>
  <c r="J659" i="3"/>
  <c r="I659" i="3"/>
  <c r="G595" i="3"/>
  <c r="J595" i="3"/>
  <c r="H595" i="3"/>
  <c r="M595" i="3" s="1"/>
  <c r="I595" i="3"/>
  <c r="G532" i="3"/>
  <c r="I532" i="3"/>
  <c r="J532" i="3"/>
  <c r="H532" i="3"/>
  <c r="M532" i="3" s="1"/>
  <c r="G470" i="3"/>
  <c r="J470" i="3"/>
  <c r="I470" i="3"/>
  <c r="H470" i="3"/>
  <c r="M470" i="3" s="1"/>
  <c r="G335" i="3"/>
  <c r="H335" i="3"/>
  <c r="M335" i="3" s="1"/>
  <c r="J335" i="3"/>
  <c r="I335" i="3"/>
  <c r="G504" i="3"/>
  <c r="H504" i="3"/>
  <c r="M504" i="3" s="1"/>
  <c r="I504" i="3"/>
  <c r="J504" i="3"/>
  <c r="G375" i="3"/>
  <c r="H375" i="3"/>
  <c r="M375" i="3" s="1"/>
  <c r="J375" i="3"/>
  <c r="I375" i="3"/>
  <c r="G490" i="3"/>
  <c r="I490" i="3"/>
  <c r="J490" i="3"/>
  <c r="H490" i="3"/>
  <c r="M490" i="3" s="1"/>
  <c r="G363" i="3"/>
  <c r="J363" i="3"/>
  <c r="H363" i="3"/>
  <c r="M363" i="3" s="1"/>
  <c r="I363" i="3"/>
  <c r="G507" i="3"/>
  <c r="J507" i="3"/>
  <c r="H507" i="3"/>
  <c r="M507" i="3" s="1"/>
  <c r="I507" i="3"/>
  <c r="G475" i="3"/>
  <c r="I475" i="3"/>
  <c r="J475" i="3"/>
  <c r="H475" i="3"/>
  <c r="M475" i="3" s="1"/>
  <c r="G430" i="3"/>
  <c r="H430" i="3"/>
  <c r="M430" i="3" s="1"/>
  <c r="J430" i="3"/>
  <c r="I430" i="3"/>
  <c r="G366" i="3"/>
  <c r="H366" i="3"/>
  <c r="M366" i="3" s="1"/>
  <c r="J366" i="3"/>
  <c r="I366" i="3"/>
  <c r="G41" i="3"/>
  <c r="J41" i="3"/>
  <c r="I41" i="3"/>
  <c r="H41" i="3"/>
  <c r="M41" i="3" s="1"/>
  <c r="G292" i="3"/>
  <c r="H292" i="3"/>
  <c r="M292" i="3" s="1"/>
  <c r="J292" i="3"/>
  <c r="I292" i="3"/>
  <c r="G159" i="3"/>
  <c r="J159" i="3"/>
  <c r="I159" i="3"/>
  <c r="H159" i="3"/>
  <c r="M159" i="3" s="1"/>
  <c r="G410" i="3"/>
  <c r="J410" i="3"/>
  <c r="H410" i="3"/>
  <c r="M410" i="3" s="1"/>
  <c r="I410" i="3"/>
  <c r="G346" i="3"/>
  <c r="J346" i="3"/>
  <c r="I346" i="3"/>
  <c r="H346" i="3"/>
  <c r="M346" i="3" s="1"/>
  <c r="G327" i="3"/>
  <c r="I327" i="3"/>
  <c r="H327" i="3"/>
  <c r="M327" i="3" s="1"/>
  <c r="J327" i="3"/>
  <c r="G295" i="3"/>
  <c r="I295" i="3"/>
  <c r="H295" i="3"/>
  <c r="M295" i="3" s="1"/>
  <c r="J295" i="3"/>
  <c r="G263" i="3"/>
  <c r="I263" i="3"/>
  <c r="H263" i="3"/>
  <c r="M263" i="3" s="1"/>
  <c r="J263" i="3"/>
  <c r="G231" i="3"/>
  <c r="I231" i="3"/>
  <c r="H231" i="3"/>
  <c r="M231" i="3" s="1"/>
  <c r="J231" i="3"/>
  <c r="G175" i="3"/>
  <c r="H175" i="3"/>
  <c r="M175" i="3" s="1"/>
  <c r="I175" i="3"/>
  <c r="J175" i="3"/>
  <c r="G77" i="3"/>
  <c r="J77" i="3"/>
  <c r="I77" i="3"/>
  <c r="H77" i="3"/>
  <c r="M77" i="3" s="1"/>
  <c r="G185" i="3"/>
  <c r="H185" i="3"/>
  <c r="M185" i="3" s="1"/>
  <c r="J185" i="3"/>
  <c r="I185" i="3"/>
  <c r="G97" i="3"/>
  <c r="J97" i="3"/>
  <c r="I97" i="3"/>
  <c r="H97" i="3"/>
  <c r="M97" i="3" s="1"/>
  <c r="G234" i="3"/>
  <c r="J234" i="3"/>
  <c r="H234" i="3"/>
  <c r="M234" i="3" s="1"/>
  <c r="I234" i="3"/>
  <c r="G182" i="3"/>
  <c r="I182" i="3"/>
  <c r="H182" i="3"/>
  <c r="M182" i="3" s="1"/>
  <c r="J182" i="3"/>
  <c r="G96" i="3"/>
  <c r="H96" i="3"/>
  <c r="M96" i="3" s="1"/>
  <c r="J96" i="3"/>
  <c r="I96" i="3"/>
  <c r="G147" i="3"/>
  <c r="J147" i="3"/>
  <c r="I147" i="3"/>
  <c r="H147" i="3"/>
  <c r="M147" i="3" s="1"/>
  <c r="G83" i="3"/>
  <c r="J83" i="3"/>
  <c r="I83" i="3"/>
  <c r="H83" i="3"/>
  <c r="M83" i="3" s="1"/>
  <c r="G29" i="3"/>
  <c r="H29" i="3"/>
  <c r="M29" i="3" s="1"/>
  <c r="J29" i="3"/>
  <c r="I29" i="3"/>
  <c r="G71" i="3"/>
  <c r="I71" i="3"/>
  <c r="H71" i="3"/>
  <c r="M71" i="3" s="1"/>
  <c r="J71" i="3"/>
  <c r="G18" i="3"/>
  <c r="J18" i="3"/>
  <c r="H18" i="3"/>
  <c r="M18" i="3" s="1"/>
  <c r="I18" i="3"/>
  <c r="G917" i="3"/>
  <c r="J917" i="3"/>
  <c r="I917" i="3"/>
  <c r="H917" i="3"/>
  <c r="M917" i="3" s="1"/>
  <c r="G885" i="3"/>
  <c r="I885" i="3"/>
  <c r="H885" i="3"/>
  <c r="M885" i="3" s="1"/>
  <c r="J885" i="3"/>
  <c r="G853" i="3"/>
  <c r="J853" i="3"/>
  <c r="I853" i="3"/>
  <c r="H853" i="3"/>
  <c r="M853" i="3" s="1"/>
  <c r="G821" i="3"/>
  <c r="I821" i="3"/>
  <c r="H821" i="3"/>
  <c r="M821" i="3" s="1"/>
  <c r="J821" i="3"/>
  <c r="G789" i="3"/>
  <c r="J789" i="3"/>
  <c r="I789" i="3"/>
  <c r="H789" i="3"/>
  <c r="M789" i="3" s="1"/>
  <c r="G757" i="3"/>
  <c r="I757" i="3"/>
  <c r="H757" i="3"/>
  <c r="M757" i="3" s="1"/>
  <c r="J757" i="3"/>
  <c r="G700" i="3"/>
  <c r="I700" i="3"/>
  <c r="H700" i="3"/>
  <c r="M700" i="3" s="1"/>
  <c r="J700" i="3"/>
  <c r="G636" i="3"/>
  <c r="H636" i="3"/>
  <c r="M636" i="3" s="1"/>
  <c r="J636" i="3"/>
  <c r="I636" i="3"/>
  <c r="G572" i="3"/>
  <c r="J572" i="3"/>
  <c r="I572" i="3"/>
  <c r="H572" i="3"/>
  <c r="M572" i="3" s="1"/>
  <c r="G372" i="3"/>
  <c r="H372" i="3"/>
  <c r="M372" i="3" s="1"/>
  <c r="J372" i="3"/>
  <c r="I372" i="3"/>
  <c r="G697" i="3"/>
  <c r="I697" i="3"/>
  <c r="H697" i="3"/>
  <c r="M697" i="3" s="1"/>
  <c r="J697" i="3"/>
  <c r="G633" i="3"/>
  <c r="I633" i="3"/>
  <c r="H633" i="3"/>
  <c r="M633" i="3" s="1"/>
  <c r="J633" i="3"/>
  <c r="G569" i="3"/>
  <c r="J569" i="3"/>
  <c r="I569" i="3"/>
  <c r="H569" i="3"/>
  <c r="M569" i="3" s="1"/>
  <c r="G367" i="3"/>
  <c r="H367" i="3"/>
  <c r="M367" i="3" s="1"/>
  <c r="J367" i="3"/>
  <c r="I367" i="3"/>
  <c r="G872" i="3"/>
  <c r="I872" i="3"/>
  <c r="J872" i="3"/>
  <c r="H872" i="3"/>
  <c r="M872" i="3" s="1"/>
  <c r="G840" i="3"/>
  <c r="I840" i="3"/>
  <c r="J840" i="3"/>
  <c r="H840" i="3"/>
  <c r="M840" i="3" s="1"/>
  <c r="G808" i="3"/>
  <c r="J808" i="3"/>
  <c r="I808" i="3"/>
  <c r="H808" i="3"/>
  <c r="M808" i="3" s="1"/>
  <c r="G776" i="3"/>
  <c r="J776" i="3"/>
  <c r="I776" i="3"/>
  <c r="H776" i="3"/>
  <c r="M776" i="3" s="1"/>
  <c r="G736" i="3"/>
  <c r="H736" i="3"/>
  <c r="M736" i="3" s="1"/>
  <c r="J736" i="3"/>
  <c r="I736" i="3"/>
  <c r="G672" i="3"/>
  <c r="H672" i="3"/>
  <c r="M672" i="3" s="1"/>
  <c r="J672" i="3"/>
  <c r="I672" i="3"/>
  <c r="G608" i="3"/>
  <c r="I608" i="3"/>
  <c r="J608" i="3"/>
  <c r="H608" i="3"/>
  <c r="M608" i="3" s="1"/>
  <c r="G544" i="3"/>
  <c r="H544" i="3"/>
  <c r="M544" i="3" s="1"/>
  <c r="J544" i="3"/>
  <c r="I544" i="3"/>
  <c r="G494" i="3"/>
  <c r="H494" i="3"/>
  <c r="M494" i="3" s="1"/>
  <c r="J494" i="3"/>
  <c r="I494" i="3"/>
  <c r="G371" i="3"/>
  <c r="I371" i="3"/>
  <c r="J371" i="3"/>
  <c r="H371" i="3"/>
  <c r="M371" i="3" s="1"/>
  <c r="G522" i="3"/>
  <c r="I522" i="3"/>
  <c r="J522" i="3"/>
  <c r="H522" i="3"/>
  <c r="M522" i="3" s="1"/>
  <c r="G396" i="3"/>
  <c r="J396" i="3"/>
  <c r="I396" i="3"/>
  <c r="H396" i="3"/>
  <c r="M396" i="3" s="1"/>
  <c r="G514" i="3"/>
  <c r="H514" i="3"/>
  <c r="M514" i="3" s="1"/>
  <c r="I514" i="3"/>
  <c r="J514" i="3"/>
  <c r="G384" i="3"/>
  <c r="J384" i="3"/>
  <c r="I384" i="3"/>
  <c r="H384" i="3"/>
  <c r="M384" i="3" s="1"/>
  <c r="G513" i="3"/>
  <c r="I513" i="3"/>
  <c r="H513" i="3"/>
  <c r="M513" i="3" s="1"/>
  <c r="J513" i="3"/>
  <c r="G481" i="3"/>
  <c r="J481" i="3"/>
  <c r="I481" i="3"/>
  <c r="H481" i="3"/>
  <c r="M481" i="3" s="1"/>
  <c r="G441" i="3"/>
  <c r="H441" i="3"/>
  <c r="M441" i="3" s="1"/>
  <c r="J441" i="3"/>
  <c r="I441" i="3"/>
  <c r="G377" i="3"/>
  <c r="H377" i="3"/>
  <c r="M377" i="3" s="1"/>
  <c r="J377" i="3"/>
  <c r="I377" i="3"/>
  <c r="G120" i="3"/>
  <c r="I120" i="3"/>
  <c r="H120" i="3"/>
  <c r="M120" i="3" s="1"/>
  <c r="J120" i="3"/>
  <c r="G304" i="3"/>
  <c r="I304" i="3"/>
  <c r="J304" i="3"/>
  <c r="H304" i="3"/>
  <c r="M304" i="3" s="1"/>
  <c r="G205" i="3"/>
  <c r="I205" i="3"/>
  <c r="H205" i="3"/>
  <c r="M205" i="3" s="1"/>
  <c r="J205" i="3"/>
  <c r="G421" i="3"/>
  <c r="J421" i="3"/>
  <c r="I421" i="3"/>
  <c r="H421" i="3"/>
  <c r="M421" i="3" s="1"/>
  <c r="G357" i="3"/>
  <c r="J357" i="3"/>
  <c r="I357" i="3"/>
  <c r="H357" i="3"/>
  <c r="M357" i="3" s="1"/>
  <c r="G73" i="3"/>
  <c r="J73" i="3"/>
  <c r="I73" i="3"/>
  <c r="H73" i="3"/>
  <c r="M73" i="3" s="1"/>
  <c r="G301" i="3"/>
  <c r="J301" i="3"/>
  <c r="I301" i="3"/>
  <c r="H301" i="3"/>
  <c r="M301" i="3" s="1"/>
  <c r="G269" i="3"/>
  <c r="J269" i="3"/>
  <c r="I269" i="3"/>
  <c r="H269" i="3"/>
  <c r="M269" i="3" s="1"/>
  <c r="G237" i="3"/>
  <c r="I237" i="3"/>
  <c r="H237" i="3"/>
  <c r="M237" i="3" s="1"/>
  <c r="J237" i="3"/>
  <c r="G186" i="3"/>
  <c r="H186" i="3"/>
  <c r="M186" i="3" s="1"/>
  <c r="J186" i="3"/>
  <c r="I186" i="3"/>
  <c r="G104" i="3"/>
  <c r="I104" i="3"/>
  <c r="H104" i="3"/>
  <c r="M104" i="3" s="1"/>
  <c r="J104" i="3"/>
  <c r="G196" i="3"/>
  <c r="J196" i="3"/>
  <c r="I196" i="3"/>
  <c r="H196" i="3"/>
  <c r="M196" i="3" s="1"/>
  <c r="G122" i="3"/>
  <c r="I122" i="3"/>
  <c r="H122" i="3"/>
  <c r="M122" i="3" s="1"/>
  <c r="J122" i="3"/>
  <c r="G240" i="3"/>
  <c r="H240" i="3"/>
  <c r="M240" i="3" s="1"/>
  <c r="J240" i="3"/>
  <c r="I240" i="3"/>
  <c r="G195" i="3"/>
  <c r="I195" i="3"/>
  <c r="H195" i="3"/>
  <c r="M195" i="3" s="1"/>
  <c r="J195" i="3"/>
  <c r="G117" i="3"/>
  <c r="I117" i="3"/>
  <c r="H117" i="3"/>
  <c r="M117" i="3" s="1"/>
  <c r="J117" i="3"/>
  <c r="G158" i="3"/>
  <c r="I158" i="3"/>
  <c r="H158" i="3"/>
  <c r="M158" i="3" s="1"/>
  <c r="J158" i="3"/>
  <c r="G94" i="3"/>
  <c r="I94" i="3"/>
  <c r="H94" i="3"/>
  <c r="M94" i="3" s="1"/>
  <c r="J94" i="3"/>
  <c r="G30" i="3"/>
  <c r="J30" i="3"/>
  <c r="I30" i="3"/>
  <c r="H30" i="3"/>
  <c r="M30" i="3" s="1"/>
  <c r="G82" i="3"/>
  <c r="I82" i="3"/>
  <c r="H82" i="3"/>
  <c r="M82" i="3" s="1"/>
  <c r="J82" i="3"/>
  <c r="G24" i="3"/>
  <c r="H24" i="3"/>
  <c r="M24" i="3" s="1"/>
  <c r="J24" i="3"/>
  <c r="I24" i="3"/>
  <c r="G915" i="3"/>
  <c r="I915" i="3"/>
  <c r="H915" i="3"/>
  <c r="M915" i="3" s="1"/>
  <c r="J915" i="3"/>
  <c r="G883" i="3"/>
  <c r="H883" i="3"/>
  <c r="M883" i="3" s="1"/>
  <c r="J883" i="3"/>
  <c r="I883" i="3"/>
  <c r="G851" i="3"/>
  <c r="I851" i="3"/>
  <c r="H851" i="3"/>
  <c r="M851" i="3" s="1"/>
  <c r="J851" i="3"/>
  <c r="G819" i="3"/>
  <c r="H819" i="3"/>
  <c r="M819" i="3" s="1"/>
  <c r="J819" i="3"/>
  <c r="I819" i="3"/>
  <c r="G787" i="3"/>
  <c r="I787" i="3"/>
  <c r="H787" i="3"/>
  <c r="M787" i="3" s="1"/>
  <c r="J787" i="3"/>
  <c r="G755" i="3"/>
  <c r="H755" i="3"/>
  <c r="M755" i="3" s="1"/>
  <c r="J755" i="3"/>
  <c r="I755" i="3"/>
  <c r="G695" i="3"/>
  <c r="H695" i="3"/>
  <c r="M695" i="3" s="1"/>
  <c r="I695" i="3"/>
  <c r="J695" i="3"/>
  <c r="G631" i="3"/>
  <c r="I631" i="3"/>
  <c r="H631" i="3"/>
  <c r="M631" i="3" s="1"/>
  <c r="J631" i="3"/>
  <c r="G567" i="3"/>
  <c r="J567" i="3"/>
  <c r="I567" i="3"/>
  <c r="H567" i="3"/>
  <c r="M567" i="3" s="1"/>
  <c r="G348" i="3"/>
  <c r="J348" i="3"/>
  <c r="I348" i="3"/>
  <c r="H348" i="3"/>
  <c r="M348" i="3" s="1"/>
  <c r="G694" i="3"/>
  <c r="H694" i="3"/>
  <c r="M694" i="3" s="1"/>
  <c r="J694" i="3"/>
  <c r="I694" i="3"/>
  <c r="G630" i="3"/>
  <c r="J630" i="3"/>
  <c r="I630" i="3"/>
  <c r="H630" i="3"/>
  <c r="M630" i="3" s="1"/>
  <c r="G566" i="3"/>
  <c r="J566" i="3"/>
  <c r="I566" i="3"/>
  <c r="H566" i="3"/>
  <c r="M566" i="3" s="1"/>
  <c r="G278" i="3"/>
  <c r="J278" i="3"/>
  <c r="I278" i="3"/>
  <c r="H278" i="3"/>
  <c r="M278" i="3" s="1"/>
  <c r="G870" i="3"/>
  <c r="I870" i="3"/>
  <c r="H870" i="3"/>
  <c r="M870" i="3" s="1"/>
  <c r="J870" i="3"/>
  <c r="G838" i="3"/>
  <c r="I838" i="3"/>
  <c r="H838" i="3"/>
  <c r="M838" i="3" s="1"/>
  <c r="J838" i="3"/>
  <c r="G806" i="3"/>
  <c r="I806" i="3"/>
  <c r="J806" i="3"/>
  <c r="H806" i="3"/>
  <c r="M806" i="3" s="1"/>
  <c r="G774" i="3"/>
  <c r="I774" i="3"/>
  <c r="H774" i="3"/>
  <c r="M774" i="3" s="1"/>
  <c r="J774" i="3"/>
  <c r="G731" i="3"/>
  <c r="H731" i="3"/>
  <c r="M731" i="3" s="1"/>
  <c r="I731" i="3"/>
  <c r="J731" i="3"/>
  <c r="G667" i="3"/>
  <c r="H667" i="3"/>
  <c r="M667" i="3" s="1"/>
  <c r="I667" i="3"/>
  <c r="J667" i="3"/>
  <c r="G603" i="3"/>
  <c r="I603" i="3"/>
  <c r="J603" i="3"/>
  <c r="H603" i="3"/>
  <c r="M603" i="3" s="1"/>
  <c r="G540" i="3"/>
  <c r="H540" i="3"/>
  <c r="M540" i="3" s="1"/>
  <c r="J540" i="3"/>
  <c r="I540" i="3"/>
  <c r="G486" i="3"/>
  <c r="I486" i="3"/>
  <c r="H486" i="3"/>
  <c r="M486" i="3" s="1"/>
  <c r="J486" i="3"/>
  <c r="G360" i="3"/>
  <c r="I360" i="3"/>
  <c r="H360" i="3"/>
  <c r="M360" i="3" s="1"/>
  <c r="J360" i="3"/>
  <c r="G520" i="3"/>
  <c r="J520" i="3"/>
  <c r="H520" i="3"/>
  <c r="M520" i="3" s="1"/>
  <c r="I520" i="3"/>
  <c r="G391" i="3"/>
  <c r="H391" i="3"/>
  <c r="M391" i="3" s="1"/>
  <c r="J391" i="3"/>
  <c r="I391" i="3"/>
  <c r="G506" i="3"/>
  <c r="J506" i="3"/>
  <c r="H506" i="3"/>
  <c r="M506" i="3" s="1"/>
  <c r="I506" i="3"/>
  <c r="G379" i="3"/>
  <c r="J379" i="3"/>
  <c r="I379" i="3"/>
  <c r="H379" i="3"/>
  <c r="M379" i="3" s="1"/>
  <c r="G511" i="3"/>
  <c r="H511" i="3"/>
  <c r="M511" i="3" s="1"/>
  <c r="J511" i="3"/>
  <c r="I511" i="3"/>
  <c r="G479" i="3"/>
  <c r="H479" i="3"/>
  <c r="M479" i="3" s="1"/>
  <c r="J479" i="3"/>
  <c r="I479" i="3"/>
  <c r="G438" i="3"/>
  <c r="J438" i="3"/>
  <c r="I438" i="3"/>
  <c r="H438" i="3"/>
  <c r="M438" i="3" s="1"/>
  <c r="G374" i="3"/>
  <c r="J374" i="3"/>
  <c r="I374" i="3"/>
  <c r="H374" i="3"/>
  <c r="M374" i="3" s="1"/>
  <c r="G105" i="3"/>
  <c r="J105" i="3"/>
  <c r="I105" i="3"/>
  <c r="H105" i="3"/>
  <c r="M105" i="3" s="1"/>
  <c r="G300" i="3"/>
  <c r="I300" i="3"/>
  <c r="H300" i="3"/>
  <c r="M300" i="3" s="1"/>
  <c r="J300" i="3"/>
  <c r="G184" i="3"/>
  <c r="J184" i="3"/>
  <c r="I184" i="3"/>
  <c r="H184" i="3"/>
  <c r="M184" i="3" s="1"/>
  <c r="G418" i="3"/>
  <c r="H418" i="3"/>
  <c r="M418" i="3" s="1"/>
  <c r="I418" i="3"/>
  <c r="J418" i="3"/>
  <c r="G354" i="3"/>
  <c r="I354" i="3"/>
  <c r="H354" i="3"/>
  <c r="M354" i="3" s="1"/>
  <c r="J354" i="3"/>
  <c r="G52" i="3"/>
  <c r="J52" i="3"/>
  <c r="I52" i="3"/>
  <c r="H52" i="3"/>
  <c r="M52" i="3" s="1"/>
  <c r="G299" i="3"/>
  <c r="H299" i="3"/>
  <c r="M299" i="3" s="1"/>
  <c r="J299" i="3"/>
  <c r="I299" i="3"/>
  <c r="G267" i="3"/>
  <c r="H267" i="3"/>
  <c r="M267" i="3" s="1"/>
  <c r="J267" i="3"/>
  <c r="I267" i="3"/>
  <c r="G235" i="3"/>
  <c r="H235" i="3"/>
  <c r="M235" i="3" s="1"/>
  <c r="J235" i="3"/>
  <c r="I235" i="3"/>
  <c r="G183" i="3"/>
  <c r="J183" i="3"/>
  <c r="I183" i="3"/>
  <c r="H183" i="3"/>
  <c r="M183" i="3" s="1"/>
  <c r="G93" i="3"/>
  <c r="I93" i="3"/>
  <c r="H93" i="3"/>
  <c r="M93" i="3" s="1"/>
  <c r="J93" i="3"/>
  <c r="G193" i="3"/>
  <c r="J193" i="3"/>
  <c r="I193" i="3"/>
  <c r="H193" i="3"/>
  <c r="M193" i="3" s="1"/>
  <c r="G111" i="3"/>
  <c r="H111" i="3"/>
  <c r="M111" i="3" s="1"/>
  <c r="J111" i="3"/>
  <c r="I111" i="3"/>
  <c r="G238" i="3"/>
  <c r="I238" i="3"/>
  <c r="H238" i="3"/>
  <c r="M238" i="3" s="1"/>
  <c r="J238" i="3"/>
  <c r="G190" i="3"/>
  <c r="H190" i="3"/>
  <c r="M190" i="3" s="1"/>
  <c r="J190" i="3"/>
  <c r="I190" i="3"/>
  <c r="G114" i="3"/>
  <c r="H114" i="3"/>
  <c r="M114" i="3" s="1"/>
  <c r="J114" i="3"/>
  <c r="I114" i="3"/>
  <c r="G155" i="3"/>
  <c r="J155" i="3"/>
  <c r="H155" i="3"/>
  <c r="M155" i="3" s="1"/>
  <c r="I155" i="3"/>
  <c r="G91" i="3"/>
  <c r="J91" i="3"/>
  <c r="H91" i="3"/>
  <c r="M91" i="3" s="1"/>
  <c r="I91" i="3"/>
  <c r="G37" i="3"/>
  <c r="J37" i="3"/>
  <c r="I37" i="3"/>
  <c r="H37" i="3"/>
  <c r="M37" i="3" s="1"/>
  <c r="G79" i="3"/>
  <c r="H79" i="3"/>
  <c r="M79" i="3" s="1"/>
  <c r="J79" i="3"/>
  <c r="I79" i="3"/>
  <c r="G22" i="3"/>
  <c r="H22" i="3"/>
  <c r="M22" i="3" s="1"/>
  <c r="I22" i="3"/>
  <c r="J22" i="3"/>
  <c r="G904" i="3"/>
  <c r="I904" i="3"/>
  <c r="J904" i="3"/>
  <c r="H904" i="3"/>
  <c r="M904" i="3" s="1"/>
  <c r="G857" i="3"/>
  <c r="I857" i="3"/>
  <c r="H857" i="3"/>
  <c r="M857" i="3" s="1"/>
  <c r="J857" i="3"/>
  <c r="G580" i="3"/>
  <c r="J580" i="3"/>
  <c r="I580" i="3"/>
  <c r="H580" i="3"/>
  <c r="M580" i="3" s="1"/>
  <c r="G712" i="3"/>
  <c r="J712" i="3"/>
  <c r="I712" i="3"/>
  <c r="H712" i="3"/>
  <c r="M712" i="3" s="1"/>
  <c r="G469" i="3"/>
  <c r="H469" i="3"/>
  <c r="M469" i="3" s="1"/>
  <c r="J469" i="3"/>
  <c r="I469" i="3"/>
  <c r="G162" i="3"/>
  <c r="I162" i="3"/>
  <c r="H162" i="3"/>
  <c r="M162" i="3" s="1"/>
  <c r="J162" i="3"/>
  <c r="N15" i="1"/>
  <c r="C15" i="4" s="1"/>
  <c r="N31" i="1"/>
  <c r="N47" i="1"/>
  <c r="N63" i="1"/>
  <c r="N79" i="1"/>
  <c r="N95" i="1"/>
  <c r="N111" i="1"/>
  <c r="N127" i="1"/>
  <c r="N143" i="1"/>
  <c r="N159" i="1"/>
  <c r="N175" i="1"/>
  <c r="N191" i="1"/>
  <c r="N4" i="1"/>
  <c r="C4" i="4" s="1"/>
  <c r="N20" i="1"/>
  <c r="C20" i="4" s="1"/>
  <c r="N36" i="1"/>
  <c r="N52" i="1"/>
  <c r="N68" i="1"/>
  <c r="N84" i="1"/>
  <c r="N100" i="1"/>
  <c r="N116" i="1"/>
  <c r="N132" i="1"/>
  <c r="N148" i="1"/>
  <c r="N164" i="1"/>
  <c r="N180" i="1"/>
  <c r="N196" i="1"/>
  <c r="N212" i="1"/>
  <c r="N17" i="1"/>
  <c r="C17" i="4" s="1"/>
  <c r="N33" i="1"/>
  <c r="N49" i="1"/>
  <c r="N65" i="1"/>
  <c r="N81" i="1"/>
  <c r="N97" i="1"/>
  <c r="N113" i="1"/>
  <c r="N129" i="1"/>
  <c r="N145" i="1"/>
  <c r="N161" i="1"/>
  <c r="N177" i="1"/>
  <c r="N193" i="1"/>
  <c r="N209" i="1"/>
  <c r="N225" i="1"/>
  <c r="N241" i="1"/>
  <c r="N257" i="1"/>
  <c r="N273" i="1"/>
  <c r="N289" i="1"/>
  <c r="N305" i="1"/>
  <c r="N321" i="1"/>
  <c r="N337" i="1"/>
  <c r="N38" i="1"/>
  <c r="N102" i="1"/>
  <c r="N166" i="1"/>
  <c r="N216" i="1"/>
  <c r="N238" i="1"/>
  <c r="N259" i="1"/>
  <c r="N280" i="1"/>
  <c r="N302" i="1"/>
  <c r="N323" i="1"/>
  <c r="N344" i="1"/>
  <c r="N360" i="1"/>
  <c r="N376" i="1"/>
  <c r="N392" i="1"/>
  <c r="N408" i="1"/>
  <c r="N424" i="1"/>
  <c r="N440" i="1"/>
  <c r="N456" i="1"/>
  <c r="N472" i="1"/>
  <c r="N488" i="1"/>
  <c r="N504" i="1"/>
  <c r="N26" i="1"/>
  <c r="N90" i="1"/>
  <c r="N154" i="1"/>
  <c r="N211" i="1"/>
  <c r="N234" i="1"/>
  <c r="N255" i="1"/>
  <c r="N276" i="1"/>
  <c r="N298" i="1"/>
  <c r="N319" i="1"/>
  <c r="N340" i="1"/>
  <c r="N357" i="1"/>
  <c r="N373" i="1"/>
  <c r="N389" i="1"/>
  <c r="N405" i="1"/>
  <c r="N421" i="1"/>
  <c r="N437" i="1"/>
  <c r="N453" i="1"/>
  <c r="N469" i="1"/>
  <c r="N485" i="1"/>
  <c r="N501" i="1"/>
  <c r="N517" i="1"/>
  <c r="N14" i="1"/>
  <c r="C14" i="4" s="1"/>
  <c r="N78" i="1"/>
  <c r="N142" i="1"/>
  <c r="N206" i="1"/>
  <c r="N230" i="1"/>
  <c r="N251" i="1"/>
  <c r="N272" i="1"/>
  <c r="N294" i="1"/>
  <c r="N315" i="1"/>
  <c r="N336" i="1"/>
  <c r="N354" i="1"/>
  <c r="N370" i="1"/>
  <c r="N386" i="1"/>
  <c r="N402" i="1"/>
  <c r="N418" i="1"/>
  <c r="N434" i="1"/>
  <c r="N450" i="1"/>
  <c r="N466" i="1"/>
  <c r="N482" i="1"/>
  <c r="N498" i="1"/>
  <c r="N514" i="1"/>
  <c r="N530" i="1"/>
  <c r="N546" i="1"/>
  <c r="N562" i="1"/>
  <c r="N578" i="1"/>
  <c r="N594" i="1"/>
  <c r="N610" i="1"/>
  <c r="N626" i="1"/>
  <c r="N642" i="1"/>
  <c r="N658" i="1"/>
  <c r="N674" i="1"/>
  <c r="N690" i="1"/>
  <c r="N706" i="1"/>
  <c r="N722" i="1"/>
  <c r="N738" i="1"/>
  <c r="N18" i="1"/>
  <c r="C18" i="4" s="1"/>
  <c r="N231" i="1"/>
  <c r="N316" i="1"/>
  <c r="N387" i="1"/>
  <c r="N451" i="1"/>
  <c r="N515" i="1"/>
  <c r="N541" i="1"/>
  <c r="N563" i="1"/>
  <c r="N584" i="1"/>
  <c r="N605" i="1"/>
  <c r="N627" i="1"/>
  <c r="N648" i="1"/>
  <c r="N669" i="1"/>
  <c r="N691" i="1"/>
  <c r="N712" i="1"/>
  <c r="N733" i="1"/>
  <c r="N754" i="1"/>
  <c r="N770" i="1"/>
  <c r="N786" i="1"/>
  <c r="N802" i="1"/>
  <c r="N818" i="1"/>
  <c r="N834" i="1"/>
  <c r="N215" i="1"/>
  <c r="N300" i="1"/>
  <c r="N375" i="1"/>
  <c r="N439" i="1"/>
  <c r="N503" i="1"/>
  <c r="N537" i="1"/>
  <c r="N559" i="1"/>
  <c r="N580" i="1"/>
  <c r="N601" i="1"/>
  <c r="N623" i="1"/>
  <c r="N644" i="1"/>
  <c r="N665" i="1"/>
  <c r="N687" i="1"/>
  <c r="N708" i="1"/>
  <c r="N729" i="1"/>
  <c r="N751" i="1"/>
  <c r="N767" i="1"/>
  <c r="N783" i="1"/>
  <c r="N799" i="1"/>
  <c r="N815" i="1"/>
  <c r="N831" i="1"/>
  <c r="N847" i="1"/>
  <c r="N50" i="1"/>
  <c r="N242" i="1"/>
  <c r="N327" i="1"/>
  <c r="N395" i="1"/>
  <c r="N459" i="1"/>
  <c r="N519" i="1"/>
  <c r="N544" i="1"/>
  <c r="N565" i="1"/>
  <c r="N587" i="1"/>
  <c r="N608" i="1"/>
  <c r="N629" i="1"/>
  <c r="N651" i="1"/>
  <c r="N672" i="1"/>
  <c r="N693" i="1"/>
  <c r="N715" i="1"/>
  <c r="N736" i="1"/>
  <c r="N756" i="1"/>
  <c r="N772" i="1"/>
  <c r="N788" i="1"/>
  <c r="N804" i="1"/>
  <c r="N820" i="1"/>
  <c r="N836" i="1"/>
  <c r="N852" i="1"/>
  <c r="N868" i="1"/>
  <c r="N884" i="1"/>
  <c r="N900" i="1"/>
  <c r="N916" i="1"/>
  <c r="N932" i="1"/>
  <c r="N948" i="1"/>
  <c r="N964" i="1"/>
  <c r="N980" i="1"/>
  <c r="N996" i="1"/>
  <c r="N1012" i="1"/>
  <c r="N1028" i="1"/>
  <c r="N1044" i="1"/>
  <c r="N332" i="1"/>
  <c r="N545" i="1"/>
  <c r="N631" i="1"/>
  <c r="N716" i="1"/>
  <c r="N789" i="1"/>
  <c r="N845" i="1"/>
  <c r="N871" i="1"/>
  <c r="N893" i="1"/>
  <c r="N914" i="1"/>
  <c r="N935" i="1"/>
  <c r="N957" i="1"/>
  <c r="N978" i="1"/>
  <c r="N999" i="1"/>
  <c r="N1021" i="1"/>
  <c r="N1042" i="1"/>
  <c r="N351" i="1"/>
  <c r="N551" i="1"/>
  <c r="N636" i="1"/>
  <c r="N721" i="1"/>
  <c r="N793" i="1"/>
  <c r="N846" i="1"/>
  <c r="N873" i="1"/>
  <c r="N894" i="1"/>
  <c r="N915" i="1"/>
  <c r="N937" i="1"/>
  <c r="N958" i="1"/>
  <c r="N979" i="1"/>
  <c r="N1001" i="1"/>
  <c r="N1022" i="1"/>
  <c r="N1043" i="1"/>
  <c r="N367" i="1"/>
  <c r="N556" i="1"/>
  <c r="N641" i="1"/>
  <c r="N727" i="1"/>
  <c r="N797" i="1"/>
  <c r="N849" i="1"/>
  <c r="N874" i="1"/>
  <c r="N895" i="1"/>
  <c r="N917" i="1"/>
  <c r="N938" i="1"/>
  <c r="N959" i="1"/>
  <c r="N981" i="1"/>
  <c r="N1002" i="1"/>
  <c r="N1023" i="1"/>
  <c r="N1045" i="1"/>
  <c r="N383" i="1"/>
  <c r="N561" i="1"/>
  <c r="N647" i="1"/>
  <c r="N732" i="1"/>
  <c r="N801" i="1"/>
  <c r="N850" i="1"/>
  <c r="N875" i="1"/>
  <c r="N897" i="1"/>
  <c r="N918" i="1"/>
  <c r="N939" i="1"/>
  <c r="N961" i="1"/>
  <c r="N982" i="1"/>
  <c r="N1003" i="1"/>
  <c r="N1025" i="1"/>
  <c r="N1046" i="1"/>
  <c r="M11" i="1"/>
  <c r="M27" i="1"/>
  <c r="M43" i="1"/>
  <c r="M59" i="1"/>
  <c r="M75" i="1"/>
  <c r="M91" i="1"/>
  <c r="M107" i="1"/>
  <c r="M123" i="1"/>
  <c r="M139" i="1"/>
  <c r="M155" i="1"/>
  <c r="M171" i="1"/>
  <c r="M187" i="1"/>
  <c r="M203" i="1"/>
  <c r="M219" i="1"/>
  <c r="M235" i="1"/>
  <c r="M251" i="1"/>
  <c r="M267" i="1"/>
  <c r="M283" i="1"/>
  <c r="M12" i="1"/>
  <c r="M28" i="1"/>
  <c r="M44" i="1"/>
  <c r="M60" i="1"/>
  <c r="M76" i="1"/>
  <c r="M92" i="1"/>
  <c r="M108" i="1"/>
  <c r="M124" i="1"/>
  <c r="M140" i="1"/>
  <c r="M156" i="1"/>
  <c r="M172" i="1"/>
  <c r="M188" i="1"/>
  <c r="M204" i="1"/>
  <c r="M220" i="1"/>
  <c r="M236" i="1"/>
  <c r="M252" i="1"/>
  <c r="M268" i="1"/>
  <c r="M284" i="1"/>
  <c r="M300" i="1"/>
  <c r="M316" i="1"/>
  <c r="M332" i="1"/>
  <c r="M9" i="1"/>
  <c r="M25" i="1"/>
  <c r="M41" i="1"/>
  <c r="M57" i="1"/>
  <c r="M73" i="1"/>
  <c r="M89" i="1"/>
  <c r="M105" i="1"/>
  <c r="M121" i="1"/>
  <c r="M137" i="1"/>
  <c r="M153" i="1"/>
  <c r="M169" i="1"/>
  <c r="M185" i="1"/>
  <c r="M201" i="1"/>
  <c r="M217" i="1"/>
  <c r="M233" i="1"/>
  <c r="M249" i="1"/>
  <c r="M265" i="1"/>
  <c r="M281" i="1"/>
  <c r="M297" i="1"/>
  <c r="M313" i="1"/>
  <c r="M329" i="1"/>
  <c r="M6" i="1"/>
  <c r="M70" i="1"/>
  <c r="M134" i="1"/>
  <c r="M198" i="1"/>
  <c r="M262" i="1"/>
  <c r="M307" i="1"/>
  <c r="M339" i="1"/>
  <c r="M357" i="1"/>
  <c r="M373" i="1"/>
  <c r="M389" i="1"/>
  <c r="M26" i="1"/>
  <c r="M90" i="1"/>
  <c r="M154" i="1"/>
  <c r="M218" i="1"/>
  <c r="M282" i="1"/>
  <c r="M318" i="1"/>
  <c r="M346" i="1"/>
  <c r="M362" i="1"/>
  <c r="M378" i="1"/>
  <c r="N19" i="1"/>
  <c r="C19" i="4" s="1"/>
  <c r="N39" i="1"/>
  <c r="N59" i="1"/>
  <c r="N83" i="1"/>
  <c r="N103" i="1"/>
  <c r="N123" i="1"/>
  <c r="N147" i="1"/>
  <c r="N167" i="1"/>
  <c r="N187" i="1"/>
  <c r="N8" i="1"/>
  <c r="C8" i="4" s="1"/>
  <c r="N28" i="1"/>
  <c r="N48" i="1"/>
  <c r="N72" i="1"/>
  <c r="N92" i="1"/>
  <c r="N112" i="1"/>
  <c r="N136" i="1"/>
  <c r="N156" i="1"/>
  <c r="N176" i="1"/>
  <c r="N200" i="1"/>
  <c r="N9" i="1"/>
  <c r="C9" i="4" s="1"/>
  <c r="N29" i="1"/>
  <c r="N53" i="1"/>
  <c r="N73" i="1"/>
  <c r="N93" i="1"/>
  <c r="N117" i="1"/>
  <c r="N137" i="1"/>
  <c r="N157" i="1"/>
  <c r="N181" i="1"/>
  <c r="N201" i="1"/>
  <c r="N221" i="1"/>
  <c r="N245" i="1"/>
  <c r="N265" i="1"/>
  <c r="N285" i="1"/>
  <c r="N309" i="1"/>
  <c r="N329" i="1"/>
  <c r="N22" i="1"/>
  <c r="N118" i="1"/>
  <c r="N198" i="1"/>
  <c r="N232" i="1"/>
  <c r="N264" i="1"/>
  <c r="N291" i="1"/>
  <c r="N318" i="1"/>
  <c r="N348" i="1"/>
  <c r="N368" i="1"/>
  <c r="N388" i="1"/>
  <c r="N412" i="1"/>
  <c r="N432" i="1"/>
  <c r="N452" i="1"/>
  <c r="N476" i="1"/>
  <c r="N496" i="1"/>
  <c r="N10" i="1"/>
  <c r="C10" i="4" s="1"/>
  <c r="N106" i="1"/>
  <c r="N186" i="1"/>
  <c r="N228" i="1"/>
  <c r="N260" i="1"/>
  <c r="N287" i="1"/>
  <c r="N314" i="1"/>
  <c r="N345" i="1"/>
  <c r="N365" i="1"/>
  <c r="N385" i="1"/>
  <c r="N409" i="1"/>
  <c r="N429" i="1"/>
  <c r="N449" i="1"/>
  <c r="N473" i="1"/>
  <c r="N493" i="1"/>
  <c r="N513" i="1"/>
  <c r="N30" i="1"/>
  <c r="N110" i="1"/>
  <c r="N190" i="1"/>
  <c r="N235" i="1"/>
  <c r="N262" i="1"/>
  <c r="N288" i="1"/>
  <c r="N320" i="1"/>
  <c r="N346" i="1"/>
  <c r="N366" i="1"/>
  <c r="N390" i="1"/>
  <c r="N410" i="1"/>
  <c r="N430" i="1"/>
  <c r="N454" i="1"/>
  <c r="N474" i="1"/>
  <c r="N494" i="1"/>
  <c r="N518" i="1"/>
  <c r="N538" i="1"/>
  <c r="N558" i="1"/>
  <c r="N582" i="1"/>
  <c r="N602" i="1"/>
  <c r="N622" i="1"/>
  <c r="N646" i="1"/>
  <c r="N666" i="1"/>
  <c r="N686" i="1"/>
  <c r="N710" i="1"/>
  <c r="N730" i="1"/>
  <c r="N750" i="1"/>
  <c r="N252" i="1"/>
  <c r="N355" i="1"/>
  <c r="N435" i="1"/>
  <c r="N523" i="1"/>
  <c r="N552" i="1"/>
  <c r="N579" i="1"/>
  <c r="N611" i="1"/>
  <c r="N637" i="1"/>
  <c r="N664" i="1"/>
  <c r="N696" i="1"/>
  <c r="N723" i="1"/>
  <c r="N749" i="1"/>
  <c r="N774" i="1"/>
  <c r="N794" i="1"/>
  <c r="N814" i="1"/>
  <c r="N34" i="1"/>
  <c r="N258" i="1"/>
  <c r="N359" i="1"/>
  <c r="N455" i="1"/>
  <c r="N524" i="1"/>
  <c r="N553" i="1"/>
  <c r="N585" i="1"/>
  <c r="N612" i="1"/>
  <c r="N639" i="1"/>
  <c r="N671" i="1"/>
  <c r="N697" i="1"/>
  <c r="N724" i="1"/>
  <c r="N755" i="1"/>
  <c r="N775" i="1"/>
  <c r="N795" i="1"/>
  <c r="N819" i="1"/>
  <c r="N839" i="1"/>
  <c r="N859" i="1"/>
  <c r="N263" i="1"/>
  <c r="N363" i="1"/>
  <c r="N443" i="1"/>
  <c r="N527" i="1"/>
  <c r="N555" i="1"/>
  <c r="N581" i="1"/>
  <c r="N613" i="1"/>
  <c r="N640" i="1"/>
  <c r="N667" i="1"/>
  <c r="N699" i="1"/>
  <c r="N725" i="1"/>
  <c r="N752" i="1"/>
  <c r="N776" i="1"/>
  <c r="N796" i="1"/>
  <c r="N816" i="1"/>
  <c r="N840" i="1"/>
  <c r="N860" i="1"/>
  <c r="N880" i="1"/>
  <c r="N904" i="1"/>
  <c r="N924" i="1"/>
  <c r="N944" i="1"/>
  <c r="N968" i="1"/>
  <c r="N988" i="1"/>
  <c r="N1008" i="1"/>
  <c r="N1032" i="1"/>
  <c r="N66" i="1"/>
  <c r="N520" i="1"/>
  <c r="N652" i="1"/>
  <c r="N757" i="1"/>
  <c r="N837" i="1"/>
  <c r="N877" i="1"/>
  <c r="N903" i="1"/>
  <c r="N930" i="1"/>
  <c r="N962" i="1"/>
  <c r="N989" i="1"/>
  <c r="N1015" i="1"/>
  <c r="N1047" i="1"/>
  <c r="N479" i="1"/>
  <c r="N615" i="1"/>
  <c r="N743" i="1"/>
  <c r="N825" i="1"/>
  <c r="N867" i="1"/>
  <c r="N899" i="1"/>
  <c r="N926" i="1"/>
  <c r="N953" i="1"/>
  <c r="N985" i="1"/>
  <c r="N1011" i="1"/>
  <c r="N1038" i="1"/>
  <c r="N431" i="1"/>
  <c r="N599" i="1"/>
  <c r="N705" i="1"/>
  <c r="N813" i="1"/>
  <c r="N863" i="1"/>
  <c r="N890" i="1"/>
  <c r="N922" i="1"/>
  <c r="N949" i="1"/>
  <c r="N975" i="1"/>
  <c r="N1007" i="1"/>
  <c r="N1034" i="1"/>
  <c r="N311" i="1"/>
  <c r="N583" i="1"/>
  <c r="N689" i="1"/>
  <c r="N785" i="1"/>
  <c r="N858" i="1"/>
  <c r="N886" i="1"/>
  <c r="N913" i="1"/>
  <c r="N945" i="1"/>
  <c r="N971" i="1"/>
  <c r="N998" i="1"/>
  <c r="N1030" i="1"/>
  <c r="M3" i="1"/>
  <c r="M23" i="1"/>
  <c r="M47" i="1"/>
  <c r="M67" i="1"/>
  <c r="M87" i="1"/>
  <c r="M111" i="1"/>
  <c r="M131" i="1"/>
  <c r="M151" i="1"/>
  <c r="M175" i="1"/>
  <c r="M195" i="1"/>
  <c r="M215" i="1"/>
  <c r="M239" i="1"/>
  <c r="M259" i="1"/>
  <c r="M279" i="1"/>
  <c r="M16" i="1"/>
  <c r="M36" i="1"/>
  <c r="M56" i="1"/>
  <c r="M80" i="1"/>
  <c r="M100" i="1"/>
  <c r="M120" i="1"/>
  <c r="M144" i="1"/>
  <c r="M164" i="1"/>
  <c r="M184" i="1"/>
  <c r="M208" i="1"/>
  <c r="M228" i="1"/>
  <c r="M248" i="1"/>
  <c r="M272" i="1"/>
  <c r="M292" i="1"/>
  <c r="M312" i="1"/>
  <c r="M336" i="1"/>
  <c r="M17" i="1"/>
  <c r="M37" i="1"/>
  <c r="M61" i="1"/>
  <c r="M81" i="1"/>
  <c r="M101" i="1"/>
  <c r="M125" i="1"/>
  <c r="M145" i="1"/>
  <c r="M165" i="1"/>
  <c r="M189" i="1"/>
  <c r="M209" i="1"/>
  <c r="M229" i="1"/>
  <c r="M253" i="1"/>
  <c r="M273" i="1"/>
  <c r="M293" i="1"/>
  <c r="M317" i="1"/>
  <c r="M337" i="1"/>
  <c r="M54" i="1"/>
  <c r="M150" i="1"/>
  <c r="M230" i="1"/>
  <c r="M299" i="1"/>
  <c r="M345" i="1"/>
  <c r="M365" i="1"/>
  <c r="M385" i="1"/>
  <c r="M42" i="1"/>
  <c r="M122" i="1"/>
  <c r="M202" i="1"/>
  <c r="M294" i="1"/>
  <c r="M334" i="1"/>
  <c r="M358" i="1"/>
  <c r="M382" i="1"/>
  <c r="M398" i="1"/>
  <c r="M46" i="1"/>
  <c r="M110" i="1"/>
  <c r="M174" i="1"/>
  <c r="M238" i="1"/>
  <c r="M295" i="1"/>
  <c r="M327" i="1"/>
  <c r="M351" i="1"/>
  <c r="M367" i="1"/>
  <c r="M383" i="1"/>
  <c r="M399" i="1"/>
  <c r="M415" i="1"/>
  <c r="M431" i="1"/>
  <c r="M447" i="1"/>
  <c r="M463" i="1"/>
  <c r="M479" i="1"/>
  <c r="M495" i="1"/>
  <c r="M511" i="1"/>
  <c r="M527" i="1"/>
  <c r="M543" i="1"/>
  <c r="M559" i="1"/>
  <c r="M575" i="1"/>
  <c r="M82" i="1"/>
  <c r="M314" i="1"/>
  <c r="M392" i="1"/>
  <c r="M420" i="1"/>
  <c r="M441" i="1"/>
  <c r="M462" i="1"/>
  <c r="M484" i="1"/>
  <c r="M505" i="1"/>
  <c r="M526" i="1"/>
  <c r="M548" i="1"/>
  <c r="M569" i="1"/>
  <c r="M589" i="1"/>
  <c r="M605" i="1"/>
  <c r="M621" i="1"/>
  <c r="M637" i="1"/>
  <c r="M653" i="1"/>
  <c r="M669" i="1"/>
  <c r="M685" i="1"/>
  <c r="M701" i="1"/>
  <c r="M717" i="1"/>
  <c r="M733" i="1"/>
  <c r="M34" i="1"/>
  <c r="M290" i="1"/>
  <c r="M380" i="1"/>
  <c r="M416" i="1"/>
  <c r="M437" i="1"/>
  <c r="M458" i="1"/>
  <c r="M480" i="1"/>
  <c r="M501" i="1"/>
  <c r="M522" i="1"/>
  <c r="M544" i="1"/>
  <c r="M565" i="1"/>
  <c r="M586" i="1"/>
  <c r="M602" i="1"/>
  <c r="M618" i="1"/>
  <c r="M634" i="1"/>
  <c r="M650" i="1"/>
  <c r="M666" i="1"/>
  <c r="M682" i="1"/>
  <c r="M698" i="1"/>
  <c r="M714" i="1"/>
  <c r="M730" i="1"/>
  <c r="M746" i="1"/>
  <c r="M114" i="1"/>
  <c r="M330" i="1"/>
  <c r="M400" i="1"/>
  <c r="M422" i="1"/>
  <c r="M444" i="1"/>
  <c r="M465" i="1"/>
  <c r="M486" i="1"/>
  <c r="M508" i="1"/>
  <c r="M529" i="1"/>
  <c r="M550" i="1"/>
  <c r="M572" i="1"/>
  <c r="M591" i="1"/>
  <c r="M607" i="1"/>
  <c r="M623" i="1"/>
  <c r="M639" i="1"/>
  <c r="M655" i="1"/>
  <c r="M671" i="1"/>
  <c r="M687" i="1"/>
  <c r="M703" i="1"/>
  <c r="M719" i="1"/>
  <c r="N11" i="1"/>
  <c r="C11" i="4" s="1"/>
  <c r="N43" i="1"/>
  <c r="N71" i="1"/>
  <c r="N99" i="1"/>
  <c r="N131" i="1"/>
  <c r="N155" i="1"/>
  <c r="N183" i="1"/>
  <c r="N12" i="1"/>
  <c r="C12" i="4" s="1"/>
  <c r="N40" i="1"/>
  <c r="N64" i="1"/>
  <c r="N96" i="1"/>
  <c r="N124" i="1"/>
  <c r="N152" i="1"/>
  <c r="N184" i="1"/>
  <c r="N208" i="1"/>
  <c r="N25" i="1"/>
  <c r="N57" i="1"/>
  <c r="N85" i="1"/>
  <c r="N109" i="1"/>
  <c r="N141" i="1"/>
  <c r="N169" i="1"/>
  <c r="N197" i="1"/>
  <c r="N229" i="1"/>
  <c r="N253" i="1"/>
  <c r="N281" i="1"/>
  <c r="N313" i="1"/>
  <c r="N341" i="1"/>
  <c r="N86" i="1"/>
  <c r="N210" i="1"/>
  <c r="N248" i="1"/>
  <c r="N286" i="1"/>
  <c r="N328" i="1"/>
  <c r="N356" i="1"/>
  <c r="N384" i="1"/>
  <c r="N416" i="1"/>
  <c r="N444" i="1"/>
  <c r="N468" i="1"/>
  <c r="N500" i="1"/>
  <c r="N58" i="1"/>
  <c r="N170" i="1"/>
  <c r="N239" i="1"/>
  <c r="N271" i="1"/>
  <c r="N308" i="1"/>
  <c r="N349" i="1"/>
  <c r="N377" i="1"/>
  <c r="N401" i="1"/>
  <c r="N433" i="1"/>
  <c r="N461" i="1"/>
  <c r="N489" i="1"/>
  <c r="N521" i="1"/>
  <c r="N62" i="1"/>
  <c r="N174" i="1"/>
  <c r="N240" i="1"/>
  <c r="N278" i="1"/>
  <c r="N310" i="1"/>
  <c r="N350" i="1"/>
  <c r="N378" i="1"/>
  <c r="N406" i="1"/>
  <c r="N438" i="1"/>
  <c r="N462" i="1"/>
  <c r="N490" i="1"/>
  <c r="N522" i="1"/>
  <c r="N550" i="1"/>
  <c r="N574" i="1"/>
  <c r="N606" i="1"/>
  <c r="N634" i="1"/>
  <c r="N662" i="1"/>
  <c r="N694" i="1"/>
  <c r="N718" i="1"/>
  <c r="N746" i="1"/>
  <c r="N274" i="1"/>
  <c r="N403" i="1"/>
  <c r="N499" i="1"/>
  <c r="N557" i="1"/>
  <c r="N595" i="1"/>
  <c r="N632" i="1"/>
  <c r="N675" i="1"/>
  <c r="N707" i="1"/>
  <c r="N744" i="1"/>
  <c r="N778" i="1"/>
  <c r="N806" i="1"/>
  <c r="N830" i="1"/>
  <c r="N279" i="1"/>
  <c r="N407" i="1"/>
  <c r="N516" i="1"/>
  <c r="N564" i="1"/>
  <c r="N596" i="1"/>
  <c r="N633" i="1"/>
  <c r="N676" i="1"/>
  <c r="N713" i="1"/>
  <c r="N745" i="1"/>
  <c r="N779" i="1"/>
  <c r="N807" i="1"/>
  <c r="N835" i="1"/>
  <c r="N114" i="1"/>
  <c r="N306" i="1"/>
  <c r="N427" i="1"/>
  <c r="N533" i="1"/>
  <c r="N571" i="1"/>
  <c r="N603" i="1"/>
  <c r="N645" i="1"/>
  <c r="N683" i="1"/>
  <c r="N720" i="1"/>
  <c r="N760" i="1"/>
  <c r="N784" i="1"/>
  <c r="N812" i="1"/>
  <c r="N844" i="1"/>
  <c r="N872" i="1"/>
  <c r="N896" i="1"/>
  <c r="N928" i="1"/>
  <c r="N956" i="1"/>
  <c r="N984" i="1"/>
  <c r="N1016" i="1"/>
  <c r="N1040" i="1"/>
  <c r="N23" i="1"/>
  <c r="N51" i="1"/>
  <c r="N75" i="1"/>
  <c r="N107" i="1"/>
  <c r="N135" i="1"/>
  <c r="N163" i="1"/>
  <c r="N195" i="1"/>
  <c r="N16" i="1"/>
  <c r="C16" i="4" s="1"/>
  <c r="N44" i="1"/>
  <c r="N76" i="1"/>
  <c r="N104" i="1"/>
  <c r="N128" i="1"/>
  <c r="N160" i="1"/>
  <c r="N188" i="1"/>
  <c r="N5" i="1"/>
  <c r="C5" i="4" s="1"/>
  <c r="N37" i="1"/>
  <c r="N61" i="1"/>
  <c r="N89" i="1"/>
  <c r="N121" i="1"/>
  <c r="N149" i="1"/>
  <c r="N173" i="1"/>
  <c r="N205" i="1"/>
  <c r="N233" i="1"/>
  <c r="N261" i="1"/>
  <c r="N293" i="1"/>
  <c r="N317" i="1"/>
  <c r="N6" i="1"/>
  <c r="C6" i="4" s="1"/>
  <c r="N134" i="1"/>
  <c r="N222" i="1"/>
  <c r="N254" i="1"/>
  <c r="N296" i="1"/>
  <c r="N334" i="1"/>
  <c r="N364" i="1"/>
  <c r="N396" i="1"/>
  <c r="N420" i="1"/>
  <c r="N448" i="1"/>
  <c r="N480" i="1"/>
  <c r="N508" i="1"/>
  <c r="N74" i="1"/>
  <c r="N202" i="1"/>
  <c r="N244" i="1"/>
  <c r="N282" i="1"/>
  <c r="N324" i="1"/>
  <c r="N353" i="1"/>
  <c r="N381" i="1"/>
  <c r="N413" i="1"/>
  <c r="N441" i="1"/>
  <c r="N465" i="1"/>
  <c r="N497" i="1"/>
  <c r="N525" i="1"/>
  <c r="N94" i="1"/>
  <c r="N214" i="1"/>
  <c r="N246" i="1"/>
  <c r="N283" i="1"/>
  <c r="N326" i="1"/>
  <c r="N358" i="1"/>
  <c r="N382" i="1"/>
  <c r="N414" i="1"/>
  <c r="N442" i="1"/>
  <c r="N470" i="1"/>
  <c r="N502" i="1"/>
  <c r="N526" i="1"/>
  <c r="N554" i="1"/>
  <c r="N586" i="1"/>
  <c r="N614" i="1"/>
  <c r="N638" i="1"/>
  <c r="N670" i="1"/>
  <c r="N698" i="1"/>
  <c r="N726" i="1"/>
  <c r="N82" i="1"/>
  <c r="N295" i="1"/>
  <c r="N419" i="1"/>
  <c r="N531" i="1"/>
  <c r="N568" i="1"/>
  <c r="N600" i="1"/>
  <c r="N643" i="1"/>
  <c r="N680" i="1"/>
  <c r="N717" i="1"/>
  <c r="N758" i="1"/>
  <c r="N782" i="1"/>
  <c r="N810" i="1"/>
  <c r="N98" i="1"/>
  <c r="N322" i="1"/>
  <c r="N423" i="1"/>
  <c r="N532" i="1"/>
  <c r="N569" i="1"/>
  <c r="N607" i="1"/>
  <c r="N649" i="1"/>
  <c r="N681" i="1"/>
  <c r="N719" i="1"/>
  <c r="N759" i="1"/>
  <c r="N787" i="1"/>
  <c r="N811" i="1"/>
  <c r="N843" i="1"/>
  <c r="N178" i="1"/>
  <c r="N347" i="1"/>
  <c r="N475" i="1"/>
  <c r="N539" i="1"/>
  <c r="N576" i="1"/>
  <c r="N619" i="1"/>
  <c r="N656" i="1"/>
  <c r="N688" i="1"/>
  <c r="N731" i="1"/>
  <c r="N764" i="1"/>
  <c r="N792" i="1"/>
  <c r="N824" i="1"/>
  <c r="N848" i="1"/>
  <c r="N876" i="1"/>
  <c r="N908" i="1"/>
  <c r="N936" i="1"/>
  <c r="N960" i="1"/>
  <c r="N992" i="1"/>
  <c r="N1020" i="1"/>
  <c r="N1048" i="1"/>
  <c r="N567" i="1"/>
  <c r="N695" i="1"/>
  <c r="N821" i="1"/>
  <c r="N882" i="1"/>
  <c r="N919" i="1"/>
  <c r="N951" i="1"/>
  <c r="N994" i="1"/>
  <c r="N1031" i="1"/>
  <c r="N415" i="1"/>
  <c r="N657" i="1"/>
  <c r="N777" i="1"/>
  <c r="N862" i="1"/>
  <c r="N905" i="1"/>
  <c r="N942" i="1"/>
  <c r="N974" i="1"/>
  <c r="N1017" i="1"/>
  <c r="N194" i="1"/>
  <c r="N577" i="1"/>
  <c r="N748" i="1"/>
  <c r="N841" i="1"/>
  <c r="N885" i="1"/>
  <c r="N927" i="1"/>
  <c r="N965" i="1"/>
  <c r="N997" i="1"/>
  <c r="N1039" i="1"/>
  <c r="N511" i="1"/>
  <c r="N668" i="1"/>
  <c r="N817" i="1"/>
  <c r="N870" i="1"/>
  <c r="N907" i="1"/>
  <c r="N950" i="1"/>
  <c r="N987" i="1"/>
  <c r="N1019" i="1"/>
  <c r="M7" i="1"/>
  <c r="M35" i="1"/>
  <c r="M63" i="1"/>
  <c r="M95" i="1"/>
  <c r="M119" i="1"/>
  <c r="M147" i="1"/>
  <c r="M179" i="1"/>
  <c r="M207" i="1"/>
  <c r="M231" i="1"/>
  <c r="M263" i="1"/>
  <c r="M4" i="1"/>
  <c r="M32" i="1"/>
  <c r="M64" i="1"/>
  <c r="M88" i="1"/>
  <c r="M116" i="1"/>
  <c r="M148" i="1"/>
  <c r="M176" i="1"/>
  <c r="M200" i="1"/>
  <c r="M232" i="1"/>
  <c r="M260" i="1"/>
  <c r="M288" i="1"/>
  <c r="M320" i="1"/>
  <c r="M5" i="1"/>
  <c r="M33" i="1"/>
  <c r="M65" i="1"/>
  <c r="M93" i="1"/>
  <c r="M117" i="1"/>
  <c r="M149" i="1"/>
  <c r="M177" i="1"/>
  <c r="M205" i="1"/>
  <c r="M237" i="1"/>
  <c r="M261" i="1"/>
  <c r="M289" i="1"/>
  <c r="M321" i="1"/>
  <c r="M22" i="1"/>
  <c r="M118" i="1"/>
  <c r="M246" i="1"/>
  <c r="M323" i="1"/>
  <c r="M361" i="1"/>
  <c r="M393" i="1"/>
  <c r="M74" i="1"/>
  <c r="M186" i="1"/>
  <c r="M302" i="1"/>
  <c r="M350" i="1"/>
  <c r="M374" i="1"/>
  <c r="M402" i="1"/>
  <c r="M78" i="1"/>
  <c r="M158" i="1"/>
  <c r="M254" i="1"/>
  <c r="M311" i="1"/>
  <c r="M347" i="1"/>
  <c r="M371" i="1"/>
  <c r="M391" i="1"/>
  <c r="M411" i="1"/>
  <c r="M435" i="1"/>
  <c r="M455" i="1"/>
  <c r="M475" i="1"/>
  <c r="M499" i="1"/>
  <c r="M519" i="1"/>
  <c r="M539" i="1"/>
  <c r="M563" i="1"/>
  <c r="M583" i="1"/>
  <c r="M274" i="1"/>
  <c r="M404" i="1"/>
  <c r="M430" i="1"/>
  <c r="M457" i="1"/>
  <c r="M489" i="1"/>
  <c r="M516" i="1"/>
  <c r="M542" i="1"/>
  <c r="M574" i="1"/>
  <c r="M597" i="1"/>
  <c r="M617" i="1"/>
  <c r="M641" i="1"/>
  <c r="M661" i="1"/>
  <c r="M681" i="1"/>
  <c r="M705" i="1"/>
  <c r="M725" i="1"/>
  <c r="M745" i="1"/>
  <c r="M322" i="1"/>
  <c r="M405" i="1"/>
  <c r="M432" i="1"/>
  <c r="M464" i="1"/>
  <c r="M490" i="1"/>
  <c r="M517" i="1"/>
  <c r="M549" i="1"/>
  <c r="M576" i="1"/>
  <c r="M598" i="1"/>
  <c r="M622" i="1"/>
  <c r="M642" i="1"/>
  <c r="M662" i="1"/>
  <c r="M686" i="1"/>
  <c r="M706" i="1"/>
  <c r="M726" i="1"/>
  <c r="M750" i="1"/>
  <c r="M242" i="1"/>
  <c r="M384" i="1"/>
  <c r="M428" i="1"/>
  <c r="M454" i="1"/>
  <c r="M481" i="1"/>
  <c r="M513" i="1"/>
  <c r="M540" i="1"/>
  <c r="M566" i="1"/>
  <c r="M595" i="1"/>
  <c r="M615" i="1"/>
  <c r="M635" i="1"/>
  <c r="M659" i="1"/>
  <c r="M679" i="1"/>
  <c r="M699" i="1"/>
  <c r="M723" i="1"/>
  <c r="M739" i="1"/>
  <c r="M755" i="1"/>
  <c r="M771" i="1"/>
  <c r="M787" i="1"/>
  <c r="M803" i="1"/>
  <c r="M418" i="1"/>
  <c r="M504" i="1"/>
  <c r="M588" i="1"/>
  <c r="M652" i="1"/>
  <c r="M716" i="1"/>
  <c r="M761" i="1"/>
  <c r="M782" i="1"/>
  <c r="M804" i="1"/>
  <c r="M820" i="1"/>
  <c r="M836" i="1"/>
  <c r="M852" i="1"/>
  <c r="M868" i="1"/>
  <c r="M884" i="1"/>
  <c r="M900" i="1"/>
  <c r="M916" i="1"/>
  <c r="M932" i="1"/>
  <c r="M948" i="1"/>
  <c r="M964" i="1"/>
  <c r="M980" i="1"/>
  <c r="M996" i="1"/>
  <c r="M1012" i="1"/>
  <c r="M1028" i="1"/>
  <c r="M1044" i="1"/>
  <c r="M616" i="1"/>
  <c r="M770" i="1"/>
  <c r="M827" i="1"/>
  <c r="M875" i="1"/>
  <c r="M923" i="1"/>
  <c r="M971" i="1"/>
  <c r="M1019" i="1"/>
  <c r="M338" i="1"/>
  <c r="M466" i="1"/>
  <c r="M552" i="1"/>
  <c r="M624" i="1"/>
  <c r="M688" i="1"/>
  <c r="M749" i="1"/>
  <c r="M773" i="1"/>
  <c r="M794" i="1"/>
  <c r="M813" i="1"/>
  <c r="M829" i="1"/>
  <c r="M845" i="1"/>
  <c r="M861" i="1"/>
  <c r="M877" i="1"/>
  <c r="M893" i="1"/>
  <c r="M909" i="1"/>
  <c r="M925" i="1"/>
  <c r="M941" i="1"/>
  <c r="M957" i="1"/>
  <c r="M973" i="1"/>
  <c r="M989" i="1"/>
  <c r="M1005" i="1"/>
  <c r="M1021" i="1"/>
  <c r="M1037" i="1"/>
  <c r="M372" i="1"/>
  <c r="M696" i="1"/>
  <c r="M797" i="1"/>
  <c r="M847" i="1"/>
  <c r="M895" i="1"/>
  <c r="M943" i="1"/>
  <c r="M991" i="1"/>
  <c r="M1039" i="1"/>
  <c r="M429" i="1"/>
  <c r="M514" i="1"/>
  <c r="M596" i="1"/>
  <c r="M660" i="1"/>
  <c r="M724" i="1"/>
  <c r="M764" i="1"/>
  <c r="M785" i="1"/>
  <c r="M806" i="1"/>
  <c r="M822" i="1"/>
  <c r="M838" i="1"/>
  <c r="M854" i="1"/>
  <c r="M870" i="1"/>
  <c r="M886" i="1"/>
  <c r="M902" i="1"/>
  <c r="M918" i="1"/>
  <c r="M934" i="1"/>
  <c r="M950" i="1"/>
  <c r="M966" i="1"/>
  <c r="M982" i="1"/>
  <c r="M998" i="1"/>
  <c r="M1014" i="1"/>
  <c r="M1030" i="1"/>
  <c r="M1046" i="1"/>
  <c r="M456" i="1"/>
  <c r="M584" i="1"/>
  <c r="M760" i="1"/>
  <c r="M819" i="1"/>
  <c r="M867" i="1"/>
  <c r="M915" i="1"/>
  <c r="M963" i="1"/>
  <c r="M1011" i="1"/>
  <c r="L3" i="1"/>
  <c r="L19" i="1"/>
  <c r="L35" i="1"/>
  <c r="L51" i="1"/>
  <c r="L67" i="1"/>
  <c r="L83" i="1"/>
  <c r="L99" i="1"/>
  <c r="L115" i="1"/>
  <c r="L131" i="1"/>
  <c r="L147" i="1"/>
  <c r="L163" i="1"/>
  <c r="L179" i="1"/>
  <c r="L195" i="1"/>
  <c r="L211" i="1"/>
  <c r="L227" i="1"/>
  <c r="L243" i="1"/>
  <c r="L259" i="1"/>
  <c r="L275" i="1"/>
  <c r="L291" i="1"/>
  <c r="L307" i="1"/>
  <c r="L4" i="1"/>
  <c r="L20" i="1"/>
  <c r="L36" i="1"/>
  <c r="L52" i="1"/>
  <c r="L68" i="1"/>
  <c r="L84" i="1"/>
  <c r="L100" i="1"/>
  <c r="L116" i="1"/>
  <c r="L132" i="1"/>
  <c r="L148" i="1"/>
  <c r="L164" i="1"/>
  <c r="L180" i="1"/>
  <c r="L196" i="1"/>
  <c r="L212" i="1"/>
  <c r="L228" i="1"/>
  <c r="L244" i="1"/>
  <c r="L260" i="1"/>
  <c r="L276" i="1"/>
  <c r="L292" i="1"/>
  <c r="L308" i="1"/>
  <c r="L324" i="1"/>
  <c r="L340" i="1"/>
  <c r="L17" i="1"/>
  <c r="L33" i="1"/>
  <c r="L49" i="1"/>
  <c r="L65" i="1"/>
  <c r="L81" i="1"/>
  <c r="L97" i="1"/>
  <c r="L113" i="1"/>
  <c r="L129" i="1"/>
  <c r="L145" i="1"/>
  <c r="L161" i="1"/>
  <c r="L177" i="1"/>
  <c r="L193" i="1"/>
  <c r="L209" i="1"/>
  <c r="L225" i="1"/>
  <c r="L241" i="1"/>
  <c r="L257" i="1"/>
  <c r="L273" i="1"/>
  <c r="L289" i="1"/>
  <c r="L305" i="1"/>
  <c r="L321" i="1"/>
  <c r="L337" i="1"/>
  <c r="L38" i="1"/>
  <c r="L102" i="1"/>
  <c r="L166" i="1"/>
  <c r="L230" i="1"/>
  <c r="L294" i="1"/>
  <c r="L339" i="1"/>
  <c r="L357" i="1"/>
  <c r="L373" i="1"/>
  <c r="L389" i="1"/>
  <c r="L405" i="1"/>
  <c r="L421" i="1"/>
  <c r="L437" i="1"/>
  <c r="L453" i="1"/>
  <c r="L469" i="1"/>
  <c r="L485" i="1"/>
  <c r="L501" i="1"/>
  <c r="L517" i="1"/>
  <c r="L533" i="1"/>
  <c r="L549" i="1"/>
  <c r="L565" i="1"/>
  <c r="L581" i="1"/>
  <c r="L26" i="1"/>
  <c r="L90" i="1"/>
  <c r="L154" i="1"/>
  <c r="L218" i="1"/>
  <c r="L282" i="1"/>
  <c r="L334" i="1"/>
  <c r="L354" i="1"/>
  <c r="L370" i="1"/>
  <c r="L386" i="1"/>
  <c r="L402" i="1"/>
  <c r="L418" i="1"/>
  <c r="L434" i="1"/>
  <c r="L450" i="1"/>
  <c r="L466" i="1"/>
  <c r="L482" i="1"/>
  <c r="L498" i="1"/>
  <c r="L514" i="1"/>
  <c r="L530" i="1"/>
  <c r="L546" i="1"/>
  <c r="L562" i="1"/>
  <c r="L578" i="1"/>
  <c r="L594" i="1"/>
  <c r="L62" i="1"/>
  <c r="L114" i="1"/>
  <c r="L242" i="1"/>
  <c r="L344" i="1"/>
  <c r="L376" i="1"/>
  <c r="L408" i="1"/>
  <c r="L440" i="1"/>
  <c r="L472" i="1"/>
  <c r="L504" i="1"/>
  <c r="L536" i="1"/>
  <c r="L568" i="1"/>
  <c r="L597" i="1"/>
  <c r="L613" i="1"/>
  <c r="L629" i="1"/>
  <c r="L34" i="1"/>
  <c r="L190" i="1"/>
  <c r="L318" i="1"/>
  <c r="L363" i="1"/>
  <c r="L395" i="1"/>
  <c r="L427" i="1"/>
  <c r="L459" i="1"/>
  <c r="L491" i="1"/>
  <c r="L523" i="1"/>
  <c r="L555" i="1"/>
  <c r="L587" i="1"/>
  <c r="L606" i="1"/>
  <c r="L622" i="1"/>
  <c r="L638" i="1"/>
  <c r="L654" i="1"/>
  <c r="L670" i="1"/>
  <c r="L686" i="1"/>
  <c r="L702" i="1"/>
  <c r="L718" i="1"/>
  <c r="L162" i="1"/>
  <c r="L290" i="1"/>
  <c r="L356" i="1"/>
  <c r="L388" i="1"/>
  <c r="L420" i="1"/>
  <c r="L452" i="1"/>
  <c r="L484" i="1"/>
  <c r="L516" i="1"/>
  <c r="L548" i="1"/>
  <c r="L580" i="1"/>
  <c r="L603" i="1"/>
  <c r="L619" i="1"/>
  <c r="L635" i="1"/>
  <c r="L651" i="1"/>
  <c r="L667" i="1"/>
  <c r="L683" i="1"/>
  <c r="L699" i="1"/>
  <c r="L715" i="1"/>
  <c r="L731" i="1"/>
  <c r="L747" i="1"/>
  <c r="L763" i="1"/>
  <c r="L327" i="1"/>
  <c r="L463" i="1"/>
  <c r="L591" i="1"/>
  <c r="L649" i="1"/>
  <c r="L681" i="1"/>
  <c r="L713" i="1"/>
  <c r="L737" i="1"/>
  <c r="L758" i="1"/>
  <c r="L777" i="1"/>
  <c r="L793" i="1"/>
  <c r="L809" i="1"/>
  <c r="L825" i="1"/>
  <c r="L841" i="1"/>
  <c r="L857" i="1"/>
  <c r="L873" i="1"/>
  <c r="L889" i="1"/>
  <c r="L905" i="1"/>
  <c r="L921" i="1"/>
  <c r="L937" i="1"/>
  <c r="L953" i="1"/>
  <c r="L969" i="1"/>
  <c r="L985" i="1"/>
  <c r="L1001" i="1"/>
  <c r="L1017" i="1"/>
  <c r="L1033" i="1"/>
  <c r="L1049" i="1"/>
  <c r="L620" i="1"/>
  <c r="L720" i="1"/>
  <c r="L780" i="1"/>
  <c r="L828" i="1"/>
  <c r="L110" i="1"/>
  <c r="L407" i="1"/>
  <c r="L535" i="1"/>
  <c r="L628" i="1"/>
  <c r="L668" i="1"/>
  <c r="L700" i="1"/>
  <c r="L728" i="1"/>
  <c r="L749" i="1"/>
  <c r="L770" i="1"/>
  <c r="L786" i="1"/>
  <c r="L802" i="1"/>
  <c r="L818" i="1"/>
  <c r="L834" i="1"/>
  <c r="L850" i="1"/>
  <c r="L866" i="1"/>
  <c r="L882" i="1"/>
  <c r="L898" i="1"/>
  <c r="L914" i="1"/>
  <c r="L930" i="1"/>
  <c r="L946" i="1"/>
  <c r="L962" i="1"/>
  <c r="L978" i="1"/>
  <c r="L994" i="1"/>
  <c r="L1010" i="1"/>
  <c r="L1026" i="1"/>
  <c r="L1042" i="1"/>
  <c r="L391" i="1"/>
  <c r="L680" i="1"/>
  <c r="L762" i="1"/>
  <c r="L812" i="1"/>
  <c r="L860" i="1"/>
  <c r="L896" i="1"/>
  <c r="L928" i="1"/>
  <c r="L960" i="1"/>
  <c r="L992" i="1"/>
  <c r="L1024" i="1"/>
  <c r="L142" i="1"/>
  <c r="L415" i="1"/>
  <c r="L543" i="1"/>
  <c r="L632" i="1"/>
  <c r="L669" i="1"/>
  <c r="L701" i="1"/>
  <c r="L729" i="1"/>
  <c r="L750" i="1"/>
  <c r="L771" i="1"/>
  <c r="L787" i="1"/>
  <c r="L803" i="1"/>
  <c r="L819" i="1"/>
  <c r="L835" i="1"/>
  <c r="L851" i="1"/>
  <c r="L867" i="1"/>
  <c r="L883" i="1"/>
  <c r="L899" i="1"/>
  <c r="L915" i="1"/>
  <c r="L931" i="1"/>
  <c r="L947" i="1"/>
  <c r="L963" i="1"/>
  <c r="L979" i="1"/>
  <c r="L995" i="1"/>
  <c r="L1011" i="1"/>
  <c r="L1027" i="1"/>
  <c r="L1043" i="1"/>
  <c r="L487" i="1"/>
  <c r="L688" i="1"/>
  <c r="L757" i="1"/>
  <c r="L808" i="1"/>
  <c r="L856" i="1"/>
  <c r="L892" i="1"/>
  <c r="L924" i="1"/>
  <c r="L956" i="1"/>
  <c r="L988" i="1"/>
  <c r="L1020" i="1"/>
  <c r="L2" i="1"/>
  <c r="N27" i="1"/>
  <c r="N87" i="1"/>
  <c r="N139" i="1"/>
  <c r="N199" i="1"/>
  <c r="N56" i="1"/>
  <c r="N108" i="1"/>
  <c r="N168" i="1"/>
  <c r="N13" i="1"/>
  <c r="C13" i="4" s="1"/>
  <c r="N69" i="1"/>
  <c r="N125" i="1"/>
  <c r="N185" i="1"/>
  <c r="N237" i="1"/>
  <c r="N297" i="1"/>
  <c r="N54" i="1"/>
  <c r="N227" i="1"/>
  <c r="N307" i="1"/>
  <c r="N372" i="1"/>
  <c r="N428" i="1"/>
  <c r="N484" i="1"/>
  <c r="N122" i="1"/>
  <c r="N250" i="1"/>
  <c r="N330" i="1"/>
  <c r="N393" i="1"/>
  <c r="N445" i="1"/>
  <c r="N505" i="1"/>
  <c r="N126" i="1"/>
  <c r="N256" i="1"/>
  <c r="N331" i="1"/>
  <c r="N394" i="1"/>
  <c r="N446" i="1"/>
  <c r="N506" i="1"/>
  <c r="N566" i="1"/>
  <c r="N618" i="1"/>
  <c r="N678" i="1"/>
  <c r="N734" i="1"/>
  <c r="N338" i="1"/>
  <c r="N536" i="1"/>
  <c r="N616" i="1"/>
  <c r="N685" i="1"/>
  <c r="N762" i="1"/>
  <c r="N822" i="1"/>
  <c r="N343" i="1"/>
  <c r="N543" i="1"/>
  <c r="N617" i="1"/>
  <c r="N692" i="1"/>
  <c r="N763" i="1"/>
  <c r="N823" i="1"/>
  <c r="N220" i="1"/>
  <c r="N491" i="1"/>
  <c r="N592" i="1"/>
  <c r="N661" i="1"/>
  <c r="N741" i="1"/>
  <c r="N800" i="1"/>
  <c r="N856" i="1"/>
  <c r="N912" i="1"/>
  <c r="N972" i="1"/>
  <c r="N1024" i="1"/>
  <c r="N463" i="1"/>
  <c r="N737" i="1"/>
  <c r="N861" i="1"/>
  <c r="N909" i="1"/>
  <c r="N967" i="1"/>
  <c r="N1010" i="1"/>
  <c r="N268" i="1"/>
  <c r="N679" i="1"/>
  <c r="N838" i="1"/>
  <c r="N889" i="1"/>
  <c r="N947" i="1"/>
  <c r="N995" i="1"/>
  <c r="N1049" i="1"/>
  <c r="N620" i="1"/>
  <c r="N781" i="1"/>
  <c r="N879" i="1"/>
  <c r="N933" i="1"/>
  <c r="N986" i="1"/>
  <c r="N1029" i="1"/>
  <c r="N540" i="1"/>
  <c r="N753" i="1"/>
  <c r="N865" i="1"/>
  <c r="N923" i="1"/>
  <c r="N966" i="1"/>
  <c r="N1014" i="1"/>
  <c r="M15" i="1"/>
  <c r="M51" i="1"/>
  <c r="M83" i="1"/>
  <c r="M127" i="1"/>
  <c r="M163" i="1"/>
  <c r="M199" i="1"/>
  <c r="M243" i="1"/>
  <c r="M275" i="1"/>
  <c r="M24" i="1"/>
  <c r="M68" i="1"/>
  <c r="M104" i="1"/>
  <c r="M136" i="1"/>
  <c r="M180" i="1"/>
  <c r="M216" i="1"/>
  <c r="M256" i="1"/>
  <c r="M296" i="1"/>
  <c r="M328" i="1"/>
  <c r="M29" i="1"/>
  <c r="M69" i="1"/>
  <c r="M109" i="1"/>
  <c r="M141" i="1"/>
  <c r="M181" i="1"/>
  <c r="M221" i="1"/>
  <c r="M257" i="1"/>
  <c r="M301" i="1"/>
  <c r="M333" i="1"/>
  <c r="M102" i="1"/>
  <c r="M278" i="1"/>
  <c r="M349" i="1"/>
  <c r="M381" i="1"/>
  <c r="M106" i="1"/>
  <c r="M250" i="1"/>
  <c r="M342" i="1"/>
  <c r="M386" i="1"/>
  <c r="M30" i="1"/>
  <c r="M142" i="1"/>
  <c r="M270" i="1"/>
  <c r="M335" i="1"/>
  <c r="M363" i="1"/>
  <c r="M395" i="1"/>
  <c r="M423" i="1"/>
  <c r="M451" i="1"/>
  <c r="M483" i="1"/>
  <c r="M507" i="1"/>
  <c r="M535" i="1"/>
  <c r="M567" i="1"/>
  <c r="M146" i="1"/>
  <c r="M376" i="1"/>
  <c r="M436" i="1"/>
  <c r="M473" i="1"/>
  <c r="M510" i="1"/>
  <c r="M553" i="1"/>
  <c r="M585" i="1"/>
  <c r="M613" i="1"/>
  <c r="M645" i="1"/>
  <c r="M673" i="1"/>
  <c r="M697" i="1"/>
  <c r="M729" i="1"/>
  <c r="M162" i="1"/>
  <c r="M396" i="1"/>
  <c r="M442" i="1"/>
  <c r="M474" i="1"/>
  <c r="M512" i="1"/>
  <c r="M554" i="1"/>
  <c r="M590" i="1"/>
  <c r="M614" i="1"/>
  <c r="M646" i="1"/>
  <c r="M674" i="1"/>
  <c r="M702" i="1"/>
  <c r="M734" i="1"/>
  <c r="M50" i="1"/>
  <c r="M368" i="1"/>
  <c r="M433" i="1"/>
  <c r="M470" i="1"/>
  <c r="M502" i="1"/>
  <c r="M545" i="1"/>
  <c r="M582" i="1"/>
  <c r="M611" i="1"/>
  <c r="M643" i="1"/>
  <c r="M667" i="1"/>
  <c r="M695" i="1"/>
  <c r="M727" i="1"/>
  <c r="M747" i="1"/>
  <c r="M767" i="1"/>
  <c r="M791" i="1"/>
  <c r="M306" i="1"/>
  <c r="M482" i="1"/>
  <c r="M604" i="1"/>
  <c r="M684" i="1"/>
  <c r="M756" i="1"/>
  <c r="M788" i="1"/>
  <c r="M812" i="1"/>
  <c r="M832" i="1"/>
  <c r="M856" i="1"/>
  <c r="M876" i="1"/>
  <c r="M896" i="1"/>
  <c r="M920" i="1"/>
  <c r="M940" i="1"/>
  <c r="M960" i="1"/>
  <c r="M984" i="1"/>
  <c r="M1004" i="1"/>
  <c r="M1024" i="1"/>
  <c r="M1048" i="1"/>
  <c r="M712" i="1"/>
  <c r="M815" i="1"/>
  <c r="M887" i="1"/>
  <c r="M947" i="1"/>
  <c r="M1007" i="1"/>
  <c r="M401" i="1"/>
  <c r="M509" i="1"/>
  <c r="M608" i="1"/>
  <c r="M704" i="1"/>
  <c r="M762" i="1"/>
  <c r="M789" i="1"/>
  <c r="M817" i="1"/>
  <c r="M837" i="1"/>
  <c r="M857" i="1"/>
  <c r="M881" i="1"/>
  <c r="M901" i="1"/>
  <c r="M921" i="1"/>
  <c r="M945" i="1"/>
  <c r="M965" i="1"/>
  <c r="M985" i="1"/>
  <c r="M1009" i="1"/>
  <c r="M1029" i="1"/>
  <c r="M1049" i="1"/>
  <c r="M744" i="1"/>
  <c r="M823" i="1"/>
  <c r="M883" i="1"/>
  <c r="M955" i="1"/>
  <c r="M1015" i="1"/>
  <c r="M408" i="1"/>
  <c r="M536" i="1"/>
  <c r="M628" i="1"/>
  <c r="M708" i="1"/>
  <c r="M769" i="1"/>
  <c r="M796" i="1"/>
  <c r="M818" i="1"/>
  <c r="M842" i="1"/>
  <c r="M862" i="1"/>
  <c r="M882" i="1"/>
  <c r="M906" i="1"/>
  <c r="M926" i="1"/>
  <c r="M946" i="1"/>
  <c r="M970" i="1"/>
  <c r="M990" i="1"/>
  <c r="M1010" i="1"/>
  <c r="M1034" i="1"/>
  <c r="M258" i="1"/>
  <c r="M520" i="1"/>
  <c r="M776" i="1"/>
  <c r="M843" i="1"/>
  <c r="M903" i="1"/>
  <c r="M975" i="1"/>
  <c r="M1035" i="1"/>
  <c r="L15" i="1"/>
  <c r="L39" i="1"/>
  <c r="L59" i="1"/>
  <c r="L79" i="1"/>
  <c r="L103" i="1"/>
  <c r="L123" i="1"/>
  <c r="L143" i="1"/>
  <c r="L167" i="1"/>
  <c r="L187" i="1"/>
  <c r="L207" i="1"/>
  <c r="L231" i="1"/>
  <c r="L251" i="1"/>
  <c r="L271" i="1"/>
  <c r="L295" i="1"/>
  <c r="L315" i="1"/>
  <c r="L16" i="1"/>
  <c r="L40" i="1"/>
  <c r="L60" i="1"/>
  <c r="L80" i="1"/>
  <c r="L104" i="1"/>
  <c r="L124" i="1"/>
  <c r="L144" i="1"/>
  <c r="L168" i="1"/>
  <c r="L188" i="1"/>
  <c r="L208" i="1"/>
  <c r="L232" i="1"/>
  <c r="L252" i="1"/>
  <c r="L272" i="1"/>
  <c r="L296" i="1"/>
  <c r="L316" i="1"/>
  <c r="L336" i="1"/>
  <c r="L21" i="1"/>
  <c r="L41" i="1"/>
  <c r="L61" i="1"/>
  <c r="L85" i="1"/>
  <c r="L105" i="1"/>
  <c r="L125" i="1"/>
  <c r="L149" i="1"/>
  <c r="L169" i="1"/>
  <c r="L189" i="1"/>
  <c r="L213" i="1"/>
  <c r="L233" i="1"/>
  <c r="L253" i="1"/>
  <c r="L277" i="1"/>
  <c r="L297" i="1"/>
  <c r="L317" i="1"/>
  <c r="L341" i="1"/>
  <c r="L70" i="1"/>
  <c r="L150" i="1"/>
  <c r="L246" i="1"/>
  <c r="L323" i="1"/>
  <c r="L353" i="1"/>
  <c r="L377" i="1"/>
  <c r="L397" i="1"/>
  <c r="L417" i="1"/>
  <c r="L441" i="1"/>
  <c r="L461" i="1"/>
  <c r="L481" i="1"/>
  <c r="L505" i="1"/>
  <c r="L525" i="1"/>
  <c r="L545" i="1"/>
  <c r="L569" i="1"/>
  <c r="L589" i="1"/>
  <c r="L74" i="1"/>
  <c r="L170" i="1"/>
  <c r="L250" i="1"/>
  <c r="L326" i="1"/>
  <c r="L358" i="1"/>
  <c r="L378" i="1"/>
  <c r="L398" i="1"/>
  <c r="L422" i="1"/>
  <c r="L442" i="1"/>
  <c r="L462" i="1"/>
  <c r="L486" i="1"/>
  <c r="L506" i="1"/>
  <c r="L526" i="1"/>
  <c r="L550" i="1"/>
  <c r="L570" i="1"/>
  <c r="L590" i="1"/>
  <c r="L78" i="1"/>
  <c r="L178" i="1"/>
  <c r="L330" i="1"/>
  <c r="L384" i="1"/>
  <c r="L424" i="1"/>
  <c r="L464" i="1"/>
  <c r="L512" i="1"/>
  <c r="L552" i="1"/>
  <c r="L592" i="1"/>
  <c r="L617" i="1"/>
  <c r="L637" i="1"/>
  <c r="L158" i="1"/>
  <c r="L335" i="1"/>
  <c r="L379" i="1"/>
  <c r="L419" i="1"/>
  <c r="L467" i="1"/>
  <c r="L507" i="1"/>
  <c r="L547" i="1"/>
  <c r="L593" i="1"/>
  <c r="L614" i="1"/>
  <c r="L634" i="1"/>
  <c r="L658" i="1"/>
  <c r="L678" i="1"/>
  <c r="L698" i="1"/>
  <c r="L50" i="1"/>
  <c r="N35" i="1"/>
  <c r="N91" i="1"/>
  <c r="N151" i="1"/>
  <c r="N203" i="1"/>
  <c r="N60" i="1"/>
  <c r="N120" i="1"/>
  <c r="N172" i="1"/>
  <c r="N21" i="1"/>
  <c r="C21" i="4" s="1"/>
  <c r="N77" i="1"/>
  <c r="N133" i="1"/>
  <c r="N189" i="1"/>
  <c r="N249" i="1"/>
  <c r="N301" i="1"/>
  <c r="N70" i="1"/>
  <c r="N243" i="1"/>
  <c r="N312" i="1"/>
  <c r="N380" i="1"/>
  <c r="N436" i="1"/>
  <c r="N492" i="1"/>
  <c r="N138" i="1"/>
  <c r="N266" i="1"/>
  <c r="N335" i="1"/>
  <c r="N397" i="1"/>
  <c r="N457" i="1"/>
  <c r="N509" i="1"/>
  <c r="N158" i="1"/>
  <c r="N267" i="1"/>
  <c r="N342" i="1"/>
  <c r="N398" i="1"/>
  <c r="N458" i="1"/>
  <c r="N510" i="1"/>
  <c r="N570" i="1"/>
  <c r="N630" i="1"/>
  <c r="N682" i="1"/>
  <c r="N742" i="1"/>
  <c r="N371" i="1"/>
  <c r="N547" i="1"/>
  <c r="N621" i="1"/>
  <c r="N701" i="1"/>
  <c r="N766" i="1"/>
  <c r="N826" i="1"/>
  <c r="N391" i="1"/>
  <c r="N548" i="1"/>
  <c r="N628" i="1"/>
  <c r="N703" i="1"/>
  <c r="N771" i="1"/>
  <c r="N827" i="1"/>
  <c r="N284" i="1"/>
  <c r="N507" i="1"/>
  <c r="N597" i="1"/>
  <c r="N677" i="1"/>
  <c r="N747" i="1"/>
  <c r="N808" i="1"/>
  <c r="N864" i="1"/>
  <c r="N920" i="1"/>
  <c r="N976" i="1"/>
  <c r="N1036" i="1"/>
  <c r="N588" i="1"/>
  <c r="N773" i="1"/>
  <c r="N866" i="1"/>
  <c r="N925" i="1"/>
  <c r="N973" i="1"/>
  <c r="N1026" i="1"/>
  <c r="N528" i="1"/>
  <c r="N700" i="1"/>
  <c r="N854" i="1"/>
  <c r="N910" i="1"/>
  <c r="N963" i="1"/>
  <c r="N1006" i="1"/>
  <c r="N290" i="1"/>
  <c r="N663" i="1"/>
  <c r="N829" i="1"/>
  <c r="N901" i="1"/>
  <c r="N943" i="1"/>
  <c r="N991" i="1"/>
  <c r="N1050" i="1"/>
  <c r="N604" i="1"/>
  <c r="N769" i="1"/>
  <c r="N881" i="1"/>
  <c r="N929" i="1"/>
  <c r="N977" i="1"/>
  <c r="N1035" i="1"/>
  <c r="M19" i="1"/>
  <c r="M55" i="1"/>
  <c r="M99" i="1"/>
  <c r="M135" i="1"/>
  <c r="M167" i="1"/>
  <c r="M211" i="1"/>
  <c r="M247" i="1"/>
  <c r="M287" i="1"/>
  <c r="M40" i="1"/>
  <c r="M72" i="1"/>
  <c r="M112" i="1"/>
  <c r="M152" i="1"/>
  <c r="M192" i="1"/>
  <c r="M224" i="1"/>
  <c r="M264" i="1"/>
  <c r="M304" i="1"/>
  <c r="M340" i="1"/>
  <c r="M45" i="1"/>
  <c r="M77" i="1"/>
  <c r="M113" i="1"/>
  <c r="M157" i="1"/>
  <c r="M193" i="1"/>
  <c r="M225" i="1"/>
  <c r="M269" i="1"/>
  <c r="M305" i="1"/>
  <c r="M341" i="1"/>
  <c r="M166" i="1"/>
  <c r="M291" i="1"/>
  <c r="M353" i="1"/>
  <c r="M397" i="1"/>
  <c r="M138" i="1"/>
  <c r="M266" i="1"/>
  <c r="M354" i="1"/>
  <c r="M390" i="1"/>
  <c r="M62" i="1"/>
  <c r="M190" i="1"/>
  <c r="M286" i="1"/>
  <c r="M343" i="1"/>
  <c r="M375" i="1"/>
  <c r="M403" i="1"/>
  <c r="M427" i="1"/>
  <c r="M459" i="1"/>
  <c r="M487" i="1"/>
  <c r="M515" i="1"/>
  <c r="M547" i="1"/>
  <c r="M571" i="1"/>
  <c r="M210" i="1"/>
  <c r="M409" i="1"/>
  <c r="M446" i="1"/>
  <c r="M478" i="1"/>
  <c r="M521" i="1"/>
  <c r="M558" i="1"/>
  <c r="M593" i="1"/>
  <c r="M625" i="1"/>
  <c r="M649" i="1"/>
  <c r="M677" i="1"/>
  <c r="M709" i="1"/>
  <c r="M737" i="1"/>
  <c r="M226" i="1"/>
  <c r="M410" i="1"/>
  <c r="M448" i="1"/>
  <c r="M485" i="1"/>
  <c r="M528" i="1"/>
  <c r="M560" i="1"/>
  <c r="M594" i="1"/>
  <c r="M626" i="1"/>
  <c r="M654" i="1"/>
  <c r="M678" i="1"/>
  <c r="M710" i="1"/>
  <c r="M738" i="1"/>
  <c r="M178" i="1"/>
  <c r="M406" i="1"/>
  <c r="M438" i="1"/>
  <c r="M476" i="1"/>
  <c r="M518" i="1"/>
  <c r="M556" i="1"/>
  <c r="M587" i="1"/>
  <c r="M619" i="1"/>
  <c r="M647" i="1"/>
  <c r="M675" i="1"/>
  <c r="M707" i="1"/>
  <c r="M731" i="1"/>
  <c r="M751" i="1"/>
  <c r="M775" i="1"/>
  <c r="M795" i="1"/>
  <c r="M388" i="1"/>
  <c r="M525" i="1"/>
  <c r="M620" i="1"/>
  <c r="M700" i="1"/>
  <c r="M766" i="1"/>
  <c r="M793" i="1"/>
  <c r="M816" i="1"/>
  <c r="M840" i="1"/>
  <c r="M860" i="1"/>
  <c r="M880" i="1"/>
  <c r="M904" i="1"/>
  <c r="M924" i="1"/>
  <c r="M944" i="1"/>
  <c r="M968" i="1"/>
  <c r="M988" i="1"/>
  <c r="M1008" i="1"/>
  <c r="M1032" i="1"/>
  <c r="M413" i="1"/>
  <c r="M753" i="1"/>
  <c r="M839" i="1"/>
  <c r="M899" i="1"/>
  <c r="M959" i="1"/>
  <c r="M1031" i="1"/>
  <c r="M424" i="1"/>
  <c r="M530" i="1"/>
  <c r="M640" i="1"/>
  <c r="M720" i="1"/>
  <c r="M768" i="1"/>
  <c r="M800" i="1"/>
  <c r="M821" i="1"/>
  <c r="M841" i="1"/>
  <c r="M865" i="1"/>
  <c r="M885" i="1"/>
  <c r="M905" i="1"/>
  <c r="M929" i="1"/>
  <c r="M949" i="1"/>
  <c r="M969" i="1"/>
  <c r="M993" i="1"/>
  <c r="M1013" i="1"/>
  <c r="M1033" i="1"/>
  <c r="M541" i="1"/>
  <c r="M765" i="1"/>
  <c r="M835" i="1"/>
  <c r="M907" i="1"/>
  <c r="M967" i="1"/>
  <c r="M1027" i="1"/>
  <c r="M450" i="1"/>
  <c r="M557" i="1"/>
  <c r="M644" i="1"/>
  <c r="M740" i="1"/>
  <c r="M774" i="1"/>
  <c r="M801" i="1"/>
  <c r="M826" i="1"/>
  <c r="M846" i="1"/>
  <c r="M866" i="1"/>
  <c r="M890" i="1"/>
  <c r="M910" i="1"/>
  <c r="M930" i="1"/>
  <c r="M954" i="1"/>
  <c r="M974" i="1"/>
  <c r="M994" i="1"/>
  <c r="M1018" i="1"/>
  <c r="M1038" i="1"/>
  <c r="M434" i="1"/>
  <c r="M632" i="1"/>
  <c r="M792" i="1"/>
  <c r="M855" i="1"/>
  <c r="M927" i="1"/>
  <c r="M987" i="1"/>
  <c r="M1047" i="1"/>
  <c r="L23" i="1"/>
  <c r="L43" i="1"/>
  <c r="L63" i="1"/>
  <c r="L87" i="1"/>
  <c r="L107" i="1"/>
  <c r="L127" i="1"/>
  <c r="L151" i="1"/>
  <c r="L171" i="1"/>
  <c r="L191" i="1"/>
  <c r="L215" i="1"/>
  <c r="L235" i="1"/>
  <c r="L255" i="1"/>
  <c r="L279" i="1"/>
  <c r="L299" i="1"/>
  <c r="L319" i="1"/>
  <c r="L24" i="1"/>
  <c r="L44" i="1"/>
  <c r="L64" i="1"/>
  <c r="L88" i="1"/>
  <c r="L108" i="1"/>
  <c r="L128" i="1"/>
  <c r="L152" i="1"/>
  <c r="L172" i="1"/>
  <c r="L192" i="1"/>
  <c r="L216" i="1"/>
  <c r="L236" i="1"/>
  <c r="L256" i="1"/>
  <c r="L280" i="1"/>
  <c r="L300" i="1"/>
  <c r="L320" i="1"/>
  <c r="L5" i="1"/>
  <c r="L25" i="1"/>
  <c r="L45" i="1"/>
  <c r="L69" i="1"/>
  <c r="L89" i="1"/>
  <c r="L109" i="1"/>
  <c r="L133" i="1"/>
  <c r="L153" i="1"/>
  <c r="L173" i="1"/>
  <c r="L197" i="1"/>
  <c r="L217" i="1"/>
  <c r="L237" i="1"/>
  <c r="L261" i="1"/>
  <c r="L281" i="1"/>
  <c r="L301" i="1"/>
  <c r="L325" i="1"/>
  <c r="L6" i="1"/>
  <c r="L86" i="1"/>
  <c r="L182" i="1"/>
  <c r="L262" i="1"/>
  <c r="L331" i="1"/>
  <c r="L361" i="1"/>
  <c r="L381" i="1"/>
  <c r="L401" i="1"/>
  <c r="L425" i="1"/>
  <c r="L445" i="1"/>
  <c r="L465" i="1"/>
  <c r="L489" i="1"/>
  <c r="L509" i="1"/>
  <c r="L529" i="1"/>
  <c r="L553" i="1"/>
  <c r="L573" i="1"/>
  <c r="L10" i="1"/>
  <c r="L106" i="1"/>
  <c r="L186" i="1"/>
  <c r="L266" i="1"/>
  <c r="L342" i="1"/>
  <c r="L362" i="1"/>
  <c r="L382" i="1"/>
  <c r="L406" i="1"/>
  <c r="L426" i="1"/>
  <c r="L446" i="1"/>
  <c r="L470" i="1"/>
  <c r="L490" i="1"/>
  <c r="L510" i="1"/>
  <c r="L534" i="1"/>
  <c r="L554" i="1"/>
  <c r="L574" i="1"/>
  <c r="L14" i="1"/>
  <c r="L18" i="1"/>
  <c r="L210" i="1"/>
  <c r="L352" i="1"/>
  <c r="L392" i="1"/>
  <c r="L432" i="1"/>
  <c r="L480" i="1"/>
  <c r="L520" i="1"/>
  <c r="L560" i="1"/>
  <c r="L601" i="1"/>
  <c r="L621" i="1"/>
  <c r="L641" i="1"/>
  <c r="L222" i="1"/>
  <c r="L347" i="1"/>
  <c r="L387" i="1"/>
  <c r="L435" i="1"/>
  <c r="L475" i="1"/>
  <c r="L515" i="1"/>
  <c r="L563" i="1"/>
  <c r="L598" i="1"/>
  <c r="L618" i="1"/>
  <c r="L642" i="1"/>
  <c r="L662" i="1"/>
  <c r="L682" i="1"/>
  <c r="L706" i="1"/>
  <c r="L98" i="1"/>
  <c r="L258" i="1"/>
  <c r="L364" i="1"/>
  <c r="L404" i="1"/>
  <c r="L444" i="1"/>
  <c r="L492" i="1"/>
  <c r="L532" i="1"/>
  <c r="L572" i="1"/>
  <c r="L607" i="1"/>
  <c r="L627" i="1"/>
  <c r="L647" i="1"/>
  <c r="L671" i="1"/>
  <c r="L691" i="1"/>
  <c r="L711" i="1"/>
  <c r="L735" i="1"/>
  <c r="L755" i="1"/>
  <c r="L206" i="1"/>
  <c r="L495" i="1"/>
  <c r="L624" i="1"/>
  <c r="L673" i="1"/>
  <c r="L721" i="1"/>
  <c r="L748" i="1"/>
  <c r="L773" i="1"/>
  <c r="L797" i="1"/>
  <c r="L817" i="1"/>
  <c r="L837" i="1"/>
  <c r="L861" i="1"/>
  <c r="L881" i="1"/>
  <c r="L901" i="1"/>
  <c r="L925" i="1"/>
  <c r="L945" i="1"/>
  <c r="L965" i="1"/>
  <c r="L989" i="1"/>
  <c r="L1009" i="1"/>
  <c r="L1029" i="1"/>
  <c r="L359" i="1"/>
  <c r="L672" i="1"/>
  <c r="L768" i="1"/>
  <c r="L840" i="1"/>
  <c r="L343" i="1"/>
  <c r="L503" i="1"/>
  <c r="L644" i="1"/>
  <c r="L684" i="1"/>
  <c r="L722" i="1"/>
  <c r="N55" i="1"/>
  <c r="N171" i="1"/>
  <c r="N80" i="1"/>
  <c r="N192" i="1"/>
  <c r="N101" i="1"/>
  <c r="N213" i="1"/>
  <c r="N325" i="1"/>
  <c r="N270" i="1"/>
  <c r="N400" i="1"/>
  <c r="N512" i="1"/>
  <c r="N292" i="1"/>
  <c r="N417" i="1"/>
  <c r="N529" i="1"/>
  <c r="N299" i="1"/>
  <c r="N422" i="1"/>
  <c r="N534" i="1"/>
  <c r="N650" i="1"/>
  <c r="N146" i="1"/>
  <c r="N573" i="1"/>
  <c r="N728" i="1"/>
  <c r="N162" i="1"/>
  <c r="N575" i="1"/>
  <c r="N735" i="1"/>
  <c r="N851" i="1"/>
  <c r="N549" i="1"/>
  <c r="N704" i="1"/>
  <c r="N828" i="1"/>
  <c r="N940" i="1"/>
  <c r="N247" i="1"/>
  <c r="N805" i="1"/>
  <c r="N941" i="1"/>
  <c r="N1037" i="1"/>
  <c r="N761" i="1"/>
  <c r="N921" i="1"/>
  <c r="N1027" i="1"/>
  <c r="N684" i="1"/>
  <c r="N906" i="1"/>
  <c r="N1013" i="1"/>
  <c r="N625" i="1"/>
  <c r="N891" i="1"/>
  <c r="N993" i="1"/>
  <c r="M31" i="1"/>
  <c r="M103" i="1"/>
  <c r="M183" i="1"/>
  <c r="M255" i="1"/>
  <c r="M48" i="1"/>
  <c r="M128" i="1"/>
  <c r="M196" i="1"/>
  <c r="M276" i="1"/>
  <c r="M13" i="1"/>
  <c r="M85" i="1"/>
  <c r="M161" i="1"/>
  <c r="M241" i="1"/>
  <c r="M309" i="1"/>
  <c r="M182" i="1"/>
  <c r="M369" i="1"/>
  <c r="M170" i="1"/>
  <c r="M366" i="1"/>
  <c r="M94" i="1"/>
  <c r="M303" i="1"/>
  <c r="M379" i="1"/>
  <c r="M439" i="1"/>
  <c r="M491" i="1"/>
  <c r="M551" i="1"/>
  <c r="M344" i="1"/>
  <c r="M452" i="1"/>
  <c r="M532" i="1"/>
  <c r="M601" i="1"/>
  <c r="M657" i="1"/>
  <c r="M713" i="1"/>
  <c r="M348" i="1"/>
  <c r="M453" i="1"/>
  <c r="M533" i="1"/>
  <c r="M606" i="1"/>
  <c r="M658" i="1"/>
  <c r="M718" i="1"/>
  <c r="M298" i="1"/>
  <c r="M449" i="1"/>
  <c r="M524" i="1"/>
  <c r="M599" i="1"/>
  <c r="M651" i="1"/>
  <c r="M711" i="1"/>
  <c r="M759" i="1"/>
  <c r="M799" i="1"/>
  <c r="M546" i="1"/>
  <c r="M732" i="1"/>
  <c r="M798" i="1"/>
  <c r="M844" i="1"/>
  <c r="M888" i="1"/>
  <c r="M928" i="1"/>
  <c r="M972" i="1"/>
  <c r="M1016" i="1"/>
  <c r="M562" i="1"/>
  <c r="M851" i="1"/>
  <c r="M983" i="1"/>
  <c r="M445" i="1"/>
  <c r="M656" i="1"/>
  <c r="M778" i="1"/>
  <c r="M825" i="1"/>
  <c r="M869" i="1"/>
  <c r="M913" i="1"/>
  <c r="M953" i="1"/>
  <c r="M997" i="1"/>
  <c r="M1041" i="1"/>
  <c r="M781" i="1"/>
  <c r="M919" i="1"/>
  <c r="M194" i="1"/>
  <c r="M578" i="1"/>
  <c r="M752" i="1"/>
  <c r="M810" i="1"/>
  <c r="M850" i="1"/>
  <c r="M894" i="1"/>
  <c r="M938" i="1"/>
  <c r="M978" i="1"/>
  <c r="M1022" i="1"/>
  <c r="M477" i="1"/>
  <c r="M807" i="1"/>
  <c r="M939" i="1"/>
  <c r="L7" i="1"/>
  <c r="L47" i="1"/>
  <c r="L91" i="1"/>
  <c r="L135" i="1"/>
  <c r="L175" i="1"/>
  <c r="L219" i="1"/>
  <c r="L263" i="1"/>
  <c r="L303" i="1"/>
  <c r="L28" i="1"/>
  <c r="L72" i="1"/>
  <c r="L112" i="1"/>
  <c r="L156" i="1"/>
  <c r="L200" i="1"/>
  <c r="L240" i="1"/>
  <c r="L284" i="1"/>
  <c r="L328" i="1"/>
  <c r="L29" i="1"/>
  <c r="L73" i="1"/>
  <c r="L117" i="1"/>
  <c r="L157" i="1"/>
  <c r="L201" i="1"/>
  <c r="L245" i="1"/>
  <c r="L285" i="1"/>
  <c r="L329" i="1"/>
  <c r="L118" i="1"/>
  <c r="L278" i="1"/>
  <c r="L365" i="1"/>
  <c r="L409" i="1"/>
  <c r="L449" i="1"/>
  <c r="L493" i="1"/>
  <c r="L537" i="1"/>
  <c r="L577" i="1"/>
  <c r="L122" i="1"/>
  <c r="L298" i="1"/>
  <c r="L366" i="1"/>
  <c r="L410" i="1"/>
  <c r="L454" i="1"/>
  <c r="L494" i="1"/>
  <c r="L538" i="1"/>
  <c r="L582" i="1"/>
  <c r="L82" i="1"/>
  <c r="L360" i="1"/>
  <c r="L448" i="1"/>
  <c r="L528" i="1"/>
  <c r="L605" i="1"/>
  <c r="L94" i="1"/>
  <c r="L355" i="1"/>
  <c r="L443" i="1"/>
  <c r="L531" i="1"/>
  <c r="L602" i="1"/>
  <c r="L646" i="1"/>
  <c r="L690" i="1"/>
  <c r="L130" i="1"/>
  <c r="L338" i="1"/>
  <c r="L396" i="1"/>
  <c r="L460" i="1"/>
  <c r="L508" i="1"/>
  <c r="L564" i="1"/>
  <c r="L611" i="1"/>
  <c r="L639" i="1"/>
  <c r="L663" i="1"/>
  <c r="L695" i="1"/>
  <c r="L723" i="1"/>
  <c r="L751" i="1"/>
  <c r="L367" i="1"/>
  <c r="L559" i="1"/>
  <c r="L665" i="1"/>
  <c r="L726" i="1"/>
  <c r="L764" i="1"/>
  <c r="L789" i="1"/>
  <c r="L821" i="1"/>
  <c r="L849" i="1"/>
  <c r="L877" i="1"/>
  <c r="L909" i="1"/>
  <c r="L933" i="1"/>
  <c r="L961" i="1"/>
  <c r="L993" i="1"/>
  <c r="L1021" i="1"/>
  <c r="L1045" i="1"/>
  <c r="L696" i="1"/>
  <c r="L804" i="1"/>
  <c r="L238" i="1"/>
  <c r="L567" i="1"/>
  <c r="L660" i="1"/>
  <c r="L716" i="1"/>
  <c r="L754" i="1"/>
  <c r="L778" i="1"/>
  <c r="L798" i="1"/>
  <c r="L822" i="1"/>
  <c r="L842" i="1"/>
  <c r="L862" i="1"/>
  <c r="L886" i="1"/>
  <c r="L906" i="1"/>
  <c r="L926" i="1"/>
  <c r="L950" i="1"/>
  <c r="L970" i="1"/>
  <c r="L990" i="1"/>
  <c r="L1014" i="1"/>
  <c r="L1034" i="1"/>
  <c r="L174" i="1"/>
  <c r="L704" i="1"/>
  <c r="L788" i="1"/>
  <c r="L848" i="1"/>
  <c r="L904" i="1"/>
  <c r="L944" i="1"/>
  <c r="L984" i="1"/>
  <c r="L1032" i="1"/>
  <c r="L351" i="1"/>
  <c r="L511" i="1"/>
  <c r="L645" i="1"/>
  <c r="L685" i="1"/>
  <c r="L724" i="1"/>
  <c r="L756" i="1"/>
  <c r="L779" i="1"/>
  <c r="L799" i="1"/>
  <c r="L823" i="1"/>
  <c r="L843" i="1"/>
  <c r="L863" i="1"/>
  <c r="L887" i="1"/>
  <c r="L907" i="1"/>
  <c r="L927" i="1"/>
  <c r="L951" i="1"/>
  <c r="L971" i="1"/>
  <c r="L991" i="1"/>
  <c r="L1015" i="1"/>
  <c r="L1035" i="1"/>
  <c r="L423" i="1"/>
  <c r="L712" i="1"/>
  <c r="L784" i="1"/>
  <c r="L844" i="1"/>
  <c r="L900" i="1"/>
  <c r="L940" i="1"/>
  <c r="L980" i="1"/>
  <c r="L1028" i="1"/>
  <c r="N67" i="1"/>
  <c r="N179" i="1"/>
  <c r="N88" i="1"/>
  <c r="N204" i="1"/>
  <c r="N105" i="1"/>
  <c r="N217" i="1"/>
  <c r="N333" i="1"/>
  <c r="N275" i="1"/>
  <c r="N404" i="1"/>
  <c r="N42" i="1"/>
  <c r="N303" i="1"/>
  <c r="N425" i="1"/>
  <c r="N46" i="1"/>
  <c r="N304" i="1"/>
  <c r="N426" i="1"/>
  <c r="N542" i="1"/>
  <c r="N654" i="1"/>
  <c r="N207" i="1"/>
  <c r="N589" i="1"/>
  <c r="N739" i="1"/>
  <c r="N236" i="1"/>
  <c r="N591" i="1"/>
  <c r="N740" i="1"/>
  <c r="N855" i="1"/>
  <c r="N560" i="1"/>
  <c r="N709" i="1"/>
  <c r="N832" i="1"/>
  <c r="N952" i="1"/>
  <c r="N399" i="1"/>
  <c r="N853" i="1"/>
  <c r="N946" i="1"/>
  <c r="N130" i="1"/>
  <c r="N809" i="1"/>
  <c r="N931" i="1"/>
  <c r="N1033" i="1"/>
  <c r="N765" i="1"/>
  <c r="N911" i="1"/>
  <c r="N1018" i="1"/>
  <c r="N711" i="1"/>
  <c r="N902" i="1"/>
  <c r="N1009" i="1"/>
  <c r="M39" i="1"/>
  <c r="M115" i="1"/>
  <c r="M191" i="1"/>
  <c r="M271" i="1"/>
  <c r="M52" i="1"/>
  <c r="M132" i="1"/>
  <c r="M212" i="1"/>
  <c r="M280" i="1"/>
  <c r="M21" i="1"/>
  <c r="M97" i="1"/>
  <c r="M173" i="1"/>
  <c r="M245" i="1"/>
  <c r="M325" i="1"/>
  <c r="M214" i="1"/>
  <c r="M377" i="1"/>
  <c r="M234" i="1"/>
  <c r="M370" i="1"/>
  <c r="M126" i="1"/>
  <c r="M319" i="1"/>
  <c r="M387" i="1"/>
  <c r="M443" i="1"/>
  <c r="M503" i="1"/>
  <c r="M555" i="1"/>
  <c r="M360" i="1"/>
  <c r="M468" i="1"/>
  <c r="M537" i="1"/>
  <c r="M609" i="1"/>
  <c r="M665" i="1"/>
  <c r="M721" i="1"/>
  <c r="M364" i="1"/>
  <c r="M469" i="1"/>
  <c r="M538" i="1"/>
  <c r="M610" i="1"/>
  <c r="M670" i="1"/>
  <c r="M722" i="1"/>
  <c r="M352" i="1"/>
  <c r="M460" i="1"/>
  <c r="M534" i="1"/>
  <c r="M603" i="1"/>
  <c r="M663" i="1"/>
  <c r="M715" i="1"/>
  <c r="M763" i="1"/>
  <c r="M66" i="1"/>
  <c r="M568" i="1"/>
  <c r="M748" i="1"/>
  <c r="M808" i="1"/>
  <c r="M848" i="1"/>
  <c r="M892" i="1"/>
  <c r="M936" i="1"/>
  <c r="M976" i="1"/>
  <c r="M1020" i="1"/>
  <c r="M664" i="1"/>
  <c r="M863" i="1"/>
  <c r="M995" i="1"/>
  <c r="M488" i="1"/>
  <c r="M672" i="1"/>
  <c r="M784" i="1"/>
  <c r="M833" i="1"/>
  <c r="M873" i="1"/>
  <c r="M917" i="1"/>
  <c r="M961" i="1"/>
  <c r="M1001" i="1"/>
  <c r="M1045" i="1"/>
  <c r="M811" i="1"/>
  <c r="M931" i="1"/>
  <c r="M356" i="1"/>
  <c r="M612" i="1"/>
  <c r="M758" i="1"/>
  <c r="M814" i="1"/>
  <c r="M858" i="1"/>
  <c r="M898" i="1"/>
  <c r="M942" i="1"/>
  <c r="M986" i="1"/>
  <c r="M1026" i="1"/>
  <c r="M498" i="1"/>
  <c r="M831" i="1"/>
  <c r="M951" i="1"/>
  <c r="L11" i="1"/>
  <c r="L55" i="1"/>
  <c r="L95" i="1"/>
  <c r="L139" i="1"/>
  <c r="L183" i="1"/>
  <c r="L223" i="1"/>
  <c r="L267" i="1"/>
  <c r="L311" i="1"/>
  <c r="L32" i="1"/>
  <c r="L76" i="1"/>
  <c r="L120" i="1"/>
  <c r="L160" i="1"/>
  <c r="L204" i="1"/>
  <c r="L248" i="1"/>
  <c r="L288" i="1"/>
  <c r="L332" i="1"/>
  <c r="L37" i="1"/>
  <c r="L77" i="1"/>
  <c r="L121" i="1"/>
  <c r="L165" i="1"/>
  <c r="L205" i="1"/>
  <c r="L249" i="1"/>
  <c r="L293" i="1"/>
  <c r="L333" i="1"/>
  <c r="L134" i="1"/>
  <c r="L310" i="1"/>
  <c r="L369" i="1"/>
  <c r="L413" i="1"/>
  <c r="L457" i="1"/>
  <c r="L497" i="1"/>
  <c r="L541" i="1"/>
  <c r="L585" i="1"/>
  <c r="L138" i="1"/>
  <c r="L314" i="1"/>
  <c r="L374" i="1"/>
  <c r="L414" i="1"/>
  <c r="L458" i="1"/>
  <c r="L502" i="1"/>
  <c r="L542" i="1"/>
  <c r="L586" i="1"/>
  <c r="L146" i="1"/>
  <c r="L368" i="1"/>
  <c r="L456" i="1"/>
  <c r="L544" i="1"/>
  <c r="L609" i="1"/>
  <c r="L126" i="1"/>
  <c r="L371" i="1"/>
  <c r="L451" i="1"/>
  <c r="L539" i="1"/>
  <c r="L610" i="1"/>
  <c r="L650" i="1"/>
  <c r="L694" i="1"/>
  <c r="L194" i="1"/>
  <c r="L348" i="1"/>
  <c r="L412" i="1"/>
  <c r="L468" i="1"/>
  <c r="L524" i="1"/>
  <c r="L588" i="1"/>
  <c r="L615" i="1"/>
  <c r="L643" i="1"/>
  <c r="L675" i="1"/>
  <c r="L703" i="1"/>
  <c r="L727" i="1"/>
  <c r="L759" i="1"/>
  <c r="L399" i="1"/>
  <c r="L608" i="1"/>
  <c r="L689" i="1"/>
  <c r="L732" i="1"/>
  <c r="L769" i="1"/>
  <c r="L801" i="1"/>
  <c r="L829" i="1"/>
  <c r="L853" i="1"/>
  <c r="L885" i="1"/>
  <c r="L913" i="1"/>
  <c r="L941" i="1"/>
  <c r="L973" i="1"/>
  <c r="L997" i="1"/>
  <c r="L1025" i="1"/>
  <c r="L455" i="1"/>
  <c r="L736" i="1"/>
  <c r="L816" i="1"/>
  <c r="L375" i="1"/>
  <c r="L596" i="1"/>
  <c r="L676" i="1"/>
  <c r="L733" i="1"/>
  <c r="L760" i="1"/>
  <c r="L782" i="1"/>
  <c r="L806" i="1"/>
  <c r="L826" i="1"/>
  <c r="L846" i="1"/>
  <c r="L870" i="1"/>
  <c r="L890" i="1"/>
  <c r="L910" i="1"/>
  <c r="L934" i="1"/>
  <c r="L954" i="1"/>
  <c r="L974" i="1"/>
  <c r="L998" i="1"/>
  <c r="L1018" i="1"/>
  <c r="L1038" i="1"/>
  <c r="L519" i="1"/>
  <c r="L725" i="1"/>
  <c r="L800" i="1"/>
  <c r="L872" i="1"/>
  <c r="L912" i="1"/>
  <c r="L948" i="1"/>
  <c r="L1000" i="1"/>
  <c r="L1040" i="1"/>
  <c r="L383" i="1"/>
  <c r="L575" i="1"/>
  <c r="L653" i="1"/>
  <c r="L693" i="1"/>
  <c r="L734" i="1"/>
  <c r="L761" i="1"/>
  <c r="L783" i="1"/>
  <c r="L807" i="1"/>
  <c r="L827" i="1"/>
  <c r="L847" i="1"/>
  <c r="L871" i="1"/>
  <c r="L891" i="1"/>
  <c r="L911" i="1"/>
  <c r="L935" i="1"/>
  <c r="L955" i="1"/>
  <c r="L975" i="1"/>
  <c r="L999" i="1"/>
  <c r="L1019" i="1"/>
  <c r="L1039" i="1"/>
  <c r="L583" i="1"/>
  <c r="L730" i="1"/>
  <c r="L796" i="1"/>
  <c r="L868" i="1"/>
  <c r="L908" i="1"/>
  <c r="L952" i="1"/>
  <c r="L996" i="1"/>
  <c r="L1036" i="1"/>
  <c r="N115" i="1"/>
  <c r="N140" i="1"/>
  <c r="N153" i="1"/>
  <c r="N150" i="1"/>
  <c r="N460" i="1"/>
  <c r="N361" i="1"/>
  <c r="N219" i="1"/>
  <c r="N478" i="1"/>
  <c r="N702" i="1"/>
  <c r="N653" i="1"/>
  <c r="N471" i="1"/>
  <c r="N791" i="1"/>
  <c r="N624" i="1"/>
  <c r="N888" i="1"/>
  <c r="N609" i="1"/>
  <c r="N983" i="1"/>
  <c r="N878" i="1"/>
  <c r="N495" i="1"/>
  <c r="N954" i="1"/>
  <c r="N833" i="1"/>
  <c r="N1041" i="1"/>
  <c r="M143" i="1"/>
  <c r="M8" i="1"/>
  <c r="M160" i="1"/>
  <c r="M308" i="1"/>
  <c r="M129" i="1"/>
  <c r="M277" i="1"/>
  <c r="M315" i="1"/>
  <c r="M310" i="1"/>
  <c r="M206" i="1"/>
  <c r="M407" i="1"/>
  <c r="M523" i="1"/>
  <c r="M414" i="1"/>
  <c r="M564" i="1"/>
  <c r="M689" i="1"/>
  <c r="M421" i="1"/>
  <c r="M570" i="1"/>
  <c r="M690" i="1"/>
  <c r="M412" i="1"/>
  <c r="M561" i="1"/>
  <c r="M683" i="1"/>
  <c r="M779" i="1"/>
  <c r="M636" i="1"/>
  <c r="M824" i="1"/>
  <c r="M908" i="1"/>
  <c r="M992" i="1"/>
  <c r="M786" i="1"/>
  <c r="M1043" i="1"/>
  <c r="M736" i="1"/>
  <c r="M849" i="1"/>
  <c r="M933" i="1"/>
  <c r="M1017" i="1"/>
  <c r="M859" i="1"/>
  <c r="M472" i="1"/>
  <c r="M780" i="1"/>
  <c r="M874" i="1"/>
  <c r="M958" i="1"/>
  <c r="M1042" i="1"/>
  <c r="M879" i="1"/>
  <c r="L27" i="1"/>
  <c r="L111" i="1"/>
  <c r="L199" i="1"/>
  <c r="L283" i="1"/>
  <c r="L48" i="1"/>
  <c r="L136" i="1"/>
  <c r="L220" i="1"/>
  <c r="L304" i="1"/>
  <c r="L53" i="1"/>
  <c r="L137" i="1"/>
  <c r="L221" i="1"/>
  <c r="L309" i="1"/>
  <c r="L198" i="1"/>
  <c r="L385" i="1"/>
  <c r="L473" i="1"/>
  <c r="L557" i="1"/>
  <c r="L202" i="1"/>
  <c r="L390" i="1"/>
  <c r="L474" i="1"/>
  <c r="L558" i="1"/>
  <c r="L274" i="1"/>
  <c r="L488" i="1"/>
  <c r="L625" i="1"/>
  <c r="L403" i="1"/>
  <c r="L571" i="1"/>
  <c r="L666" i="1"/>
  <c r="L226" i="1"/>
  <c r="L428" i="1"/>
  <c r="L540" i="1"/>
  <c r="L623" i="1"/>
  <c r="L679" i="1"/>
  <c r="L739" i="1"/>
  <c r="L431" i="1"/>
  <c r="L697" i="1"/>
  <c r="L781" i="1"/>
  <c r="L833" i="1"/>
  <c r="L893" i="1"/>
  <c r="L949" i="1"/>
  <c r="L1005" i="1"/>
  <c r="L551" i="1"/>
  <c r="L852" i="1"/>
  <c r="L612" i="1"/>
  <c r="L738" i="1"/>
  <c r="L790" i="1"/>
  <c r="L830" i="1"/>
  <c r="L874" i="1"/>
  <c r="L918" i="1"/>
  <c r="L958" i="1"/>
  <c r="L1002" i="1"/>
  <c r="L1046" i="1"/>
  <c r="L741" i="1"/>
  <c r="L880" i="1"/>
  <c r="L968" i="1"/>
  <c r="L1048" i="1"/>
  <c r="L600" i="1"/>
  <c r="L709" i="1"/>
  <c r="L766" i="1"/>
  <c r="L811" i="1"/>
  <c r="L855" i="1"/>
  <c r="L895" i="1"/>
  <c r="L939" i="1"/>
  <c r="L983" i="1"/>
  <c r="L1023" i="1"/>
  <c r="L636" i="1"/>
  <c r="L820" i="1"/>
  <c r="L916" i="1"/>
  <c r="L1004" i="1"/>
  <c r="I2" i="3"/>
  <c r="M772" i="1"/>
  <c r="M999" i="1"/>
  <c r="L92" i="1"/>
  <c r="L9" i="1"/>
  <c r="L265" i="1"/>
  <c r="L429" i="1"/>
  <c r="L346" i="1"/>
  <c r="L30" i="1"/>
  <c r="L254" i="1"/>
  <c r="L710" i="1"/>
  <c r="L595" i="1"/>
  <c r="L767" i="1"/>
  <c r="L805" i="1"/>
  <c r="L977" i="1"/>
  <c r="L439" i="1"/>
  <c r="L810" i="1"/>
  <c r="L938" i="1"/>
  <c r="L604" i="1"/>
  <c r="L920" i="1"/>
  <c r="L661" i="1"/>
  <c r="L831" i="1"/>
  <c r="L919" i="1"/>
  <c r="L1047" i="1"/>
  <c r="L964" i="1"/>
  <c r="N7" i="1"/>
  <c r="C7" i="4" s="1"/>
  <c r="N45" i="1"/>
  <c r="N352" i="1"/>
  <c r="N481" i="1"/>
  <c r="N374" i="1"/>
  <c r="N483" i="1"/>
  <c r="N660" i="1"/>
  <c r="N780" i="1"/>
  <c r="N898" i="1"/>
  <c r="N990" i="1"/>
  <c r="N447" i="1"/>
  <c r="M79" i="1"/>
  <c r="M244" i="1"/>
  <c r="M213" i="1"/>
  <c r="M58" i="1"/>
  <c r="M471" i="1"/>
  <c r="M500" i="1"/>
  <c r="M98" i="1"/>
  <c r="M638" i="1"/>
  <c r="M631" i="1"/>
  <c r="M461" i="1"/>
  <c r="M956" i="1"/>
  <c r="M592" i="1"/>
  <c r="M648" i="1"/>
  <c r="M834" i="1"/>
  <c r="M728" i="1"/>
  <c r="L75" i="1"/>
  <c r="L247" i="1"/>
  <c r="L184" i="1"/>
  <c r="L185" i="1"/>
  <c r="L349" i="1"/>
  <c r="L58" i="1"/>
  <c r="L522" i="1"/>
  <c r="L416" i="1"/>
  <c r="L499" i="1"/>
  <c r="L500" i="1"/>
  <c r="L719" i="1"/>
  <c r="L753" i="1"/>
  <c r="L929" i="1"/>
  <c r="L792" i="1"/>
  <c r="L774" i="1"/>
  <c r="L942" i="1"/>
  <c r="L656" i="1"/>
  <c r="L1016" i="1"/>
  <c r="L795" i="1"/>
  <c r="L923" i="1"/>
  <c r="L302" i="1"/>
  <c r="N119" i="1"/>
  <c r="N144" i="1"/>
  <c r="N165" i="1"/>
  <c r="N182" i="1"/>
  <c r="N464" i="1"/>
  <c r="N369" i="1"/>
  <c r="N224" i="1"/>
  <c r="N486" i="1"/>
  <c r="N714" i="1"/>
  <c r="N659" i="1"/>
  <c r="N487" i="1"/>
  <c r="N803" i="1"/>
  <c r="N635" i="1"/>
  <c r="N892" i="1"/>
  <c r="N673" i="1"/>
  <c r="N1005" i="1"/>
  <c r="N883" i="1"/>
  <c r="N535" i="1"/>
  <c r="N970" i="1"/>
  <c r="N842" i="1"/>
  <c r="N2" i="1"/>
  <c r="C2" i="4" s="1"/>
  <c r="M159" i="1"/>
  <c r="M20" i="1"/>
  <c r="M168" i="1"/>
  <c r="M324" i="1"/>
  <c r="M133" i="1"/>
  <c r="M285" i="1"/>
  <c r="M331" i="1"/>
  <c r="M326" i="1"/>
  <c r="M222" i="1"/>
  <c r="M419" i="1"/>
  <c r="M531" i="1"/>
  <c r="M425" i="1"/>
  <c r="M580" i="1"/>
  <c r="M693" i="1"/>
  <c r="M426" i="1"/>
  <c r="M581" i="1"/>
  <c r="M694" i="1"/>
  <c r="M417" i="1"/>
  <c r="M577" i="1"/>
  <c r="M691" i="1"/>
  <c r="M783" i="1"/>
  <c r="M668" i="1"/>
  <c r="M828" i="1"/>
  <c r="M912" i="1"/>
  <c r="M1000" i="1"/>
  <c r="M802" i="1"/>
  <c r="M130" i="1"/>
  <c r="M757" i="1"/>
  <c r="M853" i="1"/>
  <c r="M937" i="1"/>
  <c r="M1025" i="1"/>
  <c r="M871" i="1"/>
  <c r="M493" i="1"/>
  <c r="M790" i="1"/>
  <c r="M878" i="1"/>
  <c r="M962" i="1"/>
  <c r="M1050" i="1"/>
  <c r="M891" i="1"/>
  <c r="L31" i="1"/>
  <c r="L119" i="1"/>
  <c r="L203" i="1"/>
  <c r="L287" i="1"/>
  <c r="L56" i="1"/>
  <c r="L140" i="1"/>
  <c r="L224" i="1"/>
  <c r="L312" i="1"/>
  <c r="L57" i="1"/>
  <c r="L141" i="1"/>
  <c r="L229" i="1"/>
  <c r="L313" i="1"/>
  <c r="L214" i="1"/>
  <c r="L393" i="1"/>
  <c r="L477" i="1"/>
  <c r="L561" i="1"/>
  <c r="L234" i="1"/>
  <c r="L394" i="1"/>
  <c r="L478" i="1"/>
  <c r="L566" i="1"/>
  <c r="L306" i="1"/>
  <c r="L496" i="1"/>
  <c r="L633" i="1"/>
  <c r="L411" i="1"/>
  <c r="L579" i="1"/>
  <c r="L674" i="1"/>
  <c r="L322" i="1"/>
  <c r="L436" i="1"/>
  <c r="L556" i="1"/>
  <c r="L631" i="1"/>
  <c r="L687" i="1"/>
  <c r="L743" i="1"/>
  <c r="L527" i="1"/>
  <c r="L705" i="1"/>
  <c r="L785" i="1"/>
  <c r="L845" i="1"/>
  <c r="L897" i="1"/>
  <c r="L957" i="1"/>
  <c r="L1013" i="1"/>
  <c r="L648" i="1"/>
  <c r="L864" i="1"/>
  <c r="L652" i="1"/>
  <c r="L744" i="1"/>
  <c r="L794" i="1"/>
  <c r="L838" i="1"/>
  <c r="L878" i="1"/>
  <c r="L922" i="1"/>
  <c r="L966" i="1"/>
  <c r="L1006" i="1"/>
  <c r="L1050" i="1"/>
  <c r="L776" i="1"/>
  <c r="L888" i="1"/>
  <c r="L976" i="1"/>
  <c r="L270" i="1"/>
  <c r="L616" i="1"/>
  <c r="L717" i="1"/>
  <c r="L775" i="1"/>
  <c r="L815" i="1"/>
  <c r="L859" i="1"/>
  <c r="L903" i="1"/>
  <c r="L943" i="1"/>
  <c r="L987" i="1"/>
  <c r="L1031" i="1"/>
  <c r="L664" i="1"/>
  <c r="L832" i="1"/>
  <c r="L932" i="1"/>
  <c r="L1012" i="1"/>
  <c r="H2" i="3"/>
  <c r="N477" i="1"/>
  <c r="N655" i="1"/>
  <c r="N768" i="1"/>
  <c r="N887" i="1"/>
  <c r="N969" i="1"/>
  <c r="N226" i="1"/>
  <c r="M71" i="1"/>
  <c r="M84" i="1"/>
  <c r="M49" i="1"/>
  <c r="M38" i="1"/>
  <c r="M394" i="1"/>
  <c r="M467" i="1"/>
  <c r="M494" i="1"/>
  <c r="M741" i="1"/>
  <c r="M630" i="1"/>
  <c r="M492" i="1"/>
  <c r="M735" i="1"/>
  <c r="M864" i="1"/>
  <c r="M1036" i="1"/>
  <c r="M573" i="1"/>
  <c r="M889" i="1"/>
  <c r="M600" i="1"/>
  <c r="M676" i="1"/>
  <c r="M914" i="1"/>
  <c r="M680" i="1"/>
  <c r="L155" i="1"/>
  <c r="L8" i="1"/>
  <c r="L264" i="1"/>
  <c r="L181" i="1"/>
  <c r="L345" i="1"/>
  <c r="L42" i="1"/>
  <c r="L518" i="1"/>
  <c r="L576" i="1"/>
  <c r="L626" i="1"/>
  <c r="L476" i="1"/>
  <c r="L707" i="1"/>
  <c r="L742" i="1"/>
  <c r="L917" i="1"/>
  <c r="L752" i="1"/>
  <c r="L765" i="1"/>
  <c r="L894" i="1"/>
  <c r="L1022" i="1"/>
  <c r="L1008" i="1"/>
  <c r="L740" i="1"/>
  <c r="L875" i="1"/>
  <c r="L1003" i="1"/>
  <c r="L746" i="1"/>
  <c r="L1044" i="1"/>
  <c r="L714" i="1"/>
  <c r="L677" i="1"/>
  <c r="L884" i="1"/>
  <c r="N3" i="1"/>
  <c r="C3" i="4" s="1"/>
  <c r="N24" i="1"/>
  <c r="N41" i="1"/>
  <c r="N269" i="1"/>
  <c r="N339" i="1"/>
  <c r="N218" i="1"/>
  <c r="N362" i="1"/>
  <c r="N590" i="1"/>
  <c r="N467" i="1"/>
  <c r="N790" i="1"/>
  <c r="N379" i="1"/>
  <c r="N1000" i="1"/>
  <c r="N572" i="1"/>
  <c r="N857" i="1"/>
  <c r="N934" i="1"/>
  <c r="M223" i="1"/>
  <c r="M240" i="1"/>
  <c r="M197" i="1"/>
  <c r="M10" i="1"/>
  <c r="M355" i="1"/>
  <c r="M579" i="1"/>
  <c r="M629" i="1"/>
  <c r="M496" i="1"/>
  <c r="M742" i="1"/>
  <c r="M627" i="1"/>
  <c r="M440" i="1"/>
  <c r="M952" i="1"/>
  <c r="M911" i="1"/>
  <c r="M805" i="1"/>
  <c r="M977" i="1"/>
  <c r="M979" i="1"/>
  <c r="M830" i="1"/>
  <c r="M1002" i="1"/>
  <c r="L71" i="1"/>
  <c r="L239" i="1"/>
  <c r="L176" i="1"/>
  <c r="L93" i="1"/>
  <c r="L22" i="1"/>
  <c r="L513" i="1"/>
  <c r="L430" i="1"/>
  <c r="L400" i="1"/>
  <c r="L483" i="1"/>
  <c r="L372" i="1"/>
  <c r="L655" i="1"/>
  <c r="L640" i="1"/>
  <c r="L865" i="1"/>
  <c r="L1037" i="1"/>
  <c r="L692" i="1"/>
  <c r="L854" i="1"/>
  <c r="L982" i="1"/>
  <c r="L824" i="1"/>
  <c r="L447" i="1"/>
  <c r="L791" i="1"/>
  <c r="L959" i="1"/>
  <c r="L876" i="1"/>
  <c r="N32" i="1"/>
  <c r="N223" i="1"/>
  <c r="N598" i="1"/>
  <c r="N798" i="1"/>
  <c r="N411" i="1"/>
  <c r="N1004" i="1"/>
  <c r="N593" i="1"/>
  <c r="N869" i="1"/>
  <c r="N955" i="1"/>
  <c r="M227" i="1"/>
  <c r="M96" i="1"/>
  <c r="M53" i="1"/>
  <c r="M86" i="1"/>
  <c r="M14" i="1"/>
  <c r="M18" i="1"/>
  <c r="M633" i="1"/>
  <c r="M506" i="1"/>
  <c r="M754" i="1"/>
  <c r="M743" i="1"/>
  <c r="M777" i="1"/>
  <c r="M1040" i="1"/>
  <c r="M809" i="1"/>
  <c r="M981" i="1"/>
  <c r="M692" i="1"/>
  <c r="M922" i="1"/>
  <c r="M1023" i="1"/>
  <c r="L159" i="1"/>
  <c r="L12" i="1"/>
  <c r="L268" i="1"/>
  <c r="L101" i="1"/>
  <c r="L269" i="1"/>
  <c r="L433" i="1"/>
  <c r="L350" i="1"/>
  <c r="L46" i="1"/>
  <c r="L286" i="1"/>
  <c r="L380" i="1"/>
  <c r="L659" i="1"/>
  <c r="L657" i="1"/>
  <c r="L869" i="1"/>
  <c r="L1041" i="1"/>
  <c r="L708" i="1"/>
  <c r="L814" i="1"/>
  <c r="L902" i="1"/>
  <c r="L1030" i="1"/>
  <c r="L936" i="1"/>
  <c r="L745" i="1"/>
  <c r="L879" i="1"/>
  <c r="L1007" i="1"/>
  <c r="L972" i="1"/>
  <c r="N277" i="1"/>
  <c r="M359" i="1"/>
  <c r="M497" i="1"/>
  <c r="M872" i="1"/>
  <c r="M935" i="1"/>
  <c r="M897" i="1"/>
  <c r="M1003" i="1"/>
  <c r="M1006" i="1"/>
  <c r="L96" i="1"/>
  <c r="L13" i="1"/>
  <c r="L54" i="1"/>
  <c r="L521" i="1"/>
  <c r="L438" i="1"/>
  <c r="L584" i="1"/>
  <c r="L630" i="1"/>
  <c r="L599" i="1"/>
  <c r="L66" i="1"/>
  <c r="L813" i="1"/>
  <c r="L981" i="1"/>
  <c r="L471" i="1"/>
  <c r="L858" i="1"/>
  <c r="L986" i="1"/>
  <c r="L836" i="1"/>
  <c r="L479" i="1"/>
  <c r="L839" i="1"/>
  <c r="L967" i="1"/>
  <c r="L772" i="1"/>
  <c r="P1000" i="4"/>
  <c r="G701" i="3"/>
  <c r="H701" i="3"/>
  <c r="M701" i="3" s="1"/>
  <c r="J701" i="3"/>
  <c r="I701" i="3"/>
  <c r="G965" i="3"/>
  <c r="H965" i="3"/>
  <c r="M965" i="3" s="1"/>
  <c r="J965" i="3"/>
  <c r="I965" i="3"/>
  <c r="G887" i="3"/>
  <c r="H887" i="3"/>
  <c r="M887" i="3" s="1"/>
  <c r="I887" i="3"/>
  <c r="J887" i="3"/>
  <c r="G607" i="3"/>
  <c r="H607" i="3"/>
  <c r="M607" i="3" s="1"/>
  <c r="J607" i="3"/>
  <c r="I607" i="3"/>
  <c r="G852" i="3"/>
  <c r="J852" i="3"/>
  <c r="I852" i="3"/>
  <c r="H852" i="3"/>
  <c r="M852" i="3" s="1"/>
  <c r="G568" i="3"/>
  <c r="H568" i="3"/>
  <c r="M568" i="3" s="1"/>
  <c r="J568" i="3"/>
  <c r="I568" i="3"/>
  <c r="G444" i="3"/>
  <c r="H444" i="3"/>
  <c r="M444" i="3" s="1"/>
  <c r="I444" i="3"/>
  <c r="J444" i="3"/>
  <c r="G493" i="3"/>
  <c r="H493" i="3"/>
  <c r="M493" i="3" s="1"/>
  <c r="J493" i="3"/>
  <c r="I493" i="3"/>
  <c r="G328" i="3"/>
  <c r="I328" i="3"/>
  <c r="H328" i="3"/>
  <c r="M328" i="3" s="1"/>
  <c r="J328" i="3"/>
  <c r="G181" i="3"/>
  <c r="J181" i="3"/>
  <c r="I181" i="3"/>
  <c r="H181" i="3"/>
  <c r="M181" i="3" s="1"/>
  <c r="G210" i="3"/>
  <c r="I210" i="3"/>
  <c r="H210" i="3"/>
  <c r="M210" i="3" s="1"/>
  <c r="J210" i="3"/>
  <c r="G44" i="3"/>
  <c r="I44" i="3"/>
  <c r="H44" i="3"/>
  <c r="M44" i="3" s="1"/>
  <c r="J44" i="3"/>
  <c r="G118" i="3"/>
  <c r="I118" i="3"/>
  <c r="H118" i="3"/>
  <c r="M118" i="3" s="1"/>
  <c r="J118" i="3"/>
  <c r="G4" i="3"/>
  <c r="I4" i="3"/>
  <c r="H4" i="3"/>
  <c r="M4" i="3" s="1"/>
  <c r="J4" i="3"/>
  <c r="G709" i="3"/>
  <c r="J709" i="3"/>
  <c r="H709" i="3"/>
  <c r="M709" i="3" s="1"/>
  <c r="I709" i="3"/>
  <c r="G967" i="3"/>
  <c r="I967" i="3"/>
  <c r="H967" i="3"/>
  <c r="M967" i="3" s="1"/>
  <c r="J967" i="3"/>
  <c r="G957" i="3"/>
  <c r="H957" i="3"/>
  <c r="M957" i="3" s="1"/>
  <c r="J957" i="3"/>
  <c r="I957" i="3"/>
  <c r="G777" i="3"/>
  <c r="I777" i="3"/>
  <c r="H777" i="3"/>
  <c r="M777" i="3" s="1"/>
  <c r="J777" i="3"/>
  <c r="G673" i="3"/>
  <c r="H673" i="3"/>
  <c r="M673" i="3" s="1"/>
  <c r="J673" i="3"/>
  <c r="I673" i="3"/>
  <c r="G451" i="3"/>
  <c r="H451" i="3"/>
  <c r="M451" i="3" s="1"/>
  <c r="I451" i="3"/>
  <c r="J451" i="3"/>
  <c r="G57" i="3"/>
  <c r="H57" i="3"/>
  <c r="M57" i="3" s="1"/>
  <c r="I57" i="3"/>
  <c r="J57" i="3"/>
  <c r="G167" i="3"/>
  <c r="I167" i="3"/>
  <c r="H167" i="3"/>
  <c r="M167" i="3" s="1"/>
  <c r="J167" i="3"/>
  <c r="G982" i="3"/>
  <c r="J982" i="3"/>
  <c r="I982" i="3"/>
  <c r="H982" i="3"/>
  <c r="M982" i="3" s="1"/>
  <c r="G1000" i="3"/>
  <c r="J1000" i="3"/>
  <c r="I1000" i="3"/>
  <c r="H1000" i="3"/>
  <c r="M1000" i="3" s="1"/>
  <c r="G948" i="3"/>
  <c r="J948" i="3"/>
  <c r="I948" i="3"/>
  <c r="H948" i="3"/>
  <c r="M948" i="3" s="1"/>
  <c r="G919" i="3"/>
  <c r="H919" i="3"/>
  <c r="M919" i="3" s="1"/>
  <c r="J919" i="3"/>
  <c r="I919" i="3"/>
  <c r="G703" i="3"/>
  <c r="H703" i="3"/>
  <c r="M703" i="3" s="1"/>
  <c r="I703" i="3"/>
  <c r="J703" i="3"/>
  <c r="G593" i="3"/>
  <c r="J593" i="3"/>
  <c r="I593" i="3"/>
  <c r="H593" i="3"/>
  <c r="M593" i="3" s="1"/>
  <c r="G996" i="3"/>
  <c r="H996" i="3"/>
  <c r="M996" i="3" s="1"/>
  <c r="I996" i="3"/>
  <c r="J996" i="3"/>
  <c r="G977" i="3"/>
  <c r="I977" i="3"/>
  <c r="H977" i="3"/>
  <c r="M977" i="3" s="1"/>
  <c r="J977" i="3"/>
  <c r="G914" i="3"/>
  <c r="J914" i="3"/>
  <c r="I914" i="3"/>
  <c r="H914" i="3"/>
  <c r="M914" i="3" s="1"/>
  <c r="G547" i="3"/>
  <c r="J547" i="3"/>
  <c r="H547" i="3"/>
  <c r="M547" i="3" s="1"/>
  <c r="I547" i="3"/>
  <c r="G979" i="3"/>
  <c r="I979" i="3"/>
  <c r="J979" i="3"/>
  <c r="H979" i="3"/>
  <c r="M979" i="3" s="1"/>
  <c r="G589" i="3"/>
  <c r="H589" i="3"/>
  <c r="M589" i="3" s="1"/>
  <c r="J589" i="3"/>
  <c r="I589" i="3"/>
  <c r="G994" i="3"/>
  <c r="I994" i="3"/>
  <c r="H994" i="3"/>
  <c r="M994" i="3" s="1"/>
  <c r="J994" i="3"/>
  <c r="G928" i="3"/>
  <c r="H928" i="3"/>
  <c r="M928" i="3" s="1"/>
  <c r="J928" i="3"/>
  <c r="I928" i="3"/>
  <c r="G597" i="3"/>
  <c r="I597" i="3"/>
  <c r="H597" i="3"/>
  <c r="M597" i="3" s="1"/>
  <c r="J597" i="3"/>
  <c r="G937" i="3"/>
  <c r="H937" i="3"/>
  <c r="M937" i="3" s="1"/>
  <c r="J937" i="3"/>
  <c r="I937" i="3"/>
  <c r="G881" i="3"/>
  <c r="H881" i="3"/>
  <c r="M881" i="3" s="1"/>
  <c r="J881" i="3"/>
  <c r="I881" i="3"/>
  <c r="G817" i="3"/>
  <c r="H817" i="3"/>
  <c r="M817" i="3" s="1"/>
  <c r="J817" i="3"/>
  <c r="I817" i="3"/>
  <c r="G753" i="3"/>
  <c r="H753" i="3"/>
  <c r="M753" i="3" s="1"/>
  <c r="J753" i="3"/>
  <c r="I753" i="3"/>
  <c r="G628" i="3"/>
  <c r="H628" i="3"/>
  <c r="M628" i="3" s="1"/>
  <c r="J628" i="3"/>
  <c r="I628" i="3"/>
  <c r="G294" i="3"/>
  <c r="J294" i="3"/>
  <c r="I294" i="3"/>
  <c r="H294" i="3"/>
  <c r="M294" i="3" s="1"/>
  <c r="G577" i="3"/>
  <c r="H577" i="3"/>
  <c r="M577" i="3" s="1"/>
  <c r="J577" i="3"/>
  <c r="I577" i="3"/>
  <c r="G812" i="3"/>
  <c r="J812" i="3"/>
  <c r="I812" i="3"/>
  <c r="H812" i="3"/>
  <c r="M812" i="3" s="1"/>
  <c r="G616" i="3"/>
  <c r="J616" i="3"/>
  <c r="I616" i="3"/>
  <c r="H616" i="3"/>
  <c r="M616" i="3" s="1"/>
  <c r="G526" i="3"/>
  <c r="H526" i="3"/>
  <c r="M526" i="3" s="1"/>
  <c r="J526" i="3"/>
  <c r="I526" i="3"/>
  <c r="G517" i="3"/>
  <c r="H517" i="3"/>
  <c r="M517" i="3" s="1"/>
  <c r="J517" i="3"/>
  <c r="I517" i="3"/>
  <c r="G197" i="3"/>
  <c r="J197" i="3"/>
  <c r="I197" i="3"/>
  <c r="H197" i="3"/>
  <c r="M197" i="3" s="1"/>
  <c r="G365" i="3"/>
  <c r="I365" i="3"/>
  <c r="J365" i="3"/>
  <c r="H365" i="3"/>
  <c r="M365" i="3" s="1"/>
  <c r="G241" i="3"/>
  <c r="I241" i="3"/>
  <c r="H241" i="3"/>
  <c r="M241" i="3" s="1"/>
  <c r="J241" i="3"/>
  <c r="G129" i="3"/>
  <c r="J129" i="3"/>
  <c r="I129" i="3"/>
  <c r="H129" i="3"/>
  <c r="M129" i="3" s="1"/>
  <c r="G166" i="3"/>
  <c r="J166" i="3"/>
  <c r="H166" i="3"/>
  <c r="M166" i="3" s="1"/>
  <c r="I166" i="3"/>
  <c r="G28" i="3"/>
  <c r="J28" i="3"/>
  <c r="I28" i="3"/>
  <c r="H28" i="3"/>
  <c r="M28" i="3" s="1"/>
  <c r="G645" i="3"/>
  <c r="H645" i="3"/>
  <c r="M645" i="3" s="1"/>
  <c r="J645" i="3"/>
  <c r="I645" i="3"/>
  <c r="G310" i="3"/>
  <c r="I310" i="3"/>
  <c r="H310" i="3"/>
  <c r="M310" i="3" s="1"/>
  <c r="J310" i="3"/>
  <c r="G949" i="3"/>
  <c r="I949" i="3"/>
  <c r="H949" i="3"/>
  <c r="M949" i="3" s="1"/>
  <c r="J949" i="3"/>
  <c r="G793" i="3"/>
  <c r="I793" i="3"/>
  <c r="H793" i="3"/>
  <c r="M793" i="3" s="1"/>
  <c r="J793" i="3"/>
  <c r="G705" i="3"/>
  <c r="J705" i="3"/>
  <c r="I705" i="3"/>
  <c r="H705" i="3"/>
  <c r="M705" i="3" s="1"/>
  <c r="G584" i="3"/>
  <c r="J584" i="3"/>
  <c r="I584" i="3"/>
  <c r="H584" i="3"/>
  <c r="M584" i="3" s="1"/>
  <c r="G280" i="3"/>
  <c r="H280" i="3"/>
  <c r="M280" i="3" s="1"/>
  <c r="J280" i="3"/>
  <c r="I280" i="3"/>
  <c r="G228" i="3"/>
  <c r="I228" i="3"/>
  <c r="J228" i="3"/>
  <c r="H228" i="3"/>
  <c r="M228" i="3" s="1"/>
  <c r="G966" i="3"/>
  <c r="I966" i="3"/>
  <c r="H966" i="3"/>
  <c r="M966" i="3" s="1"/>
  <c r="J966" i="3"/>
  <c r="G984" i="3"/>
  <c r="I984" i="3"/>
  <c r="H984" i="3"/>
  <c r="M984" i="3" s="1"/>
  <c r="J984" i="3"/>
  <c r="G932" i="3"/>
  <c r="H932" i="3"/>
  <c r="M932" i="3" s="1"/>
  <c r="J932" i="3"/>
  <c r="I932" i="3"/>
  <c r="G903" i="3"/>
  <c r="I903" i="3"/>
  <c r="H903" i="3"/>
  <c r="M903" i="3" s="1"/>
  <c r="J903" i="3"/>
  <c r="G671" i="3"/>
  <c r="H671" i="3"/>
  <c r="M671" i="3" s="1"/>
  <c r="I671" i="3"/>
  <c r="J671" i="3"/>
  <c r="G669" i="3"/>
  <c r="H669" i="3"/>
  <c r="M669" i="3" s="1"/>
  <c r="I669" i="3"/>
  <c r="J669" i="3"/>
  <c r="G958" i="3"/>
  <c r="J958" i="3"/>
  <c r="I958" i="3"/>
  <c r="H958" i="3"/>
  <c r="M958" i="3" s="1"/>
  <c r="G730" i="3"/>
  <c r="J730" i="3"/>
  <c r="I730" i="3"/>
  <c r="H730" i="3"/>
  <c r="M730" i="3" s="1"/>
  <c r="G972" i="3"/>
  <c r="J972" i="3"/>
  <c r="I972" i="3"/>
  <c r="H972" i="3"/>
  <c r="M972" i="3" s="1"/>
  <c r="G960" i="3"/>
  <c r="H960" i="3"/>
  <c r="M960" i="3" s="1"/>
  <c r="J960" i="3"/>
  <c r="I960" i="3"/>
  <c r="G420" i="3"/>
  <c r="J420" i="3"/>
  <c r="I420" i="3"/>
  <c r="H420" i="3"/>
  <c r="M420" i="3" s="1"/>
  <c r="G973" i="3"/>
  <c r="H973" i="3"/>
  <c r="M973" i="3" s="1"/>
  <c r="J973" i="3"/>
  <c r="I973" i="3"/>
  <c r="G908" i="3"/>
  <c r="J908" i="3"/>
  <c r="H908" i="3"/>
  <c r="M908" i="3" s="1"/>
  <c r="I908" i="3"/>
  <c r="G399" i="3"/>
  <c r="J399" i="3"/>
  <c r="I399" i="3"/>
  <c r="H399" i="3"/>
  <c r="M399" i="3" s="1"/>
  <c r="G927" i="3"/>
  <c r="H927" i="3"/>
  <c r="M927" i="3" s="1"/>
  <c r="J927" i="3"/>
  <c r="I927" i="3"/>
  <c r="G863" i="3"/>
  <c r="H863" i="3"/>
  <c r="M863" i="3" s="1"/>
  <c r="J863" i="3"/>
  <c r="I863" i="3"/>
  <c r="G799" i="3"/>
  <c r="H799" i="3"/>
  <c r="M799" i="3" s="1"/>
  <c r="J799" i="3"/>
  <c r="I799" i="3"/>
  <c r="G719" i="3"/>
  <c r="I719" i="3"/>
  <c r="H719" i="3"/>
  <c r="M719" i="3" s="1"/>
  <c r="J719" i="3"/>
  <c r="G591" i="3"/>
  <c r="H591" i="3"/>
  <c r="M591" i="3" s="1"/>
  <c r="J591" i="3"/>
  <c r="I591" i="3"/>
  <c r="G718" i="3"/>
  <c r="H718" i="3"/>
  <c r="M718" i="3" s="1"/>
  <c r="I718" i="3"/>
  <c r="J718" i="3"/>
  <c r="G900" i="3"/>
  <c r="H900" i="3"/>
  <c r="M900" i="3" s="1"/>
  <c r="J900" i="3"/>
  <c r="I900" i="3"/>
  <c r="G772" i="3"/>
  <c r="H772" i="3"/>
  <c r="M772" i="3" s="1"/>
  <c r="J772" i="3"/>
  <c r="I772" i="3"/>
  <c r="G536" i="3"/>
  <c r="H536" i="3"/>
  <c r="M536" i="3" s="1"/>
  <c r="J536" i="3"/>
  <c r="I536" i="3"/>
  <c r="G380" i="3"/>
  <c r="I380" i="3"/>
  <c r="H380" i="3"/>
  <c r="M380" i="3" s="1"/>
  <c r="J380" i="3"/>
  <c r="G477" i="3"/>
  <c r="I477" i="3"/>
  <c r="J477" i="3"/>
  <c r="H477" i="3"/>
  <c r="M477" i="3" s="1"/>
  <c r="G296" i="3"/>
  <c r="H296" i="3"/>
  <c r="M296" i="3" s="1"/>
  <c r="I296" i="3"/>
  <c r="J296" i="3"/>
  <c r="G19" i="3"/>
  <c r="J19" i="3"/>
  <c r="I19" i="3"/>
  <c r="H19" i="3"/>
  <c r="M19" i="3" s="1"/>
  <c r="G178" i="3"/>
  <c r="I178" i="3"/>
  <c r="H178" i="3"/>
  <c r="M178" i="3" s="1"/>
  <c r="J178" i="3"/>
  <c r="G236" i="3"/>
  <c r="J236" i="3"/>
  <c r="I236" i="3"/>
  <c r="H236" i="3"/>
  <c r="M236" i="3" s="1"/>
  <c r="G86" i="3"/>
  <c r="J86" i="3"/>
  <c r="I86" i="3"/>
  <c r="H86" i="3"/>
  <c r="M86" i="3" s="1"/>
  <c r="G670" i="3"/>
  <c r="J670" i="3"/>
  <c r="I670" i="3"/>
  <c r="H670" i="3"/>
  <c r="M670" i="3" s="1"/>
  <c r="G606" i="3"/>
  <c r="J606" i="3"/>
  <c r="I606" i="3"/>
  <c r="H606" i="3"/>
  <c r="M606" i="3" s="1"/>
  <c r="G541" i="3"/>
  <c r="J541" i="3"/>
  <c r="I541" i="3"/>
  <c r="H541" i="3"/>
  <c r="M541" i="3" s="1"/>
  <c r="G890" i="3"/>
  <c r="H890" i="3"/>
  <c r="M890" i="3" s="1"/>
  <c r="J890" i="3"/>
  <c r="I890" i="3"/>
  <c r="G858" i="3"/>
  <c r="J858" i="3"/>
  <c r="I858" i="3"/>
  <c r="H858" i="3"/>
  <c r="M858" i="3" s="1"/>
  <c r="G826" i="3"/>
  <c r="H826" i="3"/>
  <c r="M826" i="3" s="1"/>
  <c r="I826" i="3"/>
  <c r="J826" i="3"/>
  <c r="G794" i="3"/>
  <c r="H794" i="3"/>
  <c r="M794" i="3" s="1"/>
  <c r="J794" i="3"/>
  <c r="I794" i="3"/>
  <c r="G762" i="3"/>
  <c r="J762" i="3"/>
  <c r="I762" i="3"/>
  <c r="H762" i="3"/>
  <c r="M762" i="3" s="1"/>
  <c r="G707" i="3"/>
  <c r="I707" i="3"/>
  <c r="J707" i="3"/>
  <c r="H707" i="3"/>
  <c r="M707" i="3" s="1"/>
  <c r="G643" i="3"/>
  <c r="I643" i="3"/>
  <c r="J643" i="3"/>
  <c r="H643" i="3"/>
  <c r="M643" i="3" s="1"/>
  <c r="G579" i="3"/>
  <c r="H579" i="3"/>
  <c r="M579" i="3" s="1"/>
  <c r="I579" i="3"/>
  <c r="J579" i="3"/>
  <c r="G447" i="3"/>
  <c r="I447" i="3"/>
  <c r="H447" i="3"/>
  <c r="M447" i="3" s="1"/>
  <c r="J447" i="3"/>
  <c r="G440" i="3"/>
  <c r="H440" i="3"/>
  <c r="M440" i="3" s="1"/>
  <c r="J440" i="3"/>
  <c r="I440" i="3"/>
  <c r="G274" i="3"/>
  <c r="J274" i="3"/>
  <c r="I274" i="3"/>
  <c r="H274" i="3"/>
  <c r="M274" i="3" s="1"/>
  <c r="G472" i="3"/>
  <c r="H472" i="3"/>
  <c r="M472" i="3" s="1"/>
  <c r="I472" i="3"/>
  <c r="J472" i="3"/>
  <c r="G332" i="3"/>
  <c r="H332" i="3"/>
  <c r="M332" i="3" s="1"/>
  <c r="J332" i="3"/>
  <c r="I332" i="3"/>
  <c r="G458" i="3"/>
  <c r="I458" i="3"/>
  <c r="J458" i="3"/>
  <c r="H458" i="3"/>
  <c r="M458" i="3" s="1"/>
  <c r="G298" i="3"/>
  <c r="I298" i="3"/>
  <c r="H298" i="3"/>
  <c r="M298" i="3" s="1"/>
  <c r="J298" i="3"/>
  <c r="G499" i="3"/>
  <c r="J499" i="3"/>
  <c r="H499" i="3"/>
  <c r="M499" i="3" s="1"/>
  <c r="I499" i="3"/>
  <c r="G467" i="3"/>
  <c r="I467" i="3"/>
  <c r="H467" i="3"/>
  <c r="M467" i="3" s="1"/>
  <c r="J467" i="3"/>
  <c r="G414" i="3"/>
  <c r="J414" i="3"/>
  <c r="I414" i="3"/>
  <c r="H414" i="3"/>
  <c r="M414" i="3" s="1"/>
  <c r="G350" i="3"/>
  <c r="H350" i="3"/>
  <c r="M350" i="3" s="1"/>
  <c r="J350" i="3"/>
  <c r="I350" i="3"/>
  <c r="G339" i="3"/>
  <c r="I339" i="3"/>
  <c r="J339" i="3"/>
  <c r="H339" i="3"/>
  <c r="M339" i="3" s="1"/>
  <c r="G276" i="3"/>
  <c r="H276" i="3"/>
  <c r="M276" i="3" s="1"/>
  <c r="J276" i="3"/>
  <c r="I276" i="3"/>
  <c r="G33" i="3"/>
  <c r="J33" i="3"/>
  <c r="I33" i="3"/>
  <c r="H33" i="3"/>
  <c r="M33" i="3" s="1"/>
  <c r="G394" i="3"/>
  <c r="I394" i="3"/>
  <c r="J394" i="3"/>
  <c r="H394" i="3"/>
  <c r="M394" i="3" s="1"/>
  <c r="G330" i="3"/>
  <c r="H330" i="3"/>
  <c r="M330" i="3" s="1"/>
  <c r="J330" i="3"/>
  <c r="I330" i="3"/>
  <c r="G319" i="3"/>
  <c r="J319" i="3"/>
  <c r="I319" i="3"/>
  <c r="H319" i="3"/>
  <c r="M319" i="3" s="1"/>
  <c r="G287" i="3"/>
  <c r="J287" i="3"/>
  <c r="I287" i="3"/>
  <c r="H287" i="3"/>
  <c r="M287" i="3" s="1"/>
  <c r="G255" i="3"/>
  <c r="J255" i="3"/>
  <c r="I255" i="3"/>
  <c r="H255" i="3"/>
  <c r="M255" i="3" s="1"/>
  <c r="G223" i="3"/>
  <c r="J223" i="3"/>
  <c r="I223" i="3"/>
  <c r="H223" i="3"/>
  <c r="M223" i="3" s="1"/>
  <c r="G151" i="3"/>
  <c r="J151" i="3"/>
  <c r="H151" i="3"/>
  <c r="M151" i="3" s="1"/>
  <c r="I151" i="3"/>
  <c r="G45" i="3"/>
  <c r="H45" i="3"/>
  <c r="M45" i="3" s="1"/>
  <c r="J45" i="3"/>
  <c r="I45" i="3"/>
  <c r="G168" i="3"/>
  <c r="I168" i="3"/>
  <c r="H168" i="3"/>
  <c r="M168" i="3" s="1"/>
  <c r="J168" i="3"/>
  <c r="G65" i="3"/>
  <c r="J65" i="3"/>
  <c r="I65" i="3"/>
  <c r="H65" i="3"/>
  <c r="M65" i="3" s="1"/>
  <c r="G226" i="3"/>
  <c r="I226" i="3"/>
  <c r="H226" i="3"/>
  <c r="M226" i="3" s="1"/>
  <c r="J226" i="3"/>
  <c r="G164" i="3"/>
  <c r="H164" i="3"/>
  <c r="M164" i="3" s="1"/>
  <c r="J164" i="3"/>
  <c r="I164" i="3"/>
  <c r="G64" i="3"/>
  <c r="I64" i="3"/>
  <c r="H64" i="3"/>
  <c r="M64" i="3" s="1"/>
  <c r="J64" i="3"/>
  <c r="G131" i="3"/>
  <c r="I131" i="3"/>
  <c r="H131" i="3"/>
  <c r="M131" i="3" s="1"/>
  <c r="J131" i="3"/>
  <c r="G67" i="3"/>
  <c r="I67" i="3"/>
  <c r="H67" i="3"/>
  <c r="M67" i="3" s="1"/>
  <c r="J67" i="3"/>
  <c r="G13" i="3"/>
  <c r="J13" i="3"/>
  <c r="I13" i="3"/>
  <c r="H13" i="3"/>
  <c r="M13" i="3" s="1"/>
  <c r="G55" i="3"/>
  <c r="J55" i="3"/>
  <c r="I55" i="3"/>
  <c r="H55" i="3"/>
  <c r="M55" i="3" s="1"/>
  <c r="G10" i="3"/>
  <c r="I10" i="3"/>
  <c r="H10" i="3"/>
  <c r="M10" i="3" s="1"/>
  <c r="J10" i="3"/>
  <c r="G909" i="3"/>
  <c r="I909" i="3"/>
  <c r="H909" i="3"/>
  <c r="M909" i="3" s="1"/>
  <c r="J909" i="3"/>
  <c r="G877" i="3"/>
  <c r="J877" i="3"/>
  <c r="H877" i="3"/>
  <c r="M877" i="3" s="1"/>
  <c r="I877" i="3"/>
  <c r="G845" i="3"/>
  <c r="J845" i="3"/>
  <c r="I845" i="3"/>
  <c r="H845" i="3"/>
  <c r="M845" i="3" s="1"/>
  <c r="G813" i="3"/>
  <c r="J813" i="3"/>
  <c r="I813" i="3"/>
  <c r="H813" i="3"/>
  <c r="M813" i="3" s="1"/>
  <c r="G781" i="3"/>
  <c r="H781" i="3"/>
  <c r="M781" i="3" s="1"/>
  <c r="J781" i="3"/>
  <c r="I781" i="3"/>
  <c r="G748" i="3"/>
  <c r="J748" i="3"/>
  <c r="I748" i="3"/>
  <c r="H748" i="3"/>
  <c r="M748" i="3" s="1"/>
  <c r="G684" i="3"/>
  <c r="J684" i="3"/>
  <c r="I684" i="3"/>
  <c r="H684" i="3"/>
  <c r="M684" i="3" s="1"/>
  <c r="G620" i="3"/>
  <c r="H620" i="3"/>
  <c r="M620" i="3" s="1"/>
  <c r="J620" i="3"/>
  <c r="I620" i="3"/>
  <c r="G556" i="3"/>
  <c r="H556" i="3"/>
  <c r="M556" i="3" s="1"/>
  <c r="J556" i="3"/>
  <c r="I556" i="3"/>
  <c r="G745" i="3"/>
  <c r="H745" i="3"/>
  <c r="M745" i="3" s="1"/>
  <c r="J745" i="3"/>
  <c r="I745" i="3"/>
  <c r="G681" i="3"/>
  <c r="H681" i="3"/>
  <c r="M681" i="3" s="1"/>
  <c r="J681" i="3"/>
  <c r="I681" i="3"/>
  <c r="G617" i="3"/>
  <c r="H617" i="3"/>
  <c r="M617" i="3" s="1"/>
  <c r="J617" i="3"/>
  <c r="I617" i="3"/>
  <c r="G553" i="3"/>
  <c r="I553" i="3"/>
  <c r="H553" i="3"/>
  <c r="M553" i="3" s="1"/>
  <c r="J553" i="3"/>
  <c r="G896" i="3"/>
  <c r="H896" i="3"/>
  <c r="M896" i="3" s="1"/>
  <c r="J896" i="3"/>
  <c r="I896" i="3"/>
  <c r="G864" i="3"/>
  <c r="H864" i="3"/>
  <c r="M864" i="3" s="1"/>
  <c r="J864" i="3"/>
  <c r="I864" i="3"/>
  <c r="G832" i="3"/>
  <c r="H832" i="3"/>
  <c r="M832" i="3" s="1"/>
  <c r="J832" i="3"/>
  <c r="I832" i="3"/>
  <c r="G800" i="3"/>
  <c r="H800" i="3"/>
  <c r="M800" i="3" s="1"/>
  <c r="J800" i="3"/>
  <c r="I800" i="3"/>
  <c r="G768" i="3"/>
  <c r="H768" i="3"/>
  <c r="M768" i="3" s="1"/>
  <c r="J768" i="3"/>
  <c r="I768" i="3"/>
  <c r="G720" i="3"/>
  <c r="J720" i="3"/>
  <c r="H720" i="3"/>
  <c r="M720" i="3" s="1"/>
  <c r="I720" i="3"/>
  <c r="G656" i="3"/>
  <c r="I656" i="3"/>
  <c r="H656" i="3"/>
  <c r="M656" i="3" s="1"/>
  <c r="J656" i="3"/>
  <c r="G592" i="3"/>
  <c r="I592" i="3"/>
  <c r="J592" i="3"/>
  <c r="H592" i="3"/>
  <c r="M592" i="3" s="1"/>
  <c r="G525" i="3"/>
  <c r="J525" i="3"/>
  <c r="I525" i="3"/>
  <c r="H525" i="3"/>
  <c r="M525" i="3" s="1"/>
  <c r="G462" i="3"/>
  <c r="H462" i="3"/>
  <c r="M462" i="3" s="1"/>
  <c r="J462" i="3"/>
  <c r="I462" i="3"/>
  <c r="G322" i="3"/>
  <c r="I322" i="3"/>
  <c r="H322" i="3"/>
  <c r="M322" i="3" s="1"/>
  <c r="J322" i="3"/>
  <c r="G496" i="3"/>
  <c r="I496" i="3"/>
  <c r="H496" i="3"/>
  <c r="M496" i="3" s="1"/>
  <c r="J496" i="3"/>
  <c r="G364" i="3"/>
  <c r="J364" i="3"/>
  <c r="H364" i="3"/>
  <c r="M364" i="3" s="1"/>
  <c r="I364" i="3"/>
  <c r="G482" i="3"/>
  <c r="H482" i="3"/>
  <c r="M482" i="3" s="1"/>
  <c r="I482" i="3"/>
  <c r="J482" i="3"/>
  <c r="G351" i="3"/>
  <c r="J351" i="3"/>
  <c r="I351" i="3"/>
  <c r="H351" i="3"/>
  <c r="M351" i="3" s="1"/>
  <c r="G505" i="3"/>
  <c r="H505" i="3"/>
  <c r="M505" i="3" s="1"/>
  <c r="J505" i="3"/>
  <c r="I505" i="3"/>
  <c r="G473" i="3"/>
  <c r="H473" i="3"/>
  <c r="M473" i="3" s="1"/>
  <c r="J473" i="3"/>
  <c r="I473" i="3"/>
  <c r="G425" i="3"/>
  <c r="I425" i="3"/>
  <c r="H425" i="3"/>
  <c r="M425" i="3" s="1"/>
  <c r="J425" i="3"/>
  <c r="G361" i="3"/>
  <c r="J361" i="3"/>
  <c r="I361" i="3"/>
  <c r="H361" i="3"/>
  <c r="M361" i="3" s="1"/>
  <c r="G352" i="3"/>
  <c r="H352" i="3"/>
  <c r="M352" i="3" s="1"/>
  <c r="J352" i="3"/>
  <c r="I352" i="3"/>
  <c r="G288" i="3"/>
  <c r="I288" i="3"/>
  <c r="H288" i="3"/>
  <c r="M288" i="3" s="1"/>
  <c r="J288" i="3"/>
  <c r="G145" i="3"/>
  <c r="I145" i="3"/>
  <c r="H145" i="3"/>
  <c r="M145" i="3" s="1"/>
  <c r="J145" i="3"/>
  <c r="G405" i="3"/>
  <c r="H405" i="3"/>
  <c r="M405" i="3" s="1"/>
  <c r="J405" i="3"/>
  <c r="I405" i="3"/>
  <c r="G341" i="3"/>
  <c r="H341" i="3"/>
  <c r="M341" i="3" s="1"/>
  <c r="I341" i="3"/>
  <c r="J341" i="3"/>
  <c r="G325" i="3"/>
  <c r="I325" i="3"/>
  <c r="H325" i="3"/>
  <c r="M325" i="3" s="1"/>
  <c r="J325" i="3"/>
  <c r="G293" i="3"/>
  <c r="J293" i="3"/>
  <c r="H293" i="3"/>
  <c r="M293" i="3" s="1"/>
  <c r="I293" i="3"/>
  <c r="G261" i="3"/>
  <c r="H261" i="3"/>
  <c r="M261" i="3" s="1"/>
  <c r="J261" i="3"/>
  <c r="I261" i="3"/>
  <c r="G229" i="3"/>
  <c r="H229" i="3"/>
  <c r="M229" i="3" s="1"/>
  <c r="J229" i="3"/>
  <c r="I229" i="3"/>
  <c r="G169" i="3"/>
  <c r="J169" i="3"/>
  <c r="I169" i="3"/>
  <c r="H169" i="3"/>
  <c r="M169" i="3" s="1"/>
  <c r="G72" i="3"/>
  <c r="J72" i="3"/>
  <c r="I72" i="3"/>
  <c r="H72" i="3"/>
  <c r="M72" i="3" s="1"/>
  <c r="G180" i="3"/>
  <c r="J180" i="3"/>
  <c r="I180" i="3"/>
  <c r="H180" i="3"/>
  <c r="M180" i="3" s="1"/>
  <c r="G92" i="3"/>
  <c r="I92" i="3"/>
  <c r="H92" i="3"/>
  <c r="M92" i="3" s="1"/>
  <c r="J92" i="3"/>
  <c r="G232" i="3"/>
  <c r="J232" i="3"/>
  <c r="I232" i="3"/>
  <c r="H232" i="3"/>
  <c r="M232" i="3" s="1"/>
  <c r="G179" i="3"/>
  <c r="J179" i="3"/>
  <c r="I179" i="3"/>
  <c r="H179" i="3"/>
  <c r="M179" i="3" s="1"/>
  <c r="G85" i="3"/>
  <c r="H85" i="3"/>
  <c r="M85" i="3" s="1"/>
  <c r="J85" i="3"/>
  <c r="I85" i="3"/>
  <c r="G142" i="3"/>
  <c r="I142" i="3"/>
  <c r="H142" i="3"/>
  <c r="M142" i="3" s="1"/>
  <c r="J142" i="3"/>
  <c r="G78" i="3"/>
  <c r="H78" i="3"/>
  <c r="M78" i="3" s="1"/>
  <c r="J78" i="3"/>
  <c r="I78" i="3"/>
  <c r="G25" i="3"/>
  <c r="H25" i="3"/>
  <c r="M25" i="3" s="1"/>
  <c r="J25" i="3"/>
  <c r="I25" i="3"/>
  <c r="G66" i="3"/>
  <c r="I66" i="3"/>
  <c r="H66" i="3"/>
  <c r="M66" i="3" s="1"/>
  <c r="J66" i="3"/>
  <c r="G16" i="3"/>
  <c r="J16" i="3"/>
  <c r="I16" i="3"/>
  <c r="H16" i="3"/>
  <c r="M16" i="3" s="1"/>
  <c r="G907" i="3"/>
  <c r="J907" i="3"/>
  <c r="I907" i="3"/>
  <c r="H907" i="3"/>
  <c r="M907" i="3" s="1"/>
  <c r="G875" i="3"/>
  <c r="H875" i="3"/>
  <c r="M875" i="3" s="1"/>
  <c r="I875" i="3"/>
  <c r="J875" i="3"/>
  <c r="G843" i="3"/>
  <c r="J843" i="3"/>
  <c r="I843" i="3"/>
  <c r="H843" i="3"/>
  <c r="M843" i="3" s="1"/>
  <c r="G811" i="3"/>
  <c r="I811" i="3"/>
  <c r="J811" i="3"/>
  <c r="H811" i="3"/>
  <c r="M811" i="3" s="1"/>
  <c r="G779" i="3"/>
  <c r="H779" i="3"/>
  <c r="M779" i="3" s="1"/>
  <c r="J779" i="3"/>
  <c r="I779" i="3"/>
  <c r="G743" i="3"/>
  <c r="J743" i="3"/>
  <c r="I743" i="3"/>
  <c r="H743" i="3"/>
  <c r="M743" i="3" s="1"/>
  <c r="G679" i="3"/>
  <c r="J679" i="3"/>
  <c r="I679" i="3"/>
  <c r="H679" i="3"/>
  <c r="M679" i="3" s="1"/>
  <c r="G615" i="3"/>
  <c r="I615" i="3"/>
  <c r="H615" i="3"/>
  <c r="M615" i="3" s="1"/>
  <c r="J615" i="3"/>
  <c r="G550" i="3"/>
  <c r="I550" i="3"/>
  <c r="H550" i="3"/>
  <c r="M550" i="3" s="1"/>
  <c r="J550" i="3"/>
  <c r="G742" i="3"/>
  <c r="I742" i="3"/>
  <c r="H742" i="3"/>
  <c r="M742" i="3" s="1"/>
  <c r="J742" i="3"/>
  <c r="G678" i="3"/>
  <c r="H678" i="3"/>
  <c r="M678" i="3" s="1"/>
  <c r="I678" i="3"/>
  <c r="J678" i="3"/>
  <c r="G614" i="3"/>
  <c r="I614" i="3"/>
  <c r="H614" i="3"/>
  <c r="M614" i="3" s="1"/>
  <c r="J614" i="3"/>
  <c r="G549" i="3"/>
  <c r="I549" i="3"/>
  <c r="H549" i="3"/>
  <c r="M549" i="3" s="1"/>
  <c r="J549" i="3"/>
  <c r="G894" i="3"/>
  <c r="J894" i="3"/>
  <c r="I894" i="3"/>
  <c r="H894" i="3"/>
  <c r="M894" i="3" s="1"/>
  <c r="G862" i="3"/>
  <c r="J862" i="3"/>
  <c r="I862" i="3"/>
  <c r="H862" i="3"/>
  <c r="M862" i="3" s="1"/>
  <c r="G830" i="3"/>
  <c r="J830" i="3"/>
  <c r="I830" i="3"/>
  <c r="H830" i="3"/>
  <c r="M830" i="3" s="1"/>
  <c r="G798" i="3"/>
  <c r="J798" i="3"/>
  <c r="I798" i="3"/>
  <c r="H798" i="3"/>
  <c r="M798" i="3" s="1"/>
  <c r="G766" i="3"/>
  <c r="J766" i="3"/>
  <c r="I766" i="3"/>
  <c r="H766" i="3"/>
  <c r="M766" i="3" s="1"/>
  <c r="G715" i="3"/>
  <c r="I715" i="3"/>
  <c r="H715" i="3"/>
  <c r="M715" i="3" s="1"/>
  <c r="J715" i="3"/>
  <c r="G651" i="3"/>
  <c r="H651" i="3"/>
  <c r="M651" i="3" s="1"/>
  <c r="I651" i="3"/>
  <c r="J651" i="3"/>
  <c r="G587" i="3"/>
  <c r="I587" i="3"/>
  <c r="J587" i="3"/>
  <c r="H587" i="3"/>
  <c r="M587" i="3" s="1"/>
  <c r="G516" i="3"/>
  <c r="I516" i="3"/>
  <c r="J516" i="3"/>
  <c r="H516" i="3"/>
  <c r="M516" i="3" s="1"/>
  <c r="G456" i="3"/>
  <c r="J456" i="3"/>
  <c r="H456" i="3"/>
  <c r="M456" i="3" s="1"/>
  <c r="I456" i="3"/>
  <c r="G306" i="3"/>
  <c r="I306" i="3"/>
  <c r="H306" i="3"/>
  <c r="M306" i="3" s="1"/>
  <c r="J306" i="3"/>
  <c r="G488" i="3"/>
  <c r="J488" i="3"/>
  <c r="H488" i="3"/>
  <c r="M488" i="3" s="1"/>
  <c r="I488" i="3"/>
  <c r="G359" i="3"/>
  <c r="I359" i="3"/>
  <c r="H359" i="3"/>
  <c r="M359" i="3" s="1"/>
  <c r="J359" i="3"/>
  <c r="G474" i="3"/>
  <c r="J474" i="3"/>
  <c r="H474" i="3"/>
  <c r="M474" i="3" s="1"/>
  <c r="I474" i="3"/>
  <c r="G340" i="3"/>
  <c r="H340" i="3"/>
  <c r="M340" i="3" s="1"/>
  <c r="I340" i="3"/>
  <c r="J340" i="3"/>
  <c r="G503" i="3"/>
  <c r="J503" i="3"/>
  <c r="I503" i="3"/>
  <c r="H503" i="3"/>
  <c r="M503" i="3" s="1"/>
  <c r="G471" i="3"/>
  <c r="H471" i="3"/>
  <c r="M471" i="3" s="1"/>
  <c r="J471" i="3"/>
  <c r="I471" i="3"/>
  <c r="G422" i="3"/>
  <c r="I422" i="3"/>
  <c r="H422" i="3"/>
  <c r="M422" i="3" s="1"/>
  <c r="J422" i="3"/>
  <c r="G358" i="3"/>
  <c r="I358" i="3"/>
  <c r="H358" i="3"/>
  <c r="M358" i="3" s="1"/>
  <c r="J358" i="3"/>
  <c r="G347" i="3"/>
  <c r="J347" i="3"/>
  <c r="I347" i="3"/>
  <c r="H347" i="3"/>
  <c r="M347" i="3" s="1"/>
  <c r="G284" i="3"/>
  <c r="J284" i="3"/>
  <c r="I284" i="3"/>
  <c r="H284" i="3"/>
  <c r="M284" i="3" s="1"/>
  <c r="G100" i="3"/>
  <c r="I100" i="3"/>
  <c r="H100" i="3"/>
  <c r="M100" i="3" s="1"/>
  <c r="J100" i="3"/>
  <c r="G402" i="3"/>
  <c r="J402" i="3"/>
  <c r="H402" i="3"/>
  <c r="M402" i="3" s="1"/>
  <c r="I402" i="3"/>
  <c r="G338" i="3"/>
  <c r="I338" i="3"/>
  <c r="H338" i="3"/>
  <c r="M338" i="3" s="1"/>
  <c r="J338" i="3"/>
  <c r="G323" i="3"/>
  <c r="I323" i="3"/>
  <c r="H323" i="3"/>
  <c r="M323" i="3" s="1"/>
  <c r="J323" i="3"/>
  <c r="G291" i="3"/>
  <c r="I291" i="3"/>
  <c r="H291" i="3"/>
  <c r="M291" i="3" s="1"/>
  <c r="J291" i="3"/>
  <c r="G259" i="3"/>
  <c r="I259" i="3"/>
  <c r="H259" i="3"/>
  <c r="M259" i="3" s="1"/>
  <c r="J259" i="3"/>
  <c r="G227" i="3"/>
  <c r="I227" i="3"/>
  <c r="H227" i="3"/>
  <c r="M227" i="3" s="1"/>
  <c r="J227" i="3"/>
  <c r="G165" i="3"/>
  <c r="H165" i="3"/>
  <c r="M165" i="3" s="1"/>
  <c r="J165" i="3"/>
  <c r="I165" i="3"/>
  <c r="G61" i="3"/>
  <c r="I61" i="3"/>
  <c r="H61" i="3"/>
  <c r="M61" i="3" s="1"/>
  <c r="J61" i="3"/>
  <c r="G177" i="3"/>
  <c r="I177" i="3"/>
  <c r="H177" i="3"/>
  <c r="M177" i="3" s="1"/>
  <c r="J177" i="3"/>
  <c r="G81" i="3"/>
  <c r="I81" i="3"/>
  <c r="H81" i="3"/>
  <c r="M81" i="3" s="1"/>
  <c r="J81" i="3"/>
  <c r="G230" i="3"/>
  <c r="I230" i="3"/>
  <c r="H230" i="3"/>
  <c r="M230" i="3" s="1"/>
  <c r="J230" i="3"/>
  <c r="G174" i="3"/>
  <c r="H174" i="3"/>
  <c r="M174" i="3" s="1"/>
  <c r="J174" i="3"/>
  <c r="I174" i="3"/>
  <c r="G80" i="3"/>
  <c r="I80" i="3"/>
  <c r="H80" i="3"/>
  <c r="M80" i="3" s="1"/>
  <c r="J80" i="3"/>
  <c r="G139" i="3"/>
  <c r="H139" i="3"/>
  <c r="M139" i="3" s="1"/>
  <c r="J139" i="3"/>
  <c r="I139" i="3"/>
  <c r="G75" i="3"/>
  <c r="H75" i="3"/>
  <c r="M75" i="3" s="1"/>
  <c r="J75" i="3"/>
  <c r="I75" i="3"/>
  <c r="G21" i="3"/>
  <c r="I21" i="3"/>
  <c r="J21" i="3"/>
  <c r="H21" i="3"/>
  <c r="M21" i="3" s="1"/>
  <c r="G63" i="3"/>
  <c r="J63" i="3"/>
  <c r="I63" i="3"/>
  <c r="H63" i="3"/>
  <c r="M63" i="3" s="1"/>
  <c r="G14" i="3"/>
  <c r="I14" i="3"/>
  <c r="J14" i="3"/>
  <c r="H14" i="3"/>
  <c r="M14" i="3" s="1"/>
  <c r="G557" i="3"/>
  <c r="I557" i="3"/>
  <c r="H557" i="3"/>
  <c r="M557" i="3" s="1"/>
  <c r="J557" i="3"/>
  <c r="G809" i="3"/>
  <c r="H809" i="3"/>
  <c r="M809" i="3" s="1"/>
  <c r="J809" i="3"/>
  <c r="I809" i="3"/>
  <c r="G484" i="3"/>
  <c r="I484" i="3"/>
  <c r="H484" i="3"/>
  <c r="M484" i="3" s="1"/>
  <c r="J484" i="3"/>
  <c r="G76" i="3"/>
  <c r="H76" i="3"/>
  <c r="M76" i="3" s="1"/>
  <c r="J76" i="3"/>
  <c r="I76" i="3"/>
  <c r="G968" i="3"/>
  <c r="I968" i="3"/>
  <c r="J968" i="3"/>
  <c r="H968" i="3"/>
  <c r="M968" i="3" s="1"/>
  <c r="G839" i="3"/>
  <c r="I839" i="3"/>
  <c r="H839" i="3"/>
  <c r="M839" i="3" s="1"/>
  <c r="J839" i="3"/>
  <c r="G415" i="3"/>
  <c r="J415" i="3"/>
  <c r="I415" i="3"/>
  <c r="H415" i="3"/>
  <c r="M415" i="3" s="1"/>
  <c r="G326" i="3"/>
  <c r="I326" i="3"/>
  <c r="H326" i="3"/>
  <c r="M326" i="3" s="1"/>
  <c r="J326" i="3"/>
  <c r="G286" i="3"/>
  <c r="J286" i="3"/>
  <c r="I286" i="3"/>
  <c r="H286" i="3"/>
  <c r="M286" i="3" s="1"/>
  <c r="G461" i="3"/>
  <c r="H461" i="3"/>
  <c r="M461" i="3" s="1"/>
  <c r="J461" i="3"/>
  <c r="I461" i="3"/>
  <c r="G264" i="3"/>
  <c r="I264" i="3"/>
  <c r="J264" i="3"/>
  <c r="H264" i="3"/>
  <c r="M264" i="3" s="1"/>
  <c r="G313" i="3"/>
  <c r="H313" i="3"/>
  <c r="M313" i="3" s="1"/>
  <c r="I313" i="3"/>
  <c r="J313" i="3"/>
  <c r="G137" i="3"/>
  <c r="J137" i="3"/>
  <c r="I137" i="3"/>
  <c r="H137" i="3"/>
  <c r="M137" i="3" s="1"/>
  <c r="G219" i="3"/>
  <c r="J219" i="3"/>
  <c r="I219" i="3"/>
  <c r="H219" i="3"/>
  <c r="M219" i="3" s="1"/>
  <c r="G54" i="3"/>
  <c r="I54" i="3"/>
  <c r="H54" i="3"/>
  <c r="M54" i="3" s="1"/>
  <c r="J54" i="3"/>
  <c r="G980" i="3"/>
  <c r="J980" i="3"/>
  <c r="I980" i="3"/>
  <c r="H980" i="3"/>
  <c r="M980" i="3" s="1"/>
  <c r="G492" i="3"/>
  <c r="J492" i="3"/>
  <c r="I492" i="3"/>
  <c r="H492" i="3"/>
  <c r="M492" i="3" s="1"/>
  <c r="G970" i="3"/>
  <c r="I970" i="3"/>
  <c r="H970" i="3"/>
  <c r="M970" i="3" s="1"/>
  <c r="J970" i="3"/>
  <c r="G933" i="3"/>
  <c r="I933" i="3"/>
  <c r="H933" i="3"/>
  <c r="M933" i="3" s="1"/>
  <c r="J933" i="3"/>
  <c r="G708" i="3"/>
  <c r="H708" i="3"/>
  <c r="M708" i="3" s="1"/>
  <c r="J708" i="3"/>
  <c r="I708" i="3"/>
  <c r="G892" i="3"/>
  <c r="I892" i="3"/>
  <c r="H892" i="3"/>
  <c r="M892" i="3" s="1"/>
  <c r="J892" i="3"/>
  <c r="G343" i="3"/>
  <c r="J343" i="3"/>
  <c r="I343" i="3"/>
  <c r="H343" i="3"/>
  <c r="M343" i="3" s="1"/>
  <c r="G321" i="3"/>
  <c r="J321" i="3"/>
  <c r="I321" i="3"/>
  <c r="H321" i="3"/>
  <c r="M321" i="3" s="1"/>
  <c r="G134" i="3"/>
  <c r="H134" i="3"/>
  <c r="M134" i="3" s="1"/>
  <c r="I134" i="3"/>
  <c r="J134" i="3"/>
  <c r="G950" i="3"/>
  <c r="J950" i="3"/>
  <c r="I950" i="3"/>
  <c r="H950" i="3"/>
  <c r="M950" i="3" s="1"/>
  <c r="G738" i="3"/>
  <c r="H738" i="3"/>
  <c r="M738" i="3" s="1"/>
  <c r="J738" i="3"/>
  <c r="I738" i="3"/>
  <c r="G746" i="3"/>
  <c r="J746" i="3"/>
  <c r="I746" i="3"/>
  <c r="H746" i="3"/>
  <c r="M746" i="3" s="1"/>
  <c r="G871" i="3"/>
  <c r="J871" i="3"/>
  <c r="I871" i="3"/>
  <c r="H871" i="3"/>
  <c r="M871" i="3" s="1"/>
  <c r="G639" i="3"/>
  <c r="H639" i="3"/>
  <c r="M639" i="3" s="1"/>
  <c r="J639" i="3"/>
  <c r="I639" i="3"/>
  <c r="G884" i="3"/>
  <c r="J884" i="3"/>
  <c r="I884" i="3"/>
  <c r="H884" i="3"/>
  <c r="M884" i="3" s="1"/>
  <c r="G722" i="3"/>
  <c r="J722" i="3"/>
  <c r="I722" i="3"/>
  <c r="H722" i="3"/>
  <c r="M722" i="3" s="1"/>
  <c r="G961" i="3"/>
  <c r="J961" i="3"/>
  <c r="I961" i="3"/>
  <c r="H961" i="3"/>
  <c r="M961" i="3" s="1"/>
  <c r="G741" i="3"/>
  <c r="I741" i="3"/>
  <c r="H741" i="3"/>
  <c r="M741" i="3" s="1"/>
  <c r="J741" i="3"/>
  <c r="G991" i="3"/>
  <c r="H991" i="3"/>
  <c r="M991" i="3" s="1"/>
  <c r="J991" i="3"/>
  <c r="I991" i="3"/>
  <c r="G963" i="3"/>
  <c r="J963" i="3"/>
  <c r="I963" i="3"/>
  <c r="H963" i="3"/>
  <c r="M963" i="3" s="1"/>
  <c r="G523" i="3"/>
  <c r="H523" i="3"/>
  <c r="M523" i="3" s="1"/>
  <c r="I523" i="3"/>
  <c r="J523" i="3"/>
  <c r="G978" i="3"/>
  <c r="J978" i="3"/>
  <c r="I978" i="3"/>
  <c r="H978" i="3"/>
  <c r="M978" i="3" s="1"/>
  <c r="G912" i="3"/>
  <c r="J912" i="3"/>
  <c r="I912" i="3"/>
  <c r="H912" i="3"/>
  <c r="M912" i="3" s="1"/>
  <c r="G539" i="3"/>
  <c r="H539" i="3"/>
  <c r="M539" i="3" s="1"/>
  <c r="J539" i="3"/>
  <c r="I539" i="3"/>
  <c r="G929" i="3"/>
  <c r="I929" i="3"/>
  <c r="H929" i="3"/>
  <c r="M929" i="3" s="1"/>
  <c r="J929" i="3"/>
  <c r="G865" i="3"/>
  <c r="I865" i="3"/>
  <c r="H865" i="3"/>
  <c r="M865" i="3" s="1"/>
  <c r="J865" i="3"/>
  <c r="G801" i="3"/>
  <c r="I801" i="3"/>
  <c r="H801" i="3"/>
  <c r="M801" i="3" s="1"/>
  <c r="J801" i="3"/>
  <c r="G724" i="3"/>
  <c r="J724" i="3"/>
  <c r="I724" i="3"/>
  <c r="H724" i="3"/>
  <c r="M724" i="3" s="1"/>
  <c r="G596" i="3"/>
  <c r="J596" i="3"/>
  <c r="I596" i="3"/>
  <c r="H596" i="3"/>
  <c r="M596" i="3" s="1"/>
  <c r="G721" i="3"/>
  <c r="H721" i="3"/>
  <c r="M721" i="3" s="1"/>
  <c r="J721" i="3"/>
  <c r="I721" i="3"/>
  <c r="G431" i="3"/>
  <c r="I431" i="3"/>
  <c r="H431" i="3"/>
  <c r="M431" i="3" s="1"/>
  <c r="J431" i="3"/>
  <c r="G780" i="3"/>
  <c r="J780" i="3"/>
  <c r="I780" i="3"/>
  <c r="H780" i="3"/>
  <c r="M780" i="3" s="1"/>
  <c r="G552" i="3"/>
  <c r="J552" i="3"/>
  <c r="H552" i="3"/>
  <c r="M552" i="3" s="1"/>
  <c r="I552" i="3"/>
  <c r="G412" i="3"/>
  <c r="I412" i="3"/>
  <c r="J412" i="3"/>
  <c r="H412" i="3"/>
  <c r="M412" i="3" s="1"/>
  <c r="G485" i="3"/>
  <c r="J485" i="3"/>
  <c r="I485" i="3"/>
  <c r="H485" i="3"/>
  <c r="M485" i="3" s="1"/>
  <c r="G312" i="3"/>
  <c r="J312" i="3"/>
  <c r="I312" i="3"/>
  <c r="H312" i="3"/>
  <c r="M312" i="3" s="1"/>
  <c r="G127" i="3"/>
  <c r="J127" i="3"/>
  <c r="I127" i="3"/>
  <c r="H127" i="3"/>
  <c r="M127" i="3" s="1"/>
  <c r="G194" i="3"/>
  <c r="H194" i="3"/>
  <c r="M194" i="3" s="1"/>
  <c r="J194" i="3"/>
  <c r="I194" i="3"/>
  <c r="G244" i="3"/>
  <c r="I244" i="3"/>
  <c r="J244" i="3"/>
  <c r="H244" i="3"/>
  <c r="M244" i="3" s="1"/>
  <c r="G102" i="3"/>
  <c r="I102" i="3"/>
  <c r="H102" i="3"/>
  <c r="M102" i="3" s="1"/>
  <c r="J102" i="3"/>
  <c r="G637" i="3"/>
  <c r="J637" i="3"/>
  <c r="I637" i="3"/>
  <c r="H637" i="3"/>
  <c r="M637" i="3" s="1"/>
  <c r="G964" i="3"/>
  <c r="H964" i="3"/>
  <c r="M964" i="3" s="1"/>
  <c r="J964" i="3"/>
  <c r="I964" i="3"/>
  <c r="G986" i="3"/>
  <c r="J986" i="3"/>
  <c r="I986" i="3"/>
  <c r="H986" i="3"/>
  <c r="M986" i="3" s="1"/>
  <c r="G921" i="3"/>
  <c r="I921" i="3"/>
  <c r="H921" i="3"/>
  <c r="M921" i="3" s="1"/>
  <c r="J921" i="3"/>
  <c r="G740" i="3"/>
  <c r="H740" i="3"/>
  <c r="M740" i="3" s="1"/>
  <c r="J740" i="3"/>
  <c r="I740" i="3"/>
  <c r="G545" i="3"/>
  <c r="H545" i="3"/>
  <c r="M545" i="3" s="1"/>
  <c r="J545" i="3"/>
  <c r="I545" i="3"/>
  <c r="G290" i="3"/>
  <c r="H290" i="3"/>
  <c r="M290" i="3" s="1"/>
  <c r="I290" i="3"/>
  <c r="J290" i="3"/>
  <c r="G333" i="3"/>
  <c r="H333" i="3"/>
  <c r="M333" i="3" s="1"/>
  <c r="J333" i="3"/>
  <c r="I333" i="3"/>
  <c r="G70" i="3"/>
  <c r="I70" i="3"/>
  <c r="H70" i="3"/>
  <c r="M70" i="3" s="1"/>
  <c r="J70" i="3"/>
  <c r="G918" i="3"/>
  <c r="I918" i="3"/>
  <c r="J918" i="3"/>
  <c r="H918" i="3"/>
  <c r="M918" i="3" s="1"/>
  <c r="G674" i="3"/>
  <c r="I674" i="3"/>
  <c r="H674" i="3"/>
  <c r="M674" i="3" s="1"/>
  <c r="J674" i="3"/>
  <c r="G682" i="3"/>
  <c r="I682" i="3"/>
  <c r="H682" i="3"/>
  <c r="M682" i="3" s="1"/>
  <c r="J682" i="3"/>
  <c r="G855" i="3"/>
  <c r="H855" i="3"/>
  <c r="M855" i="3" s="1"/>
  <c r="J855" i="3"/>
  <c r="I855" i="3"/>
  <c r="G575" i="3"/>
  <c r="I575" i="3"/>
  <c r="H575" i="3"/>
  <c r="M575" i="3" s="1"/>
  <c r="J575" i="3"/>
  <c r="G562" i="3"/>
  <c r="H562" i="3"/>
  <c r="M562" i="3" s="1"/>
  <c r="J562" i="3"/>
  <c r="I562" i="3"/>
  <c r="G942" i="3"/>
  <c r="H942" i="3"/>
  <c r="M942" i="3" s="1"/>
  <c r="J942" i="3"/>
  <c r="I942" i="3"/>
  <c r="G666" i="3"/>
  <c r="J666" i="3"/>
  <c r="H666" i="3"/>
  <c r="M666" i="3" s="1"/>
  <c r="I666" i="3"/>
  <c r="G626" i="3"/>
  <c r="H626" i="3"/>
  <c r="M626" i="3" s="1"/>
  <c r="J626" i="3"/>
  <c r="I626" i="3"/>
  <c r="G706" i="3"/>
  <c r="H706" i="3"/>
  <c r="M706" i="3" s="1"/>
  <c r="J706" i="3"/>
  <c r="I706" i="3"/>
  <c r="G975" i="3"/>
  <c r="I975" i="3"/>
  <c r="H975" i="3"/>
  <c r="M975" i="3" s="1"/>
  <c r="J975" i="3"/>
  <c r="G956" i="3"/>
  <c r="I956" i="3"/>
  <c r="H956" i="3"/>
  <c r="M956" i="3" s="1"/>
  <c r="J956" i="3"/>
  <c r="G714" i="3"/>
  <c r="I714" i="3"/>
  <c r="J714" i="3"/>
  <c r="H714" i="3"/>
  <c r="M714" i="3" s="1"/>
  <c r="G951" i="3"/>
  <c r="H951" i="3"/>
  <c r="M951" i="3" s="1"/>
  <c r="I951" i="3"/>
  <c r="J951" i="3"/>
  <c r="G911" i="3"/>
  <c r="I911" i="3"/>
  <c r="H911" i="3"/>
  <c r="M911" i="3" s="1"/>
  <c r="J911" i="3"/>
  <c r="G847" i="3"/>
  <c r="I847" i="3"/>
  <c r="H847" i="3"/>
  <c r="M847" i="3" s="1"/>
  <c r="J847" i="3"/>
  <c r="G783" i="3"/>
  <c r="I783" i="3"/>
  <c r="H783" i="3"/>
  <c r="M783" i="3" s="1"/>
  <c r="J783" i="3"/>
  <c r="G687" i="3"/>
  <c r="J687" i="3"/>
  <c r="H687" i="3"/>
  <c r="M687" i="3" s="1"/>
  <c r="I687" i="3"/>
  <c r="G559" i="3"/>
  <c r="I559" i="3"/>
  <c r="H559" i="3"/>
  <c r="M559" i="3" s="1"/>
  <c r="J559" i="3"/>
  <c r="G686" i="3"/>
  <c r="I686" i="3"/>
  <c r="H686" i="3"/>
  <c r="M686" i="3" s="1"/>
  <c r="J686" i="3"/>
  <c r="G868" i="3"/>
  <c r="H868" i="3"/>
  <c r="M868" i="3" s="1"/>
  <c r="J868" i="3"/>
  <c r="I868" i="3"/>
  <c r="G728" i="3"/>
  <c r="I728" i="3"/>
  <c r="H728" i="3"/>
  <c r="M728" i="3" s="1"/>
  <c r="J728" i="3"/>
  <c r="G478" i="3"/>
  <c r="J478" i="3"/>
  <c r="I478" i="3"/>
  <c r="H478" i="3"/>
  <c r="M478" i="3" s="1"/>
  <c r="G498" i="3"/>
  <c r="H498" i="3"/>
  <c r="M498" i="3" s="1"/>
  <c r="J498" i="3"/>
  <c r="I498" i="3"/>
  <c r="G433" i="3"/>
  <c r="H433" i="3"/>
  <c r="M433" i="3" s="1"/>
  <c r="J433" i="3"/>
  <c r="I433" i="3"/>
  <c r="G173" i="3"/>
  <c r="I173" i="3"/>
  <c r="H173" i="3"/>
  <c r="M173" i="3" s="1"/>
  <c r="J173" i="3"/>
  <c r="G297" i="3"/>
  <c r="J297" i="3"/>
  <c r="I297" i="3"/>
  <c r="H297" i="3"/>
  <c r="M297" i="3" s="1"/>
  <c r="G88" i="3"/>
  <c r="I88" i="3"/>
  <c r="H88" i="3"/>
  <c r="M88" i="3" s="1"/>
  <c r="J88" i="3"/>
  <c r="G187" i="3"/>
  <c r="J187" i="3"/>
  <c r="I187" i="3"/>
  <c r="H187" i="3"/>
  <c r="M187" i="3" s="1"/>
  <c r="G32" i="3"/>
  <c r="H32" i="3"/>
  <c r="M32" i="3" s="1"/>
  <c r="I32" i="3"/>
  <c r="J32" i="3"/>
  <c r="G654" i="3"/>
  <c r="H654" i="3"/>
  <c r="M654" i="3" s="1"/>
  <c r="J654" i="3"/>
  <c r="I654" i="3"/>
  <c r="G590" i="3"/>
  <c r="H590" i="3"/>
  <c r="M590" i="3" s="1"/>
  <c r="J590" i="3"/>
  <c r="I590" i="3"/>
  <c r="G508" i="3"/>
  <c r="H508" i="3"/>
  <c r="M508" i="3" s="1"/>
  <c r="J508" i="3"/>
  <c r="I508" i="3"/>
  <c r="G882" i="3"/>
  <c r="J882" i="3"/>
  <c r="I882" i="3"/>
  <c r="H882" i="3"/>
  <c r="M882" i="3" s="1"/>
  <c r="G850" i="3"/>
  <c r="I850" i="3"/>
  <c r="H850" i="3"/>
  <c r="M850" i="3" s="1"/>
  <c r="J850" i="3"/>
  <c r="G818" i="3"/>
  <c r="I818" i="3"/>
  <c r="J818" i="3"/>
  <c r="H818" i="3"/>
  <c r="M818" i="3" s="1"/>
  <c r="G786" i="3"/>
  <c r="J786" i="3"/>
  <c r="H786" i="3"/>
  <c r="M786" i="3" s="1"/>
  <c r="I786" i="3"/>
  <c r="G754" i="3"/>
  <c r="J754" i="3"/>
  <c r="H754" i="3"/>
  <c r="M754" i="3" s="1"/>
  <c r="I754" i="3"/>
  <c r="G691" i="3"/>
  <c r="J691" i="3"/>
  <c r="I691" i="3"/>
  <c r="H691" i="3"/>
  <c r="M691" i="3" s="1"/>
  <c r="G627" i="3"/>
  <c r="H627" i="3"/>
  <c r="M627" i="3" s="1"/>
  <c r="I627" i="3"/>
  <c r="J627" i="3"/>
  <c r="G563" i="3"/>
  <c r="H563" i="3"/>
  <c r="M563" i="3" s="1"/>
  <c r="I563" i="3"/>
  <c r="J563" i="3"/>
  <c r="G262" i="3"/>
  <c r="H262" i="3"/>
  <c r="M262" i="3" s="1"/>
  <c r="J262" i="3"/>
  <c r="I262" i="3"/>
  <c r="G408" i="3"/>
  <c r="H408" i="3"/>
  <c r="M408" i="3" s="1"/>
  <c r="J408" i="3"/>
  <c r="I408" i="3"/>
  <c r="G89" i="3"/>
  <c r="H89" i="3"/>
  <c r="M89" i="3" s="1"/>
  <c r="J89" i="3"/>
  <c r="I89" i="3"/>
  <c r="G439" i="3"/>
  <c r="J439" i="3"/>
  <c r="I439" i="3"/>
  <c r="H439" i="3"/>
  <c r="M439" i="3" s="1"/>
  <c r="G270" i="3"/>
  <c r="I270" i="3"/>
  <c r="H270" i="3"/>
  <c r="M270" i="3" s="1"/>
  <c r="J270" i="3"/>
  <c r="G427" i="3"/>
  <c r="H427" i="3"/>
  <c r="M427" i="3" s="1"/>
  <c r="I427" i="3"/>
  <c r="J427" i="3"/>
  <c r="G221" i="3"/>
  <c r="I221" i="3"/>
  <c r="J221" i="3"/>
  <c r="H221" i="3"/>
  <c r="M221" i="3" s="1"/>
  <c r="G491" i="3"/>
  <c r="J491" i="3"/>
  <c r="H491" i="3"/>
  <c r="M491" i="3" s="1"/>
  <c r="I491" i="3"/>
  <c r="G459" i="3"/>
  <c r="I459" i="3"/>
  <c r="J459" i="3"/>
  <c r="H459" i="3"/>
  <c r="M459" i="3" s="1"/>
  <c r="G398" i="3"/>
  <c r="H398" i="3"/>
  <c r="M398" i="3" s="1"/>
  <c r="J398" i="3"/>
  <c r="I398" i="3"/>
  <c r="G334" i="3"/>
  <c r="J334" i="3"/>
  <c r="H334" i="3"/>
  <c r="M334" i="3" s="1"/>
  <c r="I334" i="3"/>
  <c r="G324" i="3"/>
  <c r="J324" i="3"/>
  <c r="I324" i="3"/>
  <c r="H324" i="3"/>
  <c r="M324" i="3" s="1"/>
  <c r="G260" i="3"/>
  <c r="I260" i="3"/>
  <c r="H260" i="3"/>
  <c r="M260" i="3" s="1"/>
  <c r="J260" i="3"/>
  <c r="G442" i="3"/>
  <c r="J442" i="3"/>
  <c r="H442" i="3"/>
  <c r="M442" i="3" s="1"/>
  <c r="I442" i="3"/>
  <c r="G378" i="3"/>
  <c r="J378" i="3"/>
  <c r="H378" i="3"/>
  <c r="M378" i="3" s="1"/>
  <c r="I378" i="3"/>
  <c r="G170" i="3"/>
  <c r="I170" i="3"/>
  <c r="H170" i="3"/>
  <c r="M170" i="3" s="1"/>
  <c r="J170" i="3"/>
  <c r="G311" i="3"/>
  <c r="J311" i="3"/>
  <c r="I311" i="3"/>
  <c r="H311" i="3"/>
  <c r="M311" i="3" s="1"/>
  <c r="G279" i="3"/>
  <c r="J279" i="3"/>
  <c r="I279" i="3"/>
  <c r="H279" i="3"/>
  <c r="M279" i="3" s="1"/>
  <c r="G247" i="3"/>
  <c r="J247" i="3"/>
  <c r="I247" i="3"/>
  <c r="H247" i="3"/>
  <c r="M247" i="3" s="1"/>
  <c r="G207" i="3"/>
  <c r="H207" i="3"/>
  <c r="M207" i="3" s="1"/>
  <c r="J207" i="3"/>
  <c r="I207" i="3"/>
  <c r="G133" i="3"/>
  <c r="J133" i="3"/>
  <c r="I133" i="3"/>
  <c r="H133" i="3"/>
  <c r="M133" i="3" s="1"/>
  <c r="G217" i="3"/>
  <c r="H217" i="3"/>
  <c r="M217" i="3" s="1"/>
  <c r="J217" i="3"/>
  <c r="I217" i="3"/>
  <c r="G143" i="3"/>
  <c r="H143" i="3"/>
  <c r="M143" i="3" s="1"/>
  <c r="J143" i="3"/>
  <c r="I143" i="3"/>
  <c r="G27" i="3"/>
  <c r="J27" i="3"/>
  <c r="I27" i="3"/>
  <c r="H27" i="3"/>
  <c r="M27" i="3" s="1"/>
  <c r="G214" i="3"/>
  <c r="I214" i="3"/>
  <c r="H214" i="3"/>
  <c r="M214" i="3" s="1"/>
  <c r="J214" i="3"/>
  <c r="G146" i="3"/>
  <c r="J146" i="3"/>
  <c r="I146" i="3"/>
  <c r="H146" i="3"/>
  <c r="M146" i="3" s="1"/>
  <c r="G23" i="3"/>
  <c r="J23" i="3"/>
  <c r="I23" i="3"/>
  <c r="H23" i="3"/>
  <c r="M23" i="3" s="1"/>
  <c r="G115" i="3"/>
  <c r="J115" i="3"/>
  <c r="I115" i="3"/>
  <c r="H115" i="3"/>
  <c r="M115" i="3" s="1"/>
  <c r="G51" i="3"/>
  <c r="J51" i="3"/>
  <c r="I51" i="3"/>
  <c r="H51" i="3"/>
  <c r="M51" i="3" s="1"/>
  <c r="G103" i="3"/>
  <c r="I103" i="3"/>
  <c r="H103" i="3"/>
  <c r="M103" i="3" s="1"/>
  <c r="J103" i="3"/>
  <c r="G39" i="3"/>
  <c r="I39" i="3"/>
  <c r="H39" i="3"/>
  <c r="M39" i="3" s="1"/>
  <c r="J39" i="3"/>
  <c r="G3" i="3"/>
  <c r="I3" i="3"/>
  <c r="H3" i="3"/>
  <c r="M3" i="3" s="1"/>
  <c r="J3" i="3"/>
  <c r="G901" i="3"/>
  <c r="H901" i="3"/>
  <c r="M901" i="3" s="1"/>
  <c r="J901" i="3"/>
  <c r="I901" i="3"/>
  <c r="G869" i="3"/>
  <c r="I869" i="3"/>
  <c r="H869" i="3"/>
  <c r="M869" i="3" s="1"/>
  <c r="J869" i="3"/>
  <c r="G837" i="3"/>
  <c r="H837" i="3"/>
  <c r="M837" i="3" s="1"/>
  <c r="J837" i="3"/>
  <c r="I837" i="3"/>
  <c r="G805" i="3"/>
  <c r="I805" i="3"/>
  <c r="H805" i="3"/>
  <c r="M805" i="3" s="1"/>
  <c r="J805" i="3"/>
  <c r="G773" i="3"/>
  <c r="H773" i="3"/>
  <c r="M773" i="3" s="1"/>
  <c r="J773" i="3"/>
  <c r="I773" i="3"/>
  <c r="G732" i="3"/>
  <c r="I732" i="3"/>
  <c r="H732" i="3"/>
  <c r="M732" i="3" s="1"/>
  <c r="J732" i="3"/>
  <c r="G668" i="3"/>
  <c r="I668" i="3"/>
  <c r="H668" i="3"/>
  <c r="M668" i="3" s="1"/>
  <c r="J668" i="3"/>
  <c r="G604" i="3"/>
  <c r="I604" i="3"/>
  <c r="H604" i="3"/>
  <c r="M604" i="3" s="1"/>
  <c r="J604" i="3"/>
  <c r="G538" i="3"/>
  <c r="J538" i="3"/>
  <c r="H538" i="3"/>
  <c r="M538" i="3" s="1"/>
  <c r="I538" i="3"/>
  <c r="G729" i="3"/>
  <c r="J729" i="3"/>
  <c r="I729" i="3"/>
  <c r="H729" i="3"/>
  <c r="M729" i="3" s="1"/>
  <c r="G665" i="3"/>
  <c r="I665" i="3"/>
  <c r="H665" i="3"/>
  <c r="M665" i="3" s="1"/>
  <c r="J665" i="3"/>
  <c r="G601" i="3"/>
  <c r="J601" i="3"/>
  <c r="I601" i="3"/>
  <c r="H601" i="3"/>
  <c r="M601" i="3" s="1"/>
  <c r="G537" i="3"/>
  <c r="J537" i="3"/>
  <c r="I537" i="3"/>
  <c r="H537" i="3"/>
  <c r="M537" i="3" s="1"/>
  <c r="G888" i="3"/>
  <c r="I888" i="3"/>
  <c r="H888" i="3"/>
  <c r="M888" i="3" s="1"/>
  <c r="J888" i="3"/>
  <c r="G856" i="3"/>
  <c r="I856" i="3"/>
  <c r="H856" i="3"/>
  <c r="M856" i="3" s="1"/>
  <c r="J856" i="3"/>
  <c r="G824" i="3"/>
  <c r="I824" i="3"/>
  <c r="H824" i="3"/>
  <c r="M824" i="3" s="1"/>
  <c r="J824" i="3"/>
  <c r="G792" i="3"/>
  <c r="I792" i="3"/>
  <c r="H792" i="3"/>
  <c r="M792" i="3" s="1"/>
  <c r="J792" i="3"/>
  <c r="G760" i="3"/>
  <c r="I760" i="3"/>
  <c r="H760" i="3"/>
  <c r="M760" i="3" s="1"/>
  <c r="J760" i="3"/>
  <c r="G704" i="3"/>
  <c r="H704" i="3"/>
  <c r="M704" i="3" s="1"/>
  <c r="J704" i="3"/>
  <c r="I704" i="3"/>
  <c r="G640" i="3"/>
  <c r="I640" i="3"/>
  <c r="H640" i="3"/>
  <c r="M640" i="3" s="1"/>
  <c r="J640" i="3"/>
  <c r="G576" i="3"/>
  <c r="I576" i="3"/>
  <c r="J576" i="3"/>
  <c r="H576" i="3"/>
  <c r="M576" i="3" s="1"/>
  <c r="G404" i="3"/>
  <c r="H404" i="3"/>
  <c r="M404" i="3" s="1"/>
  <c r="J404" i="3"/>
  <c r="I404" i="3"/>
  <c r="G435" i="3"/>
  <c r="I435" i="3"/>
  <c r="J435" i="3"/>
  <c r="H435" i="3"/>
  <c r="M435" i="3" s="1"/>
  <c r="G258" i="3"/>
  <c r="J258" i="3"/>
  <c r="I258" i="3"/>
  <c r="H258" i="3"/>
  <c r="M258" i="3" s="1"/>
  <c r="G464" i="3"/>
  <c r="I464" i="3"/>
  <c r="J464" i="3"/>
  <c r="H464" i="3"/>
  <c r="M464" i="3" s="1"/>
  <c r="G318" i="3"/>
  <c r="H318" i="3"/>
  <c r="M318" i="3" s="1"/>
  <c r="I318" i="3"/>
  <c r="J318" i="3"/>
  <c r="G448" i="3"/>
  <c r="J448" i="3"/>
  <c r="I448" i="3"/>
  <c r="H448" i="3"/>
  <c r="M448" i="3" s="1"/>
  <c r="G282" i="3"/>
  <c r="I282" i="3"/>
  <c r="H282" i="3"/>
  <c r="M282" i="3" s="1"/>
  <c r="J282" i="3"/>
  <c r="G497" i="3"/>
  <c r="I497" i="3"/>
  <c r="H497" i="3"/>
  <c r="M497" i="3" s="1"/>
  <c r="J497" i="3"/>
  <c r="G465" i="3"/>
  <c r="J465" i="3"/>
  <c r="I465" i="3"/>
  <c r="H465" i="3"/>
  <c r="M465" i="3" s="1"/>
  <c r="G409" i="3"/>
  <c r="H409" i="3"/>
  <c r="M409" i="3" s="1"/>
  <c r="J409" i="3"/>
  <c r="I409" i="3"/>
  <c r="G345" i="3"/>
  <c r="H345" i="3"/>
  <c r="M345" i="3" s="1"/>
  <c r="J345" i="3"/>
  <c r="I345" i="3"/>
  <c r="G336" i="3"/>
  <c r="I336" i="3"/>
  <c r="H336" i="3"/>
  <c r="M336" i="3" s="1"/>
  <c r="J336" i="3"/>
  <c r="G272" i="3"/>
  <c r="J272" i="3"/>
  <c r="I272" i="3"/>
  <c r="H272" i="3"/>
  <c r="M272" i="3" s="1"/>
  <c r="G453" i="3"/>
  <c r="H453" i="3"/>
  <c r="M453" i="3" s="1"/>
  <c r="J453" i="3"/>
  <c r="I453" i="3"/>
  <c r="G389" i="3"/>
  <c r="H389" i="3"/>
  <c r="M389" i="3" s="1"/>
  <c r="J389" i="3"/>
  <c r="I389" i="3"/>
  <c r="G213" i="3"/>
  <c r="J213" i="3"/>
  <c r="I213" i="3"/>
  <c r="H213" i="3"/>
  <c r="M213" i="3" s="1"/>
  <c r="G317" i="3"/>
  <c r="I317" i="3"/>
  <c r="J317" i="3"/>
  <c r="H317" i="3"/>
  <c r="M317" i="3" s="1"/>
  <c r="G285" i="3"/>
  <c r="J285" i="3"/>
  <c r="H285" i="3"/>
  <c r="M285" i="3" s="1"/>
  <c r="I285" i="3"/>
  <c r="G253" i="3"/>
  <c r="J253" i="3"/>
  <c r="I253" i="3"/>
  <c r="H253" i="3"/>
  <c r="M253" i="3" s="1"/>
  <c r="G218" i="3"/>
  <c r="J218" i="3"/>
  <c r="I218" i="3"/>
  <c r="H218" i="3"/>
  <c r="M218" i="3" s="1"/>
  <c r="G148" i="3"/>
  <c r="H148" i="3"/>
  <c r="M148" i="3" s="1"/>
  <c r="J148" i="3"/>
  <c r="I148" i="3"/>
  <c r="G40" i="3"/>
  <c r="I40" i="3"/>
  <c r="H40" i="3"/>
  <c r="M40" i="3" s="1"/>
  <c r="J40" i="3"/>
  <c r="G161" i="3"/>
  <c r="J161" i="3"/>
  <c r="I161" i="3"/>
  <c r="H161" i="3"/>
  <c r="M161" i="3" s="1"/>
  <c r="G60" i="3"/>
  <c r="J60" i="3"/>
  <c r="I60" i="3"/>
  <c r="H60" i="3"/>
  <c r="M60" i="3" s="1"/>
  <c r="G224" i="3"/>
  <c r="H224" i="3"/>
  <c r="M224" i="3" s="1"/>
  <c r="J224" i="3"/>
  <c r="I224" i="3"/>
  <c r="G160" i="3"/>
  <c r="I160" i="3"/>
  <c r="H160" i="3"/>
  <c r="M160" i="3" s="1"/>
  <c r="J160" i="3"/>
  <c r="G53" i="3"/>
  <c r="I53" i="3"/>
  <c r="J53" i="3"/>
  <c r="H53" i="3"/>
  <c r="M53" i="3" s="1"/>
  <c r="G126" i="3"/>
  <c r="J126" i="3"/>
  <c r="I126" i="3"/>
  <c r="H126" i="3"/>
  <c r="M126" i="3" s="1"/>
  <c r="G62" i="3"/>
  <c r="H62" i="3"/>
  <c r="M62" i="3" s="1"/>
  <c r="J62" i="3"/>
  <c r="I62" i="3"/>
  <c r="G9" i="3"/>
  <c r="J9" i="3"/>
  <c r="I9" i="3"/>
  <c r="H9" i="3"/>
  <c r="M9" i="3" s="1"/>
  <c r="G50" i="3"/>
  <c r="I50" i="3"/>
  <c r="H50" i="3"/>
  <c r="M50" i="3" s="1"/>
  <c r="J50" i="3"/>
  <c r="G8" i="3"/>
  <c r="J8" i="3"/>
  <c r="I8" i="3"/>
  <c r="H8" i="3"/>
  <c r="M8" i="3" s="1"/>
  <c r="G899" i="3"/>
  <c r="J899" i="3"/>
  <c r="I899" i="3"/>
  <c r="H899" i="3"/>
  <c r="M899" i="3" s="1"/>
  <c r="G867" i="3"/>
  <c r="I867" i="3"/>
  <c r="H867" i="3"/>
  <c r="M867" i="3" s="1"/>
  <c r="J867" i="3"/>
  <c r="G835" i="3"/>
  <c r="J835" i="3"/>
  <c r="I835" i="3"/>
  <c r="H835" i="3"/>
  <c r="M835" i="3" s="1"/>
  <c r="G803" i="3"/>
  <c r="I803" i="3"/>
  <c r="H803" i="3"/>
  <c r="M803" i="3" s="1"/>
  <c r="J803" i="3"/>
  <c r="G771" i="3"/>
  <c r="J771" i="3"/>
  <c r="H771" i="3"/>
  <c r="M771" i="3" s="1"/>
  <c r="I771" i="3"/>
  <c r="G727" i="3"/>
  <c r="I727" i="3"/>
  <c r="H727" i="3"/>
  <c r="M727" i="3" s="1"/>
  <c r="J727" i="3"/>
  <c r="G663" i="3"/>
  <c r="I663" i="3"/>
  <c r="H663" i="3"/>
  <c r="M663" i="3" s="1"/>
  <c r="J663" i="3"/>
  <c r="G599" i="3"/>
  <c r="H599" i="3"/>
  <c r="M599" i="3" s="1"/>
  <c r="J599" i="3"/>
  <c r="I599" i="3"/>
  <c r="G534" i="3"/>
  <c r="J534" i="3"/>
  <c r="H534" i="3"/>
  <c r="M534" i="3" s="1"/>
  <c r="I534" i="3"/>
  <c r="G726" i="3"/>
  <c r="I726" i="3"/>
  <c r="J726" i="3"/>
  <c r="H726" i="3"/>
  <c r="M726" i="3" s="1"/>
  <c r="G662" i="3"/>
  <c r="J662" i="3"/>
  <c r="H662" i="3"/>
  <c r="M662" i="3" s="1"/>
  <c r="I662" i="3"/>
  <c r="G598" i="3"/>
  <c r="J598" i="3"/>
  <c r="I598" i="3"/>
  <c r="H598" i="3"/>
  <c r="M598" i="3" s="1"/>
  <c r="G533" i="3"/>
  <c r="H533" i="3"/>
  <c r="M533" i="3" s="1"/>
  <c r="I533" i="3"/>
  <c r="J533" i="3"/>
  <c r="G886" i="3"/>
  <c r="I886" i="3"/>
  <c r="H886" i="3"/>
  <c r="M886" i="3" s="1"/>
  <c r="J886" i="3"/>
  <c r="G854" i="3"/>
  <c r="I854" i="3"/>
  <c r="J854" i="3"/>
  <c r="H854" i="3"/>
  <c r="M854" i="3" s="1"/>
  <c r="G822" i="3"/>
  <c r="I822" i="3"/>
  <c r="J822" i="3"/>
  <c r="H822" i="3"/>
  <c r="M822" i="3" s="1"/>
  <c r="G790" i="3"/>
  <c r="I790" i="3"/>
  <c r="J790" i="3"/>
  <c r="H790" i="3"/>
  <c r="M790" i="3" s="1"/>
  <c r="G758" i="3"/>
  <c r="I758" i="3"/>
  <c r="H758" i="3"/>
  <c r="M758" i="3" s="1"/>
  <c r="J758" i="3"/>
  <c r="G699" i="3"/>
  <c r="H699" i="3"/>
  <c r="M699" i="3" s="1"/>
  <c r="J699" i="3"/>
  <c r="I699" i="3"/>
  <c r="G635" i="3"/>
  <c r="J635" i="3"/>
  <c r="H635" i="3"/>
  <c r="M635" i="3" s="1"/>
  <c r="I635" i="3"/>
  <c r="G571" i="3"/>
  <c r="H571" i="3"/>
  <c r="M571" i="3" s="1"/>
  <c r="I571" i="3"/>
  <c r="J571" i="3"/>
  <c r="G383" i="3"/>
  <c r="H383" i="3"/>
  <c r="M383" i="3" s="1"/>
  <c r="J383" i="3"/>
  <c r="I383" i="3"/>
  <c r="G424" i="3"/>
  <c r="J424" i="3"/>
  <c r="I424" i="3"/>
  <c r="H424" i="3"/>
  <c r="M424" i="3" s="1"/>
  <c r="G200" i="3"/>
  <c r="I200" i="3"/>
  <c r="J200" i="3"/>
  <c r="H200" i="3"/>
  <c r="M200" i="3" s="1"/>
  <c r="G455" i="3"/>
  <c r="J455" i="3"/>
  <c r="I455" i="3"/>
  <c r="H455" i="3"/>
  <c r="M455" i="3" s="1"/>
  <c r="G302" i="3"/>
  <c r="H302" i="3"/>
  <c r="M302" i="3" s="1"/>
  <c r="J302" i="3"/>
  <c r="I302" i="3"/>
  <c r="G443" i="3"/>
  <c r="H443" i="3"/>
  <c r="M443" i="3" s="1"/>
  <c r="I443" i="3"/>
  <c r="J443" i="3"/>
  <c r="G266" i="3"/>
  <c r="I266" i="3"/>
  <c r="H266" i="3"/>
  <c r="M266" i="3" s="1"/>
  <c r="J266" i="3"/>
  <c r="G495" i="3"/>
  <c r="H495" i="3"/>
  <c r="M495" i="3" s="1"/>
  <c r="J495" i="3"/>
  <c r="I495" i="3"/>
  <c r="G463" i="3"/>
  <c r="H463" i="3"/>
  <c r="M463" i="3" s="1"/>
  <c r="J463" i="3"/>
  <c r="I463" i="3"/>
  <c r="G406" i="3"/>
  <c r="J406" i="3"/>
  <c r="H406" i="3"/>
  <c r="M406" i="3" s="1"/>
  <c r="I406" i="3"/>
  <c r="G342" i="3"/>
  <c r="I342" i="3"/>
  <c r="J342" i="3"/>
  <c r="H342" i="3"/>
  <c r="M342" i="3" s="1"/>
  <c r="G331" i="3"/>
  <c r="H331" i="3"/>
  <c r="M331" i="3" s="1"/>
  <c r="J331" i="3"/>
  <c r="I331" i="3"/>
  <c r="G268" i="3"/>
  <c r="I268" i="3"/>
  <c r="H268" i="3"/>
  <c r="M268" i="3" s="1"/>
  <c r="J268" i="3"/>
  <c r="G450" i="3"/>
  <c r="H450" i="3"/>
  <c r="M450" i="3" s="1"/>
  <c r="I450" i="3"/>
  <c r="J450" i="3"/>
  <c r="G386" i="3"/>
  <c r="H386" i="3"/>
  <c r="M386" i="3" s="1"/>
  <c r="I386" i="3"/>
  <c r="J386" i="3"/>
  <c r="G192" i="3"/>
  <c r="I192" i="3"/>
  <c r="H192" i="3"/>
  <c r="M192" i="3" s="1"/>
  <c r="J192" i="3"/>
  <c r="G315" i="3"/>
  <c r="J315" i="3"/>
  <c r="I315" i="3"/>
  <c r="H315" i="3"/>
  <c r="M315" i="3" s="1"/>
  <c r="G283" i="3"/>
  <c r="J283" i="3"/>
  <c r="H283" i="3"/>
  <c r="M283" i="3" s="1"/>
  <c r="I283" i="3"/>
  <c r="G251" i="3"/>
  <c r="J251" i="3"/>
  <c r="I251" i="3"/>
  <c r="H251" i="3"/>
  <c r="M251" i="3" s="1"/>
  <c r="G215" i="3"/>
  <c r="J215" i="3"/>
  <c r="H215" i="3"/>
  <c r="M215" i="3" s="1"/>
  <c r="I215" i="3"/>
  <c r="G144" i="3"/>
  <c r="J144" i="3"/>
  <c r="H144" i="3"/>
  <c r="M144" i="3" s="1"/>
  <c r="I144" i="3"/>
  <c r="G15" i="3"/>
  <c r="H15" i="3"/>
  <c r="M15" i="3" s="1"/>
  <c r="J15" i="3"/>
  <c r="I15" i="3"/>
  <c r="G157" i="3"/>
  <c r="I157" i="3"/>
  <c r="J157" i="3"/>
  <c r="H157" i="3"/>
  <c r="M157" i="3" s="1"/>
  <c r="G49" i="3"/>
  <c r="I49" i="3"/>
  <c r="H49" i="3"/>
  <c r="M49" i="3" s="1"/>
  <c r="J49" i="3"/>
  <c r="G222" i="3"/>
  <c r="I222" i="3"/>
  <c r="H222" i="3"/>
  <c r="M222" i="3" s="1"/>
  <c r="J222" i="3"/>
  <c r="G153" i="3"/>
  <c r="H153" i="3"/>
  <c r="M153" i="3" s="1"/>
  <c r="J153" i="3"/>
  <c r="I153" i="3"/>
  <c r="G48" i="3"/>
  <c r="I48" i="3"/>
  <c r="H48" i="3"/>
  <c r="M48" i="3" s="1"/>
  <c r="J48" i="3"/>
  <c r="G123" i="3"/>
  <c r="J123" i="3"/>
  <c r="H123" i="3"/>
  <c r="M123" i="3" s="1"/>
  <c r="I123" i="3"/>
  <c r="G59" i="3"/>
  <c r="J59" i="3"/>
  <c r="H59" i="3"/>
  <c r="M59" i="3" s="1"/>
  <c r="I59" i="3"/>
  <c r="G5" i="3"/>
  <c r="H5" i="3"/>
  <c r="M5" i="3" s="1"/>
  <c r="J5" i="3"/>
  <c r="I5" i="3"/>
  <c r="G47" i="3"/>
  <c r="H47" i="3"/>
  <c r="M47" i="3" s="1"/>
  <c r="J47" i="3"/>
  <c r="I47" i="3"/>
  <c r="G6" i="3"/>
  <c r="I6" i="3"/>
  <c r="H6" i="3"/>
  <c r="M6" i="3" s="1"/>
  <c r="J6" i="3"/>
  <c r="M2" i="3"/>
  <c r="A577" i="4"/>
  <c r="B577" i="4" s="1"/>
  <c r="A803" i="4"/>
  <c r="B803" i="4" s="1"/>
  <c r="A867" i="4"/>
  <c r="B867" i="4" s="1"/>
  <c r="A630" i="4"/>
  <c r="B630" i="4" s="1"/>
  <c r="A550" i="4"/>
  <c r="B550" i="4" s="1"/>
  <c r="A485" i="4"/>
  <c r="B485" i="4" s="1"/>
  <c r="A455" i="4"/>
  <c r="B455" i="4" s="1"/>
  <c r="A552" i="4"/>
  <c r="B552" i="4" s="1"/>
  <c r="A871" i="4"/>
  <c r="B871" i="4" s="1"/>
  <c r="A627" i="4"/>
  <c r="B627" i="4" s="1"/>
  <c r="A430" i="4"/>
  <c r="B430" i="4" s="1"/>
  <c r="A960" i="4"/>
  <c r="B960" i="4" s="1"/>
  <c r="A199" i="4"/>
  <c r="B199" i="4" s="1"/>
  <c r="A469" i="4"/>
  <c r="B469" i="4" s="1"/>
  <c r="A53" i="4"/>
  <c r="B53" i="4" s="1"/>
  <c r="A382" i="4"/>
  <c r="B382" i="4" s="1"/>
  <c r="A610" i="4"/>
  <c r="B610" i="4" s="1"/>
  <c r="A586" i="4"/>
  <c r="B586" i="4" s="1"/>
  <c r="A868" i="4"/>
  <c r="B868" i="4" s="1"/>
  <c r="A123" i="4"/>
  <c r="B123" i="4" s="1"/>
  <c r="A678" i="4"/>
  <c r="B678" i="4" s="1"/>
  <c r="A570" i="4"/>
  <c r="B570" i="4" s="1"/>
  <c r="A784" i="4"/>
  <c r="B784" i="4" s="1"/>
  <c r="A929" i="4"/>
  <c r="B929" i="4" s="1"/>
  <c r="A654" i="4"/>
  <c r="B654" i="4" s="1"/>
  <c r="A470" i="4"/>
  <c r="B470" i="4" s="1"/>
  <c r="A568" i="4"/>
  <c r="B568" i="4" s="1"/>
  <c r="A942" i="4"/>
  <c r="B942" i="4" s="1"/>
  <c r="A805" i="4"/>
  <c r="B805" i="4" s="1"/>
  <c r="A806" i="4"/>
  <c r="B806" i="4" s="1"/>
  <c r="A513" i="4"/>
  <c r="B513" i="4" s="1"/>
  <c r="A194" i="4"/>
  <c r="B194" i="4" s="1"/>
  <c r="A965" i="4"/>
  <c r="B965" i="4" s="1"/>
  <c r="A532" i="4"/>
  <c r="B532" i="4" s="1"/>
  <c r="A390" i="4"/>
  <c r="B390" i="4" s="1"/>
  <c r="A755" i="4"/>
  <c r="B755" i="4" s="1"/>
  <c r="A343" i="4"/>
  <c r="B343" i="4" s="1"/>
  <c r="A97" i="4"/>
  <c r="B97" i="4" s="1"/>
  <c r="A774" i="4"/>
  <c r="B774" i="4" s="1"/>
  <c r="A814" i="4"/>
  <c r="B814" i="4" s="1"/>
  <c r="A620" i="4"/>
  <c r="B620" i="4" s="1"/>
  <c r="A679" i="4"/>
  <c r="B679" i="4" s="1"/>
  <c r="A357" i="4"/>
  <c r="B357" i="4" s="1"/>
  <c r="A866" i="4"/>
  <c r="B866" i="4" s="1"/>
  <c r="A981" i="4"/>
  <c r="B981" i="4" s="1"/>
  <c r="A760" i="4"/>
  <c r="B760" i="4" s="1"/>
  <c r="A245" i="4"/>
  <c r="B245" i="4" s="1"/>
  <c r="A701" i="4"/>
  <c r="B701" i="4" s="1"/>
  <c r="A923" i="4"/>
  <c r="B923" i="4" s="1"/>
  <c r="A989" i="4"/>
  <c r="B989" i="4" s="1"/>
  <c r="A541" i="4"/>
  <c r="B541" i="4" s="1"/>
  <c r="A656" i="4"/>
  <c r="B656" i="4" s="1"/>
  <c r="A27" i="4"/>
  <c r="B27" i="4" s="1"/>
  <c r="A30" i="4"/>
  <c r="B30" i="4" s="1"/>
  <c r="A898" i="4"/>
  <c r="B898" i="4" s="1"/>
  <c r="A949" i="4"/>
  <c r="B949" i="4" s="1"/>
  <c r="A219" i="4"/>
  <c r="B219" i="4" s="1"/>
  <c r="A957" i="4"/>
  <c r="B957" i="4" s="1"/>
  <c r="A690" i="4"/>
  <c r="B690" i="4" s="1"/>
  <c r="A671" i="4"/>
  <c r="B671" i="4" s="1"/>
  <c r="A317" i="4"/>
  <c r="B317" i="4" s="1"/>
  <c r="A659" i="4"/>
  <c r="B659" i="4" s="1"/>
  <c r="A930" i="4"/>
  <c r="B930" i="4" s="1"/>
  <c r="A538" i="4"/>
  <c r="B538" i="4" s="1"/>
  <c r="A251" i="4"/>
  <c r="B251" i="4" s="1"/>
  <c r="A478" i="4"/>
  <c r="B478" i="4" s="1"/>
  <c r="A886" i="4"/>
  <c r="B886" i="4" s="1"/>
  <c r="A695" i="4"/>
  <c r="B695" i="4" s="1"/>
  <c r="A235" i="4"/>
  <c r="B235" i="4" s="1"/>
  <c r="A88" i="4"/>
  <c r="B88" i="4" s="1"/>
  <c r="A313" i="4"/>
  <c r="B313" i="4" s="1"/>
  <c r="A222" i="4"/>
  <c r="B222" i="4" s="1"/>
  <c r="A479" i="4"/>
  <c r="B479" i="4" s="1"/>
  <c r="A544" i="4"/>
  <c r="B544" i="4" s="1"/>
  <c r="A436" i="4"/>
  <c r="B436" i="4" s="1"/>
  <c r="A704" i="4"/>
  <c r="B704" i="4" s="1"/>
  <c r="A747" i="4"/>
  <c r="B747" i="4" s="1"/>
  <c r="A933" i="4"/>
  <c r="B933" i="4" s="1"/>
  <c r="A887" i="4"/>
  <c r="B887" i="4" s="1"/>
  <c r="A950" i="4"/>
  <c r="B950" i="4" s="1"/>
  <c r="A982" i="4"/>
  <c r="B982" i="4" s="1"/>
  <c r="A129" i="4"/>
  <c r="B129" i="4" s="1"/>
  <c r="A63" i="4"/>
  <c r="B63" i="4" s="1"/>
  <c r="A246" i="4"/>
  <c r="B246" i="4" s="1"/>
  <c r="A724" i="4"/>
  <c r="B724" i="4" s="1"/>
  <c r="A608" i="4"/>
  <c r="B608" i="4" s="1"/>
  <c r="A680" i="4"/>
  <c r="B680" i="4" s="1"/>
  <c r="A423" i="4"/>
  <c r="B423" i="4" s="1"/>
  <c r="A460" i="4"/>
  <c r="B460" i="4" s="1"/>
  <c r="A402" i="4"/>
  <c r="B402" i="4" s="1"/>
  <c r="A323" i="4"/>
  <c r="B323" i="4" s="1"/>
  <c r="A211" i="4"/>
  <c r="B211" i="4" s="1"/>
  <c r="A119" i="4"/>
  <c r="B119" i="4" s="1"/>
  <c r="A333" i="4"/>
  <c r="B333" i="4" s="1"/>
  <c r="A417" i="4"/>
  <c r="B417" i="4" s="1"/>
  <c r="A371" i="4"/>
  <c r="B371" i="4" s="1"/>
  <c r="A502" i="4"/>
  <c r="B502" i="4" s="1"/>
  <c r="A547" i="4"/>
  <c r="B547" i="4" s="1"/>
  <c r="A522" i="4"/>
  <c r="B522" i="4" s="1"/>
  <c r="A894" i="4"/>
  <c r="B894" i="4" s="1"/>
  <c r="A666" i="4"/>
  <c r="B666" i="4" s="1"/>
  <c r="A858" i="4"/>
  <c r="B858" i="4" s="1"/>
  <c r="A859" i="4"/>
  <c r="B859" i="4" s="1"/>
  <c r="A670" i="4"/>
  <c r="B670" i="4" s="1"/>
  <c r="A751" i="4"/>
  <c r="B751" i="4" s="1"/>
  <c r="A846" i="4"/>
  <c r="B846" i="4" s="1"/>
  <c r="A936" i="4"/>
  <c r="B936" i="4" s="1"/>
  <c r="A902" i="4"/>
  <c r="B902" i="4" s="1"/>
  <c r="A715" i="4"/>
  <c r="B715" i="4" s="1"/>
  <c r="A847" i="4"/>
  <c r="B847" i="4" s="1"/>
  <c r="A944" i="4"/>
  <c r="B944" i="4" s="1"/>
  <c r="A937" i="4"/>
  <c r="B937" i="4" s="1"/>
  <c r="A969" i="4"/>
  <c r="B969" i="4" s="1"/>
  <c r="A305" i="4"/>
  <c r="B305" i="4" s="1"/>
  <c r="A553" i="4"/>
  <c r="B553" i="4" s="1"/>
  <c r="A473" i="4"/>
  <c r="B473" i="4" s="1"/>
  <c r="A506" i="4"/>
  <c r="B506" i="4" s="1"/>
  <c r="A739" i="4"/>
  <c r="B739" i="4" s="1"/>
  <c r="A419" i="4"/>
  <c r="B419" i="4" s="1"/>
  <c r="A721" i="4"/>
  <c r="B721" i="4" s="1"/>
  <c r="A391" i="4"/>
  <c r="B391" i="4" s="1"/>
  <c r="A824" i="4"/>
  <c r="B824" i="4" s="1"/>
  <c r="A195" i="4"/>
  <c r="B195" i="4" s="1"/>
  <c r="A269" i="4"/>
  <c r="B269" i="4" s="1"/>
  <c r="A406" i="4"/>
  <c r="B406" i="4" s="1"/>
  <c r="A433" i="4"/>
  <c r="B433" i="4" s="1"/>
  <c r="A565" i="4"/>
  <c r="B565" i="4" s="1"/>
  <c r="A514" i="4"/>
  <c r="B514" i="4" s="1"/>
  <c r="A617" i="4"/>
  <c r="B617" i="4" s="1"/>
  <c r="A609" i="4"/>
  <c r="B609" i="4" s="1"/>
  <c r="A719" i="4"/>
  <c r="B719" i="4" s="1"/>
  <c r="A968" i="4"/>
  <c r="B968" i="4" s="1"/>
  <c r="A707" i="4"/>
  <c r="B707" i="4" s="1"/>
  <c r="A884" i="4"/>
  <c r="B884" i="4" s="1"/>
  <c r="A677" i="4"/>
  <c r="B677" i="4" s="1"/>
  <c r="A171" i="4"/>
  <c r="B171" i="4" s="1"/>
  <c r="A422" i="4"/>
  <c r="B422" i="4" s="1"/>
  <c r="A491" i="4"/>
  <c r="B491" i="4" s="1"/>
  <c r="A554" i="4"/>
  <c r="B554" i="4" s="1"/>
  <c r="A735" i="4"/>
  <c r="B735" i="4" s="1"/>
  <c r="A787" i="4"/>
  <c r="B787" i="4" s="1"/>
  <c r="A772" i="4"/>
  <c r="B772" i="4" s="1"/>
  <c r="A639" i="4"/>
  <c r="B639" i="4" s="1"/>
  <c r="A131" i="4"/>
  <c r="B131" i="4" s="1"/>
  <c r="A494" i="4"/>
  <c r="B494" i="4" s="1"/>
  <c r="A643" i="4"/>
  <c r="B643" i="4" s="1"/>
  <c r="A662" i="4"/>
  <c r="B662" i="4" s="1"/>
  <c r="A922" i="4"/>
  <c r="B922" i="4" s="1"/>
  <c r="A834" i="4"/>
  <c r="B834" i="4" s="1"/>
  <c r="A365" i="4"/>
  <c r="B365" i="4" s="1"/>
  <c r="A440" i="4"/>
  <c r="B440" i="4" s="1"/>
  <c r="A482" i="4"/>
  <c r="B482" i="4" s="1"/>
  <c r="A875" i="4"/>
  <c r="B875" i="4" s="1"/>
  <c r="A879" i="4"/>
  <c r="B879" i="4" s="1"/>
  <c r="A736" i="4"/>
  <c r="B736" i="4" s="1"/>
  <c r="A489" i="4"/>
  <c r="B489" i="4" s="1"/>
  <c r="A705" i="4"/>
  <c r="B705" i="4" s="1"/>
  <c r="A389" i="4"/>
  <c r="B389" i="4" s="1"/>
  <c r="A458" i="4"/>
  <c r="B458" i="4" s="1"/>
  <c r="A558" i="4"/>
  <c r="B558" i="4" s="1"/>
  <c r="A598" i="4"/>
  <c r="B598" i="4" s="1"/>
  <c r="A811" i="4"/>
  <c r="B811" i="4" s="1"/>
  <c r="A978" i="4"/>
  <c r="B978" i="4" s="1"/>
  <c r="A976" i="4"/>
  <c r="B976" i="4" s="1"/>
  <c r="A958" i="4"/>
  <c r="B958" i="4" s="1"/>
  <c r="A996" i="4"/>
  <c r="B996" i="4" s="1"/>
  <c r="A146" i="4"/>
  <c r="B146" i="4" s="1"/>
  <c r="A117" i="4"/>
  <c r="B117" i="4" s="1"/>
  <c r="A967" i="4"/>
  <c r="B967" i="4" s="1"/>
  <c r="A761" i="4"/>
  <c r="B761" i="4" s="1"/>
  <c r="A631" i="4"/>
  <c r="B631" i="4" s="1"/>
  <c r="A600" i="4"/>
  <c r="B600" i="4" s="1"/>
  <c r="A972" i="4"/>
  <c r="B972" i="4" s="1"/>
  <c r="A520" i="4"/>
  <c r="B520" i="4" s="1"/>
  <c r="A450" i="4"/>
  <c r="B450" i="4" s="1"/>
  <c r="A295" i="4"/>
  <c r="B295" i="4" s="1"/>
  <c r="A179" i="4"/>
  <c r="B179" i="4" s="1"/>
  <c r="A147" i="4"/>
  <c r="B147" i="4" s="1"/>
  <c r="A369" i="4"/>
  <c r="B369" i="4" s="1"/>
  <c r="A503" i="4"/>
  <c r="B503" i="4" s="1"/>
  <c r="A429" i="4"/>
  <c r="B429" i="4" s="1"/>
  <c r="A518" i="4"/>
  <c r="B518" i="4" s="1"/>
  <c r="A791" i="4"/>
  <c r="B791" i="4" s="1"/>
  <c r="A562" i="4"/>
  <c r="B562" i="4" s="1"/>
  <c r="A582" i="4"/>
  <c r="B582" i="4" s="1"/>
  <c r="A711" i="4"/>
  <c r="B711" i="4" s="1"/>
  <c r="A594" i="4"/>
  <c r="B594" i="4" s="1"/>
  <c r="A622" i="4"/>
  <c r="B622" i="4" s="1"/>
  <c r="A687" i="4"/>
  <c r="B687" i="4" s="1"/>
  <c r="A782" i="4"/>
  <c r="B782" i="4" s="1"/>
  <c r="A915" i="4"/>
  <c r="B915" i="4" s="1"/>
  <c r="A854" i="4"/>
  <c r="B854" i="4" s="1"/>
  <c r="A941" i="4"/>
  <c r="B941" i="4" s="1"/>
  <c r="A952" i="4"/>
  <c r="B952" i="4" s="1"/>
  <c r="A863" i="4"/>
  <c r="B863" i="4" s="1"/>
  <c r="A903" i="4"/>
  <c r="B903" i="4" s="1"/>
  <c r="A945" i="4"/>
  <c r="B945" i="4" s="1"/>
  <c r="A977" i="4"/>
  <c r="B977" i="4" s="1"/>
  <c r="A909" i="4"/>
  <c r="B909" i="4" s="1"/>
  <c r="A47" i="4"/>
  <c r="B47" i="4" s="1"/>
  <c r="A507" i="4"/>
  <c r="B507" i="4" s="1"/>
  <c r="A667" i="4"/>
  <c r="B667" i="4" s="1"/>
  <c r="A984" i="4"/>
  <c r="B984" i="4" s="1"/>
  <c r="A896" i="4"/>
  <c r="B896" i="4" s="1"/>
  <c r="A500" i="4"/>
  <c r="B500" i="4" s="1"/>
  <c r="A26" i="4"/>
  <c r="B26" i="4" s="1"/>
  <c r="A650" i="4"/>
  <c r="B650" i="4" s="1"/>
  <c r="A682" i="4"/>
  <c r="B682" i="4" s="1"/>
  <c r="A790" i="4"/>
  <c r="B790" i="4" s="1"/>
  <c r="A374" i="4"/>
  <c r="B374" i="4" s="1"/>
  <c r="A339" i="4"/>
  <c r="B339" i="4" s="1"/>
  <c r="A882" i="4"/>
  <c r="B882" i="4" s="1"/>
  <c r="A461" i="4"/>
  <c r="B461" i="4" s="1"/>
  <c r="A788" i="4"/>
  <c r="B788" i="4" s="1"/>
  <c r="A691" i="4"/>
  <c r="B691" i="4" s="1"/>
  <c r="A717" i="4"/>
  <c r="B717" i="4" s="1"/>
  <c r="A862" i="4"/>
  <c r="B862" i="4" s="1"/>
  <c r="A381" i="4"/>
  <c r="B381" i="4" s="1"/>
  <c r="A283" i="4"/>
  <c r="B283" i="4" s="1"/>
  <c r="A823" i="4"/>
  <c r="B823" i="4" s="1"/>
  <c r="A534" i="4"/>
  <c r="B534" i="4" s="1"/>
  <c r="A307" i="4"/>
  <c r="B307" i="4" s="1"/>
  <c r="A833" i="4"/>
  <c r="B833" i="4" s="1"/>
  <c r="A261" i="4"/>
  <c r="B261" i="4" s="1"/>
  <c r="A962" i="4"/>
  <c r="B962" i="4" s="1"/>
  <c r="A728" i="4"/>
  <c r="B728" i="4" s="1"/>
  <c r="A559" i="4"/>
  <c r="B559" i="4" s="1"/>
  <c r="A603" i="4"/>
  <c r="B603" i="4" s="1"/>
  <c r="A999" i="4"/>
  <c r="B999" i="4" s="1"/>
  <c r="A674" i="4"/>
  <c r="B674" i="4" s="1"/>
  <c r="A287" i="4"/>
  <c r="B287" i="4" s="1"/>
  <c r="A792" i="4"/>
  <c r="B792" i="4" s="1"/>
  <c r="A560" i="4"/>
  <c r="B560" i="4" s="1"/>
  <c r="A642" i="4"/>
  <c r="B642" i="4" s="1"/>
  <c r="A599" i="4"/>
  <c r="B599" i="4" s="1"/>
  <c r="A775" i="4"/>
  <c r="B775" i="4" s="1"/>
  <c r="A606" i="4"/>
  <c r="B606" i="4" s="1"/>
  <c r="A883" i="4"/>
  <c r="B883" i="4" s="1"/>
  <c r="A425" i="4"/>
  <c r="B425" i="4" s="1"/>
  <c r="A279" i="4"/>
  <c r="B279" i="4" s="1"/>
  <c r="A726" i="4"/>
  <c r="B726" i="4" s="1"/>
  <c r="A472" i="4"/>
  <c r="B472" i="4" s="1"/>
  <c r="A442" i="4"/>
  <c r="B442" i="4" s="1"/>
  <c r="A927" i="4"/>
  <c r="B927" i="4" s="1"/>
  <c r="A973" i="4"/>
  <c r="B973" i="4" s="1"/>
  <c r="A874" i="4"/>
  <c r="B874" i="4" s="1"/>
  <c r="A702" i="4"/>
  <c r="B702" i="4" s="1"/>
  <c r="A742" i="4"/>
  <c r="B742" i="4" s="1"/>
  <c r="A578" i="4"/>
  <c r="B578" i="4" s="1"/>
  <c r="A510" i="4"/>
  <c r="B510" i="4" s="1"/>
  <c r="A367" i="4"/>
  <c r="B367" i="4" s="1"/>
  <c r="A103" i="4"/>
  <c r="B103" i="4" s="1"/>
  <c r="A362" i="4"/>
  <c r="B362" i="4" s="1"/>
  <c r="A816" i="4"/>
  <c r="B816" i="4" s="1"/>
  <c r="A992" i="4"/>
  <c r="B992" i="4" s="1"/>
  <c r="A688" i="4"/>
  <c r="B688" i="4" s="1"/>
  <c r="A832" i="4"/>
  <c r="B832" i="4" s="1"/>
  <c r="A961" i="4"/>
  <c r="B961" i="4" s="1"/>
  <c r="A892" i="4"/>
  <c r="B892" i="4" s="1"/>
  <c r="A699" i="4"/>
  <c r="B699" i="4" s="1"/>
  <c r="A831" i="4"/>
  <c r="B831" i="4" s="1"/>
  <c r="A734" i="4"/>
  <c r="B734" i="4" s="1"/>
  <c r="A641" i="4"/>
  <c r="B641" i="4" s="1"/>
  <c r="A686" i="4"/>
  <c r="B686" i="4" s="1"/>
  <c r="A477" i="4"/>
  <c r="B477" i="4" s="1"/>
  <c r="A486" i="4"/>
  <c r="B486" i="4" s="1"/>
  <c r="A459" i="4"/>
  <c r="B459" i="4" s="1"/>
  <c r="A62" i="4"/>
  <c r="B62" i="4" s="1"/>
  <c r="A347" i="4"/>
  <c r="B347" i="4" s="1"/>
  <c r="A517" i="4"/>
  <c r="B517" i="4" s="1"/>
  <c r="A800" i="4"/>
  <c r="B800" i="4" s="1"/>
  <c r="A804" i="4"/>
  <c r="B804" i="4" s="1"/>
  <c r="A956" i="4"/>
  <c r="B956" i="4" s="1"/>
  <c r="A974" i="4"/>
  <c r="B974" i="4" s="1"/>
  <c r="A860" i="4"/>
  <c r="B860" i="4" s="1"/>
  <c r="A878" i="4"/>
  <c r="B878" i="4" s="1"/>
  <c r="A325" i="4"/>
  <c r="B325" i="4" s="1"/>
  <c r="A183" i="4"/>
  <c r="B183" i="4" s="1"/>
  <c r="A549" i="4"/>
  <c r="B549" i="4" s="1"/>
  <c r="A315" i="4"/>
  <c r="B315" i="4" s="1"/>
  <c r="A914" i="4"/>
  <c r="B914" i="4" s="1"/>
  <c r="A658" i="4"/>
  <c r="B658" i="4" s="1"/>
  <c r="A635" i="4"/>
  <c r="B635" i="4" s="1"/>
  <c r="A895" i="4"/>
  <c r="B895" i="4" s="1"/>
  <c r="A625" i="4"/>
  <c r="B625" i="4" s="1"/>
  <c r="A301" i="4"/>
  <c r="B301" i="4" s="1"/>
  <c r="A512" i="4"/>
  <c r="B512" i="4" s="1"/>
  <c r="A954" i="4"/>
  <c r="B954" i="4" s="1"/>
  <c r="A563" i="4"/>
  <c r="B563" i="4" s="1"/>
  <c r="A259" i="4"/>
  <c r="B259" i="4" s="1"/>
  <c r="A753" i="4"/>
  <c r="B753" i="4" s="1"/>
  <c r="A938" i="4"/>
  <c r="B938" i="4" s="1"/>
  <c r="A557" i="4"/>
  <c r="B557" i="4" s="1"/>
  <c r="A167" i="4"/>
  <c r="B167" i="4" s="1"/>
  <c r="A908" i="4"/>
  <c r="B908" i="4" s="1"/>
  <c r="A744" i="4"/>
  <c r="B744" i="4" s="1"/>
  <c r="A697" i="4"/>
  <c r="B697" i="4" s="1"/>
  <c r="A906" i="4"/>
  <c r="B906" i="4" s="1"/>
  <c r="A646" i="4"/>
  <c r="B646" i="4" s="1"/>
  <c r="A718" i="4"/>
  <c r="B718" i="4" s="1"/>
  <c r="A445" i="4"/>
  <c r="B445" i="4" s="1"/>
  <c r="A535" i="4"/>
  <c r="B535" i="4" s="1"/>
  <c r="A163" i="4"/>
  <c r="B163" i="4" s="1"/>
  <c r="A592" i="4"/>
  <c r="B592" i="4" s="1"/>
  <c r="A602" i="4"/>
  <c r="B602" i="4" s="1"/>
  <c r="A985" i="4"/>
  <c r="B985" i="4" s="1"/>
  <c r="A919" i="4"/>
  <c r="B919" i="4" s="1"/>
  <c r="A870" i="4"/>
  <c r="B870" i="4" s="1"/>
  <c r="A799" i="4"/>
  <c r="B799" i="4" s="1"/>
  <c r="A638" i="4"/>
  <c r="B638" i="4" s="1"/>
  <c r="A611" i="4"/>
  <c r="B611" i="4" s="1"/>
  <c r="A531" i="4"/>
  <c r="B531" i="4" s="1"/>
  <c r="A181" i="4"/>
  <c r="B181" i="4" s="1"/>
  <c r="A263" i="4"/>
  <c r="B263" i="4" s="1"/>
  <c r="A561" i="4"/>
  <c r="B561" i="4" s="1"/>
  <c r="A693" i="4"/>
  <c r="B693" i="4" s="1"/>
  <c r="A241" i="4"/>
  <c r="B241" i="4" s="1"/>
  <c r="A934" i="4"/>
  <c r="B934" i="4" s="1"/>
  <c r="A844" i="4"/>
  <c r="B844" i="4" s="1"/>
  <c r="A793" i="4"/>
  <c r="B793" i="4" s="1"/>
  <c r="A38" i="4"/>
  <c r="B38" i="4" s="1"/>
  <c r="A835" i="4"/>
  <c r="B835" i="4" s="1"/>
  <c r="A808" i="4"/>
  <c r="B808" i="4" s="1"/>
  <c r="A990" i="4"/>
  <c r="B990" i="4" s="1"/>
  <c r="A851" i="4"/>
  <c r="B851" i="4" s="1"/>
  <c r="A526" i="4"/>
  <c r="B526" i="4" s="1"/>
  <c r="A213" i="4"/>
  <c r="B213" i="4" s="1"/>
  <c r="A481" i="4"/>
  <c r="B481" i="4" s="1"/>
  <c r="A946" i="4"/>
  <c r="B946" i="4" s="1"/>
  <c r="A783" i="4"/>
  <c r="B783" i="4" s="1"/>
  <c r="A555" i="4"/>
  <c r="B555" i="4" s="1"/>
  <c r="A70" i="4"/>
  <c r="B70" i="4" s="1"/>
  <c r="A501" i="4"/>
  <c r="B501" i="4" s="1"/>
  <c r="A336" i="4"/>
  <c r="B336" i="4" s="1"/>
  <c r="A675" i="4"/>
  <c r="B675" i="4" s="1"/>
  <c r="A378" i="4"/>
  <c r="B378" i="4" s="1"/>
  <c r="A144" i="4"/>
  <c r="B144" i="4" s="1"/>
  <c r="A593" i="4"/>
  <c r="B593" i="4" s="1"/>
  <c r="A640" i="4"/>
  <c r="B640" i="4" s="1"/>
  <c r="A723" i="4"/>
  <c r="B723" i="4" s="1"/>
  <c r="A542" i="4"/>
  <c r="B542" i="4" s="1"/>
  <c r="A34" i="4"/>
  <c r="B34" i="4" s="1"/>
  <c r="A995" i="4"/>
  <c r="B995" i="4" s="1"/>
  <c r="A771" i="4"/>
  <c r="B771" i="4" s="1"/>
  <c r="A566" i="4"/>
  <c r="B566" i="4" s="1"/>
  <c r="A151" i="4"/>
  <c r="B151" i="4" s="1"/>
  <c r="A415" i="4"/>
  <c r="B415" i="4" s="1"/>
  <c r="A900" i="4"/>
  <c r="B900" i="4" s="1"/>
  <c r="A807" i="4"/>
  <c r="B807" i="4" s="1"/>
  <c r="A776" i="4"/>
  <c r="B776" i="4" s="1"/>
  <c r="A438" i="4"/>
  <c r="B438" i="4" s="1"/>
  <c r="A78" i="4"/>
  <c r="B78" i="4" s="1"/>
  <c r="A496" i="4"/>
  <c r="B496" i="4" s="1"/>
  <c r="A668" i="4"/>
  <c r="B668" i="4" s="1"/>
  <c r="A819" i="4"/>
  <c r="B819" i="4" s="1"/>
  <c r="A694" i="4"/>
  <c r="B694" i="4" s="1"/>
  <c r="A633" i="4"/>
  <c r="B633" i="4" s="1"/>
  <c r="A569" i="4"/>
  <c r="B569" i="4" s="1"/>
  <c r="A231" i="4"/>
  <c r="B231" i="4" s="1"/>
  <c r="A463" i="4"/>
  <c r="B463" i="4" s="1"/>
  <c r="A924" i="4"/>
  <c r="B924" i="4" s="1"/>
  <c r="A743" i="4"/>
  <c r="B743" i="4" s="1"/>
  <c r="A511" i="4"/>
  <c r="B511" i="4" s="1"/>
  <c r="A596" i="4"/>
  <c r="B596" i="4" s="1"/>
  <c r="A911" i="4"/>
  <c r="B911" i="4" s="1"/>
  <c r="A822" i="4"/>
  <c r="B822" i="4" s="1"/>
  <c r="A498" i="4"/>
  <c r="B498" i="4" s="1"/>
  <c r="A475" i="4"/>
  <c r="B475" i="4" s="1"/>
  <c r="A416" i="4"/>
  <c r="B416" i="4" s="1"/>
  <c r="A991" i="4"/>
  <c r="B991" i="4" s="1"/>
  <c r="A850" i="4"/>
  <c r="B850" i="4" s="1"/>
  <c r="A590" i="4"/>
  <c r="B590" i="4" s="1"/>
  <c r="A449" i="4"/>
  <c r="B449" i="4" s="1"/>
  <c r="A205" i="4"/>
  <c r="B205" i="4" s="1"/>
  <c r="A661" i="4"/>
  <c r="B661" i="4" s="1"/>
  <c r="A855" i="4"/>
  <c r="B855" i="4" s="1"/>
  <c r="A899" i="4"/>
  <c r="B899" i="4" s="1"/>
  <c r="A766" i="4"/>
  <c r="B766" i="4" s="1"/>
  <c r="A839" i="4"/>
  <c r="B839" i="4" s="1"/>
  <c r="A587" i="4"/>
  <c r="B587" i="4" s="1"/>
  <c r="A727" i="4"/>
  <c r="B727" i="4" s="1"/>
  <c r="A413" i="4"/>
  <c r="B413" i="4" s="1"/>
  <c r="A448" i="4"/>
  <c r="B448" i="4" s="1"/>
  <c r="A49" i="4"/>
  <c r="B49" i="4" s="1"/>
  <c r="A529" i="4"/>
  <c r="B529" i="4" s="1"/>
  <c r="A637" i="4"/>
  <c r="B637" i="4" s="1"/>
  <c r="A852" i="4"/>
  <c r="B852" i="4" s="1"/>
  <c r="A533" i="4"/>
  <c r="B533" i="4" s="1"/>
  <c r="A904" i="4"/>
  <c r="B904" i="4" s="1"/>
  <c r="A953" i="4"/>
  <c r="B953" i="4" s="1"/>
  <c r="A876" i="4"/>
  <c r="B876" i="4" s="1"/>
  <c r="A683" i="4"/>
  <c r="B683" i="4" s="1"/>
  <c r="A815" i="4"/>
  <c r="B815" i="4" s="1"/>
  <c r="A710" i="4"/>
  <c r="B710" i="4" s="1"/>
  <c r="A618" i="4"/>
  <c r="B618" i="4" s="1"/>
  <c r="A626" i="4"/>
  <c r="B626" i="4" s="1"/>
  <c r="A437" i="4"/>
  <c r="B437" i="4" s="1"/>
  <c r="A465" i="4"/>
  <c r="B465" i="4" s="1"/>
  <c r="A394" i="4"/>
  <c r="B394" i="4" s="1"/>
  <c r="A45" i="4"/>
  <c r="B45" i="4" s="1"/>
  <c r="A392" i="4"/>
  <c r="B392" i="4" s="1"/>
  <c r="A607" i="4"/>
  <c r="B607" i="4" s="1"/>
  <c r="A556" i="4"/>
  <c r="B556" i="4" s="1"/>
  <c r="A881" i="4"/>
  <c r="B881" i="4" s="1"/>
  <c r="A270" i="4"/>
  <c r="B270" i="4" s="1"/>
  <c r="A966" i="4"/>
  <c r="B966" i="4" s="1"/>
  <c r="A843" i="4"/>
  <c r="B843" i="4" s="1"/>
  <c r="A767" i="4"/>
  <c r="B767" i="4" s="1"/>
  <c r="A139" i="4"/>
  <c r="B139" i="4" s="1"/>
  <c r="A355" i="4"/>
  <c r="B355" i="4" s="1"/>
  <c r="A446" i="4"/>
  <c r="B446" i="4" s="1"/>
  <c r="A187" i="4"/>
  <c r="B187" i="4" s="1"/>
  <c r="A383" i="4"/>
  <c r="B383" i="4" s="1"/>
  <c r="A348" i="4"/>
  <c r="B348" i="4" s="1"/>
  <c r="A237" i="4"/>
  <c r="B237" i="4" s="1"/>
  <c r="A410" i="4"/>
  <c r="B410" i="4" s="1"/>
  <c r="A101" i="4"/>
  <c r="B101" i="4" s="1"/>
  <c r="A980" i="4"/>
  <c r="B980" i="4" s="1"/>
  <c r="A490" i="4"/>
  <c r="B490" i="4" s="1"/>
  <c r="A375" i="4"/>
  <c r="B375" i="4" s="1"/>
  <c r="A299" i="4"/>
  <c r="B299" i="4" s="1"/>
  <c r="A605" i="4"/>
  <c r="B605" i="4" s="1"/>
  <c r="A74" i="4"/>
  <c r="B74" i="4" s="1"/>
  <c r="A115" i="4"/>
  <c r="B115" i="4" s="1"/>
  <c r="A581" i="4"/>
  <c r="B581" i="4" s="1"/>
  <c r="A794" i="4"/>
  <c r="B794" i="4" s="1"/>
  <c r="A528" i="4"/>
  <c r="B528" i="4" s="1"/>
  <c r="A653" i="4"/>
  <c r="B653" i="4" s="1"/>
  <c r="A648" i="4"/>
  <c r="B648" i="4" s="1"/>
  <c r="A939" i="4"/>
  <c r="B939" i="4" s="1"/>
  <c r="A404" i="4"/>
  <c r="B404" i="4" s="1"/>
  <c r="A464" i="4"/>
  <c r="B464" i="4" s="1"/>
  <c r="A267" i="4"/>
  <c r="B267" i="4" s="1"/>
  <c r="A623" i="4"/>
  <c r="B623" i="4" s="1"/>
  <c r="A714" i="4"/>
  <c r="B714" i="4" s="1"/>
  <c r="A604" i="4"/>
  <c r="B604" i="4" s="1"/>
  <c r="A380" i="4"/>
  <c r="B380" i="4" s="1"/>
  <c r="A708" i="4"/>
  <c r="B708" i="4" s="1"/>
  <c r="A134" i="4"/>
  <c r="B134" i="4" s="1"/>
  <c r="A685" i="4"/>
  <c r="B685" i="4" s="1"/>
  <c r="A865" i="4"/>
  <c r="B865" i="4" s="1"/>
  <c r="A820" i="4"/>
  <c r="B820" i="4" s="1"/>
  <c r="A888" i="4"/>
  <c r="B888" i="4" s="1"/>
  <c r="A872" i="4"/>
  <c r="B872" i="4" s="1"/>
  <c r="A177" i="4"/>
  <c r="B177" i="4" s="1"/>
  <c r="A206" i="4"/>
  <c r="B206" i="4" s="1"/>
  <c r="A46" i="4"/>
  <c r="B46" i="4" s="1"/>
  <c r="A242" i="4"/>
  <c r="B242" i="4" s="1"/>
  <c r="A613" i="4"/>
  <c r="B613" i="4" s="1"/>
  <c r="A741" i="4"/>
  <c r="B741" i="4" s="1"/>
  <c r="A342" i="4"/>
  <c r="B342" i="4" s="1"/>
  <c r="A322" i="4"/>
  <c r="B322" i="4" s="1"/>
  <c r="A444" i="4"/>
  <c r="B444" i="4" s="1"/>
  <c r="A61" i="4"/>
  <c r="B61" i="4" s="1"/>
  <c r="A125" i="4"/>
  <c r="B125" i="4" s="1"/>
  <c r="A328" i="4"/>
  <c r="B328" i="4" s="1"/>
  <c r="A963" i="4"/>
  <c r="B963" i="4" s="1"/>
  <c r="A403" i="4"/>
  <c r="B403" i="4" s="1"/>
  <c r="A551" i="4"/>
  <c r="B551" i="4" s="1"/>
  <c r="A828" i="4"/>
  <c r="B828" i="4" s="1"/>
  <c r="A321" i="4"/>
  <c r="B321" i="4" s="1"/>
  <c r="A238" i="4"/>
  <c r="B238" i="4" s="1"/>
  <c r="A244" i="4"/>
  <c r="B244" i="4" s="1"/>
  <c r="A112" i="4"/>
  <c r="B112" i="4" s="1"/>
  <c r="A159" i="4"/>
  <c r="B159" i="4" s="1"/>
  <c r="A709" i="4"/>
  <c r="B709" i="4" s="1"/>
  <c r="A825" i="4"/>
  <c r="B825" i="4" s="1"/>
  <c r="A162" i="4"/>
  <c r="B162" i="4" s="1"/>
  <c r="A39" i="4"/>
  <c r="B39" i="4" s="1"/>
  <c r="A31" i="4"/>
  <c r="B31" i="4" s="1"/>
  <c r="A32" i="4"/>
  <c r="B32" i="4" s="1"/>
  <c r="A25" i="4"/>
  <c r="B25" i="4" s="1"/>
  <c r="A76" i="4"/>
  <c r="B76" i="4" s="1"/>
  <c r="A248" i="4"/>
  <c r="B248" i="4" s="1"/>
  <c r="A264" i="4"/>
  <c r="B264" i="4" s="1"/>
  <c r="A184" i="4"/>
  <c r="B184" i="4" s="1"/>
  <c r="A216" i="4"/>
  <c r="B216" i="4" s="1"/>
  <c r="A420" i="4"/>
  <c r="B420" i="4" s="1"/>
  <c r="A192" i="4"/>
  <c r="B192" i="4" s="1"/>
  <c r="A320" i="4"/>
  <c r="B320" i="4" s="1"/>
  <c r="A58" i="4"/>
  <c r="B58" i="4" s="1"/>
  <c r="A116" i="4"/>
  <c r="B116" i="4" s="1"/>
  <c r="A148" i="4"/>
  <c r="B148" i="4" s="1"/>
  <c r="A217" i="4"/>
  <c r="B217" i="4" s="1"/>
  <c r="A345" i="4"/>
  <c r="B345" i="4" s="1"/>
  <c r="A75" i="4"/>
  <c r="B75" i="4" s="1"/>
  <c r="A138" i="4"/>
  <c r="B138" i="4" s="1"/>
  <c r="A198" i="4"/>
  <c r="B198" i="4" s="1"/>
  <c r="A254" i="4"/>
  <c r="B254" i="4" s="1"/>
  <c r="A326" i="4"/>
  <c r="B326" i="4" s="1"/>
  <c r="A917" i="4"/>
  <c r="B917" i="4" s="1"/>
  <c r="A994" i="4"/>
  <c r="B994" i="4" s="1"/>
  <c r="A912" i="4"/>
  <c r="B912" i="4" s="1"/>
  <c r="A412" i="4"/>
  <c r="B412" i="4" s="1"/>
  <c r="A240" i="4"/>
  <c r="B240" i="4" s="1"/>
  <c r="A85" i="4"/>
  <c r="B85" i="4" s="1"/>
  <c r="A136" i="4"/>
  <c r="B136" i="4" s="1"/>
  <c r="A209" i="4"/>
  <c r="B209" i="4" s="1"/>
  <c r="A387" i="4"/>
  <c r="B387" i="4" s="1"/>
  <c r="A99" i="4"/>
  <c r="B99" i="4" s="1"/>
  <c r="A180" i="4"/>
  <c r="B180" i="4" s="1"/>
  <c r="A276" i="4"/>
  <c r="B276" i="4" s="1"/>
  <c r="A975" i="4"/>
  <c r="B975" i="4" s="1"/>
  <c r="A920" i="4"/>
  <c r="B920" i="4" s="1"/>
  <c r="A87" i="4"/>
  <c r="B87" i="4" s="1"/>
  <c r="A352" i="4"/>
  <c r="B352" i="4" s="1"/>
  <c r="A105" i="4"/>
  <c r="B105" i="4" s="1"/>
  <c r="A161" i="4"/>
  <c r="B161" i="4" s="1"/>
  <c r="A372" i="4"/>
  <c r="B372" i="4" s="1"/>
  <c r="A150" i="4"/>
  <c r="B150" i="4" s="1"/>
  <c r="A278" i="4"/>
  <c r="B278" i="4" s="1"/>
  <c r="A959" i="4"/>
  <c r="B959" i="4" s="1"/>
  <c r="A913" i="4"/>
  <c r="B913" i="4" s="1"/>
  <c r="A880" i="4"/>
  <c r="B880" i="4" s="1"/>
  <c r="A781" i="4"/>
  <c r="B781" i="4" s="1"/>
  <c r="A998" i="4"/>
  <c r="B998" i="4" s="1"/>
  <c r="A786" i="4"/>
  <c r="B786" i="4" s="1"/>
  <c r="A660" i="4"/>
  <c r="B660" i="4" s="1"/>
  <c r="A396" i="4"/>
  <c r="B396" i="4" s="1"/>
  <c r="A354" i="4"/>
  <c r="B354" i="4" s="1"/>
  <c r="A90" i="4"/>
  <c r="B90" i="4" s="1"/>
  <c r="A152" i="4"/>
  <c r="B152" i="4" s="1"/>
  <c r="A329" i="4"/>
  <c r="B329" i="4" s="1"/>
  <c r="A130" i="4"/>
  <c r="B130" i="4" s="1"/>
  <c r="A236" i="4"/>
  <c r="B236" i="4" s="1"/>
  <c r="A334" i="4"/>
  <c r="B334" i="4" s="1"/>
  <c r="A971" i="4"/>
  <c r="B971" i="4" s="1"/>
  <c r="A988" i="4"/>
  <c r="B988" i="4" s="1"/>
  <c r="A812" i="4"/>
  <c r="B812" i="4" s="1"/>
  <c r="A748" i="4"/>
  <c r="B748" i="4" s="1"/>
  <c r="A921" i="4"/>
  <c r="B921" i="4" s="1"/>
  <c r="A713" i="4"/>
  <c r="B713" i="4" s="1"/>
  <c r="A856" i="4"/>
  <c r="B856" i="4" s="1"/>
  <c r="A624" i="4"/>
  <c r="B624" i="4" s="1"/>
  <c r="A615" i="4"/>
  <c r="B615" i="4" s="1"/>
  <c r="A484" i="4"/>
  <c r="B484" i="4" s="1"/>
  <c r="A655" i="4"/>
  <c r="B655" i="4" s="1"/>
  <c r="A575" i="4"/>
  <c r="B575" i="4" s="1"/>
  <c r="A407" i="4"/>
  <c r="B407" i="4" s="1"/>
  <c r="A583" i="4"/>
  <c r="B583" i="4" s="1"/>
  <c r="A536" i="4"/>
  <c r="B536" i="4" s="1"/>
  <c r="A505" i="4"/>
  <c r="B505" i="4" s="1"/>
  <c r="A434" i="4"/>
  <c r="B434" i="4" s="1"/>
  <c r="A335" i="4"/>
  <c r="B335" i="4" s="1"/>
  <c r="A271" i="4"/>
  <c r="B271" i="4" s="1"/>
  <c r="A207" i="4"/>
  <c r="B207" i="4" s="1"/>
  <c r="A54" i="4"/>
  <c r="B54" i="4" s="1"/>
  <c r="A111" i="4"/>
  <c r="B111" i="4" s="1"/>
  <c r="A189" i="4"/>
  <c r="B189" i="4" s="1"/>
  <c r="A309" i="4"/>
  <c r="B309" i="4" s="1"/>
  <c r="A435" i="4"/>
  <c r="B435" i="4" s="1"/>
  <c r="A409" i="4"/>
  <c r="B409" i="4" s="1"/>
  <c r="A657" i="4"/>
  <c r="B657" i="4" s="1"/>
  <c r="A441" i="4"/>
  <c r="B441" i="4" s="1"/>
  <c r="A35" i="4"/>
  <c r="B35" i="4" s="1"/>
  <c r="A36" i="4"/>
  <c r="B36" i="4" s="1"/>
  <c r="A29" i="4"/>
  <c r="B29" i="4" s="1"/>
  <c r="A52" i="4"/>
  <c r="B52" i="4" s="1"/>
  <c r="A232" i="4"/>
  <c r="B232" i="4" s="1"/>
  <c r="A60" i="4"/>
  <c r="B60" i="4" s="1"/>
  <c r="A168" i="4"/>
  <c r="B168" i="4" s="1"/>
  <c r="A200" i="4"/>
  <c r="B200" i="4" s="1"/>
  <c r="A388" i="4"/>
  <c r="B388" i="4" s="1"/>
  <c r="A210" i="4"/>
  <c r="B210" i="4" s="1"/>
  <c r="A338" i="4"/>
  <c r="B338" i="4" s="1"/>
  <c r="A82" i="4"/>
  <c r="B82" i="4" s="1"/>
  <c r="A124" i="4"/>
  <c r="B124" i="4" s="1"/>
  <c r="A156" i="4"/>
  <c r="B156" i="4" s="1"/>
  <c r="A249" i="4"/>
  <c r="B249" i="4" s="1"/>
  <c r="A379" i="4"/>
  <c r="B379" i="4" s="1"/>
  <c r="A91" i="4"/>
  <c r="B91" i="4" s="1"/>
  <c r="A154" i="4"/>
  <c r="B154" i="4" s="1"/>
  <c r="A212" i="4"/>
  <c r="B212" i="4" s="1"/>
  <c r="A284" i="4"/>
  <c r="B284" i="4" s="1"/>
  <c r="A340" i="4"/>
  <c r="B340" i="4" s="1"/>
  <c r="A885" i="4"/>
  <c r="B885" i="4" s="1"/>
  <c r="A932" i="4"/>
  <c r="B932" i="4" s="1"/>
  <c r="A296" i="4"/>
  <c r="B296" i="4" s="1"/>
  <c r="A376" i="4"/>
  <c r="B376" i="4" s="1"/>
  <c r="A71" i="4"/>
  <c r="B71" i="4" s="1"/>
  <c r="A104" i="4"/>
  <c r="B104" i="4" s="1"/>
  <c r="A145" i="4"/>
  <c r="B145" i="4" s="1"/>
  <c r="A257" i="4"/>
  <c r="B257" i="4" s="1"/>
  <c r="A427" i="4"/>
  <c r="B427" i="4" s="1"/>
  <c r="A118" i="4"/>
  <c r="B118" i="4" s="1"/>
  <c r="A204" i="4"/>
  <c r="B204" i="4" s="1"/>
  <c r="A294" i="4"/>
  <c r="B294" i="4" s="1"/>
  <c r="A935" i="4"/>
  <c r="B935" i="4" s="1"/>
  <c r="A330" i="4"/>
  <c r="B330" i="4" s="1"/>
  <c r="A92" i="4"/>
  <c r="B92" i="4" s="1"/>
  <c r="A100" i="4"/>
  <c r="B100" i="4" s="1"/>
  <c r="A120" i="4"/>
  <c r="B120" i="4" s="1"/>
  <c r="A201" i="4"/>
  <c r="B201" i="4" s="1"/>
  <c r="A72" i="4"/>
  <c r="B72" i="4" s="1"/>
  <c r="A174" i="4"/>
  <c r="B174" i="4" s="1"/>
  <c r="A302" i="4"/>
  <c r="B302" i="4" s="1"/>
  <c r="A901" i="4"/>
  <c r="B901" i="4" s="1"/>
  <c r="A873" i="4"/>
  <c r="B873" i="4" s="1"/>
  <c r="A829" i="4"/>
  <c r="B829" i="4" s="1"/>
  <c r="A765" i="4"/>
  <c r="B765" i="4" s="1"/>
  <c r="A826" i="4"/>
  <c r="B826" i="4" s="1"/>
  <c r="A754" i="4"/>
  <c r="B754" i="4" s="1"/>
  <c r="A186" i="4"/>
  <c r="B186" i="4" s="1"/>
  <c r="A224" i="4"/>
  <c r="B224" i="4" s="1"/>
  <c r="A1000" i="4"/>
  <c r="B1000" i="4" s="1"/>
  <c r="A109" i="4"/>
  <c r="B109" i="4" s="1"/>
  <c r="A165" i="4"/>
  <c r="B165" i="4" s="1"/>
  <c r="A395" i="4"/>
  <c r="B395" i="4" s="1"/>
  <c r="A158" i="4"/>
  <c r="B158" i="4" s="1"/>
  <c r="A262" i="4"/>
  <c r="B262" i="4" s="1"/>
  <c r="A997" i="4"/>
  <c r="B997" i="4" s="1"/>
  <c r="A964" i="4"/>
  <c r="B964" i="4" s="1"/>
  <c r="A918" i="4"/>
  <c r="B918" i="4" s="1"/>
  <c r="A796" i="4"/>
  <c r="B796" i="4" s="1"/>
  <c r="A732" i="4"/>
  <c r="B732" i="4" s="1"/>
  <c r="A817" i="4"/>
  <c r="B817" i="4" s="1"/>
  <c r="A681" i="4"/>
  <c r="B681" i="4" s="1"/>
  <c r="A752" i="4"/>
  <c r="B752" i="4" s="1"/>
  <c r="A589" i="4"/>
  <c r="B589" i="4" s="1"/>
  <c r="A580" i="4"/>
  <c r="B580" i="4" s="1"/>
  <c r="A768" i="4"/>
  <c r="B768" i="4" s="1"/>
  <c r="A621" i="4"/>
  <c r="B621" i="4" s="1"/>
  <c r="A591" i="4"/>
  <c r="B591" i="4" s="1"/>
  <c r="A979" i="4"/>
  <c r="B979" i="4" s="1"/>
  <c r="A509" i="4"/>
  <c r="B509" i="4" s="1"/>
  <c r="A504" i="4"/>
  <c r="B504" i="4" s="1"/>
  <c r="A426" i="4"/>
  <c r="B426" i="4" s="1"/>
  <c r="A400" i="4"/>
  <c r="B400" i="4" s="1"/>
  <c r="A319" i="4"/>
  <c r="B319" i="4" s="1"/>
  <c r="A255" i="4"/>
  <c r="B255" i="4" s="1"/>
  <c r="A191" i="4"/>
  <c r="B191" i="4" s="1"/>
  <c r="A65" i="4"/>
  <c r="B65" i="4" s="1"/>
  <c r="A127" i="4"/>
  <c r="B127" i="4" s="1"/>
  <c r="A221" i="4"/>
  <c r="B221" i="4" s="1"/>
  <c r="A349" i="4"/>
  <c r="B349" i="4" s="1"/>
  <c r="A451" i="4"/>
  <c r="B451" i="4" s="1"/>
  <c r="A487" i="4"/>
  <c r="B487" i="4" s="1"/>
  <c r="A462" i="4"/>
  <c r="B462" i="4" s="1"/>
  <c r="A457" i="4"/>
  <c r="B457" i="4" s="1"/>
  <c r="A24" i="4"/>
  <c r="B24" i="4" s="1"/>
  <c r="A40" i="4"/>
  <c r="B40" i="4" s="1"/>
  <c r="A33" i="4"/>
  <c r="B33" i="4" s="1"/>
  <c r="A170" i="4"/>
  <c r="B170" i="4" s="1"/>
  <c r="A312" i="4"/>
  <c r="B312" i="4" s="1"/>
  <c r="A234" i="4"/>
  <c r="B234" i="4" s="1"/>
  <c r="A360" i="4"/>
  <c r="B360" i="4" s="1"/>
  <c r="A84" i="4"/>
  <c r="B84" i="4" s="1"/>
  <c r="A272" i="4"/>
  <c r="B272" i="4" s="1"/>
  <c r="A356" i="4"/>
  <c r="B356" i="4" s="1"/>
  <c r="A98" i="4"/>
  <c r="B98" i="4" s="1"/>
  <c r="A132" i="4"/>
  <c r="B132" i="4" s="1"/>
  <c r="A164" i="4"/>
  <c r="B164" i="4" s="1"/>
  <c r="A281" i="4"/>
  <c r="B281" i="4" s="1"/>
  <c r="A411" i="4"/>
  <c r="B411" i="4" s="1"/>
  <c r="A106" i="4"/>
  <c r="B106" i="4" s="1"/>
  <c r="A172" i="4"/>
  <c r="B172" i="4" s="1"/>
  <c r="A228" i="4"/>
  <c r="B228" i="4" s="1"/>
  <c r="A300" i="4"/>
  <c r="B300" i="4" s="1"/>
  <c r="A983" i="4"/>
  <c r="B983" i="4" s="1"/>
  <c r="A853" i="4"/>
  <c r="B853" i="4" s="1"/>
  <c r="A897" i="4"/>
  <c r="B897" i="4" s="1"/>
  <c r="A202" i="4"/>
  <c r="B202" i="4" s="1"/>
  <c r="A176" i="4"/>
  <c r="B176" i="4" s="1"/>
  <c r="A50" i="4"/>
  <c r="B50" i="4" s="1"/>
  <c r="A113" i="4"/>
  <c r="B113" i="4" s="1"/>
  <c r="A157" i="4"/>
  <c r="B157" i="4" s="1"/>
  <c r="A297" i="4"/>
  <c r="B297" i="4" s="1"/>
  <c r="A64" i="4"/>
  <c r="B64" i="4" s="1"/>
  <c r="A142" i="4"/>
  <c r="B142" i="4" s="1"/>
  <c r="A220" i="4"/>
  <c r="B220" i="4" s="1"/>
  <c r="A316" i="4"/>
  <c r="B316" i="4" s="1"/>
  <c r="A893" i="4"/>
  <c r="B893" i="4" s="1"/>
  <c r="A79" i="4"/>
  <c r="B79" i="4" s="1"/>
  <c r="A256" i="4"/>
  <c r="B256" i="4" s="1"/>
  <c r="A42" i="4"/>
  <c r="B42" i="4" s="1"/>
  <c r="A133" i="4"/>
  <c r="B133" i="4" s="1"/>
  <c r="A265" i="4"/>
  <c r="B265" i="4" s="1"/>
  <c r="A96" i="4"/>
  <c r="B96" i="4" s="1"/>
  <c r="A230" i="4"/>
  <c r="B230" i="4" s="1"/>
  <c r="A332" i="4"/>
  <c r="B332" i="4" s="1"/>
  <c r="A987" i="4"/>
  <c r="B987" i="4" s="1"/>
  <c r="A841" i="4"/>
  <c r="B841" i="4" s="1"/>
  <c r="A813" i="4"/>
  <c r="B813" i="4" s="1"/>
  <c r="A749" i="4"/>
  <c r="B749" i="4" s="1"/>
  <c r="A947" i="4"/>
  <c r="B947" i="4" s="1"/>
  <c r="A722" i="4"/>
  <c r="B722" i="4" s="1"/>
  <c r="A314" i="4"/>
  <c r="B314" i="4" s="1"/>
  <c r="A258" i="4"/>
  <c r="B258" i="4" s="1"/>
  <c r="A44" i="4"/>
  <c r="B44" i="4" s="1"/>
  <c r="A121" i="4"/>
  <c r="B121" i="4" s="1"/>
  <c r="A225" i="4"/>
  <c r="B225" i="4" s="1"/>
  <c r="A56" i="4"/>
  <c r="B56" i="4" s="1"/>
  <c r="A188" i="4"/>
  <c r="B188" i="4" s="1"/>
  <c r="A286" i="4"/>
  <c r="B286" i="4" s="1"/>
  <c r="A943" i="4"/>
  <c r="B943" i="4" s="1"/>
  <c r="A910" i="4"/>
  <c r="B910" i="4" s="1"/>
  <c r="A864" i="4"/>
  <c r="B864" i="4" s="1"/>
  <c r="A780" i="4"/>
  <c r="B780" i="4" s="1"/>
  <c r="A928" i="4"/>
  <c r="B928" i="4" s="1"/>
  <c r="A777" i="4"/>
  <c r="B777" i="4" s="1"/>
  <c r="A652" i="4"/>
  <c r="B652" i="4" s="1"/>
  <c r="A700" i="4"/>
  <c r="B700" i="4" s="1"/>
  <c r="A672" i="4"/>
  <c r="B672" i="4" s="1"/>
  <c r="A548" i="4"/>
  <c r="B548" i="4" s="1"/>
  <c r="A716" i="4"/>
  <c r="B716" i="4" s="1"/>
  <c r="A801" i="4"/>
  <c r="B801" i="4" s="1"/>
  <c r="A471" i="4"/>
  <c r="B471" i="4" s="1"/>
  <c r="A644" i="4"/>
  <c r="B644" i="4" s="1"/>
  <c r="A476" i="4"/>
  <c r="B476" i="4" s="1"/>
  <c r="A573" i="4"/>
  <c r="B573" i="4" s="1"/>
  <c r="A373" i="4"/>
  <c r="B373" i="4" s="1"/>
  <c r="A370" i="4"/>
  <c r="B370" i="4" s="1"/>
  <c r="A303" i="4"/>
  <c r="B303" i="4" s="1"/>
  <c r="A239" i="4"/>
  <c r="B239" i="4" s="1"/>
  <c r="A175" i="4"/>
  <c r="B175" i="4" s="1"/>
  <c r="A81" i="4"/>
  <c r="B81" i="4" s="1"/>
  <c r="A143" i="4"/>
  <c r="B143" i="4" s="1"/>
  <c r="A253" i="4"/>
  <c r="B253" i="4" s="1"/>
  <c r="A366" i="4"/>
  <c r="B366" i="4" s="1"/>
  <c r="A467" i="4"/>
  <c r="B467" i="4" s="1"/>
  <c r="A519" i="4"/>
  <c r="B519" i="4" s="1"/>
  <c r="A405" i="4"/>
  <c r="B405" i="4" s="1"/>
  <c r="A499" i="4"/>
  <c r="B499" i="4" s="1"/>
  <c r="A28" i="4"/>
  <c r="B28" i="4" s="1"/>
  <c r="A280" i="4"/>
  <c r="B280" i="4" s="1"/>
  <c r="A266" i="4"/>
  <c r="B266" i="4" s="1"/>
  <c r="A108" i="4"/>
  <c r="B108" i="4" s="1"/>
  <c r="A51" i="4"/>
  <c r="B51" i="4" s="1"/>
  <c r="A310" i="4"/>
  <c r="B310" i="4" s="1"/>
  <c r="A282" i="4"/>
  <c r="B282" i="4" s="1"/>
  <c r="A169" i="4"/>
  <c r="B169" i="4" s="1"/>
  <c r="A260" i="4"/>
  <c r="B260" i="4" s="1"/>
  <c r="A304" i="4"/>
  <c r="B304" i="4" s="1"/>
  <c r="A126" i="4"/>
  <c r="B126" i="4" s="1"/>
  <c r="A931" i="4"/>
  <c r="B931" i="4" s="1"/>
  <c r="A692" i="4"/>
  <c r="B692" i="4" s="1"/>
  <c r="A137" i="4"/>
  <c r="B137" i="4" s="1"/>
  <c r="A308" i="4"/>
  <c r="B308" i="4" s="1"/>
  <c r="A764" i="4"/>
  <c r="B764" i="4" s="1"/>
  <c r="A663" i="4"/>
  <c r="B663" i="4" s="1"/>
  <c r="A651" i="4"/>
  <c r="B651" i="4" s="1"/>
  <c r="A537" i="4"/>
  <c r="B537" i="4" s="1"/>
  <c r="A223" i="4"/>
  <c r="B223" i="4" s="1"/>
  <c r="A285" i="4"/>
  <c r="B285" i="4" s="1"/>
  <c r="A585" i="4"/>
  <c r="B585" i="4" s="1"/>
  <c r="A178" i="4"/>
  <c r="B178" i="4" s="1"/>
  <c r="A48" i="4"/>
  <c r="B48" i="4" s="1"/>
  <c r="A128" i="4"/>
  <c r="B128" i="4" s="1"/>
  <c r="A233" i="4"/>
  <c r="B233" i="4" s="1"/>
  <c r="A59" i="4"/>
  <c r="B59" i="4" s="1"/>
  <c r="A166" i="4"/>
  <c r="B166" i="4" s="1"/>
  <c r="A268" i="4"/>
  <c r="B268" i="4" s="1"/>
  <c r="A993" i="4"/>
  <c r="B993" i="4" s="1"/>
  <c r="A948" i="4"/>
  <c r="B948" i="4" s="1"/>
  <c r="A905" i="4"/>
  <c r="B905" i="4" s="1"/>
  <c r="A789" i="4"/>
  <c r="B789" i="4" s="1"/>
  <c r="A725" i="4"/>
  <c r="B725" i="4" s="1"/>
  <c r="A809" i="4"/>
  <c r="B809" i="4" s="1"/>
  <c r="A676" i="4"/>
  <c r="B676" i="4" s="1"/>
  <c r="A730" i="4"/>
  <c r="B730" i="4" s="1"/>
  <c r="A785" i="4"/>
  <c r="B785" i="4" s="1"/>
  <c r="A572" i="4"/>
  <c r="B572" i="4" s="1"/>
  <c r="A746" i="4"/>
  <c r="B746" i="4" s="1"/>
  <c r="A616" i="4"/>
  <c r="B616" i="4" s="1"/>
  <c r="A250" i="4"/>
  <c r="B250" i="4" s="1"/>
  <c r="A160" i="4"/>
  <c r="B160" i="4" s="1"/>
  <c r="A324" i="4"/>
  <c r="B324" i="4" s="1"/>
  <c r="A756" i="4"/>
  <c r="B756" i="4" s="1"/>
  <c r="A762" i="4"/>
  <c r="B762" i="4" s="1"/>
  <c r="A588" i="4"/>
  <c r="B588" i="4" s="1"/>
  <c r="A632" i="4"/>
  <c r="B632" i="4" s="1"/>
  <c r="A447" i="4"/>
  <c r="B447" i="4" s="1"/>
  <c r="A567" i="4"/>
  <c r="B567" i="4" s="1"/>
  <c r="A488" i="4"/>
  <c r="B488" i="4" s="1"/>
  <c r="A474" i="4"/>
  <c r="B474" i="4" s="1"/>
  <c r="A331" i="4"/>
  <c r="B331" i="4" s="1"/>
  <c r="A247" i="4"/>
  <c r="B247" i="4" s="1"/>
  <c r="A41" i="4"/>
  <c r="B41" i="4" s="1"/>
  <c r="A135" i="4"/>
  <c r="B135" i="4" s="1"/>
  <c r="A277" i="4"/>
  <c r="B277" i="4" s="1"/>
  <c r="A385" i="4"/>
  <c r="B385" i="4" s="1"/>
  <c r="A527" i="4"/>
  <c r="B527" i="4" s="1"/>
  <c r="A428" i="4"/>
  <c r="B428" i="4" s="1"/>
  <c r="A193" i="4"/>
  <c r="B193" i="4" s="1"/>
  <c r="A926" i="4"/>
  <c r="B926" i="4" s="1"/>
  <c r="A838" i="4"/>
  <c r="B838" i="4" s="1"/>
  <c r="A564" i="4"/>
  <c r="B564" i="4" s="1"/>
  <c r="A619" i="4"/>
  <c r="B619" i="4" s="1"/>
  <c r="A628" i="4"/>
  <c r="B628" i="4" s="1"/>
  <c r="A480" i="4"/>
  <c r="B480" i="4" s="1"/>
  <c r="A408" i="4"/>
  <c r="B408" i="4" s="1"/>
  <c r="A275" i="4"/>
  <c r="B275" i="4" s="1"/>
  <c r="A57" i="4"/>
  <c r="B57" i="4" s="1"/>
  <c r="A173" i="4"/>
  <c r="B173" i="4" s="1"/>
  <c r="A361" i="4"/>
  <c r="B361" i="4" s="1"/>
  <c r="A393" i="4"/>
  <c r="B393" i="4" s="1"/>
  <c r="A397" i="4"/>
  <c r="B397" i="4" s="1"/>
  <c r="A483" i="4"/>
  <c r="B483" i="4" s="1"/>
  <c r="A579" i="4"/>
  <c r="B579" i="4" s="1"/>
  <c r="A530" i="4"/>
  <c r="B530" i="4" s="1"/>
  <c r="A759" i="4"/>
  <c r="B759" i="4" s="1"/>
  <c r="A649" i="4"/>
  <c r="B649" i="4" s="1"/>
  <c r="A758" i="4"/>
  <c r="B758" i="4" s="1"/>
  <c r="A614" i="4"/>
  <c r="B614" i="4" s="1"/>
  <c r="A798" i="4"/>
  <c r="B798" i="4" s="1"/>
  <c r="A916" i="4"/>
  <c r="B916" i="4" s="1"/>
  <c r="A763" i="4"/>
  <c r="B763" i="4" s="1"/>
  <c r="A827" i="4"/>
  <c r="B827" i="4" s="1"/>
  <c r="A298" i="4"/>
  <c r="B298" i="4" s="1"/>
  <c r="A95" i="4"/>
  <c r="B95" i="4" s="1"/>
  <c r="A140" i="4"/>
  <c r="B140" i="4" s="1"/>
  <c r="A122" i="4"/>
  <c r="B122" i="4" s="1"/>
  <c r="A951" i="4"/>
  <c r="B951" i="4" s="1"/>
  <c r="A208" i="4"/>
  <c r="B208" i="4" s="1"/>
  <c r="A337" i="4"/>
  <c r="B337" i="4" s="1"/>
  <c r="A350" i="4"/>
  <c r="B350" i="4" s="1"/>
  <c r="A77" i="4"/>
  <c r="B77" i="4" s="1"/>
  <c r="A252" i="4"/>
  <c r="B252" i="4" s="1"/>
  <c r="A797" i="4"/>
  <c r="B797" i="4" s="1"/>
  <c r="A55" i="4"/>
  <c r="B55" i="4" s="1"/>
  <c r="A273" i="4"/>
  <c r="B273" i="4" s="1"/>
  <c r="A877" i="4"/>
  <c r="B877" i="4" s="1"/>
  <c r="A818" i="4"/>
  <c r="B818" i="4" s="1"/>
  <c r="A647" i="4"/>
  <c r="B647" i="4" s="1"/>
  <c r="A439" i="4"/>
  <c r="B439" i="4" s="1"/>
  <c r="A466" i="4"/>
  <c r="B466" i="4" s="1"/>
  <c r="A43" i="4"/>
  <c r="B43" i="4" s="1"/>
  <c r="A377" i="4"/>
  <c r="B377" i="4" s="1"/>
  <c r="A523" i="4"/>
  <c r="B523" i="4" s="1"/>
  <c r="A226" i="4"/>
  <c r="B226" i="4" s="1"/>
  <c r="A69" i="4"/>
  <c r="B69" i="4" s="1"/>
  <c r="A141" i="4"/>
  <c r="B141" i="4" s="1"/>
  <c r="A289" i="4"/>
  <c r="B289" i="4" s="1"/>
  <c r="A83" i="4"/>
  <c r="B83" i="4" s="1"/>
  <c r="A190" i="4"/>
  <c r="B190" i="4" s="1"/>
  <c r="A292" i="4"/>
  <c r="B292" i="4" s="1"/>
  <c r="A925" i="4"/>
  <c r="B925" i="4" s="1"/>
  <c r="A889" i="4"/>
  <c r="B889" i="4" s="1"/>
  <c r="A848" i="4"/>
  <c r="B848" i="4" s="1"/>
  <c r="A773" i="4"/>
  <c r="B773" i="4" s="1"/>
  <c r="A840" i="4"/>
  <c r="B840" i="4" s="1"/>
  <c r="A770" i="4"/>
  <c r="B770" i="4" s="1"/>
  <c r="A940" i="4"/>
  <c r="B940" i="4" s="1"/>
  <c r="A696" i="4"/>
  <c r="B696" i="4" s="1"/>
  <c r="A669" i="4"/>
  <c r="B669" i="4" s="1"/>
  <c r="A540" i="4"/>
  <c r="B540" i="4" s="1"/>
  <c r="A712" i="4"/>
  <c r="B712" i="4" s="1"/>
  <c r="A737" i="4"/>
  <c r="B737" i="4" s="1"/>
  <c r="A368" i="4"/>
  <c r="B368" i="4" s="1"/>
  <c r="A364" i="4"/>
  <c r="B364" i="4" s="1"/>
  <c r="A861" i="4"/>
  <c r="B861" i="4" s="1"/>
  <c r="A802" i="4"/>
  <c r="B802" i="4" s="1"/>
  <c r="A689" i="4"/>
  <c r="B689" i="4" s="1"/>
  <c r="A524" i="4"/>
  <c r="B524" i="4" s="1"/>
  <c r="A664" i="4"/>
  <c r="B664" i="4" s="1"/>
  <c r="A399" i="4"/>
  <c r="B399" i="4" s="1"/>
  <c r="A493" i="4"/>
  <c r="B493" i="4" s="1"/>
  <c r="A545" i="4"/>
  <c r="B545" i="4" s="1"/>
  <c r="A424" i="4"/>
  <c r="B424" i="4" s="1"/>
  <c r="A311" i="4"/>
  <c r="B311" i="4" s="1"/>
  <c r="A227" i="4"/>
  <c r="B227" i="4" s="1"/>
  <c r="A73" i="4"/>
  <c r="B73" i="4" s="1"/>
  <c r="A155" i="4"/>
  <c r="B155" i="4" s="1"/>
  <c r="A341" i="4"/>
  <c r="B341" i="4" s="1"/>
  <c r="A401" i="4"/>
  <c r="B401" i="4" s="1"/>
  <c r="A454" i="4"/>
  <c r="B454" i="4" s="1"/>
  <c r="A346" i="4"/>
  <c r="B346" i="4" s="1"/>
  <c r="A67" i="4"/>
  <c r="B67" i="4" s="1"/>
  <c r="A836" i="4"/>
  <c r="B836" i="4" s="1"/>
  <c r="A720" i="4"/>
  <c r="B720" i="4" s="1"/>
  <c r="A492" i="4"/>
  <c r="B492" i="4" s="1"/>
  <c r="A584" i="4"/>
  <c r="B584" i="4" s="1"/>
  <c r="A525" i="4"/>
  <c r="B525" i="4" s="1"/>
  <c r="A521" i="4"/>
  <c r="B521" i="4" s="1"/>
  <c r="A359" i="4"/>
  <c r="B359" i="4" s="1"/>
  <c r="A243" i="4"/>
  <c r="B243" i="4" s="1"/>
  <c r="A86" i="4"/>
  <c r="B86" i="4" s="1"/>
  <c r="A229" i="4"/>
  <c r="B229" i="4" s="1"/>
  <c r="A386" i="4"/>
  <c r="B386" i="4" s="1"/>
  <c r="A495" i="4"/>
  <c r="B495" i="4" s="1"/>
  <c r="A421" i="4"/>
  <c r="B421" i="4" s="1"/>
  <c r="A515" i="4"/>
  <c r="B515" i="4" s="1"/>
  <c r="A673" i="4"/>
  <c r="B673" i="4" s="1"/>
  <c r="A546" i="4"/>
  <c r="B546" i="4" s="1"/>
  <c r="A890" i="4"/>
  <c r="B890" i="4" s="1"/>
  <c r="A891" i="4"/>
  <c r="B891" i="4" s="1"/>
  <c r="A634" i="4"/>
  <c r="B634" i="4" s="1"/>
  <c r="A703" i="4"/>
  <c r="B703" i="4" s="1"/>
  <c r="A970" i="4"/>
  <c r="B970" i="4" s="1"/>
  <c r="A986" i="4"/>
  <c r="B986" i="4" s="1"/>
  <c r="A779" i="4"/>
  <c r="B779" i="4" s="1"/>
  <c r="A37" i="4"/>
  <c r="B37" i="4" s="1"/>
  <c r="A344" i="4"/>
  <c r="B344" i="4" s="1"/>
  <c r="A290" i="4"/>
  <c r="B290" i="4" s="1"/>
  <c r="A185" i="4"/>
  <c r="B185" i="4" s="1"/>
  <c r="A182" i="4"/>
  <c r="B182" i="4" s="1"/>
  <c r="A955" i="4"/>
  <c r="B955" i="4" s="1"/>
  <c r="A66" i="4"/>
  <c r="B66" i="4" s="1"/>
  <c r="A80" i="4"/>
  <c r="B80" i="4" s="1"/>
  <c r="A845" i="4"/>
  <c r="B845" i="4" s="1"/>
  <c r="A149" i="4"/>
  <c r="B149" i="4" s="1"/>
  <c r="A358" i="4"/>
  <c r="B358" i="4" s="1"/>
  <c r="A733" i="4"/>
  <c r="B733" i="4" s="1"/>
  <c r="A306" i="4"/>
  <c r="B306" i="4" s="1"/>
  <c r="A102" i="4"/>
  <c r="B102" i="4" s="1"/>
  <c r="A857" i="4"/>
  <c r="B857" i="4" s="1"/>
  <c r="A745" i="4"/>
  <c r="B745" i="4" s="1"/>
  <c r="A516" i="4"/>
  <c r="B516" i="4" s="1"/>
  <c r="A612" i="4"/>
  <c r="B612" i="4" s="1"/>
  <c r="A351" i="4"/>
  <c r="B351" i="4" s="1"/>
  <c r="A94" i="4"/>
  <c r="B94" i="4" s="1"/>
  <c r="A398" i="4"/>
  <c r="B398" i="4" s="1"/>
  <c r="A218" i="4"/>
  <c r="B218" i="4" s="1"/>
  <c r="A274" i="4"/>
  <c r="B274" i="4" s="1"/>
  <c r="A93" i="4"/>
  <c r="B93" i="4" s="1"/>
  <c r="A153" i="4"/>
  <c r="B153" i="4" s="1"/>
  <c r="A353" i="4"/>
  <c r="B353" i="4" s="1"/>
  <c r="A110" i="4"/>
  <c r="B110" i="4" s="1"/>
  <c r="A214" i="4"/>
  <c r="B214" i="4" s="1"/>
  <c r="A318" i="4"/>
  <c r="B318" i="4" s="1"/>
  <c r="A869" i="4"/>
  <c r="B869" i="4" s="1"/>
  <c r="A849" i="4"/>
  <c r="B849" i="4" s="1"/>
  <c r="A821" i="4"/>
  <c r="B821" i="4" s="1"/>
  <c r="A757" i="4"/>
  <c r="B757" i="4" s="1"/>
  <c r="A810" i="4"/>
  <c r="B810" i="4" s="1"/>
  <c r="A738" i="4"/>
  <c r="B738" i="4" s="1"/>
  <c r="A698" i="4"/>
  <c r="B698" i="4" s="1"/>
  <c r="A645" i="4"/>
  <c r="B645" i="4" s="1"/>
  <c r="A636" i="4"/>
  <c r="B636" i="4" s="1"/>
  <c r="A508" i="4"/>
  <c r="B508" i="4" s="1"/>
  <c r="A684" i="4"/>
  <c r="B684" i="4" s="1"/>
  <c r="A576" i="4"/>
  <c r="B576" i="4" s="1"/>
  <c r="A288" i="4"/>
  <c r="B288" i="4" s="1"/>
  <c r="A114" i="4"/>
  <c r="B114" i="4" s="1"/>
  <c r="A837" i="4"/>
  <c r="B837" i="4" s="1"/>
  <c r="A729" i="4"/>
  <c r="B729" i="4" s="1"/>
  <c r="A597" i="4"/>
  <c r="B597" i="4" s="1"/>
  <c r="A778" i="4"/>
  <c r="B778" i="4" s="1"/>
  <c r="A432" i="4"/>
  <c r="B432" i="4" s="1"/>
  <c r="A769" i="4"/>
  <c r="B769" i="4" s="1"/>
  <c r="A452" i="4"/>
  <c r="B452" i="4" s="1"/>
  <c r="A497" i="4"/>
  <c r="B497" i="4" s="1"/>
  <c r="A384" i="4"/>
  <c r="B384" i="4" s="1"/>
  <c r="A291" i="4"/>
  <c r="B291" i="4" s="1"/>
  <c r="A203" i="4"/>
  <c r="B203" i="4" s="1"/>
  <c r="A89" i="4"/>
  <c r="B89" i="4" s="1"/>
  <c r="A197" i="4"/>
  <c r="B197" i="4" s="1"/>
  <c r="A443" i="4"/>
  <c r="B443" i="4" s="1"/>
  <c r="A414" i="4"/>
  <c r="B414" i="4" s="1"/>
  <c r="A363" i="4"/>
  <c r="B363" i="4" s="1"/>
  <c r="A68" i="4"/>
  <c r="B68" i="4" s="1"/>
  <c r="A196" i="4"/>
  <c r="B196" i="4" s="1"/>
  <c r="A740" i="4"/>
  <c r="B740" i="4" s="1"/>
  <c r="A629" i="4"/>
  <c r="B629" i="4" s="1"/>
  <c r="A706" i="4"/>
  <c r="B706" i="4" s="1"/>
  <c r="A431" i="4"/>
  <c r="B431" i="4" s="1"/>
  <c r="A468" i="4"/>
  <c r="B468" i="4" s="1"/>
  <c r="A418" i="4"/>
  <c r="B418" i="4" s="1"/>
  <c r="A327" i="4"/>
  <c r="B327" i="4" s="1"/>
  <c r="A215" i="4"/>
  <c r="B215" i="4" s="1"/>
  <c r="A107" i="4"/>
  <c r="B107" i="4" s="1"/>
  <c r="A293" i="4"/>
  <c r="B293" i="4" s="1"/>
  <c r="A456" i="4"/>
  <c r="B456" i="4" s="1"/>
  <c r="A543" i="4"/>
  <c r="B543" i="4" s="1"/>
  <c r="A571" i="4"/>
  <c r="B571" i="4" s="1"/>
  <c r="A539" i="4"/>
  <c r="B539" i="4" s="1"/>
  <c r="A453" i="4"/>
  <c r="B453" i="4" s="1"/>
  <c r="A595" i="4"/>
  <c r="B595" i="4" s="1"/>
  <c r="A574" i="4"/>
  <c r="B574" i="4" s="1"/>
  <c r="A665" i="4"/>
  <c r="B665" i="4" s="1"/>
  <c r="A842" i="4"/>
  <c r="B842" i="4" s="1"/>
  <c r="A750" i="4"/>
  <c r="B750" i="4" s="1"/>
  <c r="A830" i="4"/>
  <c r="B830" i="4" s="1"/>
  <c r="A731" i="4"/>
  <c r="B731" i="4" s="1"/>
  <c r="A795" i="4"/>
  <c r="B795" i="4" s="1"/>
  <c r="A907" i="4"/>
  <c r="B907" i="4" s="1"/>
  <c r="J506" i="2" l="1"/>
  <c r="A3" i="4"/>
  <c r="B3" i="4" s="1"/>
  <c r="A6" i="4"/>
  <c r="B6" i="4" s="1"/>
  <c r="A5" i="4"/>
  <c r="B5" i="4" s="1"/>
  <c r="A11" i="4"/>
  <c r="B11" i="4" s="1"/>
  <c r="A8" i="4"/>
  <c r="B8" i="4" s="1"/>
  <c r="A17" i="4"/>
  <c r="B17" i="4" s="1"/>
  <c r="A12" i="4"/>
  <c r="B12" i="4" s="1"/>
  <c r="A19" i="4"/>
  <c r="B19" i="4" s="1"/>
  <c r="A20" i="4"/>
  <c r="B20" i="4" s="1"/>
  <c r="A7" i="4"/>
  <c r="B7" i="4" s="1"/>
  <c r="A21" i="4"/>
  <c r="B21" i="4" s="1"/>
  <c r="A9" i="4"/>
  <c r="B9" i="4" s="1"/>
  <c r="A14" i="4"/>
  <c r="B14" i="4" s="1"/>
  <c r="A4" i="4"/>
  <c r="B4" i="4" s="1"/>
  <c r="A15" i="4"/>
  <c r="B15" i="4" s="1"/>
  <c r="A601" i="4"/>
  <c r="B601" i="4" s="1"/>
  <c r="A22" i="4"/>
  <c r="B22" i="4" s="1"/>
  <c r="A2" i="4"/>
  <c r="B2" i="4" s="1"/>
  <c r="A23" i="4"/>
  <c r="B23" i="4" s="1"/>
  <c r="A13" i="4"/>
  <c r="B13" i="4" s="1"/>
  <c r="A16" i="4"/>
  <c r="B16" i="4" s="1"/>
  <c r="A10" i="4"/>
  <c r="B10" i="4" s="1"/>
  <c r="A18" i="4"/>
  <c r="B18" i="4" s="1"/>
  <c r="F843" i="4" l="1"/>
  <c r="F705" i="4"/>
  <c r="F882" i="4"/>
  <c r="F704" i="4"/>
  <c r="F975" i="4"/>
  <c r="F945" i="4"/>
  <c r="F938" i="4"/>
  <c r="F878" i="4"/>
  <c r="F679" i="4"/>
  <c r="F418" i="4"/>
  <c r="F912" i="4"/>
  <c r="F895" i="4"/>
  <c r="F983" i="4"/>
  <c r="F905" i="4"/>
  <c r="F622" i="4"/>
  <c r="F738" i="4"/>
  <c r="F719" i="4"/>
  <c r="F734" i="4"/>
  <c r="F640" i="4"/>
  <c r="F629" i="4"/>
  <c r="F609" i="4"/>
  <c r="F386" i="4"/>
  <c r="F684" i="4"/>
  <c r="F233" i="4"/>
  <c r="F986" i="4"/>
  <c r="F180" i="4"/>
  <c r="F987" i="4"/>
  <c r="F626" i="4"/>
  <c r="F901" i="4"/>
  <c r="F170" i="4"/>
  <c r="F517" i="4"/>
  <c r="F616" i="4"/>
  <c r="F560" i="4"/>
  <c r="F942" i="4"/>
  <c r="F761" i="4"/>
  <c r="F9" i="4"/>
  <c r="F687" i="4"/>
  <c r="F853" i="4"/>
  <c r="F820" i="4"/>
  <c r="F673" i="4"/>
  <c r="F699" i="4"/>
  <c r="F819" i="4"/>
  <c r="F811" i="4"/>
  <c r="F748" i="4"/>
  <c r="F541" i="4"/>
  <c r="F401" i="4"/>
  <c r="F786" i="4"/>
  <c r="F67" i="4"/>
  <c r="F650" i="4"/>
  <c r="F955" i="4"/>
  <c r="F743" i="4"/>
  <c r="F762" i="4"/>
  <c r="F490" i="4"/>
  <c r="F435" i="4"/>
  <c r="F670" i="4"/>
  <c r="F931" i="4"/>
  <c r="F671" i="4"/>
  <c r="F989" i="4"/>
  <c r="F400" i="4"/>
  <c r="F106" i="4"/>
  <c r="F763" i="4"/>
  <c r="F421" i="4"/>
  <c r="F208" i="4"/>
  <c r="F876" i="4"/>
  <c r="F760" i="4"/>
  <c r="F766" i="4"/>
  <c r="F767" i="4"/>
  <c r="F257" i="4"/>
  <c r="F837" i="4"/>
  <c r="F326" i="4"/>
  <c r="F659" i="4"/>
  <c r="F16" i="4"/>
  <c r="F476" i="4"/>
  <c r="F845" i="4"/>
  <c r="F899" i="4"/>
  <c r="F542" i="4"/>
  <c r="F930" i="4"/>
  <c r="F753" i="4"/>
  <c r="F969" i="4"/>
  <c r="F403" i="4"/>
  <c r="F551" i="4"/>
  <c r="F545" i="4"/>
  <c r="F950" i="4"/>
  <c r="F769" i="4"/>
  <c r="F236" i="4"/>
  <c r="F925" i="4"/>
  <c r="F197" i="4"/>
  <c r="F84" i="4"/>
  <c r="F653" i="4"/>
  <c r="F565" i="4"/>
  <c r="F933" i="4"/>
  <c r="F958" i="4"/>
  <c r="F105" i="4"/>
  <c r="F530" i="4"/>
  <c r="F454" i="4"/>
  <c r="F488" i="4"/>
  <c r="F574" i="4"/>
  <c r="F800" i="4"/>
  <c r="F956" i="4"/>
  <c r="F199" i="4"/>
  <c r="F198" i="4"/>
  <c r="F81" i="4"/>
  <c r="F368" i="4"/>
  <c r="F348" i="4"/>
  <c r="F602" i="4"/>
  <c r="F511" i="4"/>
  <c r="F724" i="4"/>
  <c r="F854" i="4"/>
  <c r="F307" i="4"/>
  <c r="F155" i="4"/>
  <c r="F58" i="4"/>
  <c r="F298" i="4"/>
  <c r="F312" i="4"/>
  <c r="F871" i="4"/>
  <c r="F992" i="4"/>
  <c r="F214" i="4"/>
  <c r="F739" i="4"/>
  <c r="F513" i="4"/>
  <c r="F503" i="4"/>
  <c r="F984" i="4"/>
  <c r="F941" i="4"/>
  <c r="F980" i="4"/>
  <c r="M980" i="4" s="1"/>
  <c r="F939" i="4"/>
  <c r="F652" i="4"/>
  <c r="F508" i="4"/>
  <c r="F731" i="4"/>
  <c r="F639" i="4"/>
  <c r="F585" i="4"/>
  <c r="F771" i="4"/>
  <c r="F841" i="4"/>
  <c r="F973" i="4"/>
  <c r="F842" i="4"/>
  <c r="F993" i="4"/>
  <c r="F128" i="4"/>
  <c r="F516" i="4"/>
  <c r="F572" i="4"/>
  <c r="F651" i="4"/>
  <c r="F860" i="4"/>
  <c r="F641" i="4"/>
  <c r="F686" i="4"/>
  <c r="F894" i="4"/>
  <c r="F829" i="4"/>
  <c r="J829" i="4" s="1"/>
  <c r="F645" i="4"/>
  <c r="F690" i="4"/>
  <c r="F914" i="4"/>
  <c r="F173" i="4"/>
  <c r="F152" i="4"/>
  <c r="F570" i="4"/>
  <c r="F614" i="4"/>
  <c r="F773" i="4"/>
  <c r="P773" i="4" s="1"/>
  <c r="F681" i="4"/>
  <c r="F389" i="4"/>
  <c r="F327" i="4"/>
  <c r="F262" i="4"/>
  <c r="P262" i="4" s="1"/>
  <c r="F125" i="4"/>
  <c r="F587" i="4"/>
  <c r="F455" i="4"/>
  <c r="F544" i="4"/>
  <c r="F603" i="4"/>
  <c r="F505" i="4"/>
  <c r="F30" i="4"/>
  <c r="F38" i="4"/>
  <c r="F27" i="4"/>
  <c r="F142" i="4"/>
  <c r="F365" i="4"/>
  <c r="F507" i="4"/>
  <c r="F813" i="4"/>
  <c r="F438" i="4"/>
  <c r="F781" i="4"/>
  <c r="F599" i="4"/>
  <c r="F848" i="4"/>
  <c r="F831" i="4"/>
  <c r="F830" i="4"/>
  <c r="F824" i="4"/>
  <c r="F440" i="4"/>
  <c r="F473" i="4"/>
  <c r="F452" i="4"/>
  <c r="F691" i="4"/>
  <c r="F806" i="4"/>
  <c r="F835" i="4"/>
  <c r="F621" i="4"/>
  <c r="F682" i="4"/>
  <c r="F890" i="4"/>
  <c r="F313" i="4"/>
  <c r="F304" i="4"/>
  <c r="F483" i="4"/>
  <c r="F456" i="4"/>
  <c r="F717" i="4"/>
  <c r="F852" i="4"/>
  <c r="F990" i="4"/>
  <c r="F863" i="4"/>
  <c r="F994" i="4"/>
  <c r="F868" i="4"/>
  <c r="F867" i="4"/>
  <c r="F864" i="4"/>
  <c r="F998" i="4"/>
  <c r="F341" i="4"/>
  <c r="F324" i="4"/>
  <c r="F531" i="4"/>
  <c r="F486" i="4"/>
  <c r="F797" i="4"/>
  <c r="F903" i="4"/>
  <c r="F41" i="4"/>
  <c r="F371" i="4"/>
  <c r="F423" i="4"/>
  <c r="F285" i="4"/>
  <c r="F264" i="4"/>
  <c r="F442" i="4"/>
  <c r="F428" i="4"/>
  <c r="F636" i="4"/>
  <c r="F726" i="4"/>
  <c r="F50" i="4"/>
  <c r="F78" i="4"/>
  <c r="F271" i="4"/>
  <c r="F234" i="4"/>
  <c r="F333" i="4"/>
  <c r="F733" i="4"/>
  <c r="F698" i="4"/>
  <c r="F99" i="4"/>
  <c r="F506" i="4"/>
  <c r="F427" i="4"/>
  <c r="F475" i="4"/>
  <c r="F559" i="4"/>
  <c r="F768" i="4"/>
  <c r="F991" i="4"/>
  <c r="F775" i="4"/>
  <c r="F785" i="4"/>
  <c r="F778" i="4"/>
  <c r="F345" i="4"/>
  <c r="F515" i="4"/>
  <c r="L515" i="4" s="1"/>
  <c r="R515" i="4" s="1"/>
  <c r="S515" i="4" s="1"/>
  <c r="F577" i="4"/>
  <c r="F823" i="4"/>
  <c r="F161" i="4"/>
  <c r="F140" i="4"/>
  <c r="F556" i="4"/>
  <c r="F588" i="4"/>
  <c r="F715" i="4"/>
  <c r="F649" i="4"/>
  <c r="F804" i="4"/>
  <c r="F900" i="4"/>
  <c r="F851" i="4"/>
  <c r="F872" i="4"/>
  <c r="F522" i="4"/>
  <c r="F496" i="4"/>
  <c r="F963" i="4"/>
  <c r="F847" i="4"/>
  <c r="F245" i="4"/>
  <c r="F228" i="4"/>
  <c r="F409" i="4"/>
  <c r="F388" i="4"/>
  <c r="F764" i="4"/>
  <c r="F947" i="4"/>
  <c r="F703" i="4"/>
  <c r="F557" i="4"/>
  <c r="J557" i="4" s="1"/>
  <c r="F949" i="4"/>
  <c r="F906" i="4"/>
  <c r="F320" i="4"/>
  <c r="F567" i="4"/>
  <c r="F755" i="4"/>
  <c r="F69" i="4"/>
  <c r="F169" i="4"/>
  <c r="F144" i="4"/>
  <c r="F571" i="4"/>
  <c r="F608" i="4"/>
  <c r="F741" i="4"/>
  <c r="F889" i="4"/>
  <c r="F657" i="4"/>
  <c r="F798" i="4"/>
  <c r="F716" i="4"/>
  <c r="F965" i="4"/>
  <c r="F967" i="4"/>
  <c r="F839" i="4"/>
  <c r="F296" i="4"/>
  <c r="F974" i="4"/>
  <c r="M974" i="4" s="1"/>
  <c r="F249" i="4"/>
  <c r="F240" i="4"/>
  <c r="F417" i="4"/>
  <c r="F392" i="4"/>
  <c r="F844" i="4"/>
  <c r="F776" i="4"/>
  <c r="F793" i="4"/>
  <c r="F879" i="4"/>
  <c r="F501" i="4"/>
  <c r="F850" i="4"/>
  <c r="F288" i="4"/>
  <c r="F256" i="4"/>
  <c r="F194" i="4"/>
  <c r="F487" i="4"/>
  <c r="F749" i="4"/>
  <c r="F481" i="4"/>
  <c r="L481" i="4" s="1"/>
  <c r="R481" i="4" s="1"/>
  <c r="F891" i="4"/>
  <c r="F982" i="4"/>
  <c r="F581" i="4"/>
  <c r="F929" i="4"/>
  <c r="F685" i="4"/>
  <c r="F231" i="4"/>
  <c r="F153" i="4"/>
  <c r="F573" i="4"/>
  <c r="F920" i="4"/>
  <c r="F385" i="4"/>
  <c r="F744" i="4"/>
  <c r="F970" i="4"/>
  <c r="F770" i="4"/>
  <c r="F412" i="4"/>
  <c r="F666" i="4"/>
  <c r="F20" i="4"/>
  <c r="F74" i="4"/>
  <c r="F619" i="4"/>
  <c r="F634" i="4"/>
  <c r="F922" i="4"/>
  <c r="F708" i="4"/>
  <c r="F702" i="4"/>
  <c r="F926" i="4"/>
  <c r="F915" i="4"/>
  <c r="F661" i="4"/>
  <c r="F722" i="4"/>
  <c r="F873" i="4"/>
  <c r="F637" i="4"/>
  <c r="L637" i="4" s="1"/>
  <c r="R637" i="4" s="1"/>
  <c r="S637" i="4" s="1"/>
  <c r="F976" i="4"/>
  <c r="F725" i="4"/>
  <c r="F625" i="4"/>
  <c r="F892" i="4"/>
  <c r="F898" i="4"/>
  <c r="F52" i="4"/>
  <c r="F300" i="4"/>
  <c r="F259" i="4"/>
  <c r="F12" i="4"/>
  <c r="F252" i="4"/>
  <c r="F246" i="4"/>
  <c r="F932" i="4"/>
  <c r="F783" i="4"/>
  <c r="F833" i="4"/>
  <c r="F880" i="4"/>
  <c r="F759" i="4"/>
  <c r="F721" i="4"/>
  <c r="F406" i="4"/>
  <c r="F535" i="4"/>
  <c r="F907" i="4"/>
  <c r="F549" i="4"/>
  <c r="F815" i="4"/>
  <c r="F459" i="4"/>
  <c r="F306" i="4"/>
  <c r="F822" i="4"/>
  <c r="F45" i="4"/>
  <c r="F598" i="4"/>
  <c r="F302" i="4"/>
  <c r="F260" i="4"/>
  <c r="F76" i="4"/>
  <c r="F972" i="4"/>
  <c r="F202" i="4"/>
  <c r="F547" i="4"/>
  <c r="F408" i="4"/>
  <c r="F121" i="4"/>
  <c r="F274" i="4"/>
  <c r="F664" i="4"/>
  <c r="F325" i="4"/>
  <c r="F410" i="4"/>
  <c r="F218" i="4"/>
  <c r="F710" i="4"/>
  <c r="F695" i="4"/>
  <c r="F182" i="4"/>
  <c r="F728" i="4"/>
  <c r="L728" i="4" s="1"/>
  <c r="R728" i="4" s="1"/>
  <c r="S728" i="4" s="1"/>
  <c r="F924" i="4"/>
  <c r="F856" i="4"/>
  <c r="F985" i="4"/>
  <c r="F329" i="4"/>
  <c r="F224" i="4"/>
  <c r="F548" i="4"/>
  <c r="F467" i="4"/>
  <c r="F472" i="4"/>
  <c r="F732" i="4"/>
  <c r="F821" i="4"/>
  <c r="F561" i="4"/>
  <c r="F859" i="4"/>
  <c r="L859" i="4" s="1"/>
  <c r="R859" i="4" s="1"/>
  <c r="F782" i="4"/>
  <c r="F910" i="4"/>
  <c r="F696" i="4"/>
  <c r="F485" i="4"/>
  <c r="P485" i="4" s="1"/>
  <c r="F801" i="4"/>
  <c r="F706" i="4"/>
  <c r="F995" i="4"/>
  <c r="F818" i="4"/>
  <c r="F424" i="4"/>
  <c r="F678" i="4"/>
  <c r="F250" i="4"/>
  <c r="F779" i="4"/>
  <c r="G779" i="4" s="1"/>
  <c r="F230" i="4"/>
  <c r="F489" i="4"/>
  <c r="F374" i="4"/>
  <c r="F71" i="4"/>
  <c r="F316" i="4"/>
  <c r="F54" i="4"/>
  <c r="F159" i="4"/>
  <c r="F381" i="4"/>
  <c r="F474" i="4"/>
  <c r="F178" i="4"/>
  <c r="F32" i="4"/>
  <c r="F437" i="4"/>
  <c r="F340" i="4"/>
  <c r="F537" i="4"/>
  <c r="F600" i="4"/>
  <c r="F162" i="4"/>
  <c r="A172" i="5" s="1"/>
  <c r="F564" i="4"/>
  <c r="F210" i="4"/>
  <c r="F87" i="4"/>
  <c r="F132" i="4"/>
  <c r="A142" i="5" s="1"/>
  <c r="F441" i="4"/>
  <c r="F527" i="4"/>
  <c r="F617" i="4"/>
  <c r="F17" i="4"/>
  <c r="F166" i="4"/>
  <c r="F109" i="4"/>
  <c r="F378" i="4"/>
  <c r="F816" i="4"/>
  <c r="F353" i="4"/>
  <c r="F279" i="4"/>
  <c r="F550" i="4"/>
  <c r="F923" i="4"/>
  <c r="F493" i="4"/>
  <c r="F959" i="4"/>
  <c r="F525" i="4"/>
  <c r="F784" i="4"/>
  <c r="L784" i="4" s="1"/>
  <c r="R784" i="4" s="1"/>
  <c r="F344" i="4"/>
  <c r="F101" i="4"/>
  <c r="F802" i="4"/>
  <c r="F936" i="4"/>
  <c r="P936" i="4" s="1"/>
  <c r="F509" i="4"/>
  <c r="F849" i="4"/>
  <c r="F730" i="4"/>
  <c r="F858" i="4"/>
  <c r="M858" i="4" s="1"/>
  <c r="F201" i="4"/>
  <c r="F595" i="4"/>
  <c r="F352" i="4"/>
  <c r="F449" i="4"/>
  <c r="M449" i="4" s="1"/>
  <c r="F674" i="4"/>
  <c r="F607" i="4"/>
  <c r="F812" i="4"/>
  <c r="F808" i="4"/>
  <c r="F697" i="4"/>
  <c r="F943" i="4"/>
  <c r="F911" i="4"/>
  <c r="F964" i="4"/>
  <c r="G964" i="4" s="1"/>
  <c r="F735" i="4"/>
  <c r="F613" i="4"/>
  <c r="F885" i="4"/>
  <c r="F834" i="4"/>
  <c r="F961" i="4"/>
  <c r="F814" i="4"/>
  <c r="F997" i="4"/>
  <c r="F292" i="4"/>
  <c r="F36" i="4"/>
  <c r="F284" i="4"/>
  <c r="F119" i="4"/>
  <c r="F464" i="4"/>
  <c r="M464" i="4" s="1"/>
  <c r="F584" i="4"/>
  <c r="F887" i="4"/>
  <c r="F98" i="4"/>
  <c r="F209" i="4"/>
  <c r="F563" i="4"/>
  <c r="F701" i="4"/>
  <c r="F317" i="4"/>
  <c r="F100" i="4"/>
  <c r="F18" i="4"/>
  <c r="F267" i="4"/>
  <c r="F7" i="4"/>
  <c r="F578" i="4"/>
  <c r="F477" i="4"/>
  <c r="F165" i="4"/>
  <c r="F747" i="4"/>
  <c r="F338" i="4"/>
  <c r="I338" i="4" s="1"/>
  <c r="F277" i="4"/>
  <c r="F369" i="4"/>
  <c r="F795" i="4"/>
  <c r="F628" i="4"/>
  <c r="G628" i="4" s="1"/>
  <c r="F902" i="4"/>
  <c r="F295" i="4"/>
  <c r="F342" i="4"/>
  <c r="F538" i="4"/>
  <c r="F468" i="4"/>
  <c r="F103" i="4"/>
  <c r="F916" i="4"/>
  <c r="F226" i="4"/>
  <c r="A236" i="5" s="1"/>
  <c r="F141" i="4"/>
  <c r="F145" i="4"/>
  <c r="F157" i="4"/>
  <c r="F181" i="4"/>
  <c r="F909" i="4"/>
  <c r="F357" i="4"/>
  <c r="F883" i="4"/>
  <c r="F794" i="4"/>
  <c r="F265" i="4"/>
  <c r="F160" i="4"/>
  <c r="F470" i="4"/>
  <c r="F913" i="4"/>
  <c r="I913" i="4" s="1"/>
  <c r="F712" i="4"/>
  <c r="F497" i="4"/>
  <c r="F825" i="4"/>
  <c r="F718" i="4"/>
  <c r="F846" i="4"/>
  <c r="F787" i="4"/>
  <c r="F799" i="4"/>
  <c r="F677" i="4"/>
  <c r="F917" i="4"/>
  <c r="F896" i="4"/>
  <c r="F952" i="4"/>
  <c r="F792" i="4"/>
  <c r="F589" i="4"/>
  <c r="F205" i="4"/>
  <c r="F790" i="4"/>
  <c r="F177" i="4"/>
  <c r="P177" i="4" s="1"/>
  <c r="F838" i="4"/>
  <c r="F536" i="4"/>
  <c r="F213" i="4"/>
  <c r="F479" i="4"/>
  <c r="M479" i="4" s="1"/>
  <c r="F37" i="4"/>
  <c r="F146" i="4"/>
  <c r="F254" i="4"/>
  <c r="F460" i="4"/>
  <c r="F61" i="4"/>
  <c r="F163" i="4"/>
  <c r="F293" i="4"/>
  <c r="F680" i="4"/>
  <c r="F227" i="4"/>
  <c r="F471" i="4"/>
  <c r="F115" i="4"/>
  <c r="F148" i="4"/>
  <c r="F665" i="4"/>
  <c r="F55" i="4"/>
  <c r="F390" i="4"/>
  <c r="F532" i="4"/>
  <c r="I532" i="4" s="1"/>
  <c r="F420" i="4"/>
  <c r="F805" i="4"/>
  <c r="F299" i="4"/>
  <c r="F122" i="4"/>
  <c r="F65" i="4"/>
  <c r="F462" i="4"/>
  <c r="F723" i="4"/>
  <c r="F346" i="4"/>
  <c r="I346" i="4" s="1"/>
  <c r="F168" i="4"/>
  <c r="F458" i="4"/>
  <c r="F635" i="4"/>
  <c r="F745" i="4"/>
  <c r="F683" i="4"/>
  <c r="F897" i="4"/>
  <c r="F156" i="4"/>
  <c r="F110" i="4"/>
  <c r="F124" i="4"/>
  <c r="F117" i="4"/>
  <c r="F200" i="4"/>
  <c r="F499" i="4"/>
  <c r="F575" i="4"/>
  <c r="F875" i="4"/>
  <c r="F48" i="4"/>
  <c r="F463" i="4"/>
  <c r="P463" i="4" s="1"/>
  <c r="F960" i="4"/>
  <c r="F331" i="4"/>
  <c r="F95" i="4"/>
  <c r="F809" i="4"/>
  <c r="J809" i="4" s="1"/>
  <c r="F220" i="4"/>
  <c r="F179" i="4"/>
  <c r="F248" i="4"/>
  <c r="F888" i="4"/>
  <c r="F244" i="4"/>
  <c r="F4" i="4"/>
  <c r="F268" i="4"/>
  <c r="F904" i="4"/>
  <c r="I904" i="4" s="1"/>
  <c r="F750" i="4"/>
  <c r="F810" i="4"/>
  <c r="F171" i="4"/>
  <c r="F311" i="4"/>
  <c r="F229" i="4"/>
  <c r="F433" i="4"/>
  <c r="F53" i="4"/>
  <c r="F221" i="4"/>
  <c r="I221" i="4" s="1"/>
  <c r="B231" i="5" s="1"/>
  <c r="F308" i="4"/>
  <c r="F504" i="4"/>
  <c r="F667" i="4"/>
  <c r="F855" i="4"/>
  <c r="F335" i="4"/>
  <c r="F610" i="4"/>
  <c r="F484" i="4"/>
  <c r="F469" i="4"/>
  <c r="L469" i="4" s="1"/>
  <c r="R469" i="4" s="1"/>
  <c r="F172" i="4"/>
  <c r="F25" i="4"/>
  <c r="F539" i="4"/>
  <c r="F35" i="4"/>
  <c r="A45" i="5" s="1"/>
  <c r="F630" i="4"/>
  <c r="F176" i="4"/>
  <c r="F647" i="4"/>
  <c r="F43" i="4"/>
  <c r="A53" i="5" s="1"/>
  <c r="F675" i="4"/>
  <c r="F192" i="4"/>
  <c r="F751" i="4"/>
  <c r="F184" i="4"/>
  <c r="A194" i="5" s="1"/>
  <c r="F380" i="4"/>
  <c r="F85" i="4"/>
  <c r="F275" i="4"/>
  <c r="F693" i="4"/>
  <c r="P693" i="4" s="1"/>
  <c r="F754" i="4"/>
  <c r="F291" i="4"/>
  <c r="F367" i="4"/>
  <c r="F431" i="4"/>
  <c r="I431" i="4" s="1"/>
  <c r="F134" i="4"/>
  <c r="F33" i="4"/>
  <c r="F457" i="4"/>
  <c r="F123" i="4"/>
  <c r="F126" i="4"/>
  <c r="F75" i="4"/>
  <c r="F627" i="4"/>
  <c r="F450" i="4"/>
  <c r="F644" i="4"/>
  <c r="F803" i="4"/>
  <c r="F935" i="4"/>
  <c r="F297" i="4"/>
  <c r="F465" i="4"/>
  <c r="F612" i="4"/>
  <c r="F270" i="4"/>
  <c r="F143" i="4"/>
  <c r="A153" i="5" s="1"/>
  <c r="F373" i="4"/>
  <c r="F396" i="4"/>
  <c r="F290" i="4"/>
  <c r="F193" i="4"/>
  <c r="A203" i="5" s="1"/>
  <c r="F280" i="4"/>
  <c r="F451" i="4"/>
  <c r="F606" i="4"/>
  <c r="F774" i="4"/>
  <c r="J774" i="4" s="1"/>
  <c r="F167" i="4"/>
  <c r="F278" i="4"/>
  <c r="F241" i="4"/>
  <c r="F328" i="4"/>
  <c r="F656" i="4"/>
  <c r="F711" i="4"/>
  <c r="F919" i="4"/>
  <c r="F187" i="4"/>
  <c r="A197" i="5" s="1"/>
  <c r="F207" i="4"/>
  <c r="F282" i="4"/>
  <c r="F269" i="4"/>
  <c r="F356" i="4"/>
  <c r="G356" i="4" s="1"/>
  <c r="F495" i="4"/>
  <c r="F934" i="4"/>
  <c r="F669" i="4"/>
  <c r="F937" i="4"/>
  <c r="M937" i="4" s="1"/>
  <c r="F336" i="4"/>
  <c r="F294" i="4"/>
  <c r="F261" i="4"/>
  <c r="F379" i="4"/>
  <c r="F580" i="4"/>
  <c r="F596" i="4"/>
  <c r="F918" i="4"/>
  <c r="F251" i="4"/>
  <c r="G251" i="4" s="1"/>
  <c r="F239" i="4"/>
  <c r="F314" i="4"/>
  <c r="F289" i="4"/>
  <c r="F387" i="4"/>
  <c r="F518" i="4"/>
  <c r="F870" i="4"/>
  <c r="F689" i="4"/>
  <c r="F953" i="4"/>
  <c r="M953" i="4" s="1"/>
  <c r="F377" i="4"/>
  <c r="F519" i="4"/>
  <c r="F529" i="4"/>
  <c r="F927" i="4"/>
  <c r="F533" i="4"/>
  <c r="F928" i="4"/>
  <c r="F756" i="4"/>
  <c r="F791" i="4"/>
  <c r="M791" i="4" s="1"/>
  <c r="F113" i="4"/>
  <c r="F713" i="4"/>
  <c r="F97" i="4"/>
  <c r="F893" i="4"/>
  <c r="F576" i="4"/>
  <c r="F137" i="4"/>
  <c r="F480" i="4"/>
  <c r="F21" i="4"/>
  <c r="A31" i="5" s="1"/>
  <c r="F66" i="4"/>
  <c r="F102" i="4"/>
  <c r="F780" i="4"/>
  <c r="F350" i="4"/>
  <c r="F276" i="4"/>
  <c r="F62" i="4"/>
  <c r="F568" i="4"/>
  <c r="F281" i="4"/>
  <c r="I281" i="4" s="1"/>
  <c r="F107" i="4"/>
  <c r="F96" i="4"/>
  <c r="F242" i="4"/>
  <c r="F92" i="4"/>
  <c r="A102" i="5" s="1"/>
  <c r="F31" i="4"/>
  <c r="F478" i="4"/>
  <c r="F42" i="4"/>
  <c r="F19" i="4"/>
  <c r="I19" i="4" s="1"/>
  <c r="B29" i="5" s="1"/>
  <c r="F186" i="4"/>
  <c r="F129" i="4"/>
  <c r="F204" i="4"/>
  <c r="F552" i="4"/>
  <c r="M552" i="4" s="1"/>
  <c r="F521" i="4"/>
  <c r="F807" i="4"/>
  <c r="F826" i="4"/>
  <c r="F112" i="4"/>
  <c r="G112" i="4" s="1"/>
  <c r="F147" i="4"/>
  <c r="F243" i="4"/>
  <c r="F188" i="4"/>
  <c r="F60" i="4"/>
  <c r="F253" i="4"/>
  <c r="F796" i="4"/>
  <c r="F354" i="4"/>
  <c r="F301" i="4"/>
  <c r="F411" i="4"/>
  <c r="F658" i="4"/>
  <c r="F668" i="4"/>
  <c r="F962" i="4"/>
  <c r="I962" i="4" s="1"/>
  <c r="F359" i="4"/>
  <c r="F358" i="4"/>
  <c r="F349" i="4"/>
  <c r="F500" i="4"/>
  <c r="L500" i="4" s="1"/>
  <c r="R500" i="4" s="1"/>
  <c r="F384" i="4"/>
  <c r="F828" i="4"/>
  <c r="F235" i="4"/>
  <c r="F397" i="4"/>
  <c r="F364" i="4"/>
  <c r="F399" i="4"/>
  <c r="F375" i="4"/>
  <c r="F594" i="4"/>
  <c r="L594" i="4" s="1"/>
  <c r="R594" i="4" s="1"/>
  <c r="F592" i="4"/>
  <c r="F836" i="4"/>
  <c r="F921" i="4"/>
  <c r="F185" i="4"/>
  <c r="A195" i="5" s="1"/>
  <c r="F643" i="4"/>
  <c r="F391" i="4"/>
  <c r="F398" i="4"/>
  <c r="F540" i="4"/>
  <c r="F404" i="4"/>
  <c r="F857" i="4"/>
  <c r="F8" i="4"/>
  <c r="F611" i="4"/>
  <c r="I611" i="4" s="1"/>
  <c r="F90" i="4"/>
  <c r="F51" i="4"/>
  <c r="F414" i="4"/>
  <c r="F362" i="4"/>
  <c r="M362" i="4" s="1"/>
  <c r="F632" i="4"/>
  <c r="F663" i="4"/>
  <c r="F869" i="4"/>
  <c r="F217" i="4"/>
  <c r="A227" i="5" s="1"/>
  <c r="F366" i="4"/>
  <c r="F648" i="4"/>
  <c r="F729" i="4"/>
  <c r="F954" i="4"/>
  <c r="L954" i="4" s="1"/>
  <c r="R954" i="4" s="1"/>
  <c r="S954" i="4" s="1"/>
  <c r="F737" i="4"/>
  <c r="F977" i="4"/>
  <c r="F528" i="4"/>
  <c r="F832" i="4"/>
  <c r="F461" i="4"/>
  <c r="F558" i="4"/>
  <c r="F453" i="4"/>
  <c r="F700" i="4"/>
  <c r="F492" i="4"/>
  <c r="F415" i="4"/>
  <c r="F514" i="4"/>
  <c r="F80" i="4"/>
  <c r="O80" i="4" s="1"/>
  <c r="F24" i="4"/>
  <c r="F22" i="4"/>
  <c r="F393" i="4"/>
  <c r="F351" i="4"/>
  <c r="P351" i="4" s="1"/>
  <c r="F13" i="4"/>
  <c r="F526" i="4"/>
  <c r="F881" i="4"/>
  <c r="F604" i="4"/>
  <c r="F448" i="4"/>
  <c r="F692" i="4"/>
  <c r="F190" i="4"/>
  <c r="F255" i="4"/>
  <c r="P255" i="4" s="1"/>
  <c r="F334" i="4"/>
  <c r="F688" i="4"/>
  <c r="F6" i="4"/>
  <c r="F175" i="4"/>
  <c r="A185" i="5" s="1"/>
  <c r="F266" i="4"/>
  <c r="F225" i="4"/>
  <c r="F332" i="4"/>
  <c r="F432" i="4"/>
  <c r="F742" i="4"/>
  <c r="F605" i="4"/>
  <c r="F874" i="4"/>
  <c r="F272" i="4"/>
  <c r="G272" i="4" s="1"/>
  <c r="F363" i="4"/>
  <c r="F86" i="4"/>
  <c r="F339" i="4"/>
  <c r="F372" i="4"/>
  <c r="F232" i="4"/>
  <c r="F979" i="4"/>
  <c r="F63" i="4"/>
  <c r="F482" i="4"/>
  <c r="F757" i="4"/>
  <c r="F444" i="4"/>
  <c r="F736" i="4"/>
  <c r="F70" i="4"/>
  <c r="A80" i="5" s="1"/>
  <c r="F138" i="4"/>
  <c r="F73" i="4"/>
  <c r="F116" i="4"/>
  <c r="F402" i="4"/>
  <c r="F494" i="4"/>
  <c r="F569" i="4"/>
  <c r="F135" i="4"/>
  <c r="F139" i="4"/>
  <c r="A149" i="5" s="1"/>
  <c r="F158" i="4"/>
  <c r="F83" i="4"/>
  <c r="F120" i="4"/>
  <c r="F555" i="4"/>
  <c r="I555" i="4" s="1"/>
  <c r="F662" i="4"/>
  <c r="F957" i="4"/>
  <c r="F714" i="4"/>
  <c r="F360" i="4"/>
  <c r="G360" i="4" s="1"/>
  <c r="F154" i="4"/>
  <c r="F89" i="4"/>
  <c r="F136" i="4"/>
  <c r="F425" i="4"/>
  <c r="M425" i="4" s="1"/>
  <c r="F534" i="4"/>
  <c r="F633" i="4"/>
  <c r="F430" i="4"/>
  <c r="F3" i="4"/>
  <c r="A13" i="5" s="1"/>
  <c r="F429" i="4"/>
  <c r="F91" i="4"/>
  <c r="F164" i="4"/>
  <c r="F615" i="4"/>
  <c r="F788" i="4"/>
  <c r="F727" i="4"/>
  <c r="F746" i="4"/>
  <c r="F376" i="4"/>
  <c r="G376" i="4" s="1"/>
  <c r="F631" i="4"/>
  <c r="F654" i="4"/>
  <c r="F877" i="4"/>
  <c r="F655" i="4"/>
  <c r="M655" i="4" s="1"/>
  <c r="F908" i="4"/>
  <c r="F772" i="4"/>
  <c r="F554" i="4"/>
  <c r="F512" i="4"/>
  <c r="F11" i="4"/>
  <c r="F466" i="4"/>
  <c r="F49" i="4"/>
  <c r="F623" i="4"/>
  <c r="F216" i="4"/>
  <c r="F258" i="4"/>
  <c r="F238" i="4"/>
  <c r="F34" i="4"/>
  <c r="A44" i="5" s="1"/>
  <c r="F966" i="4"/>
  <c r="F861" i="4"/>
  <c r="F212" i="4"/>
  <c r="F47" i="4"/>
  <c r="A57" i="5" s="1"/>
  <c r="F44" i="4"/>
  <c r="F618" i="4"/>
  <c r="F948" i="4"/>
  <c r="F426" i="4"/>
  <c r="P426" i="4" s="1"/>
  <c r="F586" i="4"/>
  <c r="F491" i="4"/>
  <c r="F247" i="4"/>
  <c r="F601" i="4"/>
  <c r="J601" i="4" s="1"/>
  <c r="F319" i="4"/>
  <c r="F149" i="4"/>
  <c r="F94" i="4"/>
  <c r="F127" i="4"/>
  <c r="A137" i="5" s="1"/>
  <c r="F219" i="4"/>
  <c r="F694" i="4"/>
  <c r="F510" i="4"/>
  <c r="F553" i="4"/>
  <c r="J553" i="4" s="1"/>
  <c r="F999" i="4"/>
  <c r="F131" i="4"/>
  <c r="F133" i="4"/>
  <c r="F590" i="4"/>
  <c r="F886" i="4"/>
  <c r="F361" i="4"/>
  <c r="F347" i="4"/>
  <c r="F865" i="4"/>
  <c r="F981" i="4"/>
  <c r="F546" i="4"/>
  <c r="F40" i="4"/>
  <c r="F498" i="4"/>
  <c r="F840" i="4"/>
  <c r="F196" i="4"/>
  <c r="F765" i="4"/>
  <c r="F5" i="4"/>
  <c r="M5" i="4" s="1"/>
  <c r="F884" i="4"/>
  <c r="F642" i="4"/>
  <c r="F286" i="4"/>
  <c r="F2" i="4"/>
  <c r="A12" i="5" s="1"/>
  <c r="F88" i="4"/>
  <c r="F758" i="4"/>
  <c r="F191" i="4"/>
  <c r="F108" i="4"/>
  <c r="A118" i="5" s="1"/>
  <c r="F593" i="4"/>
  <c r="F443" i="4"/>
  <c r="F445" i="4"/>
  <c r="F283" i="4"/>
  <c r="L283" i="4" s="1"/>
  <c r="R283" i="4" s="1"/>
  <c r="F114" i="4"/>
  <c r="A124" i="5" s="1"/>
  <c r="F562" i="4"/>
  <c r="F827" i="4"/>
  <c r="G827" i="4" s="1"/>
  <c r="F502" i="4"/>
  <c r="L502" i="4" s="1"/>
  <c r="R502" i="4" s="1"/>
  <c r="S502" i="4" s="1"/>
  <c r="F968" i="4"/>
  <c r="I968" i="4" s="1"/>
  <c r="F620" i="4"/>
  <c r="F740" i="4"/>
  <c r="F59" i="4"/>
  <c r="A69" i="5" s="1"/>
  <c r="F752" i="4"/>
  <c r="L752" i="4" s="1"/>
  <c r="R752" i="4" s="1"/>
  <c r="F57" i="4"/>
  <c r="F591" i="4"/>
  <c r="F321" i="4"/>
  <c r="F523" i="4"/>
  <c r="M523" i="4" s="1"/>
  <c r="F355" i="4"/>
  <c r="F273" i="4"/>
  <c r="F789" i="4"/>
  <c r="M789" i="4" s="1"/>
  <c r="F287" i="4"/>
  <c r="L287" i="4" s="1"/>
  <c r="R287" i="4" s="1"/>
  <c r="S287" i="4" s="1"/>
  <c r="F104" i="4"/>
  <c r="F646" i="4"/>
  <c r="F436" i="4"/>
  <c r="M436" i="4" s="1"/>
  <c r="F28" i="4"/>
  <c r="A38" i="5" s="1"/>
  <c r="F720" i="4"/>
  <c r="F579" i="4"/>
  <c r="F638" i="4"/>
  <c r="I638" i="4" s="1"/>
  <c r="F77" i="4"/>
  <c r="A87" i="5" s="1"/>
  <c r="F315" i="4"/>
  <c r="F940" i="4"/>
  <c r="F223" i="4"/>
  <c r="A233" i="5" s="1"/>
  <c r="F318" i="4"/>
  <c r="F446" i="4"/>
  <c r="F309" i="4"/>
  <c r="F237" i="4"/>
  <c r="A247" i="5" s="1"/>
  <c r="F543" i="4"/>
  <c r="J543" i="4" s="1"/>
  <c r="F23" i="4"/>
  <c r="F951" i="4"/>
  <c r="F322" i="4"/>
  <c r="G322" i="4" s="1"/>
  <c r="F419" i="4"/>
  <c r="G419" i="4" s="1"/>
  <c r="F195" i="4"/>
  <c r="F323" i="4"/>
  <c r="F26" i="4"/>
  <c r="A36" i="5" s="1"/>
  <c r="F413" i="4"/>
  <c r="I413" i="4" s="1"/>
  <c r="F978" i="4"/>
  <c r="F566" i="4"/>
  <c r="F15" i="4"/>
  <c r="N15" i="4" s="1"/>
  <c r="E25" i="5" s="1"/>
  <c r="F310" i="4"/>
  <c r="P310" i="4" s="1"/>
  <c r="F866" i="4"/>
  <c r="F447" i="4"/>
  <c r="F303" i="4"/>
  <c r="P303" i="4" s="1"/>
  <c r="F416" i="4"/>
  <c r="P416" i="4" s="1"/>
  <c r="F405" i="4"/>
  <c r="F330" i="4"/>
  <c r="F971" i="4"/>
  <c r="F305" i="4"/>
  <c r="G305" i="4" s="1"/>
  <c r="F174" i="4"/>
  <c r="F382" i="4"/>
  <c r="F111" i="4"/>
  <c r="L111" i="4" s="1"/>
  <c r="D121" i="5" s="1"/>
  <c r="F676" i="4"/>
  <c r="I676" i="4" s="1"/>
  <c r="F597" i="4"/>
  <c r="F672" i="4"/>
  <c r="F988" i="4"/>
  <c r="M988" i="4" s="1"/>
  <c r="F434" i="4"/>
  <c r="M434" i="4" s="1"/>
  <c r="F29" i="4"/>
  <c r="F215" i="4"/>
  <c r="F407" i="4"/>
  <c r="M407" i="4" s="1"/>
  <c r="F206" i="4"/>
  <c r="A216" i="5" s="1"/>
  <c r="F14" i="4"/>
  <c r="F624" i="4"/>
  <c r="F56" i="4"/>
  <c r="A66" i="5" s="1"/>
  <c r="F82" i="4"/>
  <c r="A92" i="5" s="1"/>
  <c r="F707" i="4"/>
  <c r="F439" i="4"/>
  <c r="F383" i="4"/>
  <c r="I383" i="4" s="1"/>
  <c r="F337" i="4"/>
  <c r="M337" i="4" s="1"/>
  <c r="F203" i="4"/>
  <c r="F46" i="4"/>
  <c r="F10" i="4"/>
  <c r="A20" i="5" s="1"/>
  <c r="F524" i="4"/>
  <c r="M524" i="4" s="1"/>
  <c r="F150" i="4"/>
  <c r="F72" i="4"/>
  <c r="F343" i="4"/>
  <c r="I343" i="4" s="1"/>
  <c r="F189" i="4"/>
  <c r="A199" i="5" s="1"/>
  <c r="F660" i="4"/>
  <c r="F520" i="4"/>
  <c r="F944" i="4"/>
  <c r="G944" i="4" s="1"/>
  <c r="F151" i="4"/>
  <c r="A161" i="5" s="1"/>
  <c r="F130" i="4"/>
  <c r="F422" i="4"/>
  <c r="F68" i="4"/>
  <c r="A78" i="5" s="1"/>
  <c r="F583" i="4"/>
  <c r="P583" i="4" s="1"/>
  <c r="F39" i="4"/>
  <c r="F817" i="4"/>
  <c r="F996" i="4"/>
  <c r="G996" i="4" s="1"/>
  <c r="F183" i="4"/>
  <c r="I183" i="4" s="1"/>
  <c r="B193" i="5" s="1"/>
  <c r="F93" i="4"/>
  <c r="F370" i="4"/>
  <c r="F79" i="4"/>
  <c r="A89" i="5" s="1"/>
  <c r="F211" i="4"/>
  <c r="A221" i="5" s="1"/>
  <c r="F394" i="4"/>
  <c r="F777" i="4"/>
  <c r="F946" i="4"/>
  <c r="L946" i="4" s="1"/>
  <c r="R946" i="4" s="1"/>
  <c r="S946" i="4" s="1"/>
  <c r="F862" i="4"/>
  <c r="F395" i="4"/>
  <c r="F582" i="4"/>
  <c r="F64" i="4"/>
  <c r="K64" i="4" s="1"/>
  <c r="F222" i="4"/>
  <c r="M222" i="4" s="1"/>
  <c r="F709" i="4"/>
  <c r="F263" i="4"/>
  <c r="F118" i="4"/>
  <c r="A128" i="5" s="1"/>
  <c r="G503" i="4"/>
  <c r="L939" i="4"/>
  <c r="R939" i="4" s="1"/>
  <c r="M516" i="4"/>
  <c r="M641" i="4"/>
  <c r="L645" i="4"/>
  <c r="R645" i="4" s="1"/>
  <c r="S645" i="4" s="1"/>
  <c r="J914" i="4"/>
  <c r="I614" i="4"/>
  <c r="L603" i="4"/>
  <c r="R603" i="4" s="1"/>
  <c r="S603" i="4" s="1"/>
  <c r="J365" i="4"/>
  <c r="J895" i="4"/>
  <c r="G585" i="4"/>
  <c r="G993" i="4"/>
  <c r="L651" i="4"/>
  <c r="R651" i="4" s="1"/>
  <c r="P894" i="4"/>
  <c r="J389" i="4"/>
  <c r="M587" i="4"/>
  <c r="P409" i="4"/>
  <c r="L947" i="4"/>
  <c r="R947" i="4" s="1"/>
  <c r="S947" i="4" s="1"/>
  <c r="M249" i="4"/>
  <c r="M844" i="4"/>
  <c r="J911" i="4"/>
  <c r="G613" i="4"/>
  <c r="J961" i="4"/>
  <c r="G997" i="4"/>
  <c r="M584" i="4"/>
  <c r="I277" i="4"/>
  <c r="I369" i="4"/>
  <c r="I902" i="4"/>
  <c r="G972" i="4"/>
  <c r="L610" i="4"/>
  <c r="R610" i="4" s="1"/>
  <c r="J960" i="4"/>
  <c r="P279" i="4"/>
  <c r="I410" i="4"/>
  <c r="J458" i="4"/>
  <c r="A192" i="5"/>
  <c r="P539" i="4"/>
  <c r="G630" i="4"/>
  <c r="A167" i="5"/>
  <c r="I683" i="4"/>
  <c r="P751" i="4"/>
  <c r="G909" i="4"/>
  <c r="I291" i="4"/>
  <c r="P380" i="4"/>
  <c r="G276" i="4"/>
  <c r="L618" i="4"/>
  <c r="R618" i="4" s="1"/>
  <c r="I586" i="4"/>
  <c r="L882" i="4"/>
  <c r="R882" i="4" s="1"/>
  <c r="S882" i="4" s="1"/>
  <c r="M626" i="4"/>
  <c r="M517" i="4"/>
  <c r="M842" i="4"/>
  <c r="L572" i="4"/>
  <c r="R572" i="4" s="1"/>
  <c r="P686" i="4"/>
  <c r="G690" i="4"/>
  <c r="M570" i="4"/>
  <c r="G327" i="4"/>
  <c r="M455" i="4"/>
  <c r="M505" i="4"/>
  <c r="J245" i="4"/>
  <c r="G388" i="4"/>
  <c r="P703" i="4"/>
  <c r="I949" i="4"/>
  <c r="P240" i="4"/>
  <c r="I392" i="4"/>
  <c r="P793" i="4"/>
  <c r="G798" i="4"/>
  <c r="M783" i="4"/>
  <c r="M802" i="4"/>
  <c r="L509" i="4"/>
  <c r="R509" i="4" s="1"/>
  <c r="J352" i="4"/>
  <c r="G674" i="4"/>
  <c r="L943" i="4"/>
  <c r="R943" i="4" s="1"/>
  <c r="G885" i="4"/>
  <c r="A46" i="5"/>
  <c r="J887" i="4"/>
  <c r="L317" i="4"/>
  <c r="R317" i="4" s="1"/>
  <c r="L267" i="4"/>
  <c r="R267" i="4" s="1"/>
  <c r="P342" i="4"/>
  <c r="P325" i="4"/>
  <c r="I723" i="4"/>
  <c r="M335" i="4"/>
  <c r="M916" i="4"/>
  <c r="M484" i="4"/>
  <c r="L331" i="4"/>
  <c r="R331" i="4" s="1"/>
  <c r="S331" i="4" s="1"/>
  <c r="G550" i="4"/>
  <c r="M248" i="4"/>
  <c r="P493" i="4"/>
  <c r="L244" i="4"/>
  <c r="R244" i="4" s="1"/>
  <c r="S244" i="4" s="1"/>
  <c r="L959" i="4"/>
  <c r="R959" i="4" s="1"/>
  <c r="S959" i="4" s="1"/>
  <c r="L754" i="4"/>
  <c r="R754" i="4" s="1"/>
  <c r="A166" i="5"/>
  <c r="P367" i="4"/>
  <c r="A95" i="5"/>
  <c r="P708" i="4"/>
  <c r="I568" i="4"/>
  <c r="A206" i="5"/>
  <c r="J719" i="4"/>
  <c r="G734" i="4"/>
  <c r="M640" i="4"/>
  <c r="L629" i="4"/>
  <c r="R629" i="4" s="1"/>
  <c r="S629" i="4" s="1"/>
  <c r="I609" i="4"/>
  <c r="G912" i="4"/>
  <c r="M513" i="4"/>
  <c r="I941" i="4"/>
  <c r="G652" i="4"/>
  <c r="G860" i="4"/>
  <c r="J681" i="4"/>
  <c r="J544" i="4"/>
  <c r="P764" i="4"/>
  <c r="L417" i="4"/>
  <c r="R417" i="4" s="1"/>
  <c r="L776" i="4"/>
  <c r="R776" i="4" s="1"/>
  <c r="A211" i="5"/>
  <c r="G607" i="4"/>
  <c r="G812" i="4"/>
  <c r="J697" i="4"/>
  <c r="I735" i="4"/>
  <c r="P834" i="4"/>
  <c r="M701" i="4"/>
  <c r="G747" i="4"/>
  <c r="P295" i="4"/>
  <c r="G462" i="4"/>
  <c r="I353" i="4"/>
  <c r="G739" i="4"/>
  <c r="G647" i="4"/>
  <c r="M750" i="4"/>
  <c r="G810" i="4"/>
  <c r="P948" i="4"/>
  <c r="A117" i="5"/>
  <c r="L591" i="4"/>
  <c r="R591" i="4" s="1"/>
  <c r="L242" i="4"/>
  <c r="R242" i="4" s="1"/>
  <c r="A200" i="5"/>
  <c r="L355" i="4"/>
  <c r="R355" i="4" s="1"/>
  <c r="S355" i="4" s="1"/>
  <c r="P884" i="4"/>
  <c r="P319" i="4"/>
  <c r="J478" i="4"/>
  <c r="J510" i="4"/>
  <c r="M688" i="4"/>
  <c r="G541" i="4"/>
  <c r="J942" i="4"/>
  <c r="J401" i="4"/>
  <c r="L704" i="4"/>
  <c r="R704" i="4" s="1"/>
  <c r="S704" i="4" s="1"/>
  <c r="G760" i="4"/>
  <c r="G766" i="4"/>
  <c r="I769" i="4"/>
  <c r="A246" i="5"/>
  <c r="J763" i="4"/>
  <c r="M843" i="4"/>
  <c r="G333" i="4"/>
  <c r="I507" i="4"/>
  <c r="I476" i="4"/>
  <c r="P871" i="4"/>
  <c r="P653" i="4"/>
  <c r="G906" i="4"/>
  <c r="L891" i="4"/>
  <c r="R891" i="4" s="1"/>
  <c r="L755" i="4"/>
  <c r="R755" i="4" s="1"/>
  <c r="I501" i="4"/>
  <c r="I899" i="4"/>
  <c r="P880" i="4"/>
  <c r="G265" i="4"/>
  <c r="A170" i="5"/>
  <c r="J846" i="4"/>
  <c r="M917" i="4"/>
  <c r="P792" i="4"/>
  <c r="J589" i="4"/>
  <c r="I790" i="4"/>
  <c r="J536" i="4"/>
  <c r="A223" i="5"/>
  <c r="A156" i="5"/>
  <c r="L254" i="4"/>
  <c r="R254" i="4" s="1"/>
  <c r="A173" i="5"/>
  <c r="G293" i="4"/>
  <c r="P471" i="4"/>
  <c r="A125" i="5"/>
  <c r="A158" i="5"/>
  <c r="G665" i="4"/>
  <c r="A65" i="5"/>
  <c r="A132" i="5"/>
  <c r="M378" i="4"/>
  <c r="J468" i="4"/>
  <c r="A113" i="5"/>
  <c r="A133" i="5"/>
  <c r="A136" i="5"/>
  <c r="A85" i="5"/>
  <c r="P627" i="4"/>
  <c r="I450" i="4"/>
  <c r="G644" i="4"/>
  <c r="P935" i="4"/>
  <c r="L465" i="4"/>
  <c r="R465" i="4" s="1"/>
  <c r="J270" i="4"/>
  <c r="G290" i="4"/>
  <c r="M280" i="4"/>
  <c r="P606" i="4"/>
  <c r="A177" i="5"/>
  <c r="G241" i="4"/>
  <c r="A217" i="5"/>
  <c r="P269" i="4"/>
  <c r="L495" i="4"/>
  <c r="R495" i="4" s="1"/>
  <c r="S495" i="4" s="1"/>
  <c r="L336" i="4"/>
  <c r="R336" i="4" s="1"/>
  <c r="I294" i="4"/>
  <c r="I580" i="4"/>
  <c r="A249" i="5"/>
  <c r="G518" i="4"/>
  <c r="G870" i="4"/>
  <c r="I689" i="4"/>
  <c r="G519" i="4"/>
  <c r="M529" i="4"/>
  <c r="L533" i="4"/>
  <c r="R533" i="4" s="1"/>
  <c r="A123" i="5"/>
  <c r="M713" i="4"/>
  <c r="I576" i="4"/>
  <c r="A147" i="5"/>
  <c r="A112" i="5"/>
  <c r="M780" i="4"/>
  <c r="A141" i="5"/>
  <c r="J361" i="4"/>
  <c r="L546" i="4"/>
  <c r="R546" i="4" s="1"/>
  <c r="A50" i="5"/>
  <c r="A106" i="5"/>
  <c r="L692" i="4"/>
  <c r="R692" i="4" s="1"/>
  <c r="S692" i="4" s="1"/>
  <c r="A63" i="5"/>
  <c r="J273" i="4"/>
  <c r="G642" i="4"/>
  <c r="A41" i="5"/>
  <c r="A114" i="5"/>
  <c r="A229" i="5"/>
  <c r="I457" i="4"/>
  <c r="A201" i="5"/>
  <c r="A127" i="5"/>
  <c r="P866" i="4"/>
  <c r="A232" i="5"/>
  <c r="I263" i="4"/>
  <c r="G901" i="4"/>
  <c r="A243" i="5"/>
  <c r="J986" i="4"/>
  <c r="I786" i="4"/>
  <c r="L257" i="4"/>
  <c r="R257" i="4" s="1"/>
  <c r="G400" i="4"/>
  <c r="L925" i="4"/>
  <c r="R925" i="4" s="1"/>
  <c r="S925" i="4" s="1"/>
  <c r="A190" i="5"/>
  <c r="J622" i="4"/>
  <c r="I421" i="4"/>
  <c r="P312" i="4"/>
  <c r="I733" i="4"/>
  <c r="M813" i="4"/>
  <c r="L487" i="4"/>
  <c r="R487" i="4" s="1"/>
  <c r="S487" i="4" s="1"/>
  <c r="I853" i="4"/>
  <c r="L845" i="4"/>
  <c r="R845" i="4" s="1"/>
  <c r="L781" i="4"/>
  <c r="R781" i="4" s="1"/>
  <c r="S781" i="4" s="1"/>
  <c r="M599" i="4"/>
  <c r="G848" i="4"/>
  <c r="I831" i="4"/>
  <c r="I830" i="4"/>
  <c r="G824" i="4"/>
  <c r="I440" i="4"/>
  <c r="M473" i="4"/>
  <c r="G452" i="4"/>
  <c r="P691" i="4"/>
  <c r="I806" i="4"/>
  <c r="J621" i="4"/>
  <c r="G682" i="4"/>
  <c r="I313" i="4"/>
  <c r="I483" i="4"/>
  <c r="J456" i="4"/>
  <c r="P717" i="4"/>
  <c r="I852" i="4"/>
  <c r="P990" i="4"/>
  <c r="L994" i="4"/>
  <c r="R994" i="4" s="1"/>
  <c r="S994" i="4" s="1"/>
  <c r="J868" i="4"/>
  <c r="G867" i="4"/>
  <c r="I864" i="4"/>
  <c r="L998" i="4"/>
  <c r="R998" i="4" s="1"/>
  <c r="S998" i="4" s="1"/>
  <c r="M341" i="4"/>
  <c r="I324" i="4"/>
  <c r="L531" i="4"/>
  <c r="R531" i="4" s="1"/>
  <c r="S531" i="4" s="1"/>
  <c r="P486" i="4"/>
  <c r="J797" i="4"/>
  <c r="A51" i="5"/>
  <c r="L371" i="4"/>
  <c r="R371" i="4" s="1"/>
  <c r="S371" i="4" s="1"/>
  <c r="M423" i="4"/>
  <c r="M264" i="4"/>
  <c r="G442" i="4"/>
  <c r="I428" i="4"/>
  <c r="I636" i="4"/>
  <c r="M726" i="4"/>
  <c r="J271" i="4"/>
  <c r="L506" i="4"/>
  <c r="R506" i="4" s="1"/>
  <c r="S506" i="4" s="1"/>
  <c r="G427" i="4"/>
  <c r="L475" i="4"/>
  <c r="R475" i="4" s="1"/>
  <c r="S475" i="4" s="1"/>
  <c r="I559" i="4"/>
  <c r="M768" i="4"/>
  <c r="L991" i="4"/>
  <c r="R991" i="4" s="1"/>
  <c r="S991" i="4" s="1"/>
  <c r="P785" i="4"/>
  <c r="I778" i="4"/>
  <c r="P438" i="4"/>
  <c r="P567" i="4"/>
  <c r="L687" i="4"/>
  <c r="R687" i="4" s="1"/>
  <c r="J963" i="4"/>
  <c r="G982" i="4"/>
  <c r="I716" i="4"/>
  <c r="G581" i="4"/>
  <c r="J965" i="4"/>
  <c r="M850" i="4"/>
  <c r="P856" i="4"/>
  <c r="J985" i="4"/>
  <c r="A234" i="5"/>
  <c r="P548" i="4"/>
  <c r="J910" i="4"/>
  <c r="I696" i="4"/>
  <c r="M995" i="4"/>
  <c r="P818" i="4"/>
  <c r="J424" i="4"/>
  <c r="J250" i="4"/>
  <c r="I489" i="4"/>
  <c r="M374" i="4"/>
  <c r="G316" i="4"/>
  <c r="A64" i="5"/>
  <c r="L381" i="4"/>
  <c r="R381" i="4" s="1"/>
  <c r="J474" i="4"/>
  <c r="A188" i="5"/>
  <c r="A42" i="5"/>
  <c r="P437" i="4"/>
  <c r="G537" i="4"/>
  <c r="M600" i="4"/>
  <c r="A97" i="5"/>
  <c r="I441" i="4"/>
  <c r="I527" i="4"/>
  <c r="J617" i="4"/>
  <c r="A176" i="5"/>
  <c r="J575" i="4"/>
  <c r="I875" i="4"/>
  <c r="A52" i="5"/>
  <c r="A214" i="5"/>
  <c r="P807" i="4"/>
  <c r="A70" i="5"/>
  <c r="L253" i="4"/>
  <c r="R253" i="4" s="1"/>
  <c r="J796" i="4"/>
  <c r="L354" i="4"/>
  <c r="R354" i="4" s="1"/>
  <c r="P301" i="4"/>
  <c r="G411" i="4"/>
  <c r="G668" i="4"/>
  <c r="G359" i="4"/>
  <c r="G349" i="4"/>
  <c r="L384" i="4"/>
  <c r="R384" i="4" s="1"/>
  <c r="P397" i="4"/>
  <c r="M592" i="4"/>
  <c r="I836" i="4"/>
  <c r="G643" i="4"/>
  <c r="L857" i="4"/>
  <c r="R857" i="4" s="1"/>
  <c r="S857" i="4" s="1"/>
  <c r="G414" i="4"/>
  <c r="I632" i="4"/>
  <c r="L663" i="4"/>
  <c r="R663" i="4" s="1"/>
  <c r="P366" i="4"/>
  <c r="L729" i="4"/>
  <c r="R729" i="4" s="1"/>
  <c r="S729" i="4" s="1"/>
  <c r="I737" i="4"/>
  <c r="M528" i="4"/>
  <c r="G832" i="4"/>
  <c r="L558" i="4"/>
  <c r="R558" i="4" s="1"/>
  <c r="P453" i="4"/>
  <c r="I492" i="4"/>
  <c r="A34" i="5"/>
  <c r="L393" i="4"/>
  <c r="R393" i="4" s="1"/>
  <c r="P445" i="4"/>
  <c r="G562" i="4"/>
  <c r="M827" i="4"/>
  <c r="M620" i="4"/>
  <c r="J491" i="4"/>
  <c r="L286" i="4"/>
  <c r="R286" i="4" s="1"/>
  <c r="S286" i="4" s="1"/>
  <c r="L334" i="4"/>
  <c r="R334" i="4" s="1"/>
  <c r="P646" i="4"/>
  <c r="P758" i="4"/>
  <c r="G694" i="4"/>
  <c r="J446" i="4"/>
  <c r="M593" i="4"/>
  <c r="I305" i="4"/>
  <c r="P566" i="4"/>
  <c r="I999" i="4"/>
  <c r="J310" i="4"/>
  <c r="A24" i="5"/>
  <c r="J344" i="4"/>
  <c r="I418" i="4"/>
  <c r="G659" i="4"/>
  <c r="I945" i="4"/>
  <c r="M673" i="4"/>
  <c r="P983" i="4"/>
  <c r="L819" i="4"/>
  <c r="R819" i="4" s="1"/>
  <c r="L560" i="4"/>
  <c r="R560" i="4" s="1"/>
  <c r="I650" i="4"/>
  <c r="P743" i="4"/>
  <c r="J969" i="4"/>
  <c r="G403" i="4"/>
  <c r="M435" i="4"/>
  <c r="I670" i="4"/>
  <c r="L545" i="4"/>
  <c r="R545" i="4" s="1"/>
  <c r="J671" i="4"/>
  <c r="I958" i="4"/>
  <c r="M530" i="4"/>
  <c r="M454" i="4"/>
  <c r="M488" i="4"/>
  <c r="I574" i="4"/>
  <c r="I800" i="4"/>
  <c r="I956" i="4"/>
  <c r="I368" i="4"/>
  <c r="J348" i="4"/>
  <c r="M602" i="4"/>
  <c r="G511" i="4"/>
  <c r="G724" i="4"/>
  <c r="J854" i="4"/>
  <c r="J307" i="4"/>
  <c r="I298" i="4"/>
  <c r="P556" i="4"/>
  <c r="M588" i="4"/>
  <c r="G715" i="4"/>
  <c r="P649" i="4"/>
  <c r="I804" i="4"/>
  <c r="L851" i="4"/>
  <c r="R851" i="4" s="1"/>
  <c r="A179" i="5"/>
  <c r="L741" i="4"/>
  <c r="R741" i="4" s="1"/>
  <c r="J657" i="4"/>
  <c r="M702" i="4"/>
  <c r="P915" i="4"/>
  <c r="L661" i="4"/>
  <c r="R661" i="4" s="1"/>
  <c r="S661" i="4" s="1"/>
  <c r="J929" i="4"/>
  <c r="G823" i="4"/>
  <c r="I920" i="4"/>
  <c r="I976" i="4"/>
  <c r="L725" i="4"/>
  <c r="R725" i="4" s="1"/>
  <c r="S725" i="4" s="1"/>
  <c r="P685" i="4"/>
  <c r="J549" i="4"/>
  <c r="P898" i="4"/>
  <c r="A62" i="5"/>
  <c r="A241" i="5"/>
  <c r="L306" i="4"/>
  <c r="R306" i="4" s="1"/>
  <c r="A84" i="5"/>
  <c r="A204" i="5"/>
  <c r="M619" i="4"/>
  <c r="A163" i="5"/>
  <c r="A86" i="5"/>
  <c r="M504" i="4"/>
  <c r="P667" i="4"/>
  <c r="A16" i="5"/>
  <c r="A235" i="5"/>
  <c r="J605" i="4"/>
  <c r="I363" i="4"/>
  <c r="A242" i="5"/>
  <c r="A73" i="5"/>
  <c r="A148" i="5"/>
  <c r="A83" i="5"/>
  <c r="A126" i="5"/>
  <c r="G494" i="4"/>
  <c r="M569" i="4"/>
  <c r="A145" i="5"/>
  <c r="A168" i="5"/>
  <c r="A93" i="5"/>
  <c r="G714" i="4"/>
  <c r="A99" i="5"/>
  <c r="A146" i="5"/>
  <c r="L788" i="4"/>
  <c r="R788" i="4" s="1"/>
  <c r="P727" i="4"/>
  <c r="I631" i="4"/>
  <c r="I877" i="4"/>
  <c r="I772" i="4"/>
  <c r="M554" i="4"/>
  <c r="A21" i="5"/>
  <c r="M466" i="4"/>
  <c r="A226" i="5"/>
  <c r="A248" i="5"/>
  <c r="I966" i="4"/>
  <c r="A222" i="5"/>
  <c r="A144" i="5"/>
  <c r="G526" i="4"/>
  <c r="P881" i="4"/>
  <c r="I433" i="4"/>
  <c r="A120" i="5"/>
  <c r="A213" i="5"/>
  <c r="A56" i="5"/>
  <c r="G660" i="4"/>
  <c r="P520" i="4"/>
  <c r="A140" i="5"/>
  <c r="G422" i="4"/>
  <c r="J817" i="4"/>
  <c r="A103" i="5"/>
  <c r="G370" i="4"/>
  <c r="I394" i="4"/>
  <c r="I777" i="4"/>
  <c r="I395" i="4"/>
  <c r="J582" i="4"/>
  <c r="L330" i="4"/>
  <c r="R330" i="4" s="1"/>
  <c r="G309" i="4"/>
  <c r="M579" i="4"/>
  <c r="A184" i="5"/>
  <c r="I951" i="4"/>
  <c r="G447" i="4"/>
  <c r="G597" i="4"/>
  <c r="M672" i="4"/>
  <c r="P106" i="4"/>
  <c r="A116" i="5"/>
  <c r="M16" i="4"/>
  <c r="A26" i="5"/>
  <c r="O61" i="4"/>
  <c r="A71" i="5"/>
  <c r="N65" i="4"/>
  <c r="E75" i="5" s="1"/>
  <c r="A75" i="5"/>
  <c r="J97" i="4"/>
  <c r="C107" i="5" s="1"/>
  <c r="A107" i="5"/>
  <c r="L133" i="4"/>
  <c r="D143" i="5" s="1"/>
  <c r="A143" i="5"/>
  <c r="J88" i="4"/>
  <c r="C98" i="5" s="1"/>
  <c r="A98" i="5"/>
  <c r="I50" i="4"/>
  <c r="B60" i="5" s="1"/>
  <c r="A60" i="5"/>
  <c r="P78" i="4"/>
  <c r="A88" i="5"/>
  <c r="G234" i="4"/>
  <c r="A244" i="5"/>
  <c r="O99" i="4"/>
  <c r="A109" i="5"/>
  <c r="P230" i="4"/>
  <c r="A240" i="5"/>
  <c r="G71" i="4"/>
  <c r="A81" i="5"/>
  <c r="M159" i="4"/>
  <c r="A169" i="5"/>
  <c r="P210" i="4"/>
  <c r="A220" i="5"/>
  <c r="I17" i="4"/>
  <c r="B27" i="5" s="1"/>
  <c r="A27" i="5"/>
  <c r="G109" i="4"/>
  <c r="A119" i="5"/>
  <c r="M200" i="4"/>
  <c r="A210" i="5"/>
  <c r="J186" i="4"/>
  <c r="C196" i="5" s="1"/>
  <c r="A196" i="5"/>
  <c r="M129" i="4"/>
  <c r="A139" i="5"/>
  <c r="A122" i="5"/>
  <c r="M147" i="4"/>
  <c r="A157" i="5"/>
  <c r="I188" i="4"/>
  <c r="B198" i="5" s="1"/>
  <c r="A198" i="5"/>
  <c r="I235" i="4"/>
  <c r="B245" i="5" s="1"/>
  <c r="A245" i="5"/>
  <c r="L8" i="4"/>
  <c r="D18" i="5" s="1"/>
  <c r="A18" i="5"/>
  <c r="O90" i="4"/>
  <c r="A100" i="5"/>
  <c r="K51" i="4"/>
  <c r="A61" i="5"/>
  <c r="P22" i="4"/>
  <c r="A32" i="5"/>
  <c r="G57" i="4"/>
  <c r="A67" i="5"/>
  <c r="I121" i="4"/>
  <c r="B131" i="5" s="1"/>
  <c r="A131" i="5"/>
  <c r="M94" i="4"/>
  <c r="A104" i="5"/>
  <c r="J101" i="4"/>
  <c r="C111" i="5" s="1"/>
  <c r="A111" i="5"/>
  <c r="J208" i="4"/>
  <c r="C218" i="5" s="1"/>
  <c r="A218" i="5"/>
  <c r="L9" i="4"/>
  <c r="D19" i="5" s="1"/>
  <c r="A19" i="5"/>
  <c r="P197" i="4"/>
  <c r="A207" i="5"/>
  <c r="I170" i="4"/>
  <c r="B180" i="5" s="1"/>
  <c r="A180" i="5"/>
  <c r="G205" i="4"/>
  <c r="A215" i="5"/>
  <c r="L66" i="4"/>
  <c r="D76" i="5" s="1"/>
  <c r="A76" i="5"/>
  <c r="L149" i="4"/>
  <c r="A159" i="5"/>
  <c r="J105" i="4"/>
  <c r="C115" i="5" s="1"/>
  <c r="A115" i="5"/>
  <c r="P199" i="4"/>
  <c r="A209" i="5"/>
  <c r="L198" i="4"/>
  <c r="D208" i="5" s="1"/>
  <c r="A208" i="5"/>
  <c r="N81" i="4"/>
  <c r="E91" i="5" s="1"/>
  <c r="A91" i="5"/>
  <c r="P155" i="4"/>
  <c r="A165" i="5"/>
  <c r="P58" i="4"/>
  <c r="A68" i="5"/>
  <c r="I161" i="4"/>
  <c r="B171" i="5" s="1"/>
  <c r="A171" i="5"/>
  <c r="J140" i="4"/>
  <c r="C150" i="5" s="1"/>
  <c r="A150" i="5"/>
  <c r="P144" i="4"/>
  <c r="A154" i="5"/>
  <c r="K69" i="4"/>
  <c r="A79" i="5"/>
  <c r="J20" i="4"/>
  <c r="C30" i="5" s="1"/>
  <c r="A30" i="5"/>
  <c r="N12" i="4"/>
  <c r="E22" i="5" s="1"/>
  <c r="A22" i="5"/>
  <c r="I45" i="4"/>
  <c r="B55" i="5" s="1"/>
  <c r="A55" i="5"/>
  <c r="N86" i="4"/>
  <c r="E96" i="5" s="1"/>
  <c r="A96" i="5"/>
  <c r="M120" i="4"/>
  <c r="A130" i="5"/>
  <c r="I154" i="4"/>
  <c r="B164" i="5" s="1"/>
  <c r="A164" i="5"/>
  <c r="L91" i="4"/>
  <c r="D101" i="5" s="1"/>
  <c r="A101" i="5"/>
  <c r="I164" i="4"/>
  <c r="B174" i="5" s="1"/>
  <c r="A174" i="5"/>
  <c r="J49" i="4"/>
  <c r="C59" i="5" s="1"/>
  <c r="A59" i="5"/>
  <c r="I13" i="4"/>
  <c r="B23" i="5" s="1"/>
  <c r="A23" i="5"/>
  <c r="M150" i="4"/>
  <c r="A160" i="5"/>
  <c r="M72" i="4"/>
  <c r="A82" i="5"/>
  <c r="J39" i="4"/>
  <c r="C49" i="5" s="1"/>
  <c r="A49" i="5"/>
  <c r="A193" i="5"/>
  <c r="M84" i="4"/>
  <c r="A94" i="5"/>
  <c r="O67" i="4"/>
  <c r="A77" i="5"/>
  <c r="A187" i="5"/>
  <c r="G37" i="4"/>
  <c r="A47" i="5"/>
  <c r="J227" i="4"/>
  <c r="C237" i="5" s="1"/>
  <c r="A237" i="5"/>
  <c r="I128" i="4"/>
  <c r="B138" i="5" s="1"/>
  <c r="A138" i="5"/>
  <c r="I173" i="4"/>
  <c r="B183" i="5" s="1"/>
  <c r="A183" i="5"/>
  <c r="M152" i="4"/>
  <c r="A162" i="5"/>
  <c r="J125" i="4"/>
  <c r="C135" i="5" s="1"/>
  <c r="A135" i="5"/>
  <c r="P30" i="4"/>
  <c r="A40" i="5"/>
  <c r="M38" i="4"/>
  <c r="A48" i="5"/>
  <c r="I27" i="4"/>
  <c r="B37" i="5" s="1"/>
  <c r="A37" i="5"/>
  <c r="M142" i="4"/>
  <c r="A152" i="5"/>
  <c r="P228" i="4"/>
  <c r="A238" i="5"/>
  <c r="J119" i="4"/>
  <c r="C129" i="5" s="1"/>
  <c r="A129" i="5"/>
  <c r="M98" i="4"/>
  <c r="A108" i="5"/>
  <c r="P209" i="4"/>
  <c r="A219" i="5"/>
  <c r="L100" i="4"/>
  <c r="A110" i="5"/>
  <c r="M18" i="4"/>
  <c r="A28" i="5"/>
  <c r="K7" i="4"/>
  <c r="A17" i="5"/>
  <c r="G165" i="4"/>
  <c r="A175" i="5"/>
  <c r="G48" i="4"/>
  <c r="A58" i="5"/>
  <c r="M168" i="4"/>
  <c r="A178" i="5"/>
  <c r="P95" i="4"/>
  <c r="A105" i="5"/>
  <c r="L172" i="4"/>
  <c r="A182" i="5"/>
  <c r="O25" i="4"/>
  <c r="A35" i="5"/>
  <c r="J141" i="4"/>
  <c r="C151" i="5" s="1"/>
  <c r="A151" i="5"/>
  <c r="I220" i="4"/>
  <c r="B230" i="5" s="1"/>
  <c r="A230" i="5"/>
  <c r="P179" i="4"/>
  <c r="A189" i="5"/>
  <c r="G35" i="4"/>
  <c r="P202" i="4"/>
  <c r="A212" i="5"/>
  <c r="I145" i="4"/>
  <c r="B155" i="5" s="1"/>
  <c r="A155" i="5"/>
  <c r="P176" i="4"/>
  <c r="A186" i="5"/>
  <c r="I214" i="4"/>
  <c r="B224" i="5" s="1"/>
  <c r="A224" i="5"/>
  <c r="P4" i="4"/>
  <c r="A14" i="5"/>
  <c r="J218" i="4"/>
  <c r="C228" i="5" s="1"/>
  <c r="A228" i="5"/>
  <c r="I181" i="4"/>
  <c r="B191" i="5" s="1"/>
  <c r="A191" i="5"/>
  <c r="G192" i="4"/>
  <c r="A202" i="5"/>
  <c r="P171" i="4"/>
  <c r="A181" i="5"/>
  <c r="M229" i="4"/>
  <c r="A239" i="5"/>
  <c r="L47" i="4"/>
  <c r="P44" i="4"/>
  <c r="A54" i="5"/>
  <c r="M62" i="4"/>
  <c r="A72" i="5"/>
  <c r="O33" i="4"/>
  <c r="A43" i="5"/>
  <c r="M124" i="4"/>
  <c r="A134" i="5"/>
  <c r="M195" i="4"/>
  <c r="A205" i="5"/>
  <c r="A25" i="5"/>
  <c r="L23" i="4"/>
  <c r="D33" i="5" s="1"/>
  <c r="A33" i="5"/>
  <c r="A121" i="5"/>
  <c r="K29" i="4"/>
  <c r="A39" i="5"/>
  <c r="P215" i="4"/>
  <c r="A225" i="5"/>
  <c r="M649" i="4"/>
  <c r="I884" i="4"/>
  <c r="I319" i="4"/>
  <c r="L948" i="4"/>
  <c r="R948" i="4" s="1"/>
  <c r="P510" i="4"/>
  <c r="J754" i="4"/>
  <c r="G601" i="4"/>
  <c r="J784" i="4"/>
  <c r="I44" i="4"/>
  <c r="B54" i="5" s="1"/>
  <c r="L124" i="4"/>
  <c r="G33" i="4"/>
  <c r="J672" i="4"/>
  <c r="L597" i="4"/>
  <c r="R597" i="4" s="1"/>
  <c r="S597" i="4" s="1"/>
  <c r="M948" i="4"/>
  <c r="G195" i="4"/>
  <c r="O35" i="4"/>
  <c r="M215" i="4"/>
  <c r="P591" i="4"/>
  <c r="I72" i="4"/>
  <c r="B82" i="5" s="1"/>
  <c r="L238" i="4"/>
  <c r="D248" i="5" s="1"/>
  <c r="M446" i="4"/>
  <c r="I694" i="4"/>
  <c r="M57" i="4"/>
  <c r="I248" i="4"/>
  <c r="J214" i="4"/>
  <c r="C224" i="5" s="1"/>
  <c r="P750" i="4"/>
  <c r="J433" i="4"/>
  <c r="L714" i="4"/>
  <c r="R714" i="4" s="1"/>
  <c r="P69" i="4"/>
  <c r="M39" i="4"/>
  <c r="P343" i="4"/>
  <c r="I671" i="4"/>
  <c r="J702" i="4"/>
  <c r="J144" i="4"/>
  <c r="C154" i="5" s="1"/>
  <c r="L817" i="4"/>
  <c r="R817" i="4" s="1"/>
  <c r="S817" i="4" s="1"/>
  <c r="L150" i="4"/>
  <c r="D160" i="5" s="1"/>
  <c r="M45" i="4"/>
  <c r="P817" i="4"/>
  <c r="P337" i="4"/>
  <c r="L39" i="4"/>
  <c r="D49" i="5" s="1"/>
  <c r="M920" i="4"/>
  <c r="P877" i="4"/>
  <c r="P433" i="4"/>
  <c r="L554" i="4"/>
  <c r="R554" i="4" s="1"/>
  <c r="S554" i="4" s="1"/>
  <c r="P851" i="4"/>
  <c r="N72" i="4"/>
  <c r="E82" i="5" s="1"/>
  <c r="K13" i="4"/>
  <c r="O94" i="4"/>
  <c r="L758" i="4"/>
  <c r="R758" i="4" s="1"/>
  <c r="L121" i="4"/>
  <c r="D131" i="5" s="1"/>
  <c r="M877" i="4"/>
  <c r="M433" i="4"/>
  <c r="G433" i="4"/>
  <c r="L376" i="4"/>
  <c r="R376" i="4" s="1"/>
  <c r="J189" i="4"/>
  <c r="C199" i="5" s="1"/>
  <c r="P661" i="4"/>
  <c r="J877" i="4"/>
  <c r="J583" i="4"/>
  <c r="L433" i="4"/>
  <c r="R433" i="4" s="1"/>
  <c r="J554" i="4"/>
  <c r="I714" i="4"/>
  <c r="M817" i="4"/>
  <c r="L234" i="4"/>
  <c r="D244" i="5" s="1"/>
  <c r="I20" i="4"/>
  <c r="B30" i="5" s="1"/>
  <c r="I39" i="4"/>
  <c r="B49" i="5" s="1"/>
  <c r="N10" i="4"/>
  <c r="E20" i="5" s="1"/>
  <c r="I150" i="4"/>
  <c r="B160" i="5" s="1"/>
  <c r="M660" i="4"/>
  <c r="J520" i="4"/>
  <c r="L619" i="4"/>
  <c r="R619" i="4" s="1"/>
  <c r="P307" i="4"/>
  <c r="I661" i="4"/>
  <c r="P554" i="4"/>
  <c r="P714" i="4"/>
  <c r="I817" i="4"/>
  <c r="G337" i="4"/>
  <c r="G20" i="4"/>
  <c r="O39" i="4"/>
  <c r="G520" i="4"/>
  <c r="I619" i="4"/>
  <c r="O13" i="4"/>
  <c r="G727" i="4"/>
  <c r="P945" i="4"/>
  <c r="I702" i="4"/>
  <c r="J804" i="4"/>
  <c r="L588" i="4"/>
  <c r="R588" i="4" s="1"/>
  <c r="I602" i="4"/>
  <c r="M958" i="4"/>
  <c r="M741" i="4"/>
  <c r="P560" i="4"/>
  <c r="G804" i="4"/>
  <c r="I556" i="4"/>
  <c r="N58" i="4"/>
  <c r="E68" i="5" s="1"/>
  <c r="P348" i="4"/>
  <c r="J819" i="4"/>
  <c r="J741" i="4"/>
  <c r="G144" i="4"/>
  <c r="M851" i="4"/>
  <c r="I649" i="4"/>
  <c r="J161" i="4"/>
  <c r="C171" i="5" s="1"/>
  <c r="I155" i="4"/>
  <c r="B165" i="5" s="1"/>
  <c r="J800" i="4"/>
  <c r="L673" i="4"/>
  <c r="R673" i="4" s="1"/>
  <c r="S673" i="4" s="1"/>
  <c r="J560" i="4"/>
  <c r="J999" i="4"/>
  <c r="P958" i="4"/>
  <c r="G965" i="4"/>
  <c r="J661" i="4"/>
  <c r="M671" i="4"/>
  <c r="P702" i="4"/>
  <c r="G877" i="4"/>
  <c r="L877" i="4"/>
  <c r="R877" i="4" s="1"/>
  <c r="I545" i="4"/>
  <c r="P741" i="4"/>
  <c r="G560" i="4"/>
  <c r="P435" i="4"/>
  <c r="P272" i="4"/>
  <c r="L144" i="4"/>
  <c r="D154" i="5" s="1"/>
  <c r="G554" i="4"/>
  <c r="I376" i="4"/>
  <c r="M714" i="4"/>
  <c r="J851" i="4"/>
  <c r="J807" i="4"/>
  <c r="L649" i="4"/>
  <c r="R649" i="4" s="1"/>
  <c r="S649" i="4" s="1"/>
  <c r="J588" i="4"/>
  <c r="P298" i="4"/>
  <c r="G155" i="4"/>
  <c r="M724" i="4"/>
  <c r="P306" i="4"/>
  <c r="J69" i="4"/>
  <c r="C79" i="5" s="1"/>
  <c r="L20" i="4"/>
  <c r="D30" i="5" s="1"/>
  <c r="N45" i="4"/>
  <c r="E55" i="5" s="1"/>
  <c r="M549" i="4"/>
  <c r="I569" i="4"/>
  <c r="M344" i="4"/>
  <c r="J881" i="4"/>
  <c r="O59" i="4"/>
  <c r="P206" i="4"/>
  <c r="M818" i="4"/>
  <c r="N5" i="4"/>
  <c r="E15" i="5" s="1"/>
  <c r="K57" i="4"/>
  <c r="G945" i="4"/>
  <c r="H945" i="4" s="1"/>
  <c r="M661" i="4"/>
  <c r="P671" i="4"/>
  <c r="G702" i="4"/>
  <c r="L702" i="4"/>
  <c r="R702" i="4" s="1"/>
  <c r="S702" i="4" s="1"/>
  <c r="G545" i="4"/>
  <c r="I741" i="4"/>
  <c r="I435" i="4"/>
  <c r="M366" i="4"/>
  <c r="I144" i="4"/>
  <c r="B154" i="5" s="1"/>
  <c r="I554" i="4"/>
  <c r="L969" i="4"/>
  <c r="R969" i="4" s="1"/>
  <c r="S969" i="4" s="1"/>
  <c r="J714" i="4"/>
  <c r="G851" i="4"/>
  <c r="G817" i="4"/>
  <c r="M804" i="4"/>
  <c r="I715" i="4"/>
  <c r="P140" i="4"/>
  <c r="M161" i="4"/>
  <c r="M854" i="4"/>
  <c r="G368" i="4"/>
  <c r="P383" i="4"/>
  <c r="I337" i="4"/>
  <c r="N20" i="4"/>
  <c r="E30" i="5" s="1"/>
  <c r="N39" i="4"/>
  <c r="E49" i="5" s="1"/>
  <c r="K39" i="4"/>
  <c r="P150" i="4"/>
  <c r="O72" i="4"/>
  <c r="M646" i="4"/>
  <c r="L189" i="4"/>
  <c r="D199" i="5" s="1"/>
  <c r="J660" i="4"/>
  <c r="I520" i="4"/>
  <c r="P45" i="4"/>
  <c r="P569" i="4"/>
  <c r="L344" i="4"/>
  <c r="R344" i="4" s="1"/>
  <c r="M966" i="4"/>
  <c r="L526" i="4"/>
  <c r="R526" i="4" s="1"/>
  <c r="M944" i="4"/>
  <c r="I120" i="4"/>
  <c r="B130" i="5" s="1"/>
  <c r="L491" i="4"/>
  <c r="R491" i="4" s="1"/>
  <c r="S491" i="4" s="1"/>
  <c r="T491" i="4" s="1"/>
  <c r="M543" i="4"/>
  <c r="I948" i="4"/>
  <c r="M904" i="4"/>
  <c r="L215" i="4"/>
  <c r="D225" i="5" s="1"/>
  <c r="L638" i="4"/>
  <c r="R638" i="4" s="1"/>
  <c r="S638" i="4" s="1"/>
  <c r="L672" i="4"/>
  <c r="R672" i="4" s="1"/>
  <c r="S672" i="4" s="1"/>
  <c r="I478" i="4"/>
  <c r="P951" i="4"/>
  <c r="M597" i="4"/>
  <c r="J728" i="4"/>
  <c r="P557" i="4"/>
  <c r="I190" i="4"/>
  <c r="B200" i="5" s="1"/>
  <c r="I127" i="4"/>
  <c r="B137" i="5" s="1"/>
  <c r="O77" i="4"/>
  <c r="I630" i="4"/>
  <c r="G291" i="4"/>
  <c r="H291" i="4" s="1"/>
  <c r="M647" i="4"/>
  <c r="L568" i="4"/>
  <c r="R568" i="4" s="1"/>
  <c r="P244" i="4"/>
  <c r="P754" i="4"/>
  <c r="P597" i="4"/>
  <c r="J597" i="4"/>
  <c r="G728" i="4"/>
  <c r="G242" i="4"/>
  <c r="M190" i="4"/>
  <c r="P195" i="4"/>
  <c r="M884" i="4"/>
  <c r="L431" i="4"/>
  <c r="R431" i="4" s="1"/>
  <c r="S431" i="4" s="1"/>
  <c r="N47" i="4"/>
  <c r="E57" i="5" s="1"/>
  <c r="G62" i="4"/>
  <c r="I380" i="4"/>
  <c r="P672" i="4"/>
  <c r="M951" i="4"/>
  <c r="J948" i="4"/>
  <c r="J242" i="4"/>
  <c r="I195" i="4"/>
  <c r="B205" i="5" s="1"/>
  <c r="G431" i="4"/>
  <c r="G708" i="4"/>
  <c r="L309" i="4"/>
  <c r="R309" i="4" s="1"/>
  <c r="G948" i="4"/>
  <c r="I909" i="4"/>
  <c r="M493" i="4"/>
  <c r="I601" i="4"/>
  <c r="J630" i="4"/>
  <c r="I754" i="4"/>
  <c r="I597" i="4"/>
  <c r="L909" i="4"/>
  <c r="R909" i="4" s="1"/>
  <c r="S909" i="4" s="1"/>
  <c r="I728" i="4"/>
  <c r="J904" i="4"/>
  <c r="L493" i="4"/>
  <c r="R493" i="4" s="1"/>
  <c r="G190" i="4"/>
  <c r="J884" i="4"/>
  <c r="P431" i="4"/>
  <c r="G124" i="4"/>
  <c r="L319" i="4"/>
  <c r="R319" i="4" s="1"/>
  <c r="J449" i="4"/>
  <c r="G248" i="4"/>
  <c r="L367" i="4"/>
  <c r="R367" i="4" s="1"/>
  <c r="S367" i="4" s="1"/>
  <c r="G784" i="4"/>
  <c r="P62" i="4"/>
  <c r="N33" i="4"/>
  <c r="E43" i="5" s="1"/>
  <c r="G23" i="4"/>
  <c r="M447" i="4"/>
  <c r="M174" i="4"/>
  <c r="I29" i="4"/>
  <c r="B39" i="5" s="1"/>
  <c r="P969" i="4"/>
  <c r="M199" i="4"/>
  <c r="L945" i="4"/>
  <c r="R945" i="4" s="1"/>
  <c r="S945" i="4" s="1"/>
  <c r="J958" i="4"/>
  <c r="G661" i="4"/>
  <c r="G819" i="4"/>
  <c r="L671" i="4"/>
  <c r="R671" i="4" s="1"/>
  <c r="P673" i="4"/>
  <c r="M545" i="4"/>
  <c r="G741" i="4"/>
  <c r="G435" i="4"/>
  <c r="M144" i="4"/>
  <c r="I969" i="4"/>
  <c r="I851" i="4"/>
  <c r="J743" i="4"/>
  <c r="P715" i="4"/>
  <c r="L556" i="4"/>
  <c r="R556" i="4" s="1"/>
  <c r="I140" i="4"/>
  <c r="B150" i="5" s="1"/>
  <c r="L298" i="4"/>
  <c r="R298" i="4" s="1"/>
  <c r="O58" i="4"/>
  <c r="G307" i="4"/>
  <c r="I511" i="4"/>
  <c r="J368" i="4"/>
  <c r="L69" i="4"/>
  <c r="D79" i="5" s="1"/>
  <c r="I898" i="4"/>
  <c r="P631" i="4"/>
  <c r="P516" i="4"/>
  <c r="M245" i="4"/>
  <c r="G99" i="4"/>
  <c r="G998" i="4"/>
  <c r="I991" i="4"/>
  <c r="P998" i="4"/>
  <c r="I818" i="4"/>
  <c r="P965" i="4"/>
  <c r="J830" i="4"/>
  <c r="G341" i="4"/>
  <c r="G853" i="4"/>
  <c r="P982" i="4"/>
  <c r="G366" i="4"/>
  <c r="J185" i="4"/>
  <c r="C195" i="5" s="1"/>
  <c r="J99" i="4"/>
  <c r="C109" i="5" s="1"/>
  <c r="G28" i="4"/>
  <c r="J200" i="4"/>
  <c r="C210" i="5" s="1"/>
  <c r="J620" i="4"/>
  <c r="K92" i="4"/>
  <c r="L982" i="4"/>
  <c r="R982" i="4" s="1"/>
  <c r="S982" i="4" s="1"/>
  <c r="I768" i="4"/>
  <c r="L17" i="4"/>
  <c r="M868" i="4"/>
  <c r="J313" i="4"/>
  <c r="P371" i="4"/>
  <c r="J998" i="4"/>
  <c r="L818" i="4"/>
  <c r="R818" i="4" s="1"/>
  <c r="S818" i="4" s="1"/>
  <c r="G830" i="4"/>
  <c r="H830" i="4" s="1"/>
  <c r="K94" i="4"/>
  <c r="I758" i="4"/>
  <c r="J109" i="4"/>
  <c r="C119" i="5" s="1"/>
  <c r="I101" i="4"/>
  <c r="B111" i="5" s="1"/>
  <c r="M853" i="4"/>
  <c r="L868" i="4"/>
  <c r="R868" i="4" s="1"/>
  <c r="M954" i="4"/>
  <c r="J982" i="4"/>
  <c r="P687" i="4"/>
  <c r="I366" i="4"/>
  <c r="L185" i="4"/>
  <c r="J475" i="4"/>
  <c r="J506" i="4"/>
  <c r="J71" i="4"/>
  <c r="C81" i="5" s="1"/>
  <c r="J80" i="4"/>
  <c r="C90" i="5" s="1"/>
  <c r="P286" i="4"/>
  <c r="P334" i="4"/>
  <c r="L305" i="4"/>
  <c r="R305" i="4" s="1"/>
  <c r="S305" i="4" s="1"/>
  <c r="G344" i="4"/>
  <c r="I344" i="4"/>
  <c r="M998" i="4"/>
  <c r="G818" i="4"/>
  <c r="J853" i="4"/>
  <c r="G954" i="4"/>
  <c r="M982" i="4"/>
  <c r="M687" i="4"/>
  <c r="M438" i="4"/>
  <c r="G78" i="4"/>
  <c r="P344" i="4"/>
  <c r="M322" i="4"/>
  <c r="L593" i="4"/>
  <c r="R593" i="4" s="1"/>
  <c r="G785" i="4"/>
  <c r="J673" i="4"/>
  <c r="I743" i="4"/>
  <c r="L152" i="4"/>
  <c r="L960" i="4"/>
  <c r="R960" i="4" s="1"/>
  <c r="I603" i="4"/>
  <c r="G614" i="4"/>
  <c r="H614" i="4" s="1"/>
  <c r="G353" i="4"/>
  <c r="H353" i="4" s="1"/>
  <c r="G941" i="4"/>
  <c r="L793" i="4"/>
  <c r="R793" i="4" s="1"/>
  <c r="S793" i="4" s="1"/>
  <c r="G142" i="4"/>
  <c r="N27" i="4"/>
  <c r="E37" i="5" s="1"/>
  <c r="L941" i="4"/>
  <c r="R941" i="4" s="1"/>
  <c r="S941" i="4" s="1"/>
  <c r="P783" i="4"/>
  <c r="L783" i="4"/>
  <c r="R783" i="4" s="1"/>
  <c r="M947" i="4"/>
  <c r="P388" i="4"/>
  <c r="J505" i="4"/>
  <c r="L887" i="4"/>
  <c r="R887" i="4" s="1"/>
  <c r="I98" i="4"/>
  <c r="B108" i="5" s="1"/>
  <c r="J392" i="4"/>
  <c r="J703" i="4"/>
  <c r="M409" i="4"/>
  <c r="G365" i="4"/>
  <c r="N30" i="4"/>
  <c r="E40" i="5" s="1"/>
  <c r="G98" i="4"/>
  <c r="G735" i="4"/>
  <c r="H735" i="4" s="1"/>
  <c r="M936" i="4"/>
  <c r="M945" i="4"/>
  <c r="G958" i="4"/>
  <c r="L958" i="4"/>
  <c r="R958" i="4" s="1"/>
  <c r="S958" i="4" s="1"/>
  <c r="T958" i="4" s="1"/>
  <c r="P690" i="4"/>
  <c r="I819" i="4"/>
  <c r="P819" i="4"/>
  <c r="G671" i="4"/>
  <c r="J894" i="4"/>
  <c r="J793" i="4"/>
  <c r="I673" i="4"/>
  <c r="P545" i="4"/>
  <c r="J545" i="4"/>
  <c r="J860" i="4"/>
  <c r="M392" i="4"/>
  <c r="I560" i="4"/>
  <c r="L435" i="4"/>
  <c r="R435" i="4" s="1"/>
  <c r="S435" i="4" s="1"/>
  <c r="J435" i="4"/>
  <c r="L249" i="4"/>
  <c r="R249" i="4" s="1"/>
  <c r="G969" i="4"/>
  <c r="M969" i="4"/>
  <c r="M743" i="4"/>
  <c r="J764" i="4"/>
  <c r="L715" i="4"/>
  <c r="R715" i="4" s="1"/>
  <c r="G588" i="4"/>
  <c r="P588" i="4"/>
  <c r="J556" i="4"/>
  <c r="L140" i="4"/>
  <c r="D150" i="5" s="1"/>
  <c r="P161" i="4"/>
  <c r="G161" i="4"/>
  <c r="J298" i="4"/>
  <c r="M298" i="4"/>
  <c r="I58" i="4"/>
  <c r="B68" i="5" s="1"/>
  <c r="L58" i="4"/>
  <c r="D68" i="5" s="1"/>
  <c r="O27" i="4"/>
  <c r="J511" i="4"/>
  <c r="P602" i="4"/>
  <c r="M81" i="4"/>
  <c r="I262" i="4"/>
  <c r="L574" i="4"/>
  <c r="R574" i="4" s="1"/>
  <c r="J454" i="4"/>
  <c r="J945" i="4"/>
  <c r="M819" i="4"/>
  <c r="I895" i="4"/>
  <c r="G673" i="4"/>
  <c r="I860" i="4"/>
  <c r="L652" i="4"/>
  <c r="R652" i="4" s="1"/>
  <c r="S652" i="4" s="1"/>
  <c r="M560" i="4"/>
  <c r="G249" i="4"/>
  <c r="M997" i="4"/>
  <c r="I557" i="4"/>
  <c r="J715" i="4"/>
  <c r="M715" i="4"/>
  <c r="I588" i="4"/>
  <c r="L228" i="4"/>
  <c r="L161" i="4"/>
  <c r="D171" i="5" s="1"/>
  <c r="G298" i="4"/>
  <c r="H298" i="4" s="1"/>
  <c r="G58" i="4"/>
  <c r="H58" i="4" s="1"/>
  <c r="P81" i="4"/>
  <c r="I198" i="4"/>
  <c r="B208" i="5" s="1"/>
  <c r="P105" i="4"/>
  <c r="M887" i="4"/>
  <c r="J725" i="4"/>
  <c r="P628" i="4"/>
  <c r="L730" i="4"/>
  <c r="R730" i="4" s="1"/>
  <c r="P730" i="4"/>
  <c r="M730" i="4"/>
  <c r="J595" i="4"/>
  <c r="M595" i="4"/>
  <c r="G595" i="4"/>
  <c r="L595" i="4"/>
  <c r="R595" i="4" s="1"/>
  <c r="S595" i="4" s="1"/>
  <c r="I964" i="4"/>
  <c r="J964" i="4"/>
  <c r="M964" i="4"/>
  <c r="N48" i="4"/>
  <c r="E58" i="5" s="1"/>
  <c r="I48" i="4"/>
  <c r="B58" i="5" s="1"/>
  <c r="O48" i="4"/>
  <c r="P48" i="4"/>
  <c r="J48" i="4"/>
  <c r="C58" i="5" s="1"/>
  <c r="L936" i="4"/>
  <c r="R936" i="4" s="1"/>
  <c r="I936" i="4"/>
  <c r="L894" i="4"/>
  <c r="R894" i="4" s="1"/>
  <c r="S894" i="4" s="1"/>
  <c r="I894" i="4"/>
  <c r="G793" i="4"/>
  <c r="P652" i="4"/>
  <c r="L516" i="4"/>
  <c r="R516" i="4" s="1"/>
  <c r="P960" i="4"/>
  <c r="P997" i="4"/>
  <c r="M557" i="4"/>
  <c r="G947" i="4"/>
  <c r="L764" i="4"/>
  <c r="R764" i="4" s="1"/>
  <c r="G409" i="4"/>
  <c r="P142" i="4"/>
  <c r="L505" i="4"/>
  <c r="R505" i="4" s="1"/>
  <c r="L544" i="4"/>
  <c r="R544" i="4" s="1"/>
  <c r="L681" i="4"/>
  <c r="R681" i="4" s="1"/>
  <c r="S681" i="4" s="1"/>
  <c r="O98" i="4"/>
  <c r="M697" i="4"/>
  <c r="G730" i="4"/>
  <c r="J331" i="4"/>
  <c r="J814" i="4"/>
  <c r="G814" i="4"/>
  <c r="L814" i="4"/>
  <c r="R814" i="4" s="1"/>
  <c r="S814" i="4" s="1"/>
  <c r="G695" i="4"/>
  <c r="J695" i="4"/>
  <c r="P695" i="4"/>
  <c r="M695" i="4"/>
  <c r="M690" i="4"/>
  <c r="I690" i="4"/>
  <c r="H690" i="4" s="1"/>
  <c r="J941" i="4"/>
  <c r="L997" i="4"/>
  <c r="R997" i="4" s="1"/>
  <c r="S997" i="4" s="1"/>
  <c r="G557" i="4"/>
  <c r="G764" i="4"/>
  <c r="L365" i="4"/>
  <c r="R365" i="4" s="1"/>
  <c r="J587" i="4"/>
  <c r="J773" i="4"/>
  <c r="J98" i="4"/>
  <c r="C108" i="5" s="1"/>
  <c r="L98" i="4"/>
  <c r="P35" i="4"/>
  <c r="L48" i="4"/>
  <c r="I695" i="4"/>
  <c r="G809" i="4"/>
  <c r="G936" i="4"/>
  <c r="J936" i="4"/>
  <c r="G754" i="4"/>
  <c r="J690" i="4"/>
  <c r="L690" i="4"/>
  <c r="R690" i="4" s="1"/>
  <c r="M941" i="4"/>
  <c r="G783" i="4"/>
  <c r="M894" i="4"/>
  <c r="G894" i="4"/>
  <c r="H894" i="4" s="1"/>
  <c r="M909" i="4"/>
  <c r="P909" i="4"/>
  <c r="I793" i="4"/>
  <c r="M728" i="4"/>
  <c r="P728" i="4"/>
  <c r="L860" i="4"/>
  <c r="R860" i="4" s="1"/>
  <c r="G392" i="4"/>
  <c r="I516" i="4"/>
  <c r="J249" i="4"/>
  <c r="I960" i="4"/>
  <c r="G960" i="4"/>
  <c r="J997" i="4"/>
  <c r="I997" i="4"/>
  <c r="L904" i="4"/>
  <c r="R904" i="4" s="1"/>
  <c r="L842" i="4"/>
  <c r="R842" i="4" s="1"/>
  <c r="S842" i="4" s="1"/>
  <c r="L557" i="4"/>
  <c r="R557" i="4" s="1"/>
  <c r="G493" i="4"/>
  <c r="J493" i="4"/>
  <c r="I703" i="4"/>
  <c r="M703" i="4"/>
  <c r="J947" i="4"/>
  <c r="I947" i="4"/>
  <c r="I764" i="4"/>
  <c r="M764" i="4"/>
  <c r="J388" i="4"/>
  <c r="I388" i="4"/>
  <c r="L409" i="4"/>
  <c r="R409" i="4" s="1"/>
  <c r="I409" i="4"/>
  <c r="G228" i="4"/>
  <c r="P245" i="4"/>
  <c r="P365" i="4"/>
  <c r="L27" i="4"/>
  <c r="O38" i="4"/>
  <c r="J38" i="4"/>
  <c r="C48" i="5" s="1"/>
  <c r="L30" i="4"/>
  <c r="G505" i="4"/>
  <c r="J603" i="4"/>
  <c r="J455" i="4"/>
  <c r="M125" i="4"/>
  <c r="L389" i="4"/>
  <c r="R389" i="4" s="1"/>
  <c r="G681" i="4"/>
  <c r="P242" i="4"/>
  <c r="I242" i="4"/>
  <c r="G887" i="4"/>
  <c r="P190" i="4"/>
  <c r="J190" i="4"/>
  <c r="C200" i="5" s="1"/>
  <c r="P98" i="4"/>
  <c r="N98" i="4"/>
  <c r="E108" i="5" s="1"/>
  <c r="J195" i="4"/>
  <c r="C205" i="5" s="1"/>
  <c r="L884" i="4"/>
  <c r="R884" i="4" s="1"/>
  <c r="J431" i="4"/>
  <c r="M431" i="4"/>
  <c r="M601" i="4"/>
  <c r="J124" i="4"/>
  <c r="C134" i="5" s="1"/>
  <c r="L2" i="4"/>
  <c r="D12" i="5" s="1"/>
  <c r="P77" i="4"/>
  <c r="L964" i="4"/>
  <c r="R964" i="4" s="1"/>
  <c r="I595" i="4"/>
  <c r="J730" i="4"/>
  <c r="M630" i="4"/>
  <c r="J426" i="4"/>
  <c r="J248" i="4"/>
  <c r="I35" i="4"/>
  <c r="B45" i="5" s="1"/>
  <c r="M48" i="4"/>
  <c r="L695" i="4"/>
  <c r="R695" i="4" s="1"/>
  <c r="G355" i="4"/>
  <c r="M47" i="4"/>
  <c r="L276" i="4"/>
  <c r="R276" i="4" s="1"/>
  <c r="S276" i="4" s="1"/>
  <c r="K62" i="4"/>
  <c r="G568" i="4"/>
  <c r="H568" i="4" s="1"/>
  <c r="L218" i="4"/>
  <c r="P972" i="4"/>
  <c r="L586" i="4"/>
  <c r="R586" i="4" s="1"/>
  <c r="M156" i="4"/>
  <c r="G182" i="4"/>
  <c r="J15" i="4"/>
  <c r="C25" i="5" s="1"/>
  <c r="L449" i="4"/>
  <c r="R449" i="4" s="1"/>
  <c r="G449" i="4"/>
  <c r="P449" i="4"/>
  <c r="I449" i="4"/>
  <c r="I783" i="4"/>
  <c r="L895" i="4"/>
  <c r="R895" i="4" s="1"/>
  <c r="S895" i="4" s="1"/>
  <c r="T895" i="4" s="1"/>
  <c r="M860" i="4"/>
  <c r="P392" i="4"/>
  <c r="I249" i="4"/>
  <c r="M960" i="4"/>
  <c r="P842" i="4"/>
  <c r="L703" i="4"/>
  <c r="R703" i="4" s="1"/>
  <c r="M388" i="4"/>
  <c r="L388" i="4"/>
  <c r="R388" i="4" s="1"/>
  <c r="J228" i="4"/>
  <c r="C238" i="5" s="1"/>
  <c r="I228" i="4"/>
  <c r="B238" i="5" s="1"/>
  <c r="I245" i="4"/>
  <c r="N38" i="4"/>
  <c r="E48" i="5" s="1"/>
  <c r="K38" i="4"/>
  <c r="J30" i="4"/>
  <c r="C40" i="5" s="1"/>
  <c r="P125" i="4"/>
  <c r="I887" i="4"/>
  <c r="P887" i="4"/>
  <c r="M754" i="4"/>
  <c r="P941" i="4"/>
  <c r="J783" i="4"/>
  <c r="M895" i="4"/>
  <c r="J909" i="4"/>
  <c r="M793" i="4"/>
  <c r="P860" i="4"/>
  <c r="L392" i="4"/>
  <c r="R392" i="4" s="1"/>
  <c r="J516" i="4"/>
  <c r="P249" i="4"/>
  <c r="P904" i="4"/>
  <c r="J842" i="4"/>
  <c r="I493" i="4"/>
  <c r="G703" i="4"/>
  <c r="P947" i="4"/>
  <c r="J409" i="4"/>
  <c r="M228" i="4"/>
  <c r="I365" i="4"/>
  <c r="L142" i="4"/>
  <c r="M27" i="4"/>
  <c r="J27" i="4"/>
  <c r="C37" i="5" s="1"/>
  <c r="I38" i="4"/>
  <c r="B48" i="5" s="1"/>
  <c r="I30" i="4"/>
  <c r="B40" i="5" s="1"/>
  <c r="P505" i="4"/>
  <c r="P603" i="4"/>
  <c r="G262" i="4"/>
  <c r="P327" i="4"/>
  <c r="M389" i="4"/>
  <c r="L173" i="4"/>
  <c r="M242" i="4"/>
  <c r="L190" i="4"/>
  <c r="K98" i="4"/>
  <c r="L195" i="4"/>
  <c r="G884" i="4"/>
  <c r="L601" i="4"/>
  <c r="R601" i="4" s="1"/>
  <c r="S601" i="4" s="1"/>
  <c r="I124" i="4"/>
  <c r="B134" i="5" s="1"/>
  <c r="P964" i="4"/>
  <c r="P595" i="4"/>
  <c r="K48" i="4"/>
  <c r="G776" i="4"/>
  <c r="M550" i="4"/>
  <c r="L739" i="4"/>
  <c r="R739" i="4" s="1"/>
  <c r="I932" i="4"/>
  <c r="J932" i="4"/>
  <c r="I697" i="4"/>
  <c r="L697" i="4"/>
  <c r="R697" i="4" s="1"/>
  <c r="S697" i="4" s="1"/>
  <c r="T697" i="4" s="1"/>
  <c r="G697" i="4"/>
  <c r="M735" i="4"/>
  <c r="P735" i="4"/>
  <c r="L735" i="4"/>
  <c r="R735" i="4" s="1"/>
  <c r="I292" i="4"/>
  <c r="G292" i="4"/>
  <c r="P477" i="4"/>
  <c r="L477" i="4"/>
  <c r="R477" i="4" s="1"/>
  <c r="M795" i="4"/>
  <c r="J795" i="4"/>
  <c r="G795" i="4"/>
  <c r="I628" i="4"/>
  <c r="J628" i="4"/>
  <c r="M628" i="4"/>
  <c r="L628" i="4"/>
  <c r="R628" i="4" s="1"/>
  <c r="S628" i="4" s="1"/>
  <c r="P346" i="4"/>
  <c r="M346" i="4"/>
  <c r="J346" i="4"/>
  <c r="P353" i="4"/>
  <c r="M353" i="4"/>
  <c r="L353" i="4"/>
  <c r="R353" i="4" s="1"/>
  <c r="J353" i="4"/>
  <c r="P484" i="4"/>
  <c r="J484" i="4"/>
  <c r="I484" i="4"/>
  <c r="P226" i="4"/>
  <c r="I226" i="4"/>
  <c r="B236" i="5" s="1"/>
  <c r="L95" i="4"/>
  <c r="P809" i="4"/>
  <c r="L809" i="4"/>
  <c r="R809" i="4" s="1"/>
  <c r="S809" i="4" s="1"/>
  <c r="M809" i="4"/>
  <c r="I809" i="4"/>
  <c r="J182" i="4"/>
  <c r="C192" i="5" s="1"/>
  <c r="I182" i="4"/>
  <c r="B192" i="5" s="1"/>
  <c r="M182" i="4"/>
  <c r="J539" i="4"/>
  <c r="G539" i="4"/>
  <c r="L539" i="4"/>
  <c r="R539" i="4" s="1"/>
  <c r="S539" i="4" s="1"/>
  <c r="P635" i="4"/>
  <c r="L635" i="4"/>
  <c r="R635" i="4" s="1"/>
  <c r="I635" i="4"/>
  <c r="I179" i="4"/>
  <c r="B189" i="5" s="1"/>
  <c r="G179" i="4"/>
  <c r="J179" i="4"/>
  <c r="C189" i="5" s="1"/>
  <c r="K35" i="4"/>
  <c r="J35" i="4"/>
  <c r="C45" i="5" s="1"/>
  <c r="M35" i="4"/>
  <c r="N35" i="4"/>
  <c r="E45" i="5" s="1"/>
  <c r="L35" i="4"/>
  <c r="G145" i="4"/>
  <c r="M145" i="4"/>
  <c r="P248" i="4"/>
  <c r="L248" i="4"/>
  <c r="R248" i="4" s="1"/>
  <c r="S248" i="4" s="1"/>
  <c r="T248" i="4" s="1"/>
  <c r="L630" i="4"/>
  <c r="R630" i="4" s="1"/>
  <c r="S630" i="4" s="1"/>
  <c r="P630" i="4"/>
  <c r="M745" i="4"/>
  <c r="G745" i="4"/>
  <c r="M888" i="4"/>
  <c r="L888" i="4"/>
  <c r="R888" i="4" s="1"/>
  <c r="I888" i="4"/>
  <c r="P888" i="4"/>
  <c r="G214" i="4"/>
  <c r="P214" i="4"/>
  <c r="L214" i="4"/>
  <c r="M214" i="4"/>
  <c r="G244" i="4"/>
  <c r="M244" i="4"/>
  <c r="J647" i="4"/>
  <c r="P647" i="4"/>
  <c r="I647" i="4"/>
  <c r="L647" i="4"/>
  <c r="R647" i="4" s="1"/>
  <c r="P959" i="4"/>
  <c r="J959" i="4"/>
  <c r="I959" i="4"/>
  <c r="M959" i="4"/>
  <c r="O43" i="4"/>
  <c r="J43" i="4"/>
  <c r="C53" i="5" s="1"/>
  <c r="M218" i="4"/>
  <c r="P218" i="4"/>
  <c r="G218" i="4"/>
  <c r="I218" i="4"/>
  <c r="B228" i="5" s="1"/>
  <c r="P268" i="4"/>
  <c r="J268" i="4"/>
  <c r="M897" i="4"/>
  <c r="J897" i="4"/>
  <c r="I525" i="4"/>
  <c r="L525" i="4"/>
  <c r="R525" i="4" s="1"/>
  <c r="I192" i="4"/>
  <c r="B202" i="5" s="1"/>
  <c r="P192" i="4"/>
  <c r="M192" i="4"/>
  <c r="J192" i="4"/>
  <c r="C202" i="5" s="1"/>
  <c r="L192" i="4"/>
  <c r="I750" i="4"/>
  <c r="L750" i="4"/>
  <c r="R750" i="4" s="1"/>
  <c r="J750" i="4"/>
  <c r="G750" i="4"/>
  <c r="L291" i="4"/>
  <c r="R291" i="4" s="1"/>
  <c r="J291" i="4"/>
  <c r="M291" i="4"/>
  <c r="P291" i="4"/>
  <c r="P156" i="4"/>
  <c r="L156" i="4"/>
  <c r="G156" i="4"/>
  <c r="J380" i="4"/>
  <c r="G380" i="4"/>
  <c r="G367" i="4"/>
  <c r="J367" i="4"/>
  <c r="M367" i="4"/>
  <c r="I367" i="4"/>
  <c r="P784" i="4"/>
  <c r="M784" i="4"/>
  <c r="I784" i="4"/>
  <c r="M85" i="4"/>
  <c r="J85" i="4"/>
  <c r="C95" i="5" s="1"/>
  <c r="G85" i="4"/>
  <c r="M708" i="4"/>
  <c r="L708" i="4"/>
  <c r="R708" i="4" s="1"/>
  <c r="S708" i="4" s="1"/>
  <c r="J708" i="4"/>
  <c r="I708" i="4"/>
  <c r="G47" i="4"/>
  <c r="P47" i="4"/>
  <c r="K47" i="4"/>
  <c r="O47" i="4"/>
  <c r="I47" i="4"/>
  <c r="B57" i="5" s="1"/>
  <c r="J47" i="4"/>
  <c r="C57" i="5" s="1"/>
  <c r="I276" i="4"/>
  <c r="H276" i="4" s="1"/>
  <c r="M276" i="4"/>
  <c r="P276" i="4"/>
  <c r="J276" i="4"/>
  <c r="J62" i="4"/>
  <c r="C72" i="5" s="1"/>
  <c r="L62" i="4"/>
  <c r="I62" i="4"/>
  <c r="B72" i="5" s="1"/>
  <c r="N62" i="4"/>
  <c r="E72" i="5" s="1"/>
  <c r="O62" i="4"/>
  <c r="J618" i="4"/>
  <c r="G618" i="4"/>
  <c r="P618" i="4"/>
  <c r="I618" i="4"/>
  <c r="M618" i="4"/>
  <c r="M568" i="4"/>
  <c r="J568" i="4"/>
  <c r="P568" i="4"/>
  <c r="G281" i="4"/>
  <c r="M281" i="4"/>
  <c r="L281" i="4"/>
  <c r="R281" i="4" s="1"/>
  <c r="L426" i="4"/>
  <c r="R426" i="4" s="1"/>
  <c r="S426" i="4" s="1"/>
  <c r="M426" i="4"/>
  <c r="G426" i="4"/>
  <c r="I426" i="4"/>
  <c r="G107" i="4"/>
  <c r="M586" i="4"/>
  <c r="G586" i="4"/>
  <c r="P586" i="4"/>
  <c r="J586" i="4"/>
  <c r="J33" i="4"/>
  <c r="C43" i="5" s="1"/>
  <c r="K33" i="4"/>
  <c r="P33" i="4"/>
  <c r="M33" i="4"/>
  <c r="G591" i="4"/>
  <c r="M591" i="4"/>
  <c r="J196" i="4"/>
  <c r="C206" i="5" s="1"/>
  <c r="G196" i="4"/>
  <c r="M355" i="4"/>
  <c r="I355" i="4"/>
  <c r="J355" i="4"/>
  <c r="P355" i="4"/>
  <c r="P124" i="4"/>
  <c r="P2" i="4"/>
  <c r="N2" i="4"/>
  <c r="E12" i="5" s="1"/>
  <c r="I2" i="4"/>
  <c r="B12" i="5" s="1"/>
  <c r="G2" i="4"/>
  <c r="M2" i="4"/>
  <c r="K2" i="4"/>
  <c r="G127" i="4"/>
  <c r="P127" i="4"/>
  <c r="M127" i="4"/>
  <c r="J127" i="4"/>
  <c r="C137" i="5" s="1"/>
  <c r="J319" i="4"/>
  <c r="G319" i="4"/>
  <c r="M319" i="4"/>
  <c r="I436" i="4"/>
  <c r="L436" i="4"/>
  <c r="R436" i="4" s="1"/>
  <c r="P436" i="4"/>
  <c r="G436" i="4"/>
  <c r="M77" i="4"/>
  <c r="L478" i="4"/>
  <c r="R478" i="4" s="1"/>
  <c r="M478" i="4"/>
  <c r="G478" i="4"/>
  <c r="M510" i="4"/>
  <c r="G510" i="4"/>
  <c r="I510" i="4"/>
  <c r="L510" i="4"/>
  <c r="R510" i="4" s="1"/>
  <c r="G223" i="4"/>
  <c r="P223" i="4"/>
  <c r="L223" i="4"/>
  <c r="I223" i="4"/>
  <c r="B233" i="5" s="1"/>
  <c r="M223" i="4"/>
  <c r="I688" i="4"/>
  <c r="J688" i="4"/>
  <c r="G688" i="4"/>
  <c r="L688" i="4"/>
  <c r="R688" i="4" s="1"/>
  <c r="S688" i="4" s="1"/>
  <c r="P688" i="4"/>
  <c r="I330" i="4"/>
  <c r="M330" i="4"/>
  <c r="J330" i="4"/>
  <c r="G330" i="4"/>
  <c r="L413" i="4"/>
  <c r="R413" i="4" s="1"/>
  <c r="M309" i="4"/>
  <c r="I309" i="4"/>
  <c r="H309" i="4" s="1"/>
  <c r="J309" i="4"/>
  <c r="P309" i="4"/>
  <c r="L579" i="4"/>
  <c r="R579" i="4" s="1"/>
  <c r="S579" i="4" s="1"/>
  <c r="I579" i="4"/>
  <c r="G579" i="4"/>
  <c r="P579" i="4"/>
  <c r="J579" i="4"/>
  <c r="L174" i="4"/>
  <c r="D184" i="5" s="1"/>
  <c r="J174" i="4"/>
  <c r="C184" i="5" s="1"/>
  <c r="P174" i="4"/>
  <c r="I174" i="4"/>
  <c r="B184" i="5" s="1"/>
  <c r="G174" i="4"/>
  <c r="P15" i="4"/>
  <c r="K15" i="4"/>
  <c r="O15" i="4"/>
  <c r="M15" i="4"/>
  <c r="L15" i="4"/>
  <c r="D25" i="5" s="1"/>
  <c r="G15" i="4"/>
  <c r="K23" i="4"/>
  <c r="I23" i="4"/>
  <c r="B33" i="5" s="1"/>
  <c r="J23" i="4"/>
  <c r="C33" i="5" s="1"/>
  <c r="M23" i="4"/>
  <c r="P23" i="4"/>
  <c r="N23" i="4"/>
  <c r="E33" i="5" s="1"/>
  <c r="O23" i="4"/>
  <c r="P111" i="4"/>
  <c r="M111" i="4"/>
  <c r="J111" i="4"/>
  <c r="C121" i="5" s="1"/>
  <c r="I111" i="4"/>
  <c r="B121" i="5" s="1"/>
  <c r="J215" i="4"/>
  <c r="C225" i="5" s="1"/>
  <c r="P638" i="4"/>
  <c r="M29" i="4"/>
  <c r="L951" i="4"/>
  <c r="R951" i="4" s="1"/>
  <c r="S951" i="4" s="1"/>
  <c r="J951" i="4"/>
  <c r="G951" i="4"/>
  <c r="O29" i="4"/>
  <c r="P29" i="4"/>
  <c r="N29" i="4"/>
  <c r="E39" i="5" s="1"/>
  <c r="J29" i="4"/>
  <c r="C39" i="5" s="1"/>
  <c r="G29" i="4"/>
  <c r="L29" i="4"/>
  <c r="D39" i="5" s="1"/>
  <c r="M638" i="4"/>
  <c r="G638" i="4"/>
  <c r="G215" i="4"/>
  <c r="I215" i="4"/>
  <c r="B225" i="5" s="1"/>
  <c r="I447" i="4"/>
  <c r="P447" i="4"/>
  <c r="J447" i="4"/>
  <c r="L447" i="4"/>
  <c r="R447" i="4" s="1"/>
  <c r="S447" i="4" s="1"/>
  <c r="G407" i="4"/>
  <c r="I407" i="4"/>
  <c r="P407" i="4"/>
  <c r="I672" i="4"/>
  <c r="G672" i="4"/>
  <c r="I570" i="4"/>
  <c r="P173" i="4"/>
  <c r="J802" i="4"/>
  <c r="P932" i="4"/>
  <c r="G895" i="4"/>
  <c r="M652" i="4"/>
  <c r="G516" i="4"/>
  <c r="I842" i="4"/>
  <c r="M544" i="4"/>
  <c r="L455" i="4"/>
  <c r="R455" i="4" s="1"/>
  <c r="S455" i="4" s="1"/>
  <c r="I587" i="4"/>
  <c r="L125" i="4"/>
  <c r="M262" i="4"/>
  <c r="I327" i="4"/>
  <c r="I389" i="4"/>
  <c r="P681" i="4"/>
  <c r="L773" i="4"/>
  <c r="R773" i="4" s="1"/>
  <c r="S773" i="4" s="1"/>
  <c r="T773" i="4" s="1"/>
  <c r="J614" i="4"/>
  <c r="G570" i="4"/>
  <c r="G152" i="4"/>
  <c r="G173" i="4"/>
  <c r="G932" i="4"/>
  <c r="P895" i="4"/>
  <c r="I652" i="4"/>
  <c r="H652" i="4" s="1"/>
  <c r="G842" i="4"/>
  <c r="I544" i="4"/>
  <c r="P455" i="4"/>
  <c r="L587" i="4"/>
  <c r="R587" i="4" s="1"/>
  <c r="S587" i="4" s="1"/>
  <c r="M327" i="4"/>
  <c r="P389" i="4"/>
  <c r="M681" i="4"/>
  <c r="G773" i="4"/>
  <c r="P614" i="4"/>
  <c r="L570" i="4"/>
  <c r="R570" i="4" s="1"/>
  <c r="S570" i="4" s="1"/>
  <c r="P152" i="4"/>
  <c r="I152" i="4"/>
  <c r="B162" i="5" s="1"/>
  <c r="M173" i="4"/>
  <c r="I730" i="4"/>
  <c r="G802" i="4"/>
  <c r="I814" i="4"/>
  <c r="G456" i="4"/>
  <c r="P456" i="4"/>
  <c r="L456" i="4"/>
  <c r="R456" i="4" s="1"/>
  <c r="I456" i="4"/>
  <c r="P324" i="4"/>
  <c r="J324" i="4"/>
  <c r="L324" i="4"/>
  <c r="R324" i="4" s="1"/>
  <c r="S324" i="4" s="1"/>
  <c r="P797" i="4"/>
  <c r="M797" i="4"/>
  <c r="G797" i="4"/>
  <c r="I41" i="4"/>
  <c r="B51" i="5" s="1"/>
  <c r="N41" i="4"/>
  <c r="E51" i="5" s="1"/>
  <c r="K41" i="4"/>
  <c r="J41" i="4"/>
  <c r="C51" i="5" s="1"/>
  <c r="G41" i="4"/>
  <c r="L41" i="4"/>
  <c r="D51" i="5" s="1"/>
  <c r="I285" i="4"/>
  <c r="M285" i="4"/>
  <c r="L285" i="4"/>
  <c r="R285" i="4" s="1"/>
  <c r="J428" i="4"/>
  <c r="P428" i="4"/>
  <c r="G428" i="4"/>
  <c r="M428" i="4"/>
  <c r="P726" i="4"/>
  <c r="I726" i="4"/>
  <c r="G726" i="4"/>
  <c r="L271" i="4"/>
  <c r="R271" i="4" s="1"/>
  <c r="G271" i="4"/>
  <c r="M271" i="4"/>
  <c r="P506" i="4"/>
  <c r="G506" i="4"/>
  <c r="I506" i="4"/>
  <c r="P559" i="4"/>
  <c r="J559" i="4"/>
  <c r="M559" i="4"/>
  <c r="M991" i="4"/>
  <c r="P991" i="4"/>
  <c r="J991" i="4"/>
  <c r="P778" i="4"/>
  <c r="M778" i="4"/>
  <c r="J778" i="4"/>
  <c r="J577" i="4"/>
  <c r="G577" i="4"/>
  <c r="P821" i="4"/>
  <c r="G821" i="4"/>
  <c r="I821" i="4"/>
  <c r="P782" i="4"/>
  <c r="J782" i="4"/>
  <c r="I678" i="4"/>
  <c r="L678" i="4"/>
  <c r="R678" i="4" s="1"/>
  <c r="S678" i="4" s="1"/>
  <c r="I71" i="4"/>
  <c r="B81" i="5" s="1"/>
  <c r="M71" i="4"/>
  <c r="N71" i="4"/>
  <c r="E81" i="5" s="1"/>
  <c r="P71" i="4"/>
  <c r="P340" i="4"/>
  <c r="M340" i="4"/>
  <c r="G340" i="4"/>
  <c r="J132" i="4"/>
  <c r="C142" i="5" s="1"/>
  <c r="M132" i="4"/>
  <c r="J441" i="4"/>
  <c r="M441" i="4"/>
  <c r="M186" i="4"/>
  <c r="I186" i="4"/>
  <c r="B196" i="5" s="1"/>
  <c r="G204" i="4"/>
  <c r="I807" i="4"/>
  <c r="G807" i="4"/>
  <c r="L807" i="4"/>
  <c r="R807" i="4" s="1"/>
  <c r="M826" i="4"/>
  <c r="I826" i="4"/>
  <c r="I243" i="4"/>
  <c r="J243" i="4"/>
  <c r="M60" i="4"/>
  <c r="P60" i="4"/>
  <c r="J592" i="4"/>
  <c r="P592" i="4"/>
  <c r="I592" i="4"/>
  <c r="J836" i="4"/>
  <c r="G836" i="4"/>
  <c r="H836" i="4" s="1"/>
  <c r="P836" i="4"/>
  <c r="M836" i="4"/>
  <c r="G185" i="4"/>
  <c r="P185" i="4"/>
  <c r="M185" i="4"/>
  <c r="I404" i="4"/>
  <c r="L404" i="4"/>
  <c r="R404" i="4" s="1"/>
  <c r="J611" i="4"/>
  <c r="P611" i="4"/>
  <c r="G869" i="4"/>
  <c r="P869" i="4"/>
  <c r="I869" i="4"/>
  <c r="P217" i="4"/>
  <c r="I217" i="4"/>
  <c r="B227" i="5" s="1"/>
  <c r="J366" i="4"/>
  <c r="L366" i="4"/>
  <c r="R366" i="4" s="1"/>
  <c r="L648" i="4"/>
  <c r="R648" i="4" s="1"/>
  <c r="S648" i="4" s="1"/>
  <c r="P648" i="4"/>
  <c r="J648" i="4"/>
  <c r="P737" i="4"/>
  <c r="G737" i="4"/>
  <c r="H737" i="4" s="1"/>
  <c r="L737" i="4"/>
  <c r="R737" i="4" s="1"/>
  <c r="J737" i="4"/>
  <c r="P528" i="4"/>
  <c r="G528" i="4"/>
  <c r="P832" i="4"/>
  <c r="J832" i="4"/>
  <c r="I832" i="4"/>
  <c r="L832" i="4"/>
  <c r="R832" i="4" s="1"/>
  <c r="L461" i="4"/>
  <c r="R461" i="4" s="1"/>
  <c r="M461" i="4"/>
  <c r="J461" i="4"/>
  <c r="G415" i="4"/>
  <c r="J415" i="4"/>
  <c r="J514" i="4"/>
  <c r="G514" i="4"/>
  <c r="P80" i="4"/>
  <c r="G80" i="4"/>
  <c r="N80" i="4"/>
  <c r="E90" i="5" s="1"/>
  <c r="I80" i="4"/>
  <c r="B90" i="5" s="1"/>
  <c r="L80" i="4"/>
  <c r="D90" i="5" s="1"/>
  <c r="I393" i="4"/>
  <c r="G393" i="4"/>
  <c r="J502" i="4"/>
  <c r="I502" i="4"/>
  <c r="P740" i="4"/>
  <c r="G740" i="4"/>
  <c r="J59" i="4"/>
  <c r="C69" i="5" s="1"/>
  <c r="L59" i="4"/>
  <c r="D69" i="5" s="1"/>
  <c r="K59" i="4"/>
  <c r="I57" i="4"/>
  <c r="B67" i="5" s="1"/>
  <c r="O57" i="4"/>
  <c r="L57" i="4"/>
  <c r="D67" i="5" s="1"/>
  <c r="P57" i="4"/>
  <c r="J121" i="4"/>
  <c r="C131" i="5" s="1"/>
  <c r="G121" i="4"/>
  <c r="H121" i="4" s="1"/>
  <c r="J523" i="4"/>
  <c r="G5" i="4"/>
  <c r="L5" i="4"/>
  <c r="D15" i="5" s="1"/>
  <c r="K5" i="4"/>
  <c r="O5" i="4"/>
  <c r="I5" i="4"/>
  <c r="B15" i="5" s="1"/>
  <c r="J5" i="4"/>
  <c r="C15" i="5" s="1"/>
  <c r="G255" i="4"/>
  <c r="I255" i="4"/>
  <c r="J789" i="4"/>
  <c r="I789" i="4"/>
  <c r="P789" i="4"/>
  <c r="G789" i="4"/>
  <c r="M286" i="4"/>
  <c r="G286" i="4"/>
  <c r="J286" i="4"/>
  <c r="I286" i="4"/>
  <c r="N94" i="4"/>
  <c r="E104" i="5" s="1"/>
  <c r="P94" i="4"/>
  <c r="G94" i="4"/>
  <c r="I94" i="4"/>
  <c r="B104" i="5" s="1"/>
  <c r="J94" i="4"/>
  <c r="C104" i="5" s="1"/>
  <c r="L94" i="4"/>
  <c r="D104" i="5" s="1"/>
  <c r="I334" i="4"/>
  <c r="J334" i="4"/>
  <c r="G334" i="4"/>
  <c r="M334" i="4"/>
  <c r="G646" i="4"/>
  <c r="J646" i="4"/>
  <c r="L646" i="4"/>
  <c r="R646" i="4" s="1"/>
  <c r="S646" i="4" s="1"/>
  <c r="I646" i="4"/>
  <c r="M758" i="4"/>
  <c r="G758" i="4"/>
  <c r="J758" i="4"/>
  <c r="P694" i="4"/>
  <c r="L694" i="4"/>
  <c r="R694" i="4" s="1"/>
  <c r="S694" i="4" s="1"/>
  <c r="M694" i="4"/>
  <c r="J694" i="4"/>
  <c r="N28" i="4"/>
  <c r="E38" i="5" s="1"/>
  <c r="J419" i="4"/>
  <c r="J720" i="4"/>
  <c r="P720" i="4"/>
  <c r="P405" i="4"/>
  <c r="I405" i="4"/>
  <c r="G621" i="4"/>
  <c r="M621" i="4"/>
  <c r="I621" i="4"/>
  <c r="L313" i="4"/>
  <c r="R313" i="4" s="1"/>
  <c r="S313" i="4" s="1"/>
  <c r="T313" i="4" s="1"/>
  <c r="G313" i="4"/>
  <c r="H313" i="4" s="1"/>
  <c r="M313" i="4"/>
  <c r="I990" i="4"/>
  <c r="G990" i="4"/>
  <c r="P531" i="4"/>
  <c r="I531" i="4"/>
  <c r="G531" i="4"/>
  <c r="J531" i="4"/>
  <c r="M531" i="4"/>
  <c r="I903" i="4"/>
  <c r="L903" i="4"/>
  <c r="R903" i="4" s="1"/>
  <c r="S903" i="4" s="1"/>
  <c r="G903" i="4"/>
  <c r="I423" i="4"/>
  <c r="G423" i="4"/>
  <c r="P423" i="4"/>
  <c r="J423" i="4"/>
  <c r="J442" i="4"/>
  <c r="P442" i="4"/>
  <c r="M442" i="4"/>
  <c r="I442" i="4"/>
  <c r="H442" i="4" s="1"/>
  <c r="J50" i="4"/>
  <c r="C60" i="5" s="1"/>
  <c r="P50" i="4"/>
  <c r="L50" i="4"/>
  <c r="D60" i="5" s="1"/>
  <c r="M50" i="4"/>
  <c r="O50" i="4"/>
  <c r="M234" i="4"/>
  <c r="J234" i="4"/>
  <c r="C244" i="5" s="1"/>
  <c r="P234" i="4"/>
  <c r="P427" i="4"/>
  <c r="L427" i="4"/>
  <c r="R427" i="4" s="1"/>
  <c r="S427" i="4" s="1"/>
  <c r="I427" i="4"/>
  <c r="H427" i="4" s="1"/>
  <c r="I801" i="4"/>
  <c r="J801" i="4"/>
  <c r="G801" i="4"/>
  <c r="I998" i="4"/>
  <c r="J818" i="4"/>
  <c r="M965" i="4"/>
  <c r="L965" i="4"/>
  <c r="R965" i="4" s="1"/>
  <c r="S965" i="4" s="1"/>
  <c r="T965" i="4" s="1"/>
  <c r="L853" i="4"/>
  <c r="R853" i="4" s="1"/>
  <c r="S853" i="4" s="1"/>
  <c r="P868" i="4"/>
  <c r="I982" i="4"/>
  <c r="H982" i="4" s="1"/>
  <c r="M830" i="4"/>
  <c r="J990" i="4"/>
  <c r="M456" i="4"/>
  <c r="L778" i="4"/>
  <c r="R778" i="4" s="1"/>
  <c r="S778" i="4" s="1"/>
  <c r="L621" i="4"/>
  <c r="R621" i="4" s="1"/>
  <c r="G991" i="4"/>
  <c r="I271" i="4"/>
  <c r="N50" i="4"/>
  <c r="E60" i="5" s="1"/>
  <c r="P285" i="4"/>
  <c r="J903" i="4"/>
  <c r="I797" i="4"/>
  <c r="M324" i="4"/>
  <c r="I340" i="4"/>
  <c r="P859" i="4"/>
  <c r="M985" i="4"/>
  <c r="L836" i="4"/>
  <c r="R836" i="4" s="1"/>
  <c r="G592" i="4"/>
  <c r="G831" i="4"/>
  <c r="H831" i="4" s="1"/>
  <c r="G648" i="4"/>
  <c r="M414" i="4"/>
  <c r="J600" i="4"/>
  <c r="G781" i="4"/>
  <c r="P781" i="4"/>
  <c r="I781" i="4"/>
  <c r="J781" i="4"/>
  <c r="P835" i="4"/>
  <c r="G835" i="4"/>
  <c r="G890" i="4"/>
  <c r="M890" i="4"/>
  <c r="L341" i="4"/>
  <c r="R341" i="4" s="1"/>
  <c r="I341" i="4"/>
  <c r="P341" i="4"/>
  <c r="I486" i="4"/>
  <c r="L486" i="4"/>
  <c r="R486" i="4" s="1"/>
  <c r="S486" i="4" s="1"/>
  <c r="M486" i="4"/>
  <c r="G371" i="4"/>
  <c r="I371" i="4"/>
  <c r="M371" i="4"/>
  <c r="J371" i="4"/>
  <c r="J264" i="4"/>
  <c r="I264" i="4"/>
  <c r="L264" i="4"/>
  <c r="R264" i="4" s="1"/>
  <c r="S264" i="4" s="1"/>
  <c r="M636" i="4"/>
  <c r="L636" i="4"/>
  <c r="R636" i="4" s="1"/>
  <c r="S636" i="4" s="1"/>
  <c r="G636" i="4"/>
  <c r="N78" i="4"/>
  <c r="E88" i="5" s="1"/>
  <c r="M78" i="4"/>
  <c r="I78" i="4"/>
  <c r="B88" i="5" s="1"/>
  <c r="K78" i="4"/>
  <c r="N99" i="4"/>
  <c r="E109" i="5" s="1"/>
  <c r="K99" i="4"/>
  <c r="L99" i="4"/>
  <c r="P99" i="4"/>
  <c r="G475" i="4"/>
  <c r="P475" i="4"/>
  <c r="I475" i="4"/>
  <c r="L768" i="4"/>
  <c r="R768" i="4" s="1"/>
  <c r="J768" i="4"/>
  <c r="G768" i="4"/>
  <c r="L438" i="4"/>
  <c r="R438" i="4" s="1"/>
  <c r="S438" i="4" s="1"/>
  <c r="J438" i="4"/>
  <c r="I438" i="4"/>
  <c r="G687" i="4"/>
  <c r="J687" i="4"/>
  <c r="G759" i="4"/>
  <c r="P759" i="4"/>
  <c r="P224" i="4"/>
  <c r="G224" i="4"/>
  <c r="P472" i="4"/>
  <c r="J472" i="4"/>
  <c r="I316" i="4"/>
  <c r="L316" i="4"/>
  <c r="R316" i="4" s="1"/>
  <c r="S316" i="4" s="1"/>
  <c r="M316" i="4"/>
  <c r="J316" i="4"/>
  <c r="L159" i="4"/>
  <c r="D169" i="5" s="1"/>
  <c r="I159" i="4"/>
  <c r="B169" i="5" s="1"/>
  <c r="P159" i="4"/>
  <c r="J159" i="4"/>
  <c r="C169" i="5" s="1"/>
  <c r="G159" i="4"/>
  <c r="I965" i="4"/>
  <c r="P853" i="4"/>
  <c r="G868" i="4"/>
  <c r="I868" i="4"/>
  <c r="P830" i="4"/>
  <c r="M990" i="4"/>
  <c r="I687" i="4"/>
  <c r="M781" i="4"/>
  <c r="M807" i="4"/>
  <c r="P768" i="4"/>
  <c r="G559" i="4"/>
  <c r="H559" i="4" s="1"/>
  <c r="M427" i="4"/>
  <c r="P271" i="4"/>
  <c r="L78" i="4"/>
  <c r="J726" i="4"/>
  <c r="J636" i="4"/>
  <c r="L428" i="4"/>
  <c r="R428" i="4" s="1"/>
  <c r="L442" i="4"/>
  <c r="R442" i="4" s="1"/>
  <c r="S442" i="4" s="1"/>
  <c r="G264" i="4"/>
  <c r="G285" i="4"/>
  <c r="L423" i="4"/>
  <c r="R423" i="4" s="1"/>
  <c r="S423" i="4" s="1"/>
  <c r="P41" i="4"/>
  <c r="M903" i="4"/>
  <c r="G486" i="4"/>
  <c r="L71" i="4"/>
  <c r="D81" i="5" s="1"/>
  <c r="L340" i="4"/>
  <c r="R340" i="4" s="1"/>
  <c r="M832" i="4"/>
  <c r="P186" i="4"/>
  <c r="M393" i="4"/>
  <c r="L528" i="4"/>
  <c r="R528" i="4" s="1"/>
  <c r="M691" i="4"/>
  <c r="I461" i="4"/>
  <c r="I446" i="4"/>
  <c r="G446" i="4"/>
  <c r="L310" i="4"/>
  <c r="R310" i="4" s="1"/>
  <c r="P676" i="4"/>
  <c r="G14" i="4"/>
  <c r="J14" i="4"/>
  <c r="C24" i="5" s="1"/>
  <c r="G101" i="4"/>
  <c r="L101" i="4"/>
  <c r="D111" i="5" s="1"/>
  <c r="M101" i="4"/>
  <c r="P101" i="4"/>
  <c r="M305" i="4"/>
  <c r="I322" i="4"/>
  <c r="P446" i="4"/>
  <c r="I593" i="4"/>
  <c r="P434" i="4"/>
  <c r="G566" i="4"/>
  <c r="N14" i="4"/>
  <c r="E24" i="5" s="1"/>
  <c r="L322" i="4"/>
  <c r="R322" i="4" s="1"/>
  <c r="L446" i="4"/>
  <c r="R446" i="4" s="1"/>
  <c r="P999" i="4"/>
  <c r="J434" i="4"/>
  <c r="K26" i="4"/>
  <c r="O14" i="4"/>
  <c r="G522" i="4"/>
  <c r="L522" i="4"/>
  <c r="R522" i="4" s="1"/>
  <c r="S522" i="4" s="1"/>
  <c r="P358" i="4"/>
  <c r="M358" i="4"/>
  <c r="M828" i="4"/>
  <c r="J828" i="4"/>
  <c r="G364" i="4"/>
  <c r="I364" i="4"/>
  <c r="M391" i="4"/>
  <c r="J391" i="4"/>
  <c r="J414" i="4"/>
  <c r="I414" i="4"/>
  <c r="H414" i="4" s="1"/>
  <c r="G968" i="4"/>
  <c r="L620" i="4"/>
  <c r="R620" i="4" s="1"/>
  <c r="I620" i="4"/>
  <c r="P620" i="4"/>
  <c r="G59" i="4"/>
  <c r="P59" i="4"/>
  <c r="M940" i="4"/>
  <c r="J940" i="4"/>
  <c r="P593" i="4"/>
  <c r="J593" i="4"/>
  <c r="L830" i="4"/>
  <c r="R830" i="4" s="1"/>
  <c r="S830" i="4" s="1"/>
  <c r="T830" i="4" s="1"/>
  <c r="L990" i="4"/>
  <c r="R990" i="4" s="1"/>
  <c r="S990" i="4" s="1"/>
  <c r="J652" i="4"/>
  <c r="G438" i="4"/>
  <c r="P313" i="4"/>
  <c r="G778" i="4"/>
  <c r="H778" i="4" s="1"/>
  <c r="P621" i="4"/>
  <c r="L559" i="4"/>
  <c r="R559" i="4" s="1"/>
  <c r="S559" i="4" s="1"/>
  <c r="T559" i="4" s="1"/>
  <c r="M475" i="4"/>
  <c r="J427" i="4"/>
  <c r="M506" i="4"/>
  <c r="M99" i="4"/>
  <c r="I99" i="4"/>
  <c r="B109" i="5" s="1"/>
  <c r="M365" i="4"/>
  <c r="I234" i="4"/>
  <c r="B244" i="5" s="1"/>
  <c r="K27" i="4"/>
  <c r="J78" i="4"/>
  <c r="C88" i="5" s="1"/>
  <c r="O78" i="4"/>
  <c r="L38" i="4"/>
  <c r="G50" i="4"/>
  <c r="K50" i="4"/>
  <c r="O30" i="4"/>
  <c r="L726" i="4"/>
  <c r="R726" i="4" s="1"/>
  <c r="S726" i="4" s="1"/>
  <c r="I505" i="4"/>
  <c r="P636" i="4"/>
  <c r="I455" i="4"/>
  <c r="G455" i="4"/>
  <c r="P264" i="4"/>
  <c r="J285" i="4"/>
  <c r="M41" i="4"/>
  <c r="O41" i="4"/>
  <c r="G389" i="4"/>
  <c r="P903" i="4"/>
  <c r="I681" i="4"/>
  <c r="L797" i="4"/>
  <c r="R797" i="4" s="1"/>
  <c r="S797" i="4" s="1"/>
  <c r="T797" i="4" s="1"/>
  <c r="J486" i="4"/>
  <c r="G324" i="4"/>
  <c r="H324" i="4" s="1"/>
  <c r="J152" i="4"/>
  <c r="C162" i="5" s="1"/>
  <c r="J341" i="4"/>
  <c r="K71" i="4"/>
  <c r="O71" i="4"/>
  <c r="P316" i="4"/>
  <c r="J340" i="4"/>
  <c r="J735" i="4"/>
  <c r="I782" i="4"/>
  <c r="P697" i="4"/>
  <c r="I224" i="4"/>
  <c r="B234" i="5" s="1"/>
  <c r="J759" i="4"/>
  <c r="M678" i="4"/>
  <c r="L592" i="4"/>
  <c r="R592" i="4" s="1"/>
  <c r="N17" i="4"/>
  <c r="E27" i="5" s="1"/>
  <c r="L802" i="4"/>
  <c r="R802" i="4" s="1"/>
  <c r="S802" i="4" s="1"/>
  <c r="M737" i="4"/>
  <c r="J645" i="4"/>
  <c r="L932" i="4"/>
  <c r="R932" i="4" s="1"/>
  <c r="P814" i="4"/>
  <c r="L963" i="4"/>
  <c r="R963" i="4" s="1"/>
  <c r="P852" i="4"/>
  <c r="G620" i="4"/>
  <c r="I567" i="4"/>
  <c r="J869" i="4"/>
  <c r="L292" i="4"/>
  <c r="R292" i="4" s="1"/>
  <c r="S292" i="4" s="1"/>
  <c r="P414" i="4"/>
  <c r="L145" i="4"/>
  <c r="M59" i="4"/>
  <c r="J19" i="4"/>
  <c r="C29" i="5" s="1"/>
  <c r="G959" i="4"/>
  <c r="I244" i="4"/>
  <c r="J244" i="4"/>
  <c r="P464" i="4"/>
  <c r="G405" i="4"/>
  <c r="M26" i="4"/>
  <c r="P810" i="4"/>
  <c r="G632" i="4"/>
  <c r="L202" i="4"/>
  <c r="L181" i="4"/>
  <c r="L201" i="4"/>
  <c r="P201" i="4"/>
  <c r="L578" i="4"/>
  <c r="R578" i="4" s="1"/>
  <c r="P578" i="4"/>
  <c r="J295" i="4"/>
  <c r="M295" i="4"/>
  <c r="M462" i="4"/>
  <c r="P462" i="4"/>
  <c r="J972" i="4"/>
  <c r="M972" i="4"/>
  <c r="G346" i="4"/>
  <c r="L346" i="4"/>
  <c r="R346" i="4" s="1"/>
  <c r="G484" i="4"/>
  <c r="L484" i="4"/>
  <c r="R484" i="4" s="1"/>
  <c r="G168" i="4"/>
  <c r="G279" i="4"/>
  <c r="I279" i="4"/>
  <c r="I331" i="4"/>
  <c r="G331" i="4"/>
  <c r="J469" i="4"/>
  <c r="M469" i="4"/>
  <c r="M410" i="4"/>
  <c r="J410" i="4"/>
  <c r="N95" i="4"/>
  <c r="E105" i="5" s="1"/>
  <c r="G95" i="4"/>
  <c r="J550" i="4"/>
  <c r="L550" i="4"/>
  <c r="R550" i="4" s="1"/>
  <c r="S550" i="4" s="1"/>
  <c r="P182" i="4"/>
  <c r="L182" i="4"/>
  <c r="I539" i="4"/>
  <c r="M539" i="4"/>
  <c r="L923" i="4"/>
  <c r="R923" i="4" s="1"/>
  <c r="P923" i="4"/>
  <c r="M179" i="4"/>
  <c r="L179" i="4"/>
  <c r="J145" i="4"/>
  <c r="C155" i="5" s="1"/>
  <c r="P145" i="4"/>
  <c r="G888" i="4"/>
  <c r="J888" i="4"/>
  <c r="M675" i="4"/>
  <c r="G675" i="4"/>
  <c r="J693" i="4"/>
  <c r="L693" i="4"/>
  <c r="R693" i="4" s="1"/>
  <c r="S693" i="4" s="1"/>
  <c r="I751" i="4"/>
  <c r="G751" i="4"/>
  <c r="J156" i="4"/>
  <c r="C166" i="5" s="1"/>
  <c r="I156" i="4"/>
  <c r="B166" i="5" s="1"/>
  <c r="L380" i="4"/>
  <c r="R380" i="4" s="1"/>
  <c r="M380" i="4"/>
  <c r="M311" i="4"/>
  <c r="G311" i="4"/>
  <c r="N85" i="4"/>
  <c r="E95" i="5" s="1"/>
  <c r="K85" i="4"/>
  <c r="J281" i="4"/>
  <c r="P281" i="4"/>
  <c r="M107" i="4"/>
  <c r="P107" i="4"/>
  <c r="L33" i="4"/>
  <c r="I33" i="4"/>
  <c r="B43" i="5" s="1"/>
  <c r="I591" i="4"/>
  <c r="J591" i="4"/>
  <c r="P196" i="4"/>
  <c r="M196" i="4"/>
  <c r="P478" i="4"/>
  <c r="P330" i="4"/>
  <c r="M994" i="4"/>
  <c r="P963" i="4"/>
  <c r="L852" i="4"/>
  <c r="R852" i="4" s="1"/>
  <c r="L440" i="4"/>
  <c r="R440" i="4" s="1"/>
  <c r="I785" i="4"/>
  <c r="J806" i="4"/>
  <c r="L452" i="4"/>
  <c r="R452" i="4" s="1"/>
  <c r="L527" i="4"/>
  <c r="R527" i="4" s="1"/>
  <c r="S527" i="4" s="1"/>
  <c r="J859" i="4"/>
  <c r="M472" i="4"/>
  <c r="J224" i="4"/>
  <c r="C234" i="5" s="1"/>
  <c r="I985" i="4"/>
  <c r="L759" i="4"/>
  <c r="R759" i="4" s="1"/>
  <c r="G678" i="4"/>
  <c r="L864" i="4"/>
  <c r="R864" i="4" s="1"/>
  <c r="J581" i="4"/>
  <c r="M845" i="4"/>
  <c r="J852" i="4"/>
  <c r="L567" i="4"/>
  <c r="R567" i="4" s="1"/>
  <c r="S567" i="4" s="1"/>
  <c r="J483" i="4"/>
  <c r="G826" i="4"/>
  <c r="L785" i="4"/>
  <c r="R785" i="4" s="1"/>
  <c r="S785" i="4" s="1"/>
  <c r="L414" i="4"/>
  <c r="R414" i="4" s="1"/>
  <c r="L364" i="4"/>
  <c r="R364" i="4" s="1"/>
  <c r="G611" i="4"/>
  <c r="I575" i="4"/>
  <c r="M617" i="4"/>
  <c r="M548" i="4"/>
  <c r="N90" i="4"/>
  <c r="E100" i="5" s="1"/>
  <c r="L397" i="4"/>
  <c r="R397" i="4" s="1"/>
  <c r="M384" i="4"/>
  <c r="L453" i="4"/>
  <c r="R453" i="4" s="1"/>
  <c r="M22" i="4"/>
  <c r="M782" i="4"/>
  <c r="G859" i="4"/>
  <c r="J821" i="4"/>
  <c r="L472" i="4"/>
  <c r="R472" i="4" s="1"/>
  <c r="L985" i="4"/>
  <c r="R985" i="4" s="1"/>
  <c r="S985" i="4" s="1"/>
  <c r="T985" i="4" s="1"/>
  <c r="M759" i="4"/>
  <c r="P678" i="4"/>
  <c r="P441" i="4"/>
  <c r="L581" i="4"/>
  <c r="R581" i="4" s="1"/>
  <c r="P826" i="4"/>
  <c r="J364" i="4"/>
  <c r="M632" i="4"/>
  <c r="J668" i="4"/>
  <c r="J820" i="4"/>
  <c r="L820" i="4"/>
  <c r="R820" i="4" s="1"/>
  <c r="I845" i="4"/>
  <c r="J845" i="4"/>
  <c r="L831" i="4"/>
  <c r="R831" i="4" s="1"/>
  <c r="S831" i="4" s="1"/>
  <c r="J831" i="4"/>
  <c r="J440" i="4"/>
  <c r="P440" i="4"/>
  <c r="L473" i="4"/>
  <c r="R473" i="4" s="1"/>
  <c r="I473" i="4"/>
  <c r="P452" i="4"/>
  <c r="J452" i="4"/>
  <c r="L691" i="4"/>
  <c r="R691" i="4" s="1"/>
  <c r="G691" i="4"/>
  <c r="P806" i="4"/>
  <c r="L806" i="4"/>
  <c r="R806" i="4" s="1"/>
  <c r="S806" i="4" s="1"/>
  <c r="T806" i="4" s="1"/>
  <c r="I835" i="4"/>
  <c r="L835" i="4"/>
  <c r="R835" i="4" s="1"/>
  <c r="I890" i="4"/>
  <c r="P890" i="4"/>
  <c r="M304" i="4"/>
  <c r="J304" i="4"/>
  <c r="M483" i="4"/>
  <c r="L483" i="4"/>
  <c r="R483" i="4" s="1"/>
  <c r="S483" i="4" s="1"/>
  <c r="M863" i="4"/>
  <c r="L863" i="4"/>
  <c r="R863" i="4" s="1"/>
  <c r="S863" i="4" s="1"/>
  <c r="G994" i="4"/>
  <c r="P994" i="4"/>
  <c r="G864" i="4"/>
  <c r="J864" i="4"/>
  <c r="P522" i="4"/>
  <c r="J522" i="4"/>
  <c r="J496" i="4"/>
  <c r="P496" i="4"/>
  <c r="G850" i="4"/>
  <c r="P850" i="4"/>
  <c r="J637" i="4"/>
  <c r="I637" i="4"/>
  <c r="G637" i="4"/>
  <c r="M856" i="4"/>
  <c r="G856" i="4"/>
  <c r="I548" i="4"/>
  <c r="L548" i="4"/>
  <c r="R548" i="4" s="1"/>
  <c r="G548" i="4"/>
  <c r="L732" i="4"/>
  <c r="R732" i="4" s="1"/>
  <c r="S732" i="4" s="1"/>
  <c r="I732" i="4"/>
  <c r="G732" i="4"/>
  <c r="M561" i="4"/>
  <c r="P561" i="4"/>
  <c r="I561" i="4"/>
  <c r="L561" i="4"/>
  <c r="R561" i="4" s="1"/>
  <c r="M485" i="4"/>
  <c r="G485" i="4"/>
  <c r="J485" i="4"/>
  <c r="L485" i="4"/>
  <c r="R485" i="4" s="1"/>
  <c r="G250" i="4"/>
  <c r="M250" i="4"/>
  <c r="P250" i="4"/>
  <c r="P779" i="4"/>
  <c r="J779" i="4"/>
  <c r="M779" i="4"/>
  <c r="G489" i="4"/>
  <c r="H489" i="4" s="1"/>
  <c r="L489" i="4"/>
  <c r="R489" i="4" s="1"/>
  <c r="P489" i="4"/>
  <c r="K54" i="4"/>
  <c r="J54" i="4"/>
  <c r="C64" i="5" s="1"/>
  <c r="G54" i="4"/>
  <c r="N32" i="4"/>
  <c r="E42" i="5" s="1"/>
  <c r="K32" i="4"/>
  <c r="G437" i="4"/>
  <c r="M437" i="4"/>
  <c r="I437" i="4"/>
  <c r="J437" i="4"/>
  <c r="L600" i="4"/>
  <c r="R600" i="4" s="1"/>
  <c r="G600" i="4"/>
  <c r="P600" i="4"/>
  <c r="J162" i="4"/>
  <c r="C172" i="5" s="1"/>
  <c r="M162" i="4"/>
  <c r="P87" i="4"/>
  <c r="N87" i="4"/>
  <c r="E97" i="5" s="1"/>
  <c r="P132" i="4"/>
  <c r="I132" i="4"/>
  <c r="B142" i="5" s="1"/>
  <c r="G132" i="4"/>
  <c r="G617" i="4"/>
  <c r="P617" i="4"/>
  <c r="K17" i="4"/>
  <c r="J17" i="4"/>
  <c r="C27" i="5" s="1"/>
  <c r="G166" i="4"/>
  <c r="I166" i="4"/>
  <c r="B176" i="5" s="1"/>
  <c r="M109" i="4"/>
  <c r="I109" i="4"/>
  <c r="B119" i="5" s="1"/>
  <c r="P109" i="4"/>
  <c r="G575" i="4"/>
  <c r="M575" i="4"/>
  <c r="P575" i="4"/>
  <c r="J42" i="4"/>
  <c r="C52" i="5" s="1"/>
  <c r="M19" i="4"/>
  <c r="N19" i="4"/>
  <c r="E29" i="5" s="1"/>
  <c r="L19" i="4"/>
  <c r="G186" i="4"/>
  <c r="L186" i="4"/>
  <c r="D196" i="5" s="1"/>
  <c r="J204" i="4"/>
  <c r="C214" i="5" s="1"/>
  <c r="I204" i="4"/>
  <c r="B214" i="5" s="1"/>
  <c r="M521" i="4"/>
  <c r="L521" i="4"/>
  <c r="R521" i="4" s="1"/>
  <c r="J112" i="4"/>
  <c r="C122" i="5" s="1"/>
  <c r="I147" i="4"/>
  <c r="B157" i="5" s="1"/>
  <c r="J147" i="4"/>
  <c r="C157" i="5" s="1"/>
  <c r="L147" i="4"/>
  <c r="M243" i="4"/>
  <c r="L243" i="4"/>
  <c r="R243" i="4" s="1"/>
  <c r="P188" i="4"/>
  <c r="M188" i="4"/>
  <c r="G188" i="4"/>
  <c r="I60" i="4"/>
  <c r="B70" i="5" s="1"/>
  <c r="O60" i="4"/>
  <c r="G60" i="4"/>
  <c r="L60" i="4"/>
  <c r="J60" i="4"/>
  <c r="C70" i="5" s="1"/>
  <c r="G253" i="4"/>
  <c r="I253" i="4"/>
  <c r="M253" i="4"/>
  <c r="P253" i="4"/>
  <c r="L796" i="4"/>
  <c r="R796" i="4" s="1"/>
  <c r="P796" i="4"/>
  <c r="M796" i="4"/>
  <c r="I796" i="4"/>
  <c r="J354" i="4"/>
  <c r="I354" i="4"/>
  <c r="M354" i="4"/>
  <c r="G354" i="4"/>
  <c r="P411" i="4"/>
  <c r="I411" i="4"/>
  <c r="L411" i="4"/>
  <c r="R411" i="4" s="1"/>
  <c r="S411" i="4" s="1"/>
  <c r="I658" i="4"/>
  <c r="M658" i="4"/>
  <c r="L962" i="4"/>
  <c r="R962" i="4" s="1"/>
  <c r="S962" i="4" s="1"/>
  <c r="M962" i="4"/>
  <c r="P962" i="4"/>
  <c r="G962" i="4"/>
  <c r="P359" i="4"/>
  <c r="L359" i="4"/>
  <c r="R359" i="4" s="1"/>
  <c r="S359" i="4" s="1"/>
  <c r="I359" i="4"/>
  <c r="J359" i="4"/>
  <c r="L349" i="4"/>
  <c r="R349" i="4" s="1"/>
  <c r="M349" i="4"/>
  <c r="I349" i="4"/>
  <c r="G500" i="4"/>
  <c r="P500" i="4"/>
  <c r="I500" i="4"/>
  <c r="J500" i="4"/>
  <c r="L828" i="4"/>
  <c r="R828" i="4" s="1"/>
  <c r="G828" i="4"/>
  <c r="G235" i="4"/>
  <c r="H235" i="4" s="1"/>
  <c r="L235" i="4"/>
  <c r="D245" i="5" s="1"/>
  <c r="J399" i="4"/>
  <c r="M399" i="4"/>
  <c r="J375" i="4"/>
  <c r="I375" i="4"/>
  <c r="L375" i="4"/>
  <c r="R375" i="4" s="1"/>
  <c r="S375" i="4" s="1"/>
  <c r="M375" i="4"/>
  <c r="J594" i="4"/>
  <c r="I594" i="4"/>
  <c r="P594" i="4"/>
  <c r="M921" i="4"/>
  <c r="I921" i="4"/>
  <c r="L391" i="4"/>
  <c r="R391" i="4" s="1"/>
  <c r="S391" i="4" s="1"/>
  <c r="P391" i="4"/>
  <c r="M540" i="4"/>
  <c r="I540" i="4"/>
  <c r="L540" i="4"/>
  <c r="R540" i="4" s="1"/>
  <c r="J404" i="4"/>
  <c r="P404" i="4"/>
  <c r="M404" i="4"/>
  <c r="G404" i="4"/>
  <c r="I857" i="4"/>
  <c r="G857" i="4"/>
  <c r="J857" i="4"/>
  <c r="P857" i="4"/>
  <c r="P8" i="4"/>
  <c r="I8" i="4"/>
  <c r="B18" i="5" s="1"/>
  <c r="L90" i="4"/>
  <c r="P90" i="4"/>
  <c r="G90" i="4"/>
  <c r="K90" i="4"/>
  <c r="J90" i="4"/>
  <c r="C100" i="5" s="1"/>
  <c r="N51" i="4"/>
  <c r="E61" i="5" s="1"/>
  <c r="P51" i="4"/>
  <c r="L51" i="4"/>
  <c r="D61" i="5" s="1"/>
  <c r="I51" i="4"/>
  <c r="B61" i="5" s="1"/>
  <c r="I362" i="4"/>
  <c r="G362" i="4"/>
  <c r="L362" i="4"/>
  <c r="R362" i="4" s="1"/>
  <c r="J362" i="4"/>
  <c r="G663" i="4"/>
  <c r="M663" i="4"/>
  <c r="J663" i="4"/>
  <c r="P663" i="4"/>
  <c r="M869" i="4"/>
  <c r="L869" i="4"/>
  <c r="R869" i="4" s="1"/>
  <c r="M217" i="4"/>
  <c r="L217" i="4"/>
  <c r="J217" i="4"/>
  <c r="C227" i="5" s="1"/>
  <c r="M648" i="4"/>
  <c r="I648" i="4"/>
  <c r="G729" i="4"/>
  <c r="P729" i="4"/>
  <c r="I729" i="4"/>
  <c r="G977" i="4"/>
  <c r="L977" i="4"/>
  <c r="R977" i="4" s="1"/>
  <c r="S977" i="4" s="1"/>
  <c r="M977" i="4"/>
  <c r="P977" i="4"/>
  <c r="J528" i="4"/>
  <c r="I528" i="4"/>
  <c r="G461" i="4"/>
  <c r="P461" i="4"/>
  <c r="M558" i="4"/>
  <c r="G558" i="4"/>
  <c r="M700" i="4"/>
  <c r="P700" i="4"/>
  <c r="I700" i="4"/>
  <c r="J700" i="4"/>
  <c r="P492" i="4"/>
  <c r="J492" i="4"/>
  <c r="M492" i="4"/>
  <c r="G492" i="4"/>
  <c r="H492" i="4" s="1"/>
  <c r="P415" i="4"/>
  <c r="L415" i="4"/>
  <c r="R415" i="4" s="1"/>
  <c r="S415" i="4" s="1"/>
  <c r="I415" i="4"/>
  <c r="M415" i="4"/>
  <c r="L514" i="4"/>
  <c r="R514" i="4" s="1"/>
  <c r="P514" i="4"/>
  <c r="I514" i="4"/>
  <c r="M514" i="4"/>
  <c r="P24" i="4"/>
  <c r="N24" i="4"/>
  <c r="E34" i="5" s="1"/>
  <c r="M24" i="4"/>
  <c r="J393" i="4"/>
  <c r="P393" i="4"/>
  <c r="M445" i="4"/>
  <c r="G445" i="4"/>
  <c r="J445" i="4"/>
  <c r="I445" i="4"/>
  <c r="G114" i="4"/>
  <c r="P562" i="4"/>
  <c r="L562" i="4"/>
  <c r="R562" i="4" s="1"/>
  <c r="J562" i="4"/>
  <c r="M502" i="4"/>
  <c r="G502" i="4"/>
  <c r="M740" i="4"/>
  <c r="I740" i="4"/>
  <c r="J740" i="4"/>
  <c r="L740" i="4"/>
  <c r="R740" i="4" s="1"/>
  <c r="S740" i="4" s="1"/>
  <c r="I59" i="4"/>
  <c r="B69" i="5" s="1"/>
  <c r="N59" i="4"/>
  <c r="E69" i="5" s="1"/>
  <c r="I752" i="4"/>
  <c r="N57" i="4"/>
  <c r="E67" i="5" s="1"/>
  <c r="J57" i="4"/>
  <c r="C67" i="5" s="1"/>
  <c r="M840" i="4"/>
  <c r="P840" i="4"/>
  <c r="J840" i="4"/>
  <c r="L840" i="4"/>
  <c r="R840" i="4" s="1"/>
  <c r="I840" i="4"/>
  <c r="G491" i="4"/>
  <c r="M491" i="4"/>
  <c r="P491" i="4"/>
  <c r="I491" i="4"/>
  <c r="M121" i="4"/>
  <c r="P121" i="4"/>
  <c r="N92" i="4"/>
  <c r="E102" i="5" s="1"/>
  <c r="O92" i="4"/>
  <c r="P92" i="4"/>
  <c r="L255" i="4"/>
  <c r="R255" i="4" s="1"/>
  <c r="J255" i="4"/>
  <c r="P419" i="4"/>
  <c r="I940" i="4"/>
  <c r="L940" i="4"/>
  <c r="R940" i="4" s="1"/>
  <c r="G940" i="4"/>
  <c r="P940" i="4"/>
  <c r="I720" i="4"/>
  <c r="M720" i="4"/>
  <c r="L720" i="4"/>
  <c r="R720" i="4" s="1"/>
  <c r="S720" i="4" s="1"/>
  <c r="G720" i="4"/>
  <c r="L405" i="4"/>
  <c r="R405" i="4" s="1"/>
  <c r="M405" i="4"/>
  <c r="J405" i="4"/>
  <c r="M801" i="4"/>
  <c r="L801" i="4"/>
  <c r="R801" i="4" s="1"/>
  <c r="S801" i="4" s="1"/>
  <c r="L782" i="4"/>
  <c r="R782" i="4" s="1"/>
  <c r="S782" i="4" s="1"/>
  <c r="T782" i="4" s="1"/>
  <c r="G782" i="4"/>
  <c r="M859" i="4"/>
  <c r="L821" i="4"/>
  <c r="R821" i="4" s="1"/>
  <c r="S821" i="4" s="1"/>
  <c r="I472" i="4"/>
  <c r="G472" i="4"/>
  <c r="M224" i="4"/>
  <c r="L224" i="4"/>
  <c r="D234" i="5" s="1"/>
  <c r="G985" i="4"/>
  <c r="I759" i="4"/>
  <c r="J678" i="4"/>
  <c r="L200" i="4"/>
  <c r="G200" i="4"/>
  <c r="O17" i="4"/>
  <c r="G17" i="4"/>
  <c r="G441" i="4"/>
  <c r="P864" i="4"/>
  <c r="I581" i="4"/>
  <c r="H581" i="4" s="1"/>
  <c r="M831" i="4"/>
  <c r="J994" i="4"/>
  <c r="G963" i="4"/>
  <c r="P845" i="4"/>
  <c r="G852" i="4"/>
  <c r="H852" i="4" s="1"/>
  <c r="M567" i="4"/>
  <c r="G440" i="4"/>
  <c r="P483" i="4"/>
  <c r="M522" i="4"/>
  <c r="L826" i="4"/>
  <c r="R826" i="4" s="1"/>
  <c r="S826" i="4" s="1"/>
  <c r="M785" i="4"/>
  <c r="J835" i="4"/>
  <c r="G806" i="4"/>
  <c r="M452" i="4"/>
  <c r="G473" i="4"/>
  <c r="P204" i="4"/>
  <c r="M364" i="4"/>
  <c r="O19" i="4"/>
  <c r="G19" i="4"/>
  <c r="M611" i="4"/>
  <c r="P828" i="4"/>
  <c r="L779" i="4"/>
  <c r="R779" i="4" s="1"/>
  <c r="L575" i="4"/>
  <c r="R575" i="4" s="1"/>
  <c r="S575" i="4" s="1"/>
  <c r="J349" i="4"/>
  <c r="L109" i="4"/>
  <c r="D119" i="5" s="1"/>
  <c r="I391" i="4"/>
  <c r="J962" i="4"/>
  <c r="I617" i="4"/>
  <c r="M411" i="4"/>
  <c r="P354" i="4"/>
  <c r="G796" i="4"/>
  <c r="J253" i="4"/>
  <c r="K60" i="4"/>
  <c r="L188" i="4"/>
  <c r="D198" i="5" s="1"/>
  <c r="G243" i="4"/>
  <c r="G147" i="4"/>
  <c r="L437" i="4"/>
  <c r="R437" i="4" s="1"/>
  <c r="I600" i="4"/>
  <c r="J561" i="4"/>
  <c r="M90" i="4"/>
  <c r="M857" i="4"/>
  <c r="M500" i="4"/>
  <c r="G700" i="4"/>
  <c r="G658" i="4"/>
  <c r="O54" i="4"/>
  <c r="L445" i="4"/>
  <c r="R445" i="4" s="1"/>
  <c r="M562" i="4"/>
  <c r="J977" i="4"/>
  <c r="M729" i="4"/>
  <c r="L112" i="4"/>
  <c r="D122" i="5" s="1"/>
  <c r="M643" i="4"/>
  <c r="M301" i="4"/>
  <c r="J24" i="4"/>
  <c r="C34" i="5" s="1"/>
  <c r="P801" i="4"/>
  <c r="I859" i="4"/>
  <c r="M821" i="4"/>
  <c r="P985" i="4"/>
  <c r="P200" i="4"/>
  <c r="I200" i="4"/>
  <c r="P17" i="4"/>
  <c r="M17" i="4"/>
  <c r="L441" i="4"/>
  <c r="R441" i="4" s="1"/>
  <c r="M864" i="4"/>
  <c r="P581" i="4"/>
  <c r="M581" i="4"/>
  <c r="I994" i="4"/>
  <c r="M963" i="4"/>
  <c r="I963" i="4"/>
  <c r="G845" i="4"/>
  <c r="M852" i="4"/>
  <c r="J567" i="4"/>
  <c r="G567" i="4"/>
  <c r="G483" i="4"/>
  <c r="H483" i="4" s="1"/>
  <c r="I522" i="4"/>
  <c r="L890" i="4"/>
  <c r="R890" i="4" s="1"/>
  <c r="S890" i="4" s="1"/>
  <c r="J826" i="4"/>
  <c r="J785" i="4"/>
  <c r="M806" i="4"/>
  <c r="I691" i="4"/>
  <c r="I452" i="4"/>
  <c r="H452" i="4" s="1"/>
  <c r="J473" i="4"/>
  <c r="M204" i="4"/>
  <c r="L204" i="4"/>
  <c r="P364" i="4"/>
  <c r="P19" i="4"/>
  <c r="K19" i="4"/>
  <c r="L611" i="4"/>
  <c r="R611" i="4" s="1"/>
  <c r="I828" i="4"/>
  <c r="I779" i="4"/>
  <c r="P349" i="4"/>
  <c r="G391" i="4"/>
  <c r="L617" i="4"/>
  <c r="R617" i="4" s="1"/>
  <c r="J411" i="4"/>
  <c r="L132" i="4"/>
  <c r="D142" i="5" s="1"/>
  <c r="N60" i="4"/>
  <c r="E70" i="5" s="1"/>
  <c r="J188" i="4"/>
  <c r="C198" i="5" s="1"/>
  <c r="P243" i="4"/>
  <c r="P147" i="4"/>
  <c r="J732" i="4"/>
  <c r="L856" i="4"/>
  <c r="R856" i="4" s="1"/>
  <c r="I90" i="4"/>
  <c r="B100" i="5" s="1"/>
  <c r="M359" i="4"/>
  <c r="L700" i="4"/>
  <c r="R700" i="4" s="1"/>
  <c r="S700" i="4" s="1"/>
  <c r="P658" i="4"/>
  <c r="L54" i="4"/>
  <c r="D64" i="5" s="1"/>
  <c r="I562" i="4"/>
  <c r="I977" i="4"/>
  <c r="J729" i="4"/>
  <c r="G921" i="4"/>
  <c r="L552" i="4"/>
  <c r="R552" i="4" s="1"/>
  <c r="N8" i="4"/>
  <c r="E18" i="5" s="1"/>
  <c r="G840" i="4"/>
  <c r="J210" i="4"/>
  <c r="C220" i="5" s="1"/>
  <c r="M92" i="4"/>
  <c r="K24" i="4"/>
  <c r="P26" i="4"/>
  <c r="G26" i="4"/>
  <c r="O26" i="4"/>
  <c r="M566" i="4"/>
  <c r="I566" i="4"/>
  <c r="G999" i="4"/>
  <c r="L999" i="4"/>
  <c r="R999" i="4" s="1"/>
  <c r="S999" i="4" s="1"/>
  <c r="T999" i="4" s="1"/>
  <c r="I206" i="4"/>
  <c r="B216" i="5" s="1"/>
  <c r="L14" i="4"/>
  <c r="D24" i="5" s="1"/>
  <c r="I14" i="4"/>
  <c r="B24" i="5" s="1"/>
  <c r="K14" i="4"/>
  <c r="J26" i="4"/>
  <c r="C36" i="5" s="1"/>
  <c r="L26" i="4"/>
  <c r="D36" i="5" s="1"/>
  <c r="L566" i="4"/>
  <c r="R566" i="4" s="1"/>
  <c r="S566" i="4" s="1"/>
  <c r="G593" i="4"/>
  <c r="I310" i="4"/>
  <c r="M999" i="4"/>
  <c r="I26" i="4"/>
  <c r="B36" i="5" s="1"/>
  <c r="J566" i="4"/>
  <c r="P14" i="4"/>
  <c r="M14" i="4"/>
  <c r="P716" i="4"/>
  <c r="I802" i="4"/>
  <c r="M932" i="4"/>
  <c r="P831" i="4"/>
  <c r="M440" i="4"/>
  <c r="J890" i="4"/>
  <c r="M835" i="4"/>
  <c r="J691" i="4"/>
  <c r="P473" i="4"/>
  <c r="I485" i="4"/>
  <c r="G561" i="4"/>
  <c r="M732" i="4"/>
  <c r="J548" i="4"/>
  <c r="J856" i="4"/>
  <c r="I856" i="4"/>
  <c r="P637" i="4"/>
  <c r="L250" i="4"/>
  <c r="R250" i="4" s="1"/>
  <c r="J489" i="4"/>
  <c r="L850" i="4"/>
  <c r="R850" i="4" s="1"/>
  <c r="S850" i="4" s="1"/>
  <c r="I399" i="4"/>
  <c r="J517" i="4"/>
  <c r="I517" i="4"/>
  <c r="G517" i="4"/>
  <c r="P517" i="4"/>
  <c r="I503" i="4"/>
  <c r="L503" i="4"/>
  <c r="R503" i="4" s="1"/>
  <c r="S503" i="4" s="1"/>
  <c r="G984" i="4"/>
  <c r="J984" i="4"/>
  <c r="I984" i="4"/>
  <c r="P939" i="4"/>
  <c r="I939" i="4"/>
  <c r="G939" i="4"/>
  <c r="J508" i="4"/>
  <c r="G508" i="4"/>
  <c r="I731" i="4"/>
  <c r="M731" i="4"/>
  <c r="L639" i="4"/>
  <c r="R639" i="4" s="1"/>
  <c r="J639" i="4"/>
  <c r="P771" i="4"/>
  <c r="L771" i="4"/>
  <c r="R771" i="4" s="1"/>
  <c r="J973" i="4"/>
  <c r="G973" i="4"/>
  <c r="M973" i="4"/>
  <c r="P128" i="4"/>
  <c r="I651" i="4"/>
  <c r="P651" i="4"/>
  <c r="G651" i="4"/>
  <c r="J686" i="4"/>
  <c r="G686" i="4"/>
  <c r="I686" i="4"/>
  <c r="M686" i="4"/>
  <c r="I645" i="4"/>
  <c r="M645" i="4"/>
  <c r="P645" i="4"/>
  <c r="G645" i="4"/>
  <c r="J173" i="4"/>
  <c r="C183" i="5" s="1"/>
  <c r="P570" i="4"/>
  <c r="J570" i="4"/>
  <c r="L614" i="4"/>
  <c r="R614" i="4" s="1"/>
  <c r="M614" i="4"/>
  <c r="M773" i="4"/>
  <c r="I773" i="4"/>
  <c r="J327" i="4"/>
  <c r="L327" i="4"/>
  <c r="R327" i="4" s="1"/>
  <c r="S327" i="4" s="1"/>
  <c r="J262" i="4"/>
  <c r="L262" i="4"/>
  <c r="R262" i="4" s="1"/>
  <c r="I125" i="4"/>
  <c r="B135" i="5" s="1"/>
  <c r="G125" i="4"/>
  <c r="G587" i="4"/>
  <c r="P587" i="4"/>
  <c r="P544" i="4"/>
  <c r="G544" i="4"/>
  <c r="M603" i="4"/>
  <c r="G603" i="4"/>
  <c r="G30" i="4"/>
  <c r="M30" i="4"/>
  <c r="K30" i="4"/>
  <c r="P38" i="4"/>
  <c r="G38" i="4"/>
  <c r="G27" i="4"/>
  <c r="P27" i="4"/>
  <c r="I142" i="4"/>
  <c r="B152" i="5" s="1"/>
  <c r="J142" i="4"/>
  <c r="C152" i="5" s="1"/>
  <c r="G245" i="4"/>
  <c r="L245" i="4"/>
  <c r="R245" i="4" s="1"/>
  <c r="G974" i="4"/>
  <c r="P974" i="4"/>
  <c r="L974" i="4"/>
  <c r="R974" i="4" s="1"/>
  <c r="S974" i="4" s="1"/>
  <c r="G417" i="4"/>
  <c r="P417" i="4"/>
  <c r="J417" i="4"/>
  <c r="I417" i="4"/>
  <c r="M417" i="4"/>
  <c r="J776" i="4"/>
  <c r="I776" i="4"/>
  <c r="O7" i="4"/>
  <c r="P802" i="4"/>
  <c r="M814" i="4"/>
  <c r="M776" i="4"/>
  <c r="P776" i="4"/>
  <c r="L972" i="4"/>
  <c r="R972" i="4" s="1"/>
  <c r="L462" i="4"/>
  <c r="R462" i="4" s="1"/>
  <c r="I295" i="4"/>
  <c r="I550" i="4"/>
  <c r="H550" i="4" s="1"/>
  <c r="J464" i="4"/>
  <c r="L795" i="4"/>
  <c r="R795" i="4" s="1"/>
  <c r="J95" i="4"/>
  <c r="C105" i="5" s="1"/>
  <c r="J226" i="4"/>
  <c r="C236" i="5" s="1"/>
  <c r="G410" i="4"/>
  <c r="H410" i="4" s="1"/>
  <c r="G469" i="4"/>
  <c r="M279" i="4"/>
  <c r="L168" i="4"/>
  <c r="I7" i="4"/>
  <c r="B17" i="5" s="1"/>
  <c r="J635" i="4"/>
  <c r="L584" i="4"/>
  <c r="R584" i="4" s="1"/>
  <c r="L751" i="4"/>
  <c r="R751" i="4" s="1"/>
  <c r="I693" i="4"/>
  <c r="G176" i="4"/>
  <c r="L810" i="4"/>
  <c r="R810" i="4" s="1"/>
  <c r="S810" i="4" s="1"/>
  <c r="M463" i="4"/>
  <c r="I43" i="4"/>
  <c r="B53" i="5" s="1"/>
  <c r="P683" i="4"/>
  <c r="G325" i="4"/>
  <c r="I171" i="4"/>
  <c r="B181" i="5" s="1"/>
  <c r="L196" i="4"/>
  <c r="I107" i="4"/>
  <c r="B117" i="5" s="1"/>
  <c r="J578" i="4"/>
  <c r="J477" i="4"/>
  <c r="G820" i="4"/>
  <c r="M820" i="4"/>
  <c r="G599" i="4"/>
  <c r="P599" i="4"/>
  <c r="I599" i="4"/>
  <c r="L599" i="4"/>
  <c r="R599" i="4" s="1"/>
  <c r="M848" i="4"/>
  <c r="J848" i="4"/>
  <c r="M824" i="4"/>
  <c r="L824" i="4"/>
  <c r="R824" i="4" s="1"/>
  <c r="P824" i="4"/>
  <c r="J824" i="4"/>
  <c r="M682" i="4"/>
  <c r="L682" i="4"/>
  <c r="R682" i="4" s="1"/>
  <c r="I682" i="4"/>
  <c r="H682" i="4" s="1"/>
  <c r="L304" i="4"/>
  <c r="R304" i="4" s="1"/>
  <c r="P304" i="4"/>
  <c r="G304" i="4"/>
  <c r="M717" i="4"/>
  <c r="I717" i="4"/>
  <c r="G717" i="4"/>
  <c r="I863" i="4"/>
  <c r="P863" i="4"/>
  <c r="L867" i="4"/>
  <c r="R867" i="4" s="1"/>
  <c r="J867" i="4"/>
  <c r="J775" i="4"/>
  <c r="L775" i="4"/>
  <c r="R775" i="4" s="1"/>
  <c r="M775" i="4"/>
  <c r="G775" i="4"/>
  <c r="L992" i="4"/>
  <c r="R992" i="4" s="1"/>
  <c r="P992" i="4"/>
  <c r="M992" i="4"/>
  <c r="I992" i="4"/>
  <c r="G496" i="4"/>
  <c r="M496" i="4"/>
  <c r="I577" i="4"/>
  <c r="L577" i="4"/>
  <c r="R577" i="4" s="1"/>
  <c r="G716" i="4"/>
  <c r="L716" i="4"/>
  <c r="R716" i="4" s="1"/>
  <c r="S716" i="4" s="1"/>
  <c r="I924" i="4"/>
  <c r="M924" i="4"/>
  <c r="J924" i="4"/>
  <c r="P329" i="4"/>
  <c r="L329" i="4"/>
  <c r="R329" i="4" s="1"/>
  <c r="L467" i="4"/>
  <c r="R467" i="4" s="1"/>
  <c r="S467" i="4" s="1"/>
  <c r="I467" i="4"/>
  <c r="P910" i="4"/>
  <c r="I910" i="4"/>
  <c r="G910" i="4"/>
  <c r="J696" i="4"/>
  <c r="L696" i="4"/>
  <c r="R696" i="4" s="1"/>
  <c r="S696" i="4" s="1"/>
  <c r="G706" i="4"/>
  <c r="M706" i="4"/>
  <c r="J706" i="4"/>
  <c r="L706" i="4"/>
  <c r="R706" i="4" s="1"/>
  <c r="I995" i="4"/>
  <c r="J995" i="4"/>
  <c r="L995" i="4"/>
  <c r="R995" i="4" s="1"/>
  <c r="P995" i="4"/>
  <c r="I424" i="4"/>
  <c r="L424" i="4"/>
  <c r="R424" i="4" s="1"/>
  <c r="G424" i="4"/>
  <c r="I230" i="4"/>
  <c r="B240" i="5" s="1"/>
  <c r="G230" i="4"/>
  <c r="L230" i="4"/>
  <c r="G374" i="4"/>
  <c r="L374" i="4"/>
  <c r="R374" i="4" s="1"/>
  <c r="J374" i="4"/>
  <c r="P374" i="4"/>
  <c r="N54" i="4"/>
  <c r="E64" i="5" s="1"/>
  <c r="I54" i="4"/>
  <c r="B64" i="5" s="1"/>
  <c r="M381" i="4"/>
  <c r="I381" i="4"/>
  <c r="G381" i="4"/>
  <c r="P474" i="4"/>
  <c r="M474" i="4"/>
  <c r="L474" i="4"/>
  <c r="R474" i="4" s="1"/>
  <c r="S474" i="4" s="1"/>
  <c r="I474" i="4"/>
  <c r="G474" i="4"/>
  <c r="P178" i="4"/>
  <c r="L178" i="4"/>
  <c r="I178" i="4"/>
  <c r="B188" i="5" s="1"/>
  <c r="G178" i="4"/>
  <c r="P32" i="4"/>
  <c r="O32" i="4"/>
  <c r="L32" i="4"/>
  <c r="D42" i="5" s="1"/>
  <c r="I32" i="4"/>
  <c r="B42" i="5" s="1"/>
  <c r="M32" i="4"/>
  <c r="J537" i="4"/>
  <c r="M537" i="4"/>
  <c r="L537" i="4"/>
  <c r="R537" i="4" s="1"/>
  <c r="L162" i="4"/>
  <c r="D172" i="5" s="1"/>
  <c r="P162" i="4"/>
  <c r="G162" i="4"/>
  <c r="L564" i="4"/>
  <c r="R564" i="4" s="1"/>
  <c r="I564" i="4"/>
  <c r="M564" i="4"/>
  <c r="G564" i="4"/>
  <c r="M210" i="4"/>
  <c r="G210" i="4"/>
  <c r="L210" i="4"/>
  <c r="D220" i="5" s="1"/>
  <c r="I210" i="4"/>
  <c r="B220" i="5" s="1"/>
  <c r="K87" i="4"/>
  <c r="I87" i="4"/>
  <c r="B97" i="5" s="1"/>
  <c r="O87" i="4"/>
  <c r="G87" i="4"/>
  <c r="J87" i="4"/>
  <c r="C97" i="5" s="1"/>
  <c r="G527" i="4"/>
  <c r="H527" i="4" s="1"/>
  <c r="P527" i="4"/>
  <c r="M527" i="4"/>
  <c r="J527" i="4"/>
  <c r="M166" i="4"/>
  <c r="L166" i="4"/>
  <c r="D176" i="5" s="1"/>
  <c r="P166" i="4"/>
  <c r="J166" i="4"/>
  <c r="C176" i="5" s="1"/>
  <c r="J499" i="4"/>
  <c r="L499" i="4"/>
  <c r="R499" i="4" s="1"/>
  <c r="S499" i="4" s="1"/>
  <c r="M499" i="4"/>
  <c r="I499" i="4"/>
  <c r="M875" i="4"/>
  <c r="G875" i="4"/>
  <c r="H875" i="4" s="1"/>
  <c r="L875" i="4"/>
  <c r="R875" i="4" s="1"/>
  <c r="J875" i="4"/>
  <c r="O42" i="4"/>
  <c r="G42" i="4"/>
  <c r="K42" i="4"/>
  <c r="L42" i="4"/>
  <c r="D52" i="5" s="1"/>
  <c r="I42" i="4"/>
  <c r="B52" i="5" s="1"/>
  <c r="M42" i="4"/>
  <c r="J129" i="4"/>
  <c r="C139" i="5" s="1"/>
  <c r="P129" i="4"/>
  <c r="I129" i="4"/>
  <c r="B139" i="5" s="1"/>
  <c r="G129" i="4"/>
  <c r="L129" i="4"/>
  <c r="D139" i="5" s="1"/>
  <c r="P552" i="4"/>
  <c r="G552" i="4"/>
  <c r="I552" i="4"/>
  <c r="J552" i="4"/>
  <c r="I521" i="4"/>
  <c r="G521" i="4"/>
  <c r="P521" i="4"/>
  <c r="J521" i="4"/>
  <c r="P112" i="4"/>
  <c r="M112" i="4"/>
  <c r="I112" i="4"/>
  <c r="B122" i="5" s="1"/>
  <c r="G301" i="4"/>
  <c r="L301" i="4"/>
  <c r="R301" i="4" s="1"/>
  <c r="J301" i="4"/>
  <c r="I301" i="4"/>
  <c r="L658" i="4"/>
  <c r="R658" i="4" s="1"/>
  <c r="J658" i="4"/>
  <c r="I668" i="4"/>
  <c r="H668" i="4" s="1"/>
  <c r="M668" i="4"/>
  <c r="L668" i="4"/>
  <c r="R668" i="4" s="1"/>
  <c r="S668" i="4" s="1"/>
  <c r="P668" i="4"/>
  <c r="J358" i="4"/>
  <c r="L358" i="4"/>
  <c r="R358" i="4" s="1"/>
  <c r="I358" i="4"/>
  <c r="G358" i="4"/>
  <c r="I384" i="4"/>
  <c r="G384" i="4"/>
  <c r="J384" i="4"/>
  <c r="P384" i="4"/>
  <c r="J235" i="4"/>
  <c r="C245" i="5" s="1"/>
  <c r="P235" i="4"/>
  <c r="M235" i="4"/>
  <c r="M397" i="4"/>
  <c r="G397" i="4"/>
  <c r="J397" i="4"/>
  <c r="I397" i="4"/>
  <c r="I850" i="4"/>
  <c r="L848" i="4"/>
  <c r="R848" i="4" s="1"/>
  <c r="P867" i="4"/>
  <c r="J716" i="4"/>
  <c r="P820" i="4"/>
  <c r="G863" i="4"/>
  <c r="P577" i="4"/>
  <c r="I824" i="4"/>
  <c r="H824" i="4" s="1"/>
  <c r="P424" i="4"/>
  <c r="I496" i="4"/>
  <c r="G992" i="4"/>
  <c r="J682" i="4"/>
  <c r="P775" i="4"/>
  <c r="P42" i="4"/>
  <c r="P499" i="4"/>
  <c r="M230" i="4"/>
  <c r="M87" i="4"/>
  <c r="J564" i="4"/>
  <c r="I162" i="4"/>
  <c r="B172" i="5" s="1"/>
  <c r="J178" i="4"/>
  <c r="C188" i="5" s="1"/>
  <c r="J32" i="4"/>
  <c r="C42" i="5" s="1"/>
  <c r="G995" i="4"/>
  <c r="G329" i="4"/>
  <c r="P732" i="4"/>
  <c r="M637" i="4"/>
  <c r="I250" i="4"/>
  <c r="M489" i="4"/>
  <c r="P54" i="4"/>
  <c r="M54" i="4"/>
  <c r="J850" i="4"/>
  <c r="P848" i="4"/>
  <c r="M867" i="4"/>
  <c r="M716" i="4"/>
  <c r="I820" i="4"/>
  <c r="M577" i="4"/>
  <c r="J717" i="4"/>
  <c r="M424" i="4"/>
  <c r="L496" i="4"/>
  <c r="R496" i="4" s="1"/>
  <c r="J599" i="4"/>
  <c r="I304" i="4"/>
  <c r="I775" i="4"/>
  <c r="N42" i="4"/>
  <c r="E52" i="5" s="1"/>
  <c r="G499" i="4"/>
  <c r="J230" i="4"/>
  <c r="C240" i="5" s="1"/>
  <c r="L87" i="4"/>
  <c r="D97" i="5" s="1"/>
  <c r="P564" i="4"/>
  <c r="J381" i="4"/>
  <c r="M178" i="4"/>
  <c r="I537" i="4"/>
  <c r="P706" i="4"/>
  <c r="J643" i="4"/>
  <c r="L643" i="4"/>
  <c r="R643" i="4" s="1"/>
  <c r="I398" i="4"/>
  <c r="P398" i="4"/>
  <c r="J398" i="4"/>
  <c r="L398" i="4"/>
  <c r="R398" i="4" s="1"/>
  <c r="M8" i="4"/>
  <c r="K8" i="4"/>
  <c r="J51" i="4"/>
  <c r="C61" i="5" s="1"/>
  <c r="G51" i="4"/>
  <c r="J632" i="4"/>
  <c r="L632" i="4"/>
  <c r="R632" i="4" s="1"/>
  <c r="S632" i="4" s="1"/>
  <c r="I558" i="4"/>
  <c r="J558" i="4"/>
  <c r="G453" i="4"/>
  <c r="M453" i="4"/>
  <c r="L24" i="4"/>
  <c r="D34" i="5" s="1"/>
  <c r="O24" i="4"/>
  <c r="L22" i="4"/>
  <c r="D32" i="5" s="1"/>
  <c r="I22" i="4"/>
  <c r="B32" i="5" s="1"/>
  <c r="K22" i="4"/>
  <c r="G22" i="4"/>
  <c r="O22" i="4"/>
  <c r="G283" i="4"/>
  <c r="P283" i="4"/>
  <c r="M283" i="4"/>
  <c r="J827" i="4"/>
  <c r="I827" i="4"/>
  <c r="H827" i="4" s="1"/>
  <c r="G92" i="4"/>
  <c r="L92" i="4"/>
  <c r="D102" i="5" s="1"/>
  <c r="J92" i="4"/>
  <c r="C102" i="5" s="1"/>
  <c r="L419" i="4"/>
  <c r="R419" i="4" s="1"/>
  <c r="S419" i="4" s="1"/>
  <c r="T419" i="4" s="1"/>
  <c r="L921" i="4"/>
  <c r="R921" i="4" s="1"/>
  <c r="S921" i="4" s="1"/>
  <c r="P921" i="4"/>
  <c r="P375" i="4"/>
  <c r="J8" i="4"/>
  <c r="C18" i="5" s="1"/>
  <c r="J540" i="4"/>
  <c r="I643" i="4"/>
  <c r="M594" i="4"/>
  <c r="P399" i="4"/>
  <c r="M398" i="4"/>
  <c r="I453" i="4"/>
  <c r="N22" i="4"/>
  <c r="E32" i="5" s="1"/>
  <c r="J283" i="4"/>
  <c r="P827" i="4"/>
  <c r="G217" i="4"/>
  <c r="J921" i="4"/>
  <c r="I663" i="4"/>
  <c r="P632" i="4"/>
  <c r="P362" i="4"/>
  <c r="G375" i="4"/>
  <c r="M51" i="4"/>
  <c r="O51" i="4"/>
  <c r="G8" i="4"/>
  <c r="H8" i="4" s="1"/>
  <c r="O8" i="4"/>
  <c r="P558" i="4"/>
  <c r="G540" i="4"/>
  <c r="P540" i="4"/>
  <c r="P643" i="4"/>
  <c r="L492" i="4"/>
  <c r="R492" i="4" s="1"/>
  <c r="I24" i="4"/>
  <c r="B34" i="5" s="1"/>
  <c r="G24" i="4"/>
  <c r="G594" i="4"/>
  <c r="L399" i="4"/>
  <c r="R399" i="4" s="1"/>
  <c r="S399" i="4" s="1"/>
  <c r="G399" i="4"/>
  <c r="G398" i="4"/>
  <c r="J453" i="4"/>
  <c r="J22" i="4"/>
  <c r="C32" i="5" s="1"/>
  <c r="I283" i="4"/>
  <c r="L827" i="4"/>
  <c r="R827" i="4" s="1"/>
  <c r="I848" i="4"/>
  <c r="I867" i="4"/>
  <c r="H867" i="4" s="1"/>
  <c r="J863" i="4"/>
  <c r="L717" i="4"/>
  <c r="R717" i="4" s="1"/>
  <c r="S717" i="4" s="1"/>
  <c r="J992" i="4"/>
  <c r="P682" i="4"/>
  <c r="I374" i="4"/>
  <c r="P381" i="4"/>
  <c r="G32" i="4"/>
  <c r="P537" i="4"/>
  <c r="I706" i="4"/>
  <c r="M696" i="4"/>
  <c r="J467" i="4"/>
  <c r="P924" i="4"/>
  <c r="P875" i="4"/>
  <c r="P916" i="4"/>
  <c r="M610" i="4"/>
  <c r="M4" i="4"/>
  <c r="P984" i="4"/>
  <c r="L984" i="4"/>
  <c r="R984" i="4" s="1"/>
  <c r="L517" i="4"/>
  <c r="R517" i="4" s="1"/>
  <c r="L686" i="4"/>
  <c r="R686" i="4" s="1"/>
  <c r="S686" i="4" s="1"/>
  <c r="M939" i="4"/>
  <c r="M651" i="4"/>
  <c r="M503" i="4"/>
  <c r="M128" i="4"/>
  <c r="L128" i="4"/>
  <c r="P973" i="4"/>
  <c r="M771" i="4"/>
  <c r="L585" i="4"/>
  <c r="R585" i="4" s="1"/>
  <c r="P731" i="4"/>
  <c r="L508" i="4"/>
  <c r="R508" i="4" s="1"/>
  <c r="M984" i="4"/>
  <c r="J939" i="4"/>
  <c r="J651" i="4"/>
  <c r="P503" i="4"/>
  <c r="J503" i="4"/>
  <c r="M585" i="4"/>
  <c r="G639" i="4"/>
  <c r="I508" i="4"/>
  <c r="P508" i="4"/>
  <c r="M508" i="4"/>
  <c r="G731" i="4"/>
  <c r="L731" i="4"/>
  <c r="R731" i="4" s="1"/>
  <c r="J731" i="4"/>
  <c r="I639" i="4"/>
  <c r="P639" i="4"/>
  <c r="M639" i="4"/>
  <c r="P585" i="4"/>
  <c r="I585" i="4"/>
  <c r="J585" i="4"/>
  <c r="J771" i="4"/>
  <c r="G771" i="4"/>
  <c r="I771" i="4"/>
  <c r="L973" i="4"/>
  <c r="R973" i="4" s="1"/>
  <c r="S973" i="4" s="1"/>
  <c r="I973" i="4"/>
  <c r="J128" i="4"/>
  <c r="C138" i="5" s="1"/>
  <c r="G128" i="4"/>
  <c r="H128" i="4" s="1"/>
  <c r="I974" i="4"/>
  <c r="J974" i="4"/>
  <c r="G833" i="4"/>
  <c r="L833" i="4"/>
  <c r="R833" i="4" s="1"/>
  <c r="S833" i="4" s="1"/>
  <c r="J849" i="4"/>
  <c r="L849" i="4"/>
  <c r="R849" i="4" s="1"/>
  <c r="S849" i="4" s="1"/>
  <c r="M201" i="4"/>
  <c r="I201" i="4"/>
  <c r="B211" i="5" s="1"/>
  <c r="G201" i="4"/>
  <c r="M674" i="4"/>
  <c r="I674" i="4"/>
  <c r="P674" i="4"/>
  <c r="L674" i="4"/>
  <c r="R674" i="4" s="1"/>
  <c r="M943" i="4"/>
  <c r="J943" i="4"/>
  <c r="G943" i="4"/>
  <c r="I943" i="4"/>
  <c r="P943" i="4"/>
  <c r="M911" i="4"/>
  <c r="L911" i="4"/>
  <c r="R911" i="4" s="1"/>
  <c r="S911" i="4" s="1"/>
  <c r="T911" i="4" s="1"/>
  <c r="I911" i="4"/>
  <c r="P911" i="4"/>
  <c r="L613" i="4"/>
  <c r="R613" i="4" s="1"/>
  <c r="M613" i="4"/>
  <c r="I613" i="4"/>
  <c r="H613" i="4" s="1"/>
  <c r="P613" i="4"/>
  <c r="M885" i="4"/>
  <c r="P885" i="4"/>
  <c r="I885" i="4"/>
  <c r="H885" i="4" s="1"/>
  <c r="L885" i="4"/>
  <c r="R885" i="4" s="1"/>
  <c r="J885" i="4"/>
  <c r="P961" i="4"/>
  <c r="G961" i="4"/>
  <c r="M961" i="4"/>
  <c r="L961" i="4"/>
  <c r="R961" i="4" s="1"/>
  <c r="S961" i="4" s="1"/>
  <c r="J292" i="4"/>
  <c r="M292" i="4"/>
  <c r="P292" i="4"/>
  <c r="G36" i="4"/>
  <c r="I36" i="4"/>
  <c r="B46" i="5" s="1"/>
  <c r="G464" i="4"/>
  <c r="I464" i="4"/>
  <c r="L464" i="4"/>
  <c r="R464" i="4" s="1"/>
  <c r="I972" i="4"/>
  <c r="J462" i="4"/>
  <c r="L295" i="4"/>
  <c r="R295" i="4" s="1"/>
  <c r="G295" i="4"/>
  <c r="P550" i="4"/>
  <c r="I795" i="4"/>
  <c r="K95" i="4"/>
  <c r="O95" i="4"/>
  <c r="I95" i="4"/>
  <c r="B105" i="5" s="1"/>
  <c r="G226" i="4"/>
  <c r="M226" i="4"/>
  <c r="L410" i="4"/>
  <c r="R410" i="4" s="1"/>
  <c r="S410" i="4" s="1"/>
  <c r="T410" i="4" s="1"/>
  <c r="I469" i="4"/>
  <c r="M331" i="4"/>
  <c r="J279" i="4"/>
  <c r="J168" i="4"/>
  <c r="C178" i="5" s="1"/>
  <c r="P168" i="4"/>
  <c r="P7" i="4"/>
  <c r="G7" i="4"/>
  <c r="G578" i="4"/>
  <c r="I578" i="4"/>
  <c r="M477" i="4"/>
  <c r="I477" i="4"/>
  <c r="G635" i="4"/>
  <c r="J584" i="4"/>
  <c r="I85" i="4"/>
  <c r="B95" i="5" s="1"/>
  <c r="O85" i="4"/>
  <c r="J751" i="4"/>
  <c r="M693" i="4"/>
  <c r="G693" i="4"/>
  <c r="I176" i="4"/>
  <c r="B186" i="5" s="1"/>
  <c r="I810" i="4"/>
  <c r="P525" i="4"/>
  <c r="J525" i="4"/>
  <c r="I739" i="4"/>
  <c r="H739" i="4" s="1"/>
  <c r="I897" i="4"/>
  <c r="J675" i="4"/>
  <c r="P675" i="4"/>
  <c r="I268" i="4"/>
  <c r="M268" i="4"/>
  <c r="P184" i="4"/>
  <c r="I202" i="4"/>
  <c r="B212" i="5" s="1"/>
  <c r="G43" i="4"/>
  <c r="P43" i="4"/>
  <c r="L683" i="4"/>
  <c r="R683" i="4" s="1"/>
  <c r="L220" i="4"/>
  <c r="J157" i="4"/>
  <c r="C167" i="5" s="1"/>
  <c r="G25" i="4"/>
  <c r="L171" i="4"/>
  <c r="G171" i="4"/>
  <c r="P311" i="4"/>
  <c r="J172" i="4"/>
  <c r="C182" i="5" s="1"/>
  <c r="P229" i="4"/>
  <c r="O44" i="4"/>
  <c r="L7" i="4"/>
  <c r="N7" i="4"/>
  <c r="E17" i="5" s="1"/>
  <c r="M7" i="4"/>
  <c r="M578" i="4"/>
  <c r="G477" i="4"/>
  <c r="G584" i="4"/>
  <c r="L176" i="4"/>
  <c r="I916" i="4"/>
  <c r="G525" i="4"/>
  <c r="H525" i="4" s="1"/>
  <c r="J739" i="4"/>
  <c r="P897" i="4"/>
  <c r="P610" i="4"/>
  <c r="I675" i="4"/>
  <c r="I463" i="4"/>
  <c r="G268" i="4"/>
  <c r="J184" i="4"/>
  <c r="C194" i="5" s="1"/>
  <c r="G202" i="4"/>
  <c r="K43" i="4"/>
  <c r="N43" i="4"/>
  <c r="E53" i="5" s="1"/>
  <c r="M683" i="4"/>
  <c r="J220" i="4"/>
  <c r="C230" i="5" s="1"/>
  <c r="L157" i="4"/>
  <c r="M25" i="4"/>
  <c r="P458" i="4"/>
  <c r="L44" i="4"/>
  <c r="I462" i="4"/>
  <c r="P795" i="4"/>
  <c r="M95" i="4"/>
  <c r="L226" i="4"/>
  <c r="P410" i="4"/>
  <c r="P469" i="4"/>
  <c r="P331" i="4"/>
  <c r="L279" i="4"/>
  <c r="R279" i="4" s="1"/>
  <c r="I168" i="4"/>
  <c r="B178" i="5" s="1"/>
  <c r="J7" i="4"/>
  <c r="C17" i="5" s="1"/>
  <c r="M635" i="4"/>
  <c r="P85" i="4"/>
  <c r="L85" i="4"/>
  <c r="M751" i="4"/>
  <c r="M176" i="4"/>
  <c r="J176" i="4"/>
  <c r="C186" i="5" s="1"/>
  <c r="J810" i="4"/>
  <c r="L916" i="4"/>
  <c r="R916" i="4" s="1"/>
  <c r="M525" i="4"/>
  <c r="P739" i="4"/>
  <c r="L897" i="4"/>
  <c r="R897" i="4" s="1"/>
  <c r="S897" i="4" s="1"/>
  <c r="G610" i="4"/>
  <c r="L675" i="4"/>
  <c r="R675" i="4" s="1"/>
  <c r="L463" i="4"/>
  <c r="R463" i="4" s="1"/>
  <c r="S463" i="4" s="1"/>
  <c r="L268" i="4"/>
  <c r="R268" i="4" s="1"/>
  <c r="S268" i="4" s="1"/>
  <c r="T268" i="4" s="1"/>
  <c r="G184" i="4"/>
  <c r="L43" i="4"/>
  <c r="J683" i="4"/>
  <c r="G220" i="4"/>
  <c r="H220" i="4" s="1"/>
  <c r="J25" i="4"/>
  <c r="C35" i="5" s="1"/>
  <c r="J171" i="4"/>
  <c r="C181" i="5" s="1"/>
  <c r="J181" i="4"/>
  <c r="C191" i="5" s="1"/>
  <c r="K4" i="4"/>
  <c r="M369" i="4"/>
  <c r="P650" i="4"/>
  <c r="M467" i="4"/>
  <c r="J329" i="4"/>
  <c r="I833" i="4"/>
  <c r="I641" i="4"/>
  <c r="J335" i="4"/>
  <c r="J723" i="4"/>
  <c r="P902" i="4"/>
  <c r="I208" i="4"/>
  <c r="B218" i="5" s="1"/>
  <c r="L642" i="4"/>
  <c r="R642" i="4" s="1"/>
  <c r="M519" i="4"/>
  <c r="L333" i="4"/>
  <c r="R333" i="4" s="1"/>
  <c r="M507" i="4"/>
  <c r="J901" i="4"/>
  <c r="I755" i="4"/>
  <c r="G733" i="4"/>
  <c r="J170" i="4"/>
  <c r="C180" i="5" s="1"/>
  <c r="P696" i="4"/>
  <c r="G696" i="4"/>
  <c r="M910" i="4"/>
  <c r="G467" i="4"/>
  <c r="P467" i="4"/>
  <c r="M329" i="4"/>
  <c r="L924" i="4"/>
  <c r="R924" i="4" s="1"/>
  <c r="G924" i="4"/>
  <c r="G533" i="4"/>
  <c r="J792" i="4"/>
  <c r="M515" i="4"/>
  <c r="K67" i="4"/>
  <c r="L910" i="4"/>
  <c r="R910" i="4" s="1"/>
  <c r="S910" i="4" s="1"/>
  <c r="T910" i="4" s="1"/>
  <c r="I329" i="4"/>
  <c r="I882" i="4"/>
  <c r="I880" i="4"/>
  <c r="J533" i="4"/>
  <c r="M766" i="4"/>
  <c r="L519" i="4"/>
  <c r="R519" i="4" s="1"/>
  <c r="S519" i="4" s="1"/>
  <c r="P336" i="4"/>
  <c r="M689" i="4"/>
  <c r="J312" i="4"/>
  <c r="P333" i="4"/>
  <c r="M67" i="4"/>
  <c r="L170" i="4"/>
  <c r="P84" i="4"/>
  <c r="P622" i="4"/>
  <c r="L659" i="4"/>
  <c r="R659" i="4" s="1"/>
  <c r="I254" i="4"/>
  <c r="M882" i="4"/>
  <c r="M880" i="4"/>
  <c r="M609" i="4"/>
  <c r="J481" i="4"/>
  <c r="P640" i="4"/>
  <c r="L935" i="4"/>
  <c r="R935" i="4" s="1"/>
  <c r="S935" i="4" s="1"/>
  <c r="L813" i="4"/>
  <c r="R813" i="4" s="1"/>
  <c r="M476" i="4"/>
  <c r="I9" i="4"/>
  <c r="B19" i="5" s="1"/>
  <c r="J257" i="4"/>
  <c r="P719" i="4"/>
  <c r="M769" i="4"/>
  <c r="J755" i="4"/>
  <c r="J609" i="4"/>
  <c r="I481" i="4"/>
  <c r="P704" i="4"/>
  <c r="G515" i="4"/>
  <c r="I906" i="4"/>
  <c r="I901" i="4"/>
  <c r="L871" i="4"/>
  <c r="R871" i="4" s="1"/>
  <c r="N16" i="4"/>
  <c r="E26" i="5" s="1"/>
  <c r="J421" i="4"/>
  <c r="L88" i="4"/>
  <c r="K81" i="4"/>
  <c r="M574" i="4"/>
  <c r="P488" i="4"/>
  <c r="I530" i="4"/>
  <c r="J685" i="4"/>
  <c r="P938" i="4"/>
  <c r="J938" i="4"/>
  <c r="L938" i="4"/>
  <c r="R938" i="4" s="1"/>
  <c r="S938" i="4" s="1"/>
  <c r="G938" i="4"/>
  <c r="P699" i="4"/>
  <c r="G699" i="4"/>
  <c r="L699" i="4"/>
  <c r="R699" i="4" s="1"/>
  <c r="I983" i="4"/>
  <c r="J983" i="4"/>
  <c r="G983" i="4"/>
  <c r="M983" i="4"/>
  <c r="L983" i="4"/>
  <c r="R983" i="4" s="1"/>
  <c r="M811" i="4"/>
  <c r="P811" i="4"/>
  <c r="J811" i="4"/>
  <c r="I811" i="4"/>
  <c r="L811" i="4"/>
  <c r="R811" i="4" s="1"/>
  <c r="G811" i="4"/>
  <c r="J542" i="4"/>
  <c r="M542" i="4"/>
  <c r="I955" i="4"/>
  <c r="M955" i="4"/>
  <c r="L930" i="4"/>
  <c r="R930" i="4" s="1"/>
  <c r="S930" i="4" s="1"/>
  <c r="G930" i="4"/>
  <c r="G743" i="4"/>
  <c r="L743" i="4"/>
  <c r="R743" i="4" s="1"/>
  <c r="J762" i="4"/>
  <c r="G762" i="4"/>
  <c r="M762" i="4"/>
  <c r="P403" i="4"/>
  <c r="L403" i="4"/>
  <c r="R403" i="4" s="1"/>
  <c r="S403" i="4" s="1"/>
  <c r="M403" i="4"/>
  <c r="J670" i="4"/>
  <c r="L670" i="4"/>
  <c r="R670" i="4" s="1"/>
  <c r="S670" i="4" s="1"/>
  <c r="G670" i="4"/>
  <c r="H670" i="4" s="1"/>
  <c r="M670" i="4"/>
  <c r="J950" i="4"/>
  <c r="M950" i="4"/>
  <c r="P950" i="4"/>
  <c r="L950" i="4"/>
  <c r="R950" i="4" s="1"/>
  <c r="S950" i="4" s="1"/>
  <c r="I950" i="4"/>
  <c r="G933" i="4"/>
  <c r="L933" i="4"/>
  <c r="R933" i="4" s="1"/>
  <c r="S933" i="4" s="1"/>
  <c r="I933" i="4"/>
  <c r="P933" i="4"/>
  <c r="M933" i="4"/>
  <c r="J933" i="4"/>
  <c r="G105" i="4"/>
  <c r="I105" i="4"/>
  <c r="B115" i="5" s="1"/>
  <c r="M105" i="4"/>
  <c r="L530" i="4"/>
  <c r="R530" i="4" s="1"/>
  <c r="P530" i="4"/>
  <c r="J530" i="4"/>
  <c r="G454" i="4"/>
  <c r="L454" i="4"/>
  <c r="R454" i="4" s="1"/>
  <c r="S454" i="4" s="1"/>
  <c r="I454" i="4"/>
  <c r="L488" i="4"/>
  <c r="R488" i="4" s="1"/>
  <c r="J488" i="4"/>
  <c r="I488" i="4"/>
  <c r="P574" i="4"/>
  <c r="J574" i="4"/>
  <c r="G574" i="4"/>
  <c r="M800" i="4"/>
  <c r="L800" i="4"/>
  <c r="R800" i="4" s="1"/>
  <c r="G800" i="4"/>
  <c r="H800" i="4" s="1"/>
  <c r="G956" i="4"/>
  <c r="L956" i="4"/>
  <c r="R956" i="4" s="1"/>
  <c r="J956" i="4"/>
  <c r="P956" i="4"/>
  <c r="G199" i="4"/>
  <c r="I199" i="4"/>
  <c r="B209" i="5" s="1"/>
  <c r="L199" i="4"/>
  <c r="D209" i="5" s="1"/>
  <c r="P198" i="4"/>
  <c r="G198" i="4"/>
  <c r="J198" i="4"/>
  <c r="C208" i="5" s="1"/>
  <c r="I81" i="4"/>
  <c r="B91" i="5" s="1"/>
  <c r="G81" i="4"/>
  <c r="O81" i="4"/>
  <c r="L81" i="4"/>
  <c r="D91" i="5" s="1"/>
  <c r="L368" i="4"/>
  <c r="R368" i="4" s="1"/>
  <c r="M368" i="4"/>
  <c r="P368" i="4"/>
  <c r="G348" i="4"/>
  <c r="L348" i="4"/>
  <c r="R348" i="4" s="1"/>
  <c r="M348" i="4"/>
  <c r="G602" i="4"/>
  <c r="H602" i="4" s="1"/>
  <c r="J602" i="4"/>
  <c r="M511" i="4"/>
  <c r="L511" i="4"/>
  <c r="R511" i="4" s="1"/>
  <c r="S511" i="4" s="1"/>
  <c r="T511" i="4" s="1"/>
  <c r="P511" i="4"/>
  <c r="P724" i="4"/>
  <c r="I724" i="4"/>
  <c r="H724" i="4" s="1"/>
  <c r="J724" i="4"/>
  <c r="L724" i="4"/>
  <c r="R724" i="4" s="1"/>
  <c r="S724" i="4" s="1"/>
  <c r="P854" i="4"/>
  <c r="L854" i="4"/>
  <c r="R854" i="4" s="1"/>
  <c r="S854" i="4" s="1"/>
  <c r="I854" i="4"/>
  <c r="M307" i="4"/>
  <c r="L307" i="4"/>
  <c r="R307" i="4" s="1"/>
  <c r="M155" i="4"/>
  <c r="J155" i="4"/>
  <c r="C165" i="5" s="1"/>
  <c r="L155" i="4"/>
  <c r="D165" i="5" s="1"/>
  <c r="J58" i="4"/>
  <c r="C68" i="5" s="1"/>
  <c r="M58" i="4"/>
  <c r="K58" i="4"/>
  <c r="M140" i="4"/>
  <c r="G140" i="4"/>
  <c r="M556" i="4"/>
  <c r="G556" i="4"/>
  <c r="J649" i="4"/>
  <c r="G649" i="4"/>
  <c r="P804" i="4"/>
  <c r="L804" i="4"/>
  <c r="R804" i="4" s="1"/>
  <c r="J900" i="4"/>
  <c r="I900" i="4"/>
  <c r="M900" i="4"/>
  <c r="L900" i="4"/>
  <c r="R900" i="4" s="1"/>
  <c r="M169" i="4"/>
  <c r="J169" i="4"/>
  <c r="C179" i="5" s="1"/>
  <c r="I169" i="4"/>
  <c r="B179" i="5" s="1"/>
  <c r="P169" i="4"/>
  <c r="G169" i="4"/>
  <c r="L169" i="4"/>
  <c r="D179" i="5" s="1"/>
  <c r="J608" i="4"/>
  <c r="L608" i="4"/>
  <c r="R608" i="4" s="1"/>
  <c r="I608" i="4"/>
  <c r="G608" i="4"/>
  <c r="M608" i="4"/>
  <c r="P608" i="4"/>
  <c r="M657" i="4"/>
  <c r="G657" i="4"/>
  <c r="L657" i="4"/>
  <c r="R657" i="4" s="1"/>
  <c r="S657" i="4" s="1"/>
  <c r="T657" i="4" s="1"/>
  <c r="P657" i="4"/>
  <c r="I657" i="4"/>
  <c r="G915" i="4"/>
  <c r="L915" i="4"/>
  <c r="R915" i="4" s="1"/>
  <c r="I915" i="4"/>
  <c r="M915" i="4"/>
  <c r="J915" i="4"/>
  <c r="L929" i="4"/>
  <c r="R929" i="4" s="1"/>
  <c r="S929" i="4" s="1"/>
  <c r="T929" i="4" s="1"/>
  <c r="M929" i="4"/>
  <c r="G929" i="4"/>
  <c r="P929" i="4"/>
  <c r="I929" i="4"/>
  <c r="J920" i="4"/>
  <c r="L920" i="4"/>
  <c r="R920" i="4" s="1"/>
  <c r="G920" i="4"/>
  <c r="H920" i="4" s="1"/>
  <c r="P920" i="4"/>
  <c r="I725" i="4"/>
  <c r="P725" i="4"/>
  <c r="M725" i="4"/>
  <c r="G725" i="4"/>
  <c r="L685" i="4"/>
  <c r="R685" i="4" s="1"/>
  <c r="S685" i="4" s="1"/>
  <c r="I685" i="4"/>
  <c r="G685" i="4"/>
  <c r="I549" i="4"/>
  <c r="L549" i="4"/>
  <c r="R549" i="4" s="1"/>
  <c r="G549" i="4"/>
  <c r="P549" i="4"/>
  <c r="G898" i="4"/>
  <c r="L898" i="4"/>
  <c r="R898" i="4" s="1"/>
  <c r="S898" i="4" s="1"/>
  <c r="M898" i="4"/>
  <c r="J898" i="4"/>
  <c r="P256" i="4"/>
  <c r="J256" i="4"/>
  <c r="I256" i="4"/>
  <c r="L256" i="4"/>
  <c r="R256" i="4" s="1"/>
  <c r="S256" i="4" s="1"/>
  <c r="G256" i="4"/>
  <c r="I52" i="4"/>
  <c r="B62" i="5" s="1"/>
  <c r="L52" i="4"/>
  <c r="D62" i="5" s="1"/>
  <c r="J52" i="4"/>
  <c r="C62" i="5" s="1"/>
  <c r="J306" i="4"/>
  <c r="I306" i="4"/>
  <c r="M306" i="4"/>
  <c r="G306" i="4"/>
  <c r="I69" i="4"/>
  <c r="B79" i="5" s="1"/>
  <c r="N69" i="4"/>
  <c r="E79" i="5" s="1"/>
  <c r="O69" i="4"/>
  <c r="G69" i="4"/>
  <c r="M69" i="4"/>
  <c r="M20" i="4"/>
  <c r="K20" i="4"/>
  <c r="O20" i="4"/>
  <c r="P20" i="4"/>
  <c r="J45" i="4"/>
  <c r="C55" i="5" s="1"/>
  <c r="L45" i="4"/>
  <c r="D55" i="5" s="1"/>
  <c r="K45" i="4"/>
  <c r="G45" i="4"/>
  <c r="O45" i="4"/>
  <c r="P619" i="4"/>
  <c r="J619" i="4"/>
  <c r="G619" i="4"/>
  <c r="G667" i="4"/>
  <c r="J667" i="4"/>
  <c r="M667" i="4"/>
  <c r="I667" i="4"/>
  <c r="L667" i="4"/>
  <c r="R667" i="4" s="1"/>
  <c r="L6" i="4"/>
  <c r="D16" i="5" s="1"/>
  <c r="G6" i="4"/>
  <c r="N6" i="4"/>
  <c r="E16" i="5" s="1"/>
  <c r="K6" i="4"/>
  <c r="J6" i="4"/>
  <c r="C16" i="5" s="1"/>
  <c r="O6" i="4"/>
  <c r="P6" i="4"/>
  <c r="G225" i="4"/>
  <c r="L225" i="4"/>
  <c r="D235" i="5" s="1"/>
  <c r="M225" i="4"/>
  <c r="J225" i="4"/>
  <c r="C235" i="5" s="1"/>
  <c r="P225" i="4"/>
  <c r="I605" i="4"/>
  <c r="M605" i="4"/>
  <c r="L605" i="4"/>
  <c r="R605" i="4" s="1"/>
  <c r="P605" i="4"/>
  <c r="G605" i="4"/>
  <c r="O73" i="4"/>
  <c r="K73" i="4"/>
  <c r="I307" i="4"/>
  <c r="G854" i="4"/>
  <c r="L602" i="4"/>
  <c r="R602" i="4" s="1"/>
  <c r="I348" i="4"/>
  <c r="J81" i="4"/>
  <c r="C91" i="5" s="1"/>
  <c r="M198" i="4"/>
  <c r="J199" i="4"/>
  <c r="C209" i="5" s="1"/>
  <c r="M956" i="4"/>
  <c r="P800" i="4"/>
  <c r="G488" i="4"/>
  <c r="P454" i="4"/>
  <c r="G530" i="4"/>
  <c r="L105" i="4"/>
  <c r="D115" i="5" s="1"/>
  <c r="M685" i="4"/>
  <c r="M938" i="4"/>
  <c r="M256" i="4"/>
  <c r="M6" i="4"/>
  <c r="L10" i="4"/>
  <c r="D20" i="5" s="1"/>
  <c r="K10" i="4"/>
  <c r="M10" i="4"/>
  <c r="J150" i="4"/>
  <c r="C160" i="5" s="1"/>
  <c r="G72" i="4"/>
  <c r="P72" i="4"/>
  <c r="K72" i="4"/>
  <c r="G343" i="4"/>
  <c r="L660" i="4"/>
  <c r="R660" i="4" s="1"/>
  <c r="S660" i="4" s="1"/>
  <c r="T660" i="4" s="1"/>
  <c r="I660" i="4"/>
  <c r="L520" i="4"/>
  <c r="R520" i="4" s="1"/>
  <c r="J569" i="4"/>
  <c r="I996" i="4"/>
  <c r="M238" i="4"/>
  <c r="P966" i="4"/>
  <c r="N13" i="4"/>
  <c r="E23" i="5" s="1"/>
  <c r="M526" i="4"/>
  <c r="I881" i="4"/>
  <c r="M772" i="4"/>
  <c r="G631" i="4"/>
  <c r="H631" i="4" s="1"/>
  <c r="P360" i="4"/>
  <c r="P120" i="4"/>
  <c r="G91" i="4"/>
  <c r="P39" i="4"/>
  <c r="G39" i="4"/>
  <c r="G150" i="4"/>
  <c r="L72" i="4"/>
  <c r="D82" i="5" s="1"/>
  <c r="J72" i="4"/>
  <c r="C82" i="5" s="1"/>
  <c r="M189" i="4"/>
  <c r="P660" i="4"/>
  <c r="M520" i="4"/>
  <c r="P13" i="4"/>
  <c r="J494" i="4"/>
  <c r="L494" i="4"/>
  <c r="R494" i="4" s="1"/>
  <c r="M494" i="4"/>
  <c r="I494" i="4"/>
  <c r="H494" i="4" s="1"/>
  <c r="G569" i="4"/>
  <c r="L569" i="4"/>
  <c r="R569" i="4" s="1"/>
  <c r="L139" i="4"/>
  <c r="D149" i="5" s="1"/>
  <c r="P139" i="4"/>
  <c r="I139" i="4"/>
  <c r="B149" i="5" s="1"/>
  <c r="M139" i="4"/>
  <c r="L120" i="4"/>
  <c r="D130" i="5" s="1"/>
  <c r="G120" i="4"/>
  <c r="L360" i="4"/>
  <c r="R360" i="4" s="1"/>
  <c r="M360" i="4"/>
  <c r="J360" i="4"/>
  <c r="G425" i="4"/>
  <c r="I425" i="4"/>
  <c r="M430" i="4"/>
  <c r="I430" i="4"/>
  <c r="G430" i="4"/>
  <c r="L430" i="4"/>
  <c r="R430" i="4" s="1"/>
  <c r="J91" i="4"/>
  <c r="C101" i="5" s="1"/>
  <c r="I91" i="4"/>
  <c r="B101" i="5" s="1"/>
  <c r="M91" i="4"/>
  <c r="K91" i="4"/>
  <c r="R91" i="4" s="1"/>
  <c r="O91" i="4"/>
  <c r="P91" i="4"/>
  <c r="N91" i="4"/>
  <c r="E101" i="5" s="1"/>
  <c r="J727" i="4"/>
  <c r="M727" i="4"/>
  <c r="I727" i="4"/>
  <c r="L631" i="4"/>
  <c r="R631" i="4" s="1"/>
  <c r="J631" i="4"/>
  <c r="M631" i="4"/>
  <c r="L655" i="4"/>
  <c r="R655" i="4" s="1"/>
  <c r="G655" i="4"/>
  <c r="J655" i="4"/>
  <c r="P772" i="4"/>
  <c r="L772" i="4"/>
  <c r="R772" i="4" s="1"/>
  <c r="G772" i="4"/>
  <c r="G238" i="4"/>
  <c r="I238" i="4"/>
  <c r="B248" i="5" s="1"/>
  <c r="J238" i="4"/>
  <c r="C248" i="5" s="1"/>
  <c r="P238" i="4"/>
  <c r="L966" i="4"/>
  <c r="R966" i="4" s="1"/>
  <c r="S966" i="4" s="1"/>
  <c r="J966" i="4"/>
  <c r="G966" i="4"/>
  <c r="H966" i="4" s="1"/>
  <c r="G13" i="4"/>
  <c r="L13" i="4"/>
  <c r="D23" i="5" s="1"/>
  <c r="M13" i="4"/>
  <c r="J13" i="4"/>
  <c r="C23" i="5" s="1"/>
  <c r="I526" i="4"/>
  <c r="H526" i="4" s="1"/>
  <c r="J526" i="4"/>
  <c r="P526" i="4"/>
  <c r="M881" i="4"/>
  <c r="G881" i="4"/>
  <c r="L881" i="4"/>
  <c r="R881" i="4" s="1"/>
  <c r="I944" i="4"/>
  <c r="L944" i="4"/>
  <c r="R944" i="4" s="1"/>
  <c r="P944" i="4"/>
  <c r="G151" i="4"/>
  <c r="M68" i="4"/>
  <c r="M996" i="4"/>
  <c r="J996" i="4"/>
  <c r="J93" i="4"/>
  <c r="C103" i="5" s="1"/>
  <c r="N93" i="4"/>
  <c r="E103" i="5" s="1"/>
  <c r="O93" i="4"/>
  <c r="I93" i="4"/>
  <c r="B103" i="5" s="1"/>
  <c r="P370" i="4"/>
  <c r="M370" i="4"/>
  <c r="I211" i="4"/>
  <c r="B221" i="5" s="1"/>
  <c r="M394" i="4"/>
  <c r="P394" i="4"/>
  <c r="L394" i="4"/>
  <c r="R394" i="4" s="1"/>
  <c r="J394" i="4"/>
  <c r="G394" i="4"/>
  <c r="G777" i="4"/>
  <c r="H777" i="4" s="1"/>
  <c r="J777" i="4"/>
  <c r="L777" i="4"/>
  <c r="R777" i="4" s="1"/>
  <c r="S777" i="4" s="1"/>
  <c r="M777" i="4"/>
  <c r="I946" i="4"/>
  <c r="J946" i="4"/>
  <c r="P946" i="4"/>
  <c r="M946" i="4"/>
  <c r="L395" i="4"/>
  <c r="R395" i="4" s="1"/>
  <c r="S395" i="4" s="1"/>
  <c r="M395" i="4"/>
  <c r="G395" i="4"/>
  <c r="H395" i="4" s="1"/>
  <c r="P395" i="4"/>
  <c r="J395" i="4"/>
  <c r="I582" i="4"/>
  <c r="M582" i="4"/>
  <c r="G582" i="4"/>
  <c r="P582" i="4"/>
  <c r="O64" i="4"/>
  <c r="M64" i="4"/>
  <c r="J64" i="4"/>
  <c r="C74" i="5" s="1"/>
  <c r="L64" i="4"/>
  <c r="D74" i="5" s="1"/>
  <c r="N64" i="4"/>
  <c r="E74" i="5" s="1"/>
  <c r="P64" i="4"/>
  <c r="G64" i="4"/>
  <c r="J772" i="4"/>
  <c r="P655" i="4"/>
  <c r="I360" i="4"/>
  <c r="L727" i="4"/>
  <c r="R727" i="4" s="1"/>
  <c r="J120" i="4"/>
  <c r="C130" i="5" s="1"/>
  <c r="J139" i="4"/>
  <c r="C149" i="5" s="1"/>
  <c r="P430" i="4"/>
  <c r="G844" i="4"/>
  <c r="P165" i="4"/>
  <c r="P849" i="4"/>
  <c r="J833" i="4"/>
  <c r="G829" i="4"/>
  <c r="J844" i="4"/>
  <c r="I335" i="4"/>
  <c r="M325" i="4"/>
  <c r="G119" i="4"/>
  <c r="G902" i="4"/>
  <c r="J747" i="4"/>
  <c r="L209" i="4"/>
  <c r="I18" i="4"/>
  <c r="B28" i="5" s="1"/>
  <c r="O4" i="4"/>
  <c r="J342" i="4"/>
  <c r="J277" i="4"/>
  <c r="J980" i="4"/>
  <c r="M317" i="4"/>
  <c r="P100" i="4"/>
  <c r="I961" i="4"/>
  <c r="J613" i="4"/>
  <c r="G911" i="4"/>
  <c r="J674" i="4"/>
  <c r="J201" i="4"/>
  <c r="C211" i="5" s="1"/>
  <c r="M849" i="4"/>
  <c r="I584" i="4"/>
  <c r="I914" i="4"/>
  <c r="L513" i="4"/>
  <c r="R513" i="4" s="1"/>
  <c r="M739" i="4"/>
  <c r="P157" i="4"/>
  <c r="L902" i="4"/>
  <c r="R902" i="4" s="1"/>
  <c r="S902" i="4" s="1"/>
  <c r="I701" i="4"/>
  <c r="M181" i="4"/>
  <c r="N4" i="4"/>
  <c r="E14" i="5" s="1"/>
  <c r="G229" i="4"/>
  <c r="J44" i="4"/>
  <c r="C54" i="5" s="1"/>
  <c r="K44" i="4"/>
  <c r="I738" i="4"/>
  <c r="L738" i="4"/>
  <c r="R738" i="4" s="1"/>
  <c r="S738" i="4" s="1"/>
  <c r="M738" i="4"/>
  <c r="G738" i="4"/>
  <c r="J738" i="4"/>
  <c r="P738" i="4"/>
  <c r="I987" i="4"/>
  <c r="L987" i="4"/>
  <c r="R987" i="4" s="1"/>
  <c r="G987" i="4"/>
  <c r="P987" i="4"/>
  <c r="J987" i="4"/>
  <c r="M987" i="4"/>
  <c r="L878" i="4"/>
  <c r="R878" i="4" s="1"/>
  <c r="S878" i="4" s="1"/>
  <c r="J878" i="4"/>
  <c r="G878" i="4"/>
  <c r="P878" i="4"/>
  <c r="I878" i="4"/>
  <c r="J386" i="4"/>
  <c r="P386" i="4"/>
  <c r="M386" i="4"/>
  <c r="G386" i="4"/>
  <c r="I386" i="4"/>
  <c r="L386" i="4"/>
  <c r="R386" i="4" s="1"/>
  <c r="G905" i="4"/>
  <c r="J905" i="4"/>
  <c r="I905" i="4"/>
  <c r="L905" i="4"/>
  <c r="R905" i="4" s="1"/>
  <c r="S905" i="4" s="1"/>
  <c r="P905" i="4"/>
  <c r="M905" i="4"/>
  <c r="P541" i="4"/>
  <c r="M541" i="4"/>
  <c r="J541" i="4"/>
  <c r="I541" i="4"/>
  <c r="H541" i="4" s="1"/>
  <c r="L541" i="4"/>
  <c r="R541" i="4" s="1"/>
  <c r="P236" i="4"/>
  <c r="M236" i="4"/>
  <c r="G236" i="4"/>
  <c r="J236" i="4"/>
  <c r="C246" i="5" s="1"/>
  <c r="I236" i="4"/>
  <c r="B246" i="5" s="1"/>
  <c r="L236" i="4"/>
  <c r="J837" i="4"/>
  <c r="P837" i="4"/>
  <c r="M837" i="4"/>
  <c r="L837" i="4"/>
  <c r="R837" i="4" s="1"/>
  <c r="S837" i="4" s="1"/>
  <c r="G837" i="4"/>
  <c r="M106" i="4"/>
  <c r="I106" i="4"/>
  <c r="B116" i="5" s="1"/>
  <c r="J106" i="4"/>
  <c r="C116" i="5" s="1"/>
  <c r="G106" i="4"/>
  <c r="J326" i="4"/>
  <c r="P326" i="4"/>
  <c r="M326" i="4"/>
  <c r="L326" i="4"/>
  <c r="R326" i="4" s="1"/>
  <c r="I326" i="4"/>
  <c r="I763" i="4"/>
  <c r="L763" i="4"/>
  <c r="R763" i="4" s="1"/>
  <c r="I843" i="4"/>
  <c r="L843" i="4"/>
  <c r="R843" i="4" s="1"/>
  <c r="L84" i="4"/>
  <c r="D94" i="5" s="1"/>
  <c r="I84" i="4"/>
  <c r="B94" i="5" s="1"/>
  <c r="G84" i="4"/>
  <c r="M698" i="4"/>
  <c r="P698" i="4"/>
  <c r="L698" i="4"/>
  <c r="R698" i="4" s="1"/>
  <c r="S698" i="4" s="1"/>
  <c r="G698" i="4"/>
  <c r="J698" i="4"/>
  <c r="P345" i="4"/>
  <c r="G345" i="4"/>
  <c r="I749" i="4"/>
  <c r="J749" i="4"/>
  <c r="P749" i="4"/>
  <c r="L749" i="4"/>
  <c r="R749" i="4" s="1"/>
  <c r="G749" i="4"/>
  <c r="P922" i="4"/>
  <c r="G922" i="4"/>
  <c r="M470" i="4"/>
  <c r="I470" i="4"/>
  <c r="G470" i="4"/>
  <c r="J470" i="4"/>
  <c r="P470" i="4"/>
  <c r="L470" i="4"/>
  <c r="R470" i="4" s="1"/>
  <c r="S470" i="4" s="1"/>
  <c r="M913" i="4"/>
  <c r="G913" i="4"/>
  <c r="P913" i="4"/>
  <c r="J913" i="4"/>
  <c r="L913" i="4"/>
  <c r="R913" i="4" s="1"/>
  <c r="S913" i="4" s="1"/>
  <c r="I825" i="4"/>
  <c r="P825" i="4"/>
  <c r="L825" i="4"/>
  <c r="R825" i="4" s="1"/>
  <c r="S825" i="4" s="1"/>
  <c r="M787" i="4"/>
  <c r="L787" i="4"/>
  <c r="R787" i="4" s="1"/>
  <c r="J787" i="4"/>
  <c r="I787" i="4"/>
  <c r="P787" i="4"/>
  <c r="M838" i="4"/>
  <c r="J838" i="4"/>
  <c r="I838" i="4"/>
  <c r="L838" i="4"/>
  <c r="R838" i="4" s="1"/>
  <c r="S838" i="4" s="1"/>
  <c r="G838" i="4"/>
  <c r="P838" i="4"/>
  <c r="L146" i="4"/>
  <c r="D156" i="5" s="1"/>
  <c r="P146" i="4"/>
  <c r="I146" i="4"/>
  <c r="B156" i="5" s="1"/>
  <c r="M146" i="4"/>
  <c r="G146" i="4"/>
  <c r="J146" i="4"/>
  <c r="C156" i="5" s="1"/>
  <c r="M293" i="4"/>
  <c r="I293" i="4"/>
  <c r="H293" i="4" s="1"/>
  <c r="J293" i="4"/>
  <c r="P293" i="4"/>
  <c r="L471" i="4"/>
  <c r="R471" i="4" s="1"/>
  <c r="S471" i="4" s="1"/>
  <c r="I471" i="4"/>
  <c r="M471" i="4"/>
  <c r="J471" i="4"/>
  <c r="G471" i="4"/>
  <c r="L115" i="4"/>
  <c r="M115" i="4"/>
  <c r="G115" i="4"/>
  <c r="P115" i="4"/>
  <c r="I115" i="4"/>
  <c r="B125" i="5" s="1"/>
  <c r="P299" i="4"/>
  <c r="M299" i="4"/>
  <c r="L299" i="4"/>
  <c r="R299" i="4" s="1"/>
  <c r="J299" i="4"/>
  <c r="I299" i="4"/>
  <c r="G299" i="4"/>
  <c r="I143" i="4"/>
  <c r="B153" i="5" s="1"/>
  <c r="J143" i="4"/>
  <c r="C153" i="5" s="1"/>
  <c r="L143" i="4"/>
  <c r="D153" i="5" s="1"/>
  <c r="P143" i="4"/>
  <c r="M143" i="4"/>
  <c r="G143" i="4"/>
  <c r="M396" i="4"/>
  <c r="I396" i="4"/>
  <c r="G396" i="4"/>
  <c r="L396" i="4"/>
  <c r="R396" i="4" s="1"/>
  <c r="J396" i="4"/>
  <c r="P396" i="4"/>
  <c r="P193" i="4"/>
  <c r="L193" i="4"/>
  <c r="G187" i="4"/>
  <c r="I187" i="4"/>
  <c r="B197" i="5" s="1"/>
  <c r="L187" i="4"/>
  <c r="D197" i="5" s="1"/>
  <c r="P187" i="4"/>
  <c r="J289" i="4"/>
  <c r="P289" i="4"/>
  <c r="L377" i="4"/>
  <c r="R377" i="4" s="1"/>
  <c r="G377" i="4"/>
  <c r="L927" i="4"/>
  <c r="R927" i="4" s="1"/>
  <c r="S927" i="4" s="1"/>
  <c r="M927" i="4"/>
  <c r="J928" i="4"/>
  <c r="G928" i="4"/>
  <c r="L928" i="4"/>
  <c r="R928" i="4" s="1"/>
  <c r="M928" i="4"/>
  <c r="P928" i="4"/>
  <c r="I928" i="4"/>
  <c r="L113" i="4"/>
  <c r="D123" i="5" s="1"/>
  <c r="I113" i="4"/>
  <c r="B123" i="5" s="1"/>
  <c r="P113" i="4"/>
  <c r="G113" i="4"/>
  <c r="J113" i="4"/>
  <c r="C123" i="5" s="1"/>
  <c r="O66" i="4"/>
  <c r="J66" i="4"/>
  <c r="C76" i="5" s="1"/>
  <c r="I66" i="4"/>
  <c r="B76" i="5" s="1"/>
  <c r="G66" i="4"/>
  <c r="H66" i="4" s="1"/>
  <c r="M66" i="4"/>
  <c r="K66" i="4"/>
  <c r="J350" i="4"/>
  <c r="P350" i="4"/>
  <c r="M350" i="4"/>
  <c r="G350" i="4"/>
  <c r="I350" i="4"/>
  <c r="L350" i="4"/>
  <c r="R350" i="4" s="1"/>
  <c r="L865" i="4"/>
  <c r="R865" i="4" s="1"/>
  <c r="S865" i="4" s="1"/>
  <c r="J865" i="4"/>
  <c r="M865" i="4"/>
  <c r="J40" i="4"/>
  <c r="C50" i="5" s="1"/>
  <c r="L40" i="4"/>
  <c r="P40" i="4"/>
  <c r="G40" i="4"/>
  <c r="I40" i="4"/>
  <c r="B50" i="5" s="1"/>
  <c r="K40" i="4"/>
  <c r="M40" i="4"/>
  <c r="N40" i="4"/>
  <c r="E50" i="5" s="1"/>
  <c r="O40" i="4"/>
  <c r="J96" i="4"/>
  <c r="C106" i="5" s="1"/>
  <c r="P96" i="4"/>
  <c r="M96" i="4"/>
  <c r="L96" i="4"/>
  <c r="G96" i="4"/>
  <c r="L765" i="4"/>
  <c r="R765" i="4" s="1"/>
  <c r="P765" i="4"/>
  <c r="I765" i="4"/>
  <c r="J765" i="4"/>
  <c r="G765" i="4"/>
  <c r="G31" i="4"/>
  <c r="P31" i="4"/>
  <c r="K31" i="4"/>
  <c r="I31" i="4"/>
  <c r="B41" i="5" s="1"/>
  <c r="O31" i="4"/>
  <c r="M31" i="4"/>
  <c r="J31" i="4"/>
  <c r="C41" i="5" s="1"/>
  <c r="M219" i="4"/>
  <c r="G219" i="4"/>
  <c r="I219" i="4"/>
  <c r="B229" i="5" s="1"/>
  <c r="L219" i="4"/>
  <c r="J219" i="4"/>
  <c r="C229" i="5" s="1"/>
  <c r="L191" i="4"/>
  <c r="J191" i="4"/>
  <c r="C201" i="5" s="1"/>
  <c r="P191" i="4"/>
  <c r="M191" i="4"/>
  <c r="G191" i="4"/>
  <c r="J323" i="4"/>
  <c r="I323" i="4"/>
  <c r="P323" i="4"/>
  <c r="G323" i="4"/>
  <c r="L323" i="4"/>
  <c r="R323" i="4" s="1"/>
  <c r="M323" i="4"/>
  <c r="L971" i="4"/>
  <c r="R971" i="4" s="1"/>
  <c r="S971" i="4" s="1"/>
  <c r="G971" i="4"/>
  <c r="P971" i="4"/>
  <c r="M971" i="4"/>
  <c r="J971" i="4"/>
  <c r="I971" i="4"/>
  <c r="J866" i="4"/>
  <c r="M866" i="4"/>
  <c r="G866" i="4"/>
  <c r="L866" i="4"/>
  <c r="R866" i="4" s="1"/>
  <c r="S866" i="4" s="1"/>
  <c r="I866" i="4"/>
  <c r="J222" i="4"/>
  <c r="C232" i="5" s="1"/>
  <c r="G222" i="4"/>
  <c r="I222" i="4"/>
  <c r="B232" i="5" s="1"/>
  <c r="I624" i="4"/>
  <c r="P624" i="4"/>
  <c r="L624" i="4"/>
  <c r="R624" i="4" s="1"/>
  <c r="M624" i="4"/>
  <c r="J624" i="4"/>
  <c r="G624" i="4"/>
  <c r="G709" i="4"/>
  <c r="P709" i="4"/>
  <c r="J709" i="4"/>
  <c r="L709" i="4"/>
  <c r="R709" i="4" s="1"/>
  <c r="S709" i="4" s="1"/>
  <c r="I709" i="4"/>
  <c r="M709" i="4"/>
  <c r="I56" i="4"/>
  <c r="B66" i="5" s="1"/>
  <c r="M56" i="4"/>
  <c r="J56" i="4"/>
  <c r="C66" i="5" s="1"/>
  <c r="L56" i="4"/>
  <c r="D66" i="5" s="1"/>
  <c r="K56" i="4"/>
  <c r="P56" i="4"/>
  <c r="G56" i="4"/>
  <c r="J880" i="4"/>
  <c r="I719" i="4"/>
  <c r="I766" i="4"/>
  <c r="H766" i="4" s="1"/>
  <c r="G640" i="4"/>
  <c r="J515" i="4"/>
  <c r="G336" i="4"/>
  <c r="J336" i="4"/>
  <c r="M208" i="4"/>
  <c r="L208" i="4"/>
  <c r="D218" i="5" s="1"/>
  <c r="L906" i="4"/>
  <c r="R906" i="4" s="1"/>
  <c r="S906" i="4" s="1"/>
  <c r="I935" i="4"/>
  <c r="L901" i="4"/>
  <c r="R901" i="4" s="1"/>
  <c r="S901" i="4" s="1"/>
  <c r="M901" i="4"/>
  <c r="L689" i="4"/>
  <c r="R689" i="4" s="1"/>
  <c r="S689" i="4" s="1"/>
  <c r="P813" i="4"/>
  <c r="I871" i="4"/>
  <c r="M733" i="4"/>
  <c r="J476" i="4"/>
  <c r="G507" i="4"/>
  <c r="M312" i="4"/>
  <c r="I333" i="4"/>
  <c r="J333" i="4"/>
  <c r="G67" i="4"/>
  <c r="L67" i="4"/>
  <c r="N67" i="4"/>
  <c r="E77" i="5" s="1"/>
  <c r="J84" i="4"/>
  <c r="C94" i="5" s="1"/>
  <c r="N84" i="4"/>
  <c r="E94" i="5" s="1"/>
  <c r="P16" i="4"/>
  <c r="L421" i="4"/>
  <c r="R421" i="4" s="1"/>
  <c r="G843" i="4"/>
  <c r="M659" i="4"/>
  <c r="P763" i="4"/>
  <c r="P66" i="4"/>
  <c r="J149" i="4"/>
  <c r="C159" i="5" s="1"/>
  <c r="P219" i="4"/>
  <c r="J115" i="4"/>
  <c r="C125" i="5" s="1"/>
  <c r="G679" i="4"/>
  <c r="I679" i="4"/>
  <c r="L679" i="4"/>
  <c r="R679" i="4" s="1"/>
  <c r="J679" i="4"/>
  <c r="P679" i="4"/>
  <c r="M679" i="4"/>
  <c r="P684" i="4"/>
  <c r="I684" i="4"/>
  <c r="L684" i="4"/>
  <c r="R684" i="4" s="1"/>
  <c r="S684" i="4" s="1"/>
  <c r="M684" i="4"/>
  <c r="G684" i="4"/>
  <c r="J684" i="4"/>
  <c r="M233" i="4"/>
  <c r="L233" i="4"/>
  <c r="D243" i="5" s="1"/>
  <c r="P233" i="4"/>
  <c r="I233" i="4"/>
  <c r="B243" i="5" s="1"/>
  <c r="G233" i="4"/>
  <c r="J233" i="4"/>
  <c r="C243" i="5" s="1"/>
  <c r="J876" i="4"/>
  <c r="G876" i="4"/>
  <c r="M876" i="4"/>
  <c r="L876" i="4"/>
  <c r="R876" i="4" s="1"/>
  <c r="P876" i="4"/>
  <c r="I876" i="4"/>
  <c r="J761" i="4"/>
  <c r="I761" i="4"/>
  <c r="P761" i="4"/>
  <c r="M761" i="4"/>
  <c r="G761" i="4"/>
  <c r="L761" i="4"/>
  <c r="R761" i="4" s="1"/>
  <c r="M767" i="4"/>
  <c r="P767" i="4"/>
  <c r="G767" i="4"/>
  <c r="J767" i="4"/>
  <c r="I767" i="4"/>
  <c r="L767" i="4"/>
  <c r="R767" i="4" s="1"/>
  <c r="L989" i="4"/>
  <c r="R989" i="4" s="1"/>
  <c r="S989" i="4" s="1"/>
  <c r="J989" i="4"/>
  <c r="P989" i="4"/>
  <c r="I989" i="4"/>
  <c r="G989" i="4"/>
  <c r="M989" i="4"/>
  <c r="G418" i="4"/>
  <c r="J418" i="4"/>
  <c r="L418" i="4"/>
  <c r="R418" i="4" s="1"/>
  <c r="M418" i="4"/>
  <c r="P418" i="4"/>
  <c r="K9" i="4"/>
  <c r="O9" i="4"/>
  <c r="M9" i="4"/>
  <c r="N9" i="4"/>
  <c r="E19" i="5" s="1"/>
  <c r="J9" i="4"/>
  <c r="C19" i="5" s="1"/>
  <c r="G9" i="4"/>
  <c r="P9" i="4"/>
  <c r="J180" i="4"/>
  <c r="C190" i="5" s="1"/>
  <c r="G180" i="4"/>
  <c r="L180" i="4"/>
  <c r="I180" i="4"/>
  <c r="B190" i="5" s="1"/>
  <c r="G622" i="4"/>
  <c r="I622" i="4"/>
  <c r="I16" i="4"/>
  <c r="B26" i="5" s="1"/>
  <c r="K16" i="4"/>
  <c r="I320" i="4"/>
  <c r="M320" i="4"/>
  <c r="P320" i="4"/>
  <c r="J320" i="4"/>
  <c r="L320" i="4"/>
  <c r="R320" i="4" s="1"/>
  <c r="I883" i="4"/>
  <c r="G883" i="4"/>
  <c r="P883" i="4"/>
  <c r="M883" i="4"/>
  <c r="L883" i="4"/>
  <c r="R883" i="4" s="1"/>
  <c r="J883" i="4"/>
  <c r="P265" i="4"/>
  <c r="J265" i="4"/>
  <c r="L265" i="4"/>
  <c r="R265" i="4" s="1"/>
  <c r="M265" i="4"/>
  <c r="I265" i="4"/>
  <c r="H265" i="4" s="1"/>
  <c r="M547" i="4"/>
  <c r="I547" i="4"/>
  <c r="P547" i="4"/>
  <c r="J712" i="4"/>
  <c r="L712" i="4"/>
  <c r="R712" i="4" s="1"/>
  <c r="S712" i="4" s="1"/>
  <c r="M718" i="4"/>
  <c r="G718" i="4"/>
  <c r="I177" i="4"/>
  <c r="B187" i="5" s="1"/>
  <c r="G177" i="4"/>
  <c r="J177" i="4"/>
  <c r="C187" i="5" s="1"/>
  <c r="M177" i="4"/>
  <c r="L177" i="4"/>
  <c r="I680" i="4"/>
  <c r="M680" i="4"/>
  <c r="J680" i="4"/>
  <c r="J122" i="4"/>
  <c r="C132" i="5" s="1"/>
  <c r="P122" i="4"/>
  <c r="L122" i="4"/>
  <c r="D132" i="5" s="1"/>
  <c r="G122" i="4"/>
  <c r="I122" i="4"/>
  <c r="B132" i="5" s="1"/>
  <c r="M122" i="4"/>
  <c r="L103" i="4"/>
  <c r="I103" i="4"/>
  <c r="B113" i="5" s="1"/>
  <c r="I803" i="4"/>
  <c r="J803" i="4"/>
  <c r="P297" i="4"/>
  <c r="M297" i="4"/>
  <c r="L297" i="4"/>
  <c r="R297" i="4" s="1"/>
  <c r="S297" i="4" s="1"/>
  <c r="G297" i="4"/>
  <c r="I297" i="4"/>
  <c r="J297" i="4"/>
  <c r="L270" i="4"/>
  <c r="R270" i="4" s="1"/>
  <c r="P270" i="4"/>
  <c r="M270" i="4"/>
  <c r="G270" i="4"/>
  <c r="I270" i="4"/>
  <c r="J290" i="4"/>
  <c r="L290" i="4"/>
  <c r="R290" i="4" s="1"/>
  <c r="S290" i="4" s="1"/>
  <c r="M290" i="4"/>
  <c r="I290" i="4"/>
  <c r="H290" i="4" s="1"/>
  <c r="P290" i="4"/>
  <c r="G278" i="4"/>
  <c r="P278" i="4"/>
  <c r="J278" i="4"/>
  <c r="L278" i="4"/>
  <c r="R278" i="4" s="1"/>
  <c r="P669" i="4"/>
  <c r="G669" i="4"/>
  <c r="M669" i="4"/>
  <c r="L669" i="4"/>
  <c r="R669" i="4" s="1"/>
  <c r="S669" i="4" s="1"/>
  <c r="I669" i="4"/>
  <c r="J669" i="4"/>
  <c r="G261" i="4"/>
  <c r="P261" i="4"/>
  <c r="M261" i="4"/>
  <c r="L261" i="4"/>
  <c r="R261" i="4" s="1"/>
  <c r="J261" i="4"/>
  <c r="I261" i="4"/>
  <c r="L596" i="4"/>
  <c r="R596" i="4" s="1"/>
  <c r="I596" i="4"/>
  <c r="G596" i="4"/>
  <c r="J596" i="4"/>
  <c r="P596" i="4"/>
  <c r="M596" i="4"/>
  <c r="P239" i="4"/>
  <c r="M239" i="4"/>
  <c r="G239" i="4"/>
  <c r="I239" i="4"/>
  <c r="B249" i="5" s="1"/>
  <c r="L239" i="4"/>
  <c r="J239" i="4"/>
  <c r="C249" i="5" s="1"/>
  <c r="J953" i="4"/>
  <c r="P953" i="4"/>
  <c r="G953" i="4"/>
  <c r="I953" i="4"/>
  <c r="L953" i="4"/>
  <c r="R953" i="4" s="1"/>
  <c r="S953" i="4" s="1"/>
  <c r="T953" i="4" s="1"/>
  <c r="J529" i="4"/>
  <c r="L529" i="4"/>
  <c r="R529" i="4" s="1"/>
  <c r="G529" i="4"/>
  <c r="I529" i="4"/>
  <c r="P529" i="4"/>
  <c r="J756" i="4"/>
  <c r="L756" i="4"/>
  <c r="R756" i="4" s="1"/>
  <c r="M21" i="4"/>
  <c r="J21" i="4"/>
  <c r="C31" i="5" s="1"/>
  <c r="P21" i="4"/>
  <c r="N21" i="4"/>
  <c r="E31" i="5" s="1"/>
  <c r="G21" i="4"/>
  <c r="L21" i="4"/>
  <c r="K21" i="4"/>
  <c r="I21" i="4"/>
  <c r="B31" i="5" s="1"/>
  <c r="P886" i="4"/>
  <c r="G886" i="4"/>
  <c r="M53" i="4"/>
  <c r="G53" i="4"/>
  <c r="N53" i="4"/>
  <c r="E63" i="5" s="1"/>
  <c r="K53" i="4"/>
  <c r="P53" i="4"/>
  <c r="O53" i="4"/>
  <c r="I53" i="4"/>
  <c r="B63" i="5" s="1"/>
  <c r="M642" i="4"/>
  <c r="I642" i="4"/>
  <c r="H642" i="4" s="1"/>
  <c r="P642" i="4"/>
  <c r="J642" i="4"/>
  <c r="G104" i="4"/>
  <c r="L104" i="4"/>
  <c r="P104" i="4"/>
  <c r="M104" i="4"/>
  <c r="L457" i="4"/>
  <c r="R457" i="4" s="1"/>
  <c r="G457" i="4"/>
  <c r="H457" i="4" s="1"/>
  <c r="M457" i="4"/>
  <c r="J457" i="4"/>
  <c r="P457" i="4"/>
  <c r="J315" i="4"/>
  <c r="G315" i="4"/>
  <c r="P315" i="4"/>
  <c r="L315" i="4"/>
  <c r="R315" i="4" s="1"/>
  <c r="M315" i="4"/>
  <c r="I315" i="4"/>
  <c r="P237" i="4"/>
  <c r="G237" i="4"/>
  <c r="L237" i="4"/>
  <c r="M237" i="4"/>
  <c r="I237" i="4"/>
  <c r="B247" i="5" s="1"/>
  <c r="J237" i="4"/>
  <c r="C247" i="5" s="1"/>
  <c r="M382" i="4"/>
  <c r="L382" i="4"/>
  <c r="R382" i="4" s="1"/>
  <c r="P382" i="4"/>
  <c r="I382" i="4"/>
  <c r="G382" i="4"/>
  <c r="J382" i="4"/>
  <c r="G882" i="4"/>
  <c r="I533" i="4"/>
  <c r="M719" i="4"/>
  <c r="P755" i="4"/>
  <c r="G609" i="4"/>
  <c r="H609" i="4" s="1"/>
  <c r="J704" i="4"/>
  <c r="J519" i="4"/>
  <c r="J882" i="4"/>
  <c r="L880" i="4"/>
  <c r="R880" i="4" s="1"/>
  <c r="G769" i="4"/>
  <c r="J769" i="4"/>
  <c r="M533" i="4"/>
  <c r="L719" i="4"/>
  <c r="R719" i="4" s="1"/>
  <c r="G719" i="4"/>
  <c r="G755" i="4"/>
  <c r="J766" i="4"/>
  <c r="P766" i="4"/>
  <c r="P609" i="4"/>
  <c r="P481" i="4"/>
  <c r="I792" i="4"/>
  <c r="L792" i="4"/>
  <c r="R792" i="4" s="1"/>
  <c r="G704" i="4"/>
  <c r="M704" i="4"/>
  <c r="P519" i="4"/>
  <c r="I640" i="4"/>
  <c r="J640" i="4"/>
  <c r="I515" i="4"/>
  <c r="I336" i="4"/>
  <c r="M336" i="4"/>
  <c r="P208" i="4"/>
  <c r="P906" i="4"/>
  <c r="J906" i="4"/>
  <c r="G935" i="4"/>
  <c r="J935" i="4"/>
  <c r="P901" i="4"/>
  <c r="J689" i="4"/>
  <c r="G689" i="4"/>
  <c r="H689" i="4" s="1"/>
  <c r="J813" i="4"/>
  <c r="G813" i="4"/>
  <c r="J871" i="4"/>
  <c r="G871" i="4"/>
  <c r="J733" i="4"/>
  <c r="L733" i="4"/>
  <c r="R733" i="4" s="1"/>
  <c r="S733" i="4" s="1"/>
  <c r="G476" i="4"/>
  <c r="H476" i="4" s="1"/>
  <c r="P476" i="4"/>
  <c r="L507" i="4"/>
  <c r="R507" i="4" s="1"/>
  <c r="S507" i="4" s="1"/>
  <c r="J507" i="4"/>
  <c r="G312" i="4"/>
  <c r="L312" i="4"/>
  <c r="R312" i="4" s="1"/>
  <c r="M333" i="4"/>
  <c r="I67" i="4"/>
  <c r="B77" i="5" s="1"/>
  <c r="J67" i="4"/>
  <c r="C77" i="5" s="1"/>
  <c r="P170" i="4"/>
  <c r="G170" i="4"/>
  <c r="O84" i="4"/>
  <c r="G16" i="4"/>
  <c r="J16" i="4"/>
  <c r="C26" i="5" s="1"/>
  <c r="P843" i="4"/>
  <c r="M622" i="4"/>
  <c r="M763" i="4"/>
  <c r="P180" i="4"/>
  <c r="M765" i="4"/>
  <c r="L53" i="4"/>
  <c r="N66" i="4"/>
  <c r="E76" i="5" s="1"/>
  <c r="O56" i="4"/>
  <c r="L31" i="4"/>
  <c r="D41" i="5" s="1"/>
  <c r="J104" i="4"/>
  <c r="C114" i="5" s="1"/>
  <c r="G787" i="4"/>
  <c r="M113" i="4"/>
  <c r="M749" i="4"/>
  <c r="N96" i="4"/>
  <c r="E106" i="5" s="1"/>
  <c r="M748" i="4"/>
  <c r="I748" i="4"/>
  <c r="G748" i="4"/>
  <c r="L748" i="4"/>
  <c r="R748" i="4" s="1"/>
  <c r="S748" i="4" s="1"/>
  <c r="J748" i="4"/>
  <c r="P748" i="4"/>
  <c r="I257" i="4"/>
  <c r="P257" i="4"/>
  <c r="G257" i="4"/>
  <c r="M257" i="4"/>
  <c r="M400" i="4"/>
  <c r="J400" i="4"/>
  <c r="P400" i="4"/>
  <c r="L400" i="4"/>
  <c r="R400" i="4" s="1"/>
  <c r="I400" i="4"/>
  <c r="I925" i="4"/>
  <c r="G925" i="4"/>
  <c r="J925" i="4"/>
  <c r="P925" i="4"/>
  <c r="M925" i="4"/>
  <c r="M197" i="4"/>
  <c r="L197" i="4"/>
  <c r="D207" i="5" s="1"/>
  <c r="J197" i="4"/>
  <c r="C207" i="5" s="1"/>
  <c r="I197" i="4"/>
  <c r="B207" i="5" s="1"/>
  <c r="I659" i="4"/>
  <c r="J659" i="4"/>
  <c r="P421" i="4"/>
  <c r="M421" i="4"/>
  <c r="L879" i="4"/>
  <c r="R879" i="4" s="1"/>
  <c r="M879" i="4"/>
  <c r="J879" i="4"/>
  <c r="G879" i="4"/>
  <c r="P879" i="4"/>
  <c r="I879" i="4"/>
  <c r="M899" i="4"/>
  <c r="J899" i="4"/>
  <c r="L899" i="4"/>
  <c r="R899" i="4" s="1"/>
  <c r="P899" i="4"/>
  <c r="G899" i="4"/>
  <c r="H899" i="4" s="1"/>
  <c r="L573" i="4"/>
  <c r="R573" i="4" s="1"/>
  <c r="J573" i="4"/>
  <c r="G573" i="4"/>
  <c r="P573" i="4"/>
  <c r="I573" i="4"/>
  <c r="I497" i="4"/>
  <c r="G497" i="4"/>
  <c r="L497" i="4"/>
  <c r="R497" i="4" s="1"/>
  <c r="J497" i="4"/>
  <c r="M497" i="4"/>
  <c r="P497" i="4"/>
  <c r="L846" i="4"/>
  <c r="R846" i="4" s="1"/>
  <c r="S846" i="4" s="1"/>
  <c r="T846" i="4" s="1"/>
  <c r="M846" i="4"/>
  <c r="I846" i="4"/>
  <c r="P846" i="4"/>
  <c r="G846" i="4"/>
  <c r="M790" i="4"/>
  <c r="G790" i="4"/>
  <c r="H790" i="4" s="1"/>
  <c r="P790" i="4"/>
  <c r="J790" i="4"/>
  <c r="L790" i="4"/>
  <c r="R790" i="4" s="1"/>
  <c r="S790" i="4" s="1"/>
  <c r="L536" i="4"/>
  <c r="R536" i="4" s="1"/>
  <c r="M536" i="4"/>
  <c r="I536" i="4"/>
  <c r="G536" i="4"/>
  <c r="P536" i="4"/>
  <c r="I479" i="4"/>
  <c r="J479" i="4"/>
  <c r="L479" i="4"/>
  <c r="R479" i="4" s="1"/>
  <c r="S479" i="4" s="1"/>
  <c r="G479" i="4"/>
  <c r="P254" i="4"/>
  <c r="M254" i="4"/>
  <c r="G254" i="4"/>
  <c r="J254" i="4"/>
  <c r="P227" i="4"/>
  <c r="M227" i="4"/>
  <c r="G227" i="4"/>
  <c r="I227" i="4"/>
  <c r="B237" i="5" s="1"/>
  <c r="L227" i="4"/>
  <c r="M532" i="4"/>
  <c r="L532" i="4"/>
  <c r="R532" i="4" s="1"/>
  <c r="P532" i="4"/>
  <c r="G532" i="4"/>
  <c r="J532" i="4"/>
  <c r="G538" i="4"/>
  <c r="M538" i="4"/>
  <c r="I538" i="4"/>
  <c r="L538" i="4"/>
  <c r="R538" i="4" s="1"/>
  <c r="S538" i="4" s="1"/>
  <c r="P538" i="4"/>
  <c r="J538" i="4"/>
  <c r="L816" i="4"/>
  <c r="R816" i="4" s="1"/>
  <c r="I816" i="4"/>
  <c r="M816" i="4"/>
  <c r="G816" i="4"/>
  <c r="J816" i="4"/>
  <c r="P816" i="4"/>
  <c r="M126" i="4"/>
  <c r="G126" i="4"/>
  <c r="J126" i="4"/>
  <c r="C136" i="5" s="1"/>
  <c r="L126" i="4"/>
  <c r="I126" i="4"/>
  <c r="B136" i="5" s="1"/>
  <c r="P126" i="4"/>
  <c r="L75" i="4"/>
  <c r="P75" i="4"/>
  <c r="N75" i="4"/>
  <c r="E85" i="5" s="1"/>
  <c r="G612" i="4"/>
  <c r="J612" i="4"/>
  <c r="P612" i="4"/>
  <c r="M612" i="4"/>
  <c r="I612" i="4"/>
  <c r="L612" i="4"/>
  <c r="R612" i="4" s="1"/>
  <c r="M373" i="4"/>
  <c r="I373" i="4"/>
  <c r="G373" i="4"/>
  <c r="J373" i="4"/>
  <c r="P373" i="4"/>
  <c r="L373" i="4"/>
  <c r="R373" i="4" s="1"/>
  <c r="L451" i="4"/>
  <c r="R451" i="4" s="1"/>
  <c r="S451" i="4" s="1"/>
  <c r="I451" i="4"/>
  <c r="J451" i="4"/>
  <c r="G451" i="4"/>
  <c r="P451" i="4"/>
  <c r="M451" i="4"/>
  <c r="P167" i="4"/>
  <c r="M167" i="4"/>
  <c r="G167" i="4"/>
  <c r="I167" i="4"/>
  <c r="B177" i="5" s="1"/>
  <c r="J167" i="4"/>
  <c r="C177" i="5" s="1"/>
  <c r="L167" i="4"/>
  <c r="I328" i="4"/>
  <c r="P328" i="4"/>
  <c r="M328" i="4"/>
  <c r="G328" i="4"/>
  <c r="J328" i="4"/>
  <c r="L328" i="4"/>
  <c r="R328" i="4" s="1"/>
  <c r="M919" i="4"/>
  <c r="G919" i="4"/>
  <c r="L919" i="4"/>
  <c r="R919" i="4" s="1"/>
  <c r="J919" i="4"/>
  <c r="I919" i="4"/>
  <c r="P919" i="4"/>
  <c r="M282" i="4"/>
  <c r="G282" i="4"/>
  <c r="J282" i="4"/>
  <c r="P282" i="4"/>
  <c r="L282" i="4"/>
  <c r="R282" i="4" s="1"/>
  <c r="I282" i="4"/>
  <c r="J269" i="4"/>
  <c r="L269" i="4"/>
  <c r="R269" i="4" s="1"/>
  <c r="G269" i="4"/>
  <c r="M269" i="4"/>
  <c r="G934" i="4"/>
  <c r="J934" i="4"/>
  <c r="P934" i="4"/>
  <c r="M934" i="4"/>
  <c r="P379" i="4"/>
  <c r="J379" i="4"/>
  <c r="L379" i="4"/>
  <c r="R379" i="4" s="1"/>
  <c r="S379" i="4" s="1"/>
  <c r="G379" i="4"/>
  <c r="I379" i="4"/>
  <c r="M379" i="4"/>
  <c r="G918" i="4"/>
  <c r="J918" i="4"/>
  <c r="M918" i="4"/>
  <c r="I314" i="4"/>
  <c r="G314" i="4"/>
  <c r="J314" i="4"/>
  <c r="M314" i="4"/>
  <c r="L314" i="4"/>
  <c r="R314" i="4" s="1"/>
  <c r="P314" i="4"/>
  <c r="P387" i="4"/>
  <c r="J387" i="4"/>
  <c r="L387" i="4"/>
  <c r="R387" i="4" s="1"/>
  <c r="S387" i="4" s="1"/>
  <c r="M387" i="4"/>
  <c r="I387" i="4"/>
  <c r="G387" i="4"/>
  <c r="P791" i="4"/>
  <c r="G791" i="4"/>
  <c r="I791" i="4"/>
  <c r="J791" i="4"/>
  <c r="L791" i="4"/>
  <c r="R791" i="4" s="1"/>
  <c r="L713" i="4"/>
  <c r="R713" i="4" s="1"/>
  <c r="S713" i="4" s="1"/>
  <c r="G713" i="4"/>
  <c r="I713" i="4"/>
  <c r="P713" i="4"/>
  <c r="J713" i="4"/>
  <c r="L893" i="4"/>
  <c r="R893" i="4" s="1"/>
  <c r="S893" i="4" s="1"/>
  <c r="I893" i="4"/>
  <c r="G893" i="4"/>
  <c r="J893" i="4"/>
  <c r="P893" i="4"/>
  <c r="M893" i="4"/>
  <c r="L480" i="4"/>
  <c r="R480" i="4" s="1"/>
  <c r="I480" i="4"/>
  <c r="G480" i="4"/>
  <c r="P131" i="4"/>
  <c r="J131" i="4"/>
  <c r="C141" i="5" s="1"/>
  <c r="G590" i="4"/>
  <c r="L590" i="4"/>
  <c r="R590" i="4" s="1"/>
  <c r="I590" i="4"/>
  <c r="J590" i="4"/>
  <c r="P590" i="4"/>
  <c r="M590" i="4"/>
  <c r="M347" i="4"/>
  <c r="L347" i="4"/>
  <c r="R347" i="4" s="1"/>
  <c r="S347" i="4" s="1"/>
  <c r="G347" i="4"/>
  <c r="P981" i="4"/>
  <c r="J981" i="4"/>
  <c r="M981" i="4"/>
  <c r="L981" i="4"/>
  <c r="R981" i="4" s="1"/>
  <c r="S981" i="4" s="1"/>
  <c r="I981" i="4"/>
  <c r="G981" i="4"/>
  <c r="I321" i="4"/>
  <c r="G321" i="4"/>
  <c r="J321" i="4"/>
  <c r="M321" i="4"/>
  <c r="L321" i="4"/>
  <c r="R321" i="4" s="1"/>
  <c r="S321" i="4" s="1"/>
  <c r="P321" i="4"/>
  <c r="P149" i="4"/>
  <c r="G149" i="4"/>
  <c r="I149" i="4"/>
  <c r="B159" i="5" s="1"/>
  <c r="M149" i="4"/>
  <c r="P88" i="4"/>
  <c r="G88" i="4"/>
  <c r="O88" i="4"/>
  <c r="M88" i="4"/>
  <c r="I88" i="4"/>
  <c r="B98" i="5" s="1"/>
  <c r="K88" i="4"/>
  <c r="J318" i="4"/>
  <c r="L318" i="4"/>
  <c r="R318" i="4" s="1"/>
  <c r="M318" i="4"/>
  <c r="P318" i="4"/>
  <c r="I318" i="4"/>
  <c r="G318" i="4"/>
  <c r="I117" i="4"/>
  <c r="B127" i="5" s="1"/>
  <c r="G117" i="4"/>
  <c r="M117" i="4"/>
  <c r="J443" i="4"/>
  <c r="G443" i="4"/>
  <c r="P443" i="4"/>
  <c r="L443" i="4"/>
  <c r="R443" i="4" s="1"/>
  <c r="S443" i="4" s="1"/>
  <c r="M443" i="4"/>
  <c r="I443" i="4"/>
  <c r="L118" i="4"/>
  <c r="P118" i="4"/>
  <c r="I118" i="4"/>
  <c r="B128" i="5" s="1"/>
  <c r="M118" i="4"/>
  <c r="G118" i="4"/>
  <c r="J118" i="4"/>
  <c r="C128" i="5" s="1"/>
  <c r="L769" i="4"/>
  <c r="R769" i="4" s="1"/>
  <c r="S769" i="4" s="1"/>
  <c r="P769" i="4"/>
  <c r="L766" i="4"/>
  <c r="R766" i="4" s="1"/>
  <c r="G481" i="4"/>
  <c r="G792" i="4"/>
  <c r="M792" i="4"/>
  <c r="I704" i="4"/>
  <c r="L640" i="4"/>
  <c r="R640" i="4" s="1"/>
  <c r="S640" i="4" s="1"/>
  <c r="P882" i="4"/>
  <c r="G880" i="4"/>
  <c r="P533" i="4"/>
  <c r="M755" i="4"/>
  <c r="L609" i="4"/>
  <c r="R609" i="4" s="1"/>
  <c r="M481" i="4"/>
  <c r="I519" i="4"/>
  <c r="H519" i="4" s="1"/>
  <c r="P515" i="4"/>
  <c r="G208" i="4"/>
  <c r="M906" i="4"/>
  <c r="M935" i="4"/>
  <c r="P689" i="4"/>
  <c r="I813" i="4"/>
  <c r="M871" i="4"/>
  <c r="P733" i="4"/>
  <c r="L476" i="4"/>
  <c r="R476" i="4" s="1"/>
  <c r="P507" i="4"/>
  <c r="I312" i="4"/>
  <c r="P67" i="4"/>
  <c r="M170" i="4"/>
  <c r="K84" i="4"/>
  <c r="L16" i="4"/>
  <c r="O16" i="4"/>
  <c r="G421" i="4"/>
  <c r="H421" i="4" s="1"/>
  <c r="J843" i="4"/>
  <c r="L622" i="4"/>
  <c r="R622" i="4" s="1"/>
  <c r="P659" i="4"/>
  <c r="G763" i="4"/>
  <c r="M180" i="4"/>
  <c r="G197" i="4"/>
  <c r="G326" i="4"/>
  <c r="L106" i="4"/>
  <c r="I837" i="4"/>
  <c r="P479" i="4"/>
  <c r="J53" i="4"/>
  <c r="C63" i="5" s="1"/>
  <c r="N56" i="4"/>
  <c r="E66" i="5" s="1"/>
  <c r="N31" i="4"/>
  <c r="E41" i="5" s="1"/>
  <c r="I104" i="4"/>
  <c r="B114" i="5" s="1"/>
  <c r="N88" i="4"/>
  <c r="E98" i="5" s="1"/>
  <c r="I191" i="4"/>
  <c r="B201" i="5" s="1"/>
  <c r="L293" i="4"/>
  <c r="R293" i="4" s="1"/>
  <c r="M573" i="4"/>
  <c r="O21" i="4"/>
  <c r="M878" i="4"/>
  <c r="G320" i="4"/>
  <c r="I698" i="4"/>
  <c r="M914" i="4"/>
  <c r="I912" i="4"/>
  <c r="H912" i="4" s="1"/>
  <c r="P829" i="4"/>
  <c r="I513" i="4"/>
  <c r="M240" i="4"/>
  <c r="J993" i="4"/>
  <c r="O36" i="4"/>
  <c r="L701" i="4"/>
  <c r="R701" i="4" s="1"/>
  <c r="G317" i="4"/>
  <c r="O100" i="4"/>
  <c r="I812" i="4"/>
  <c r="H812" i="4" s="1"/>
  <c r="I352" i="4"/>
  <c r="M141" i="4"/>
  <c r="G342" i="4"/>
  <c r="I172" i="4"/>
  <c r="B182" i="5" s="1"/>
  <c r="L277" i="4"/>
  <c r="R277" i="4" s="1"/>
  <c r="G849" i="4"/>
  <c r="I849" i="4"/>
  <c r="P914" i="4"/>
  <c r="M912" i="4"/>
  <c r="G980" i="4"/>
  <c r="L641" i="4"/>
  <c r="R641" i="4" s="1"/>
  <c r="S641" i="4" s="1"/>
  <c r="I747" i="4"/>
  <c r="H747" i="4" s="1"/>
  <c r="O18" i="4"/>
  <c r="M834" i="4"/>
  <c r="M812" i="4"/>
  <c r="M509" i="4"/>
  <c r="G914" i="4"/>
  <c r="P912" i="4"/>
  <c r="J912" i="4"/>
  <c r="P513" i="4"/>
  <c r="J513" i="4"/>
  <c r="I980" i="4"/>
  <c r="P980" i="4"/>
  <c r="J841" i="4"/>
  <c r="M841" i="4"/>
  <c r="M993" i="4"/>
  <c r="I993" i="4"/>
  <c r="H993" i="4" s="1"/>
  <c r="G572" i="4"/>
  <c r="I572" i="4"/>
  <c r="P641" i="4"/>
  <c r="J641" i="4"/>
  <c r="G949" i="4"/>
  <c r="H949" i="4" s="1"/>
  <c r="J949" i="4"/>
  <c r="G240" i="4"/>
  <c r="J240" i="4"/>
  <c r="P844" i="4"/>
  <c r="L844" i="4"/>
  <c r="R844" i="4" s="1"/>
  <c r="P798" i="4"/>
  <c r="M798" i="4"/>
  <c r="M833" i="4"/>
  <c r="P833" i="4"/>
  <c r="J808" i="4"/>
  <c r="G808" i="4"/>
  <c r="K36" i="4"/>
  <c r="M36" i="4"/>
  <c r="G284" i="4"/>
  <c r="P284" i="4"/>
  <c r="L119" i="4"/>
  <c r="I119" i="4"/>
  <c r="B129" i="5" s="1"/>
  <c r="J209" i="4"/>
  <c r="C219" i="5" s="1"/>
  <c r="M209" i="4"/>
  <c r="I563" i="4"/>
  <c r="G563" i="4"/>
  <c r="G100" i="4"/>
  <c r="H100" i="4" s="1"/>
  <c r="N100" i="4"/>
  <c r="E110" i="5" s="1"/>
  <c r="I100" i="4"/>
  <c r="B110" i="5" s="1"/>
  <c r="K18" i="4"/>
  <c r="G18" i="4"/>
  <c r="J267" i="4"/>
  <c r="G267" i="4"/>
  <c r="M267" i="4"/>
  <c r="I165" i="4"/>
  <c r="B175" i="5" s="1"/>
  <c r="M338" i="4"/>
  <c r="G338" i="4"/>
  <c r="P338" i="4"/>
  <c r="J369" i="4"/>
  <c r="L369" i="4"/>
  <c r="R369" i="4" s="1"/>
  <c r="J902" i="4"/>
  <c r="M902" i="4"/>
  <c r="M342" i="4"/>
  <c r="L342" i="4"/>
  <c r="R342" i="4" s="1"/>
  <c r="I342" i="4"/>
  <c r="L325" i="4"/>
  <c r="R325" i="4" s="1"/>
  <c r="J325" i="4"/>
  <c r="I325" i="4"/>
  <c r="G723" i="4"/>
  <c r="H723" i="4" s="1"/>
  <c r="L723" i="4"/>
  <c r="R723" i="4" s="1"/>
  <c r="M723" i="4"/>
  <c r="P723" i="4"/>
  <c r="P335" i="4"/>
  <c r="L335" i="4"/>
  <c r="R335" i="4" s="1"/>
  <c r="S335" i="4" s="1"/>
  <c r="G335" i="4"/>
  <c r="G463" i="4"/>
  <c r="J463" i="4"/>
  <c r="I610" i="4"/>
  <c r="J610" i="4"/>
  <c r="G916" i="4"/>
  <c r="J916" i="4"/>
  <c r="P172" i="4"/>
  <c r="M172" i="4"/>
  <c r="G172" i="4"/>
  <c r="L458" i="4"/>
  <c r="R458" i="4" s="1"/>
  <c r="S458" i="4" s="1"/>
  <c r="T458" i="4" s="1"/>
  <c r="I458" i="4"/>
  <c r="M458" i="4"/>
  <c r="G458" i="4"/>
  <c r="N25" i="4"/>
  <c r="E35" i="5" s="1"/>
  <c r="L25" i="4"/>
  <c r="I25" i="4"/>
  <c r="B35" i="5" s="1"/>
  <c r="P25" i="4"/>
  <c r="K25" i="4"/>
  <c r="I141" i="4"/>
  <c r="B151" i="5" s="1"/>
  <c r="P141" i="4"/>
  <c r="L141" i="4"/>
  <c r="G141" i="4"/>
  <c r="P220" i="4"/>
  <c r="M220" i="4"/>
  <c r="I923" i="4"/>
  <c r="G923" i="4"/>
  <c r="J923" i="4"/>
  <c r="M923" i="4"/>
  <c r="M202" i="4"/>
  <c r="J202" i="4"/>
  <c r="C212" i="5" s="1"/>
  <c r="P745" i="4"/>
  <c r="I745" i="4"/>
  <c r="L745" i="4"/>
  <c r="R745" i="4" s="1"/>
  <c r="J745" i="4"/>
  <c r="G683" i="4"/>
  <c r="H683" i="4" s="1"/>
  <c r="G157" i="4"/>
  <c r="I157" i="4"/>
  <c r="B167" i="5" s="1"/>
  <c r="I311" i="4"/>
  <c r="L311" i="4"/>
  <c r="R311" i="4" s="1"/>
  <c r="P181" i="4"/>
  <c r="G181" i="4"/>
  <c r="L107" i="4"/>
  <c r="L4" i="4"/>
  <c r="I4" i="4"/>
  <c r="B14" i="5" s="1"/>
  <c r="G4" i="4"/>
  <c r="L229" i="4"/>
  <c r="J229" i="4"/>
  <c r="C239" i="5" s="1"/>
  <c r="M44" i="4"/>
  <c r="G44" i="4"/>
  <c r="M810" i="4"/>
  <c r="G897" i="4"/>
  <c r="M184" i="4"/>
  <c r="M43" i="4"/>
  <c r="M157" i="4"/>
  <c r="M171" i="4"/>
  <c r="I196" i="4"/>
  <c r="B206" i="5" s="1"/>
  <c r="J311" i="4"/>
  <c r="J107" i="4"/>
  <c r="C117" i="5" s="1"/>
  <c r="J4" i="4"/>
  <c r="C14" i="5" s="1"/>
  <c r="I229" i="4"/>
  <c r="B239" i="5" s="1"/>
  <c r="N44" i="4"/>
  <c r="E54" i="5" s="1"/>
  <c r="P858" i="4"/>
  <c r="L607" i="4"/>
  <c r="R607" i="4" s="1"/>
  <c r="S607" i="4" s="1"/>
  <c r="J718" i="4"/>
  <c r="M825" i="4"/>
  <c r="M712" i="4"/>
  <c r="J547" i="4"/>
  <c r="L922" i="4"/>
  <c r="R922" i="4" s="1"/>
  <c r="S922" i="4" s="1"/>
  <c r="O75" i="4"/>
  <c r="G103" i="4"/>
  <c r="G193" i="4"/>
  <c r="G786" i="4"/>
  <c r="P870" i="4"/>
  <c r="L356" i="4"/>
  <c r="R356" i="4" s="1"/>
  <c r="G988" i="4"/>
  <c r="G589" i="4"/>
  <c r="P680" i="4"/>
  <c r="L718" i="4"/>
  <c r="R718" i="4" s="1"/>
  <c r="S718" i="4" s="1"/>
  <c r="P712" i="4"/>
  <c r="L547" i="4"/>
  <c r="R547" i="4" s="1"/>
  <c r="S547" i="4" s="1"/>
  <c r="J922" i="4"/>
  <c r="G75" i="4"/>
  <c r="I629" i="4"/>
  <c r="I756" i="4"/>
  <c r="P937" i="4"/>
  <c r="P644" i="4"/>
  <c r="I627" i="4"/>
  <c r="L914" i="4"/>
  <c r="R914" i="4" s="1"/>
  <c r="S914" i="4" s="1"/>
  <c r="T914" i="4" s="1"/>
  <c r="L912" i="4"/>
  <c r="R912" i="4" s="1"/>
  <c r="L829" i="4"/>
  <c r="R829" i="4" s="1"/>
  <c r="M829" i="4"/>
  <c r="L980" i="4"/>
  <c r="R980" i="4" s="1"/>
  <c r="I798" i="4"/>
  <c r="H798" i="4" s="1"/>
  <c r="L798" i="4"/>
  <c r="R798" i="4" s="1"/>
  <c r="S798" i="4" s="1"/>
  <c r="G641" i="4"/>
  <c r="G513" i="4"/>
  <c r="I844" i="4"/>
  <c r="M572" i="4"/>
  <c r="P572" i="4"/>
  <c r="I240" i="4"/>
  <c r="L993" i="4"/>
  <c r="R993" i="4" s="1"/>
  <c r="S993" i="4" s="1"/>
  <c r="T993" i="4" s="1"/>
  <c r="P993" i="4"/>
  <c r="P949" i="4"/>
  <c r="M949" i="4"/>
  <c r="P841" i="4"/>
  <c r="N36" i="4"/>
  <c r="E46" i="5" s="1"/>
  <c r="P36" i="4"/>
  <c r="M119" i="4"/>
  <c r="P119" i="4"/>
  <c r="P369" i="4"/>
  <c r="J338" i="4"/>
  <c r="L338" i="4"/>
  <c r="R338" i="4" s="1"/>
  <c r="P747" i="4"/>
  <c r="M747" i="4"/>
  <c r="J165" i="4"/>
  <c r="C175" i="5" s="1"/>
  <c r="L165" i="4"/>
  <c r="G209" i="4"/>
  <c r="G701" i="4"/>
  <c r="P701" i="4"/>
  <c r="J317" i="4"/>
  <c r="I317" i="4"/>
  <c r="K100" i="4"/>
  <c r="N18" i="4"/>
  <c r="E28" i="5" s="1"/>
  <c r="P18" i="4"/>
  <c r="P267" i="4"/>
  <c r="I267" i="4"/>
  <c r="L834" i="4"/>
  <c r="R834" i="4" s="1"/>
  <c r="S834" i="4" s="1"/>
  <c r="I808" i="4"/>
  <c r="L812" i="4"/>
  <c r="R812" i="4" s="1"/>
  <c r="P812" i="4"/>
  <c r="P607" i="4"/>
  <c r="L352" i="4"/>
  <c r="R352" i="4" s="1"/>
  <c r="J858" i="4"/>
  <c r="J509" i="4"/>
  <c r="M284" i="4"/>
  <c r="L284" i="4"/>
  <c r="R284" i="4" s="1"/>
  <c r="S284" i="4" s="1"/>
  <c r="M277" i="4"/>
  <c r="P277" i="4"/>
  <c r="L563" i="4"/>
  <c r="R563" i="4" s="1"/>
  <c r="S563" i="4" s="1"/>
  <c r="P584" i="4"/>
  <c r="I829" i="4"/>
  <c r="J798" i="4"/>
  <c r="J572" i="4"/>
  <c r="L240" i="4"/>
  <c r="R240" i="4" s="1"/>
  <c r="S240" i="4" s="1"/>
  <c r="L949" i="4"/>
  <c r="R949" i="4" s="1"/>
  <c r="S949" i="4" s="1"/>
  <c r="L841" i="4"/>
  <c r="R841" i="4" s="1"/>
  <c r="S841" i="4" s="1"/>
  <c r="T841" i="4" s="1"/>
  <c r="G841" i="4"/>
  <c r="J36" i="4"/>
  <c r="C46" i="5" s="1"/>
  <c r="L36" i="4"/>
  <c r="G369" i="4"/>
  <c r="L747" i="4"/>
  <c r="R747" i="4" s="1"/>
  <c r="M165" i="4"/>
  <c r="I209" i="4"/>
  <c r="B219" i="5" s="1"/>
  <c r="J701" i="4"/>
  <c r="P317" i="4"/>
  <c r="J100" i="4"/>
  <c r="C110" i="5" s="1"/>
  <c r="M100" i="4"/>
  <c r="J18" i="4"/>
  <c r="C28" i="5" s="1"/>
  <c r="L18" i="4"/>
  <c r="G834" i="4"/>
  <c r="J834" i="4"/>
  <c r="L808" i="4"/>
  <c r="R808" i="4" s="1"/>
  <c r="P808" i="4"/>
  <c r="J812" i="4"/>
  <c r="I607" i="4"/>
  <c r="H607" i="4" s="1"/>
  <c r="M607" i="4"/>
  <c r="M352" i="4"/>
  <c r="P352" i="4"/>
  <c r="G858" i="4"/>
  <c r="L858" i="4"/>
  <c r="R858" i="4" s="1"/>
  <c r="S858" i="4" s="1"/>
  <c r="G509" i="4"/>
  <c r="P509" i="4"/>
  <c r="I284" i="4"/>
  <c r="J284" i="4"/>
  <c r="G277" i="4"/>
  <c r="H277" i="4" s="1"/>
  <c r="I841" i="4"/>
  <c r="I834" i="4"/>
  <c r="M808" i="4"/>
  <c r="J607" i="4"/>
  <c r="G352" i="4"/>
  <c r="I858" i="4"/>
  <c r="I509" i="4"/>
  <c r="M563" i="4"/>
  <c r="G626" i="4"/>
  <c r="I942" i="4"/>
  <c r="M653" i="4"/>
  <c r="P495" i="4"/>
  <c r="P546" i="4"/>
  <c r="G680" i="4"/>
  <c r="P718" i="4"/>
  <c r="G825" i="4"/>
  <c r="G712" i="4"/>
  <c r="G547" i="4"/>
  <c r="M922" i="4"/>
  <c r="I922" i="4"/>
  <c r="I934" i="4"/>
  <c r="I269" i="4"/>
  <c r="M187" i="4"/>
  <c r="I278" i="4"/>
  <c r="G501" i="4"/>
  <c r="H501" i="4" s="1"/>
  <c r="P986" i="4"/>
  <c r="I465" i="4"/>
  <c r="I937" i="4"/>
  <c r="I518" i="4"/>
  <c r="H518" i="4" s="1"/>
  <c r="J205" i="4"/>
  <c r="C215" i="5" s="1"/>
  <c r="I734" i="4"/>
  <c r="H734" i="4" s="1"/>
  <c r="M734" i="4"/>
  <c r="P734" i="4"/>
  <c r="J629" i="4"/>
  <c r="P629" i="4"/>
  <c r="M629" i="4"/>
  <c r="J626" i="4"/>
  <c r="L626" i="4"/>
  <c r="R626" i="4" s="1"/>
  <c r="P626" i="4"/>
  <c r="M942" i="4"/>
  <c r="G942" i="4"/>
  <c r="L942" i="4"/>
  <c r="R942" i="4" s="1"/>
  <c r="S942" i="4" s="1"/>
  <c r="T942" i="4" s="1"/>
  <c r="P942" i="4"/>
  <c r="I401" i="4"/>
  <c r="G401" i="4"/>
  <c r="L401" i="4"/>
  <c r="R401" i="4" s="1"/>
  <c r="P760" i="4"/>
  <c r="M760" i="4"/>
  <c r="I760" i="4"/>
  <c r="H760" i="4" s="1"/>
  <c r="M986" i="4"/>
  <c r="L986" i="4"/>
  <c r="R986" i="4" s="1"/>
  <c r="S986" i="4" s="1"/>
  <c r="T986" i="4" s="1"/>
  <c r="I986" i="4"/>
  <c r="M786" i="4"/>
  <c r="P786" i="4"/>
  <c r="J786" i="4"/>
  <c r="L653" i="4"/>
  <c r="R653" i="4" s="1"/>
  <c r="S653" i="4" s="1"/>
  <c r="I653" i="4"/>
  <c r="J653" i="4"/>
  <c r="G653" i="4"/>
  <c r="M345" i="4"/>
  <c r="L345" i="4"/>
  <c r="R345" i="4" s="1"/>
  <c r="J345" i="4"/>
  <c r="G487" i="4"/>
  <c r="I487" i="4"/>
  <c r="P487" i="4"/>
  <c r="J891" i="4"/>
  <c r="M891" i="4"/>
  <c r="I891" i="4"/>
  <c r="P501" i="4"/>
  <c r="M501" i="4"/>
  <c r="J501" i="4"/>
  <c r="P873" i="4"/>
  <c r="J873" i="4"/>
  <c r="M873" i="4"/>
  <c r="G873" i="4"/>
  <c r="I873" i="4"/>
  <c r="L873" i="4"/>
  <c r="R873" i="4" s="1"/>
  <c r="G794" i="4"/>
  <c r="L794" i="4"/>
  <c r="R794" i="4" s="1"/>
  <c r="S794" i="4" s="1"/>
  <c r="P794" i="4"/>
  <c r="M794" i="4"/>
  <c r="J794" i="4"/>
  <c r="I794" i="4"/>
  <c r="J160" i="4"/>
  <c r="C170" i="5" s="1"/>
  <c r="G160" i="4"/>
  <c r="L160" i="4"/>
  <c r="D170" i="5" s="1"/>
  <c r="P160" i="4"/>
  <c r="M160" i="4"/>
  <c r="J408" i="4"/>
  <c r="G408" i="4"/>
  <c r="L408" i="4"/>
  <c r="R408" i="4" s="1"/>
  <c r="M408" i="4"/>
  <c r="I408" i="4"/>
  <c r="I799" i="4"/>
  <c r="M799" i="4"/>
  <c r="G799" i="4"/>
  <c r="J799" i="4"/>
  <c r="P799" i="4"/>
  <c r="G677" i="4"/>
  <c r="J677" i="4"/>
  <c r="I677" i="4"/>
  <c r="M677" i="4"/>
  <c r="L677" i="4"/>
  <c r="R677" i="4" s="1"/>
  <c r="S677" i="4" s="1"/>
  <c r="P677" i="4"/>
  <c r="L917" i="4"/>
  <c r="R917" i="4" s="1"/>
  <c r="S917" i="4" s="1"/>
  <c r="G917" i="4"/>
  <c r="I917" i="4"/>
  <c r="J917" i="4"/>
  <c r="M896" i="4"/>
  <c r="L896" i="4"/>
  <c r="R896" i="4" s="1"/>
  <c r="G896" i="4"/>
  <c r="J896" i="4"/>
  <c r="P896" i="4"/>
  <c r="I896" i="4"/>
  <c r="I952" i="4"/>
  <c r="G952" i="4"/>
  <c r="M952" i="4"/>
  <c r="L952" i="4"/>
  <c r="R952" i="4" s="1"/>
  <c r="P952" i="4"/>
  <c r="L589" i="4"/>
  <c r="R589" i="4" s="1"/>
  <c r="P589" i="4"/>
  <c r="M205" i="4"/>
  <c r="L205" i="4"/>
  <c r="I205" i="4"/>
  <c r="B215" i="5" s="1"/>
  <c r="G213" i="4"/>
  <c r="P213" i="4"/>
  <c r="M213" i="4"/>
  <c r="L213" i="4"/>
  <c r="J213" i="4"/>
  <c r="C223" i="5" s="1"/>
  <c r="N37" i="4"/>
  <c r="E47" i="5" s="1"/>
  <c r="P37" i="4"/>
  <c r="I37" i="4"/>
  <c r="B47" i="5" s="1"/>
  <c r="L37" i="4"/>
  <c r="K37" i="4"/>
  <c r="O37" i="4"/>
  <c r="M37" i="4"/>
  <c r="G460" i="4"/>
  <c r="J460" i="4"/>
  <c r="I460" i="4"/>
  <c r="M460" i="4"/>
  <c r="P460" i="4"/>
  <c r="J61" i="4"/>
  <c r="C71" i="5" s="1"/>
  <c r="G61" i="4"/>
  <c r="M61" i="4"/>
  <c r="L61" i="4"/>
  <c r="D71" i="5" s="1"/>
  <c r="P61" i="4"/>
  <c r="K61" i="4"/>
  <c r="I61" i="4"/>
  <c r="B71" i="5" s="1"/>
  <c r="N61" i="4"/>
  <c r="E71" i="5" s="1"/>
  <c r="G163" i="4"/>
  <c r="I163" i="4"/>
  <c r="B173" i="5" s="1"/>
  <c r="J163" i="4"/>
  <c r="C173" i="5" s="1"/>
  <c r="L163" i="4"/>
  <c r="P163" i="4"/>
  <c r="M163" i="4"/>
  <c r="J148" i="4"/>
  <c r="C158" i="5" s="1"/>
  <c r="P148" i="4"/>
  <c r="L148" i="4"/>
  <c r="D158" i="5" s="1"/>
  <c r="G148" i="4"/>
  <c r="I148" i="4"/>
  <c r="B158" i="5" s="1"/>
  <c r="M148" i="4"/>
  <c r="P665" i="4"/>
  <c r="L665" i="4"/>
  <c r="R665" i="4" s="1"/>
  <c r="S665" i="4" s="1"/>
  <c r="J665" i="4"/>
  <c r="I665" i="4"/>
  <c r="H665" i="4" s="1"/>
  <c r="M665" i="4"/>
  <c r="N55" i="4"/>
  <c r="E65" i="5" s="1"/>
  <c r="K55" i="4"/>
  <c r="I55" i="4"/>
  <c r="B65" i="5" s="1"/>
  <c r="P55" i="4"/>
  <c r="L55" i="4"/>
  <c r="D65" i="5" s="1"/>
  <c r="O55" i="4"/>
  <c r="M55" i="4"/>
  <c r="J55" i="4"/>
  <c r="C65" i="5" s="1"/>
  <c r="J390" i="4"/>
  <c r="L390" i="4"/>
  <c r="R390" i="4" s="1"/>
  <c r="G390" i="4"/>
  <c r="P390" i="4"/>
  <c r="M390" i="4"/>
  <c r="M420" i="4"/>
  <c r="I420" i="4"/>
  <c r="G420" i="4"/>
  <c r="L420" i="4"/>
  <c r="R420" i="4" s="1"/>
  <c r="J420" i="4"/>
  <c r="P420" i="4"/>
  <c r="M805" i="4"/>
  <c r="I805" i="4"/>
  <c r="L805" i="4"/>
  <c r="R805" i="4" s="1"/>
  <c r="S805" i="4" s="1"/>
  <c r="J805" i="4"/>
  <c r="P805" i="4"/>
  <c r="G805" i="4"/>
  <c r="K65" i="4"/>
  <c r="I65" i="4"/>
  <c r="B75" i="5" s="1"/>
  <c r="O65" i="4"/>
  <c r="M65" i="4"/>
  <c r="G65" i="4"/>
  <c r="J65" i="4"/>
  <c r="C75" i="5" s="1"/>
  <c r="L65" i="4"/>
  <c r="I378" i="4"/>
  <c r="P378" i="4"/>
  <c r="L378" i="4"/>
  <c r="R378" i="4" s="1"/>
  <c r="J378" i="4"/>
  <c r="G378" i="4"/>
  <c r="M468" i="4"/>
  <c r="P468" i="4"/>
  <c r="L468" i="4"/>
  <c r="R468" i="4" s="1"/>
  <c r="G468" i="4"/>
  <c r="I468" i="4"/>
  <c r="P103" i="4"/>
  <c r="M103" i="4"/>
  <c r="P123" i="4"/>
  <c r="M123" i="4"/>
  <c r="I123" i="4"/>
  <c r="B133" i="5" s="1"/>
  <c r="G123" i="4"/>
  <c r="K75" i="4"/>
  <c r="J75" i="4"/>
  <c r="C85" i="5" s="1"/>
  <c r="G627" i="4"/>
  <c r="M627" i="4"/>
  <c r="L627" i="4"/>
  <c r="R627" i="4" s="1"/>
  <c r="J627" i="4"/>
  <c r="P450" i="4"/>
  <c r="G450" i="4"/>
  <c r="H450" i="4" s="1"/>
  <c r="J450" i="4"/>
  <c r="M644" i="4"/>
  <c r="L644" i="4"/>
  <c r="R644" i="4" s="1"/>
  <c r="S644" i="4" s="1"/>
  <c r="I644" i="4"/>
  <c r="H644" i="4" s="1"/>
  <c r="G803" i="4"/>
  <c r="M803" i="4"/>
  <c r="J465" i="4"/>
  <c r="M465" i="4"/>
  <c r="G465" i="4"/>
  <c r="J193" i="4"/>
  <c r="C203" i="5" s="1"/>
  <c r="I193" i="4"/>
  <c r="B203" i="5" s="1"/>
  <c r="L280" i="4"/>
  <c r="R280" i="4" s="1"/>
  <c r="S280" i="4" s="1"/>
  <c r="J280" i="4"/>
  <c r="I280" i="4"/>
  <c r="G280" i="4"/>
  <c r="G606" i="4"/>
  <c r="L606" i="4"/>
  <c r="R606" i="4" s="1"/>
  <c r="I606" i="4"/>
  <c r="M606" i="4"/>
  <c r="J606" i="4"/>
  <c r="P774" i="4"/>
  <c r="M774" i="4"/>
  <c r="I774" i="4"/>
  <c r="L774" i="4"/>
  <c r="R774" i="4" s="1"/>
  <c r="S774" i="4" s="1"/>
  <c r="G774" i="4"/>
  <c r="P241" i="4"/>
  <c r="M241" i="4"/>
  <c r="L241" i="4"/>
  <c r="R241" i="4" s="1"/>
  <c r="J241" i="4"/>
  <c r="I241" i="4"/>
  <c r="H241" i="4" s="1"/>
  <c r="L656" i="4"/>
  <c r="R656" i="4" s="1"/>
  <c r="S656" i="4" s="1"/>
  <c r="M656" i="4"/>
  <c r="I656" i="4"/>
  <c r="G656" i="4"/>
  <c r="J656" i="4"/>
  <c r="M711" i="4"/>
  <c r="G711" i="4"/>
  <c r="L711" i="4"/>
  <c r="R711" i="4" s="1"/>
  <c r="I711" i="4"/>
  <c r="J711" i="4"/>
  <c r="P711" i="4"/>
  <c r="J207" i="4"/>
  <c r="C217" i="5" s="1"/>
  <c r="P207" i="4"/>
  <c r="I207" i="4"/>
  <c r="B217" i="5" s="1"/>
  <c r="L207" i="4"/>
  <c r="M356" i="4"/>
  <c r="J356" i="4"/>
  <c r="P356" i="4"/>
  <c r="G495" i="4"/>
  <c r="I495" i="4"/>
  <c r="J495" i="4"/>
  <c r="M495" i="4"/>
  <c r="G937" i="4"/>
  <c r="J937" i="4"/>
  <c r="G294" i="4"/>
  <c r="H294" i="4" s="1"/>
  <c r="J294" i="4"/>
  <c r="L294" i="4"/>
  <c r="R294" i="4" s="1"/>
  <c r="M294" i="4"/>
  <c r="P294" i="4"/>
  <c r="J580" i="4"/>
  <c r="L580" i="4"/>
  <c r="R580" i="4" s="1"/>
  <c r="M580" i="4"/>
  <c r="G580" i="4"/>
  <c r="H580" i="4" s="1"/>
  <c r="P580" i="4"/>
  <c r="L918" i="4"/>
  <c r="R918" i="4" s="1"/>
  <c r="S918" i="4" s="1"/>
  <c r="I918" i="4"/>
  <c r="L251" i="4"/>
  <c r="R251" i="4" s="1"/>
  <c r="J251" i="4"/>
  <c r="P251" i="4"/>
  <c r="I251" i="4"/>
  <c r="G289" i="4"/>
  <c r="L289" i="4"/>
  <c r="R289" i="4" s="1"/>
  <c r="M289" i="4"/>
  <c r="I289" i="4"/>
  <c r="P518" i="4"/>
  <c r="L518" i="4"/>
  <c r="R518" i="4" s="1"/>
  <c r="S518" i="4" s="1"/>
  <c r="M518" i="4"/>
  <c r="J870" i="4"/>
  <c r="M870" i="4"/>
  <c r="L870" i="4"/>
  <c r="R870" i="4" s="1"/>
  <c r="S870" i="4" s="1"/>
  <c r="I870" i="4"/>
  <c r="H870" i="4" s="1"/>
  <c r="J377" i="4"/>
  <c r="I377" i="4"/>
  <c r="P377" i="4"/>
  <c r="I927" i="4"/>
  <c r="J927" i="4"/>
  <c r="G927" i="4"/>
  <c r="M756" i="4"/>
  <c r="G756" i="4"/>
  <c r="P756" i="4"/>
  <c r="L97" i="4"/>
  <c r="K97" i="4"/>
  <c r="P97" i="4"/>
  <c r="M97" i="4"/>
  <c r="N97" i="4"/>
  <c r="E107" i="5" s="1"/>
  <c r="O97" i="4"/>
  <c r="G97" i="4"/>
  <c r="I97" i="4"/>
  <c r="B107" i="5" s="1"/>
  <c r="G576" i="4"/>
  <c r="H576" i="4" s="1"/>
  <c r="L576" i="4"/>
  <c r="R576" i="4" s="1"/>
  <c r="P576" i="4"/>
  <c r="J576" i="4"/>
  <c r="M576" i="4"/>
  <c r="G137" i="4"/>
  <c r="I137" i="4"/>
  <c r="B147" i="5" s="1"/>
  <c r="M137" i="4"/>
  <c r="L137" i="4"/>
  <c r="D147" i="5" s="1"/>
  <c r="J137" i="4"/>
  <c r="C147" i="5" s="1"/>
  <c r="M480" i="4"/>
  <c r="J480" i="4"/>
  <c r="J102" i="4"/>
  <c r="C112" i="5" s="1"/>
  <c r="L102" i="4"/>
  <c r="P102" i="4"/>
  <c r="I102" i="4"/>
  <c r="B112" i="5" s="1"/>
  <c r="G102" i="4"/>
  <c r="G780" i="4"/>
  <c r="I780" i="4"/>
  <c r="J780" i="4"/>
  <c r="L780" i="4"/>
  <c r="R780" i="4" s="1"/>
  <c r="P780" i="4"/>
  <c r="M131" i="4"/>
  <c r="G131" i="4"/>
  <c r="I131" i="4"/>
  <c r="B141" i="5" s="1"/>
  <c r="J133" i="4"/>
  <c r="C143" i="5" s="1"/>
  <c r="P133" i="4"/>
  <c r="G133" i="4"/>
  <c r="I133" i="4"/>
  <c r="B143" i="5" s="1"/>
  <c r="M133" i="4"/>
  <c r="I886" i="4"/>
  <c r="M886" i="4"/>
  <c r="J886" i="4"/>
  <c r="M361" i="4"/>
  <c r="I361" i="4"/>
  <c r="L361" i="4"/>
  <c r="R361" i="4" s="1"/>
  <c r="G361" i="4"/>
  <c r="P361" i="4"/>
  <c r="J347" i="4"/>
  <c r="I347" i="4"/>
  <c r="P347" i="4"/>
  <c r="G865" i="4"/>
  <c r="I865" i="4"/>
  <c r="P865" i="4"/>
  <c r="J546" i="4"/>
  <c r="G546" i="4"/>
  <c r="M546" i="4"/>
  <c r="I546" i="4"/>
  <c r="I498" i="4"/>
  <c r="J498" i="4"/>
  <c r="P498" i="4"/>
  <c r="L498" i="4"/>
  <c r="R498" i="4" s="1"/>
  <c r="M498" i="4"/>
  <c r="G498" i="4"/>
  <c r="I96" i="4"/>
  <c r="B106" i="5" s="1"/>
  <c r="M692" i="4"/>
  <c r="I692" i="4"/>
  <c r="P692" i="4"/>
  <c r="J692" i="4"/>
  <c r="P247" i="4"/>
  <c r="M247" i="4"/>
  <c r="G247" i="4"/>
  <c r="L247" i="4"/>
  <c r="R247" i="4" s="1"/>
  <c r="I247" i="4"/>
  <c r="J247" i="4"/>
  <c r="P273" i="4"/>
  <c r="L273" i="4"/>
  <c r="R273" i="4" s="1"/>
  <c r="G273" i="4"/>
  <c r="I273" i="4"/>
  <c r="M273" i="4"/>
  <c r="P108" i="4"/>
  <c r="M108" i="4"/>
  <c r="G108" i="4"/>
  <c r="J108" i="4"/>
  <c r="C118" i="5" s="1"/>
  <c r="I108" i="4"/>
  <c r="B118" i="5" s="1"/>
  <c r="M416" i="4"/>
  <c r="J416" i="4"/>
  <c r="I416" i="4"/>
  <c r="L416" i="4"/>
  <c r="R416" i="4" s="1"/>
  <c r="G416" i="4"/>
  <c r="M553" i="4"/>
  <c r="G553" i="4"/>
  <c r="P553" i="4"/>
  <c r="L553" i="4"/>
  <c r="R553" i="4" s="1"/>
  <c r="I553" i="4"/>
  <c r="L978" i="4"/>
  <c r="R978" i="4" s="1"/>
  <c r="S978" i="4" s="1"/>
  <c r="G978" i="4"/>
  <c r="P978" i="4"/>
  <c r="M978" i="4"/>
  <c r="J978" i="4"/>
  <c r="I978" i="4"/>
  <c r="L117" i="4"/>
  <c r="D127" i="5" s="1"/>
  <c r="J117" i="4"/>
  <c r="C127" i="5" s="1"/>
  <c r="P117" i="4"/>
  <c r="G629" i="4"/>
  <c r="G986" i="4"/>
  <c r="L734" i="4"/>
  <c r="R734" i="4" s="1"/>
  <c r="P891" i="4"/>
  <c r="J760" i="4"/>
  <c r="M487" i="4"/>
  <c r="P401" i="4"/>
  <c r="I345" i="4"/>
  <c r="M589" i="4"/>
  <c r="P803" i="4"/>
  <c r="M450" i="4"/>
  <c r="I356" i="4"/>
  <c r="P205" i="4"/>
  <c r="M207" i="4"/>
  <c r="L123" i="4"/>
  <c r="P65" i="4"/>
  <c r="G692" i="4"/>
  <c r="P280" i="4"/>
  <c r="L108" i="4"/>
  <c r="D118" i="5" s="1"/>
  <c r="I213" i="4"/>
  <c r="B223" i="5" s="1"/>
  <c r="G55" i="4"/>
  <c r="H55" i="4" s="1"/>
  <c r="J37" i="4"/>
  <c r="C47" i="5" s="1"/>
  <c r="M102" i="4"/>
  <c r="J952" i="4"/>
  <c r="P917" i="4"/>
  <c r="P408" i="4"/>
  <c r="L680" i="4"/>
  <c r="R680" i="4" s="1"/>
  <c r="S680" i="4" s="1"/>
  <c r="T680" i="4" s="1"/>
  <c r="I718" i="4"/>
  <c r="J825" i="4"/>
  <c r="I712" i="4"/>
  <c r="L934" i="4"/>
  <c r="R934" i="4" s="1"/>
  <c r="S934" i="4" s="1"/>
  <c r="I75" i="4"/>
  <c r="B85" i="5" s="1"/>
  <c r="M75" i="4"/>
  <c r="J187" i="4"/>
  <c r="C197" i="5" s="1"/>
  <c r="J103" i="4"/>
  <c r="C113" i="5" s="1"/>
  <c r="P918" i="4"/>
  <c r="M278" i="4"/>
  <c r="O96" i="4"/>
  <c r="K96" i="4"/>
  <c r="M193" i="4"/>
  <c r="P480" i="4"/>
  <c r="L131" i="4"/>
  <c r="L886" i="4"/>
  <c r="R886" i="4" s="1"/>
  <c r="S886" i="4" s="1"/>
  <c r="T886" i="4" s="1"/>
  <c r="L786" i="4"/>
  <c r="R786" i="4" s="1"/>
  <c r="S786" i="4" s="1"/>
  <c r="L501" i="4"/>
  <c r="R501" i="4" s="1"/>
  <c r="P927" i="4"/>
  <c r="J734" i="4"/>
  <c r="G891" i="4"/>
  <c r="L760" i="4"/>
  <c r="R760" i="4" s="1"/>
  <c r="I626" i="4"/>
  <c r="J487" i="4"/>
  <c r="P465" i="4"/>
  <c r="M401" i="4"/>
  <c r="M377" i="4"/>
  <c r="L937" i="4"/>
  <c r="R937" i="4" s="1"/>
  <c r="S937" i="4" s="1"/>
  <c r="I589" i="4"/>
  <c r="L803" i="4"/>
  <c r="R803" i="4" s="1"/>
  <c r="J644" i="4"/>
  <c r="J518" i="4"/>
  <c r="L450" i="4"/>
  <c r="R450" i="4" s="1"/>
  <c r="G207" i="4"/>
  <c r="J123" i="4"/>
  <c r="C133" i="5" s="1"/>
  <c r="M251" i="4"/>
  <c r="I390" i="4"/>
  <c r="P137" i="4"/>
  <c r="L460" i="4"/>
  <c r="R460" i="4" s="1"/>
  <c r="L799" i="4"/>
  <c r="R799" i="4" s="1"/>
  <c r="I160" i="4"/>
  <c r="B170" i="5" s="1"/>
  <c r="P656" i="4"/>
  <c r="I988" i="4"/>
  <c r="L988" i="4"/>
  <c r="R988" i="4" s="1"/>
  <c r="P988" i="4"/>
  <c r="J988" i="4"/>
  <c r="P263" i="4"/>
  <c r="J263" i="4"/>
  <c r="G263" i="4"/>
  <c r="H263" i="4" s="1"/>
  <c r="M263" i="4"/>
  <c r="L263" i="4"/>
  <c r="R263" i="4" s="1"/>
  <c r="G705" i="4"/>
  <c r="J705" i="4"/>
  <c r="L705" i="4"/>
  <c r="R705" i="4" s="1"/>
  <c r="S705" i="4" s="1"/>
  <c r="M705" i="4"/>
  <c r="I705" i="4"/>
  <c r="P705" i="4"/>
  <c r="J616" i="4"/>
  <c r="L616" i="4"/>
  <c r="R616" i="4" s="1"/>
  <c r="G616" i="4"/>
  <c r="M616" i="4"/>
  <c r="P616" i="4"/>
  <c r="I616" i="4"/>
  <c r="L975" i="4"/>
  <c r="R975" i="4" s="1"/>
  <c r="S975" i="4" s="1"/>
  <c r="M975" i="4"/>
  <c r="I975" i="4"/>
  <c r="G975" i="4"/>
  <c r="J975" i="4"/>
  <c r="P975" i="4"/>
  <c r="P753" i="4"/>
  <c r="L753" i="4"/>
  <c r="R753" i="4" s="1"/>
  <c r="M753" i="4"/>
  <c r="I753" i="4"/>
  <c r="G753" i="4"/>
  <c r="I490" i="4"/>
  <c r="L490" i="4"/>
  <c r="R490" i="4" s="1"/>
  <c r="S490" i="4" s="1"/>
  <c r="M490" i="4"/>
  <c r="J490" i="4"/>
  <c r="G490" i="4"/>
  <c r="P490" i="4"/>
  <c r="G551" i="4"/>
  <c r="I551" i="4"/>
  <c r="L551" i="4"/>
  <c r="R551" i="4" s="1"/>
  <c r="S551" i="4" s="1"/>
  <c r="P551" i="4"/>
  <c r="J551" i="4"/>
  <c r="M551" i="4"/>
  <c r="P931" i="4"/>
  <c r="J931" i="4"/>
  <c r="M931" i="4"/>
  <c r="I931" i="4"/>
  <c r="L931" i="4"/>
  <c r="R931" i="4" s="1"/>
  <c r="J565" i="4"/>
  <c r="G565" i="4"/>
  <c r="L565" i="4"/>
  <c r="R565" i="4" s="1"/>
  <c r="M565" i="4"/>
  <c r="P565" i="4"/>
  <c r="I565" i="4"/>
  <c r="L872" i="4"/>
  <c r="R872" i="4" s="1"/>
  <c r="P872" i="4"/>
  <c r="J872" i="4"/>
  <c r="I872" i="4"/>
  <c r="G872" i="4"/>
  <c r="I571" i="4"/>
  <c r="G571" i="4"/>
  <c r="L571" i="4"/>
  <c r="R571" i="4" s="1"/>
  <c r="S571" i="4" s="1"/>
  <c r="J571" i="4"/>
  <c r="M571" i="4"/>
  <c r="P571" i="4"/>
  <c r="G889" i="4"/>
  <c r="I889" i="4"/>
  <c r="P889" i="4"/>
  <c r="L889" i="4"/>
  <c r="R889" i="4" s="1"/>
  <c r="S889" i="4" s="1"/>
  <c r="M889" i="4"/>
  <c r="J889" i="4"/>
  <c r="P926" i="4"/>
  <c r="G926" i="4"/>
  <c r="M926" i="4"/>
  <c r="L926" i="4"/>
  <c r="R926" i="4" s="1"/>
  <c r="S926" i="4" s="1"/>
  <c r="I926" i="4"/>
  <c r="P722" i="4"/>
  <c r="J722" i="4"/>
  <c r="I722" i="4"/>
  <c r="G722" i="4"/>
  <c r="M722" i="4"/>
  <c r="L722" i="4"/>
  <c r="R722" i="4" s="1"/>
  <c r="J823" i="4"/>
  <c r="I823" i="4"/>
  <c r="M823" i="4"/>
  <c r="P823" i="4"/>
  <c r="L823" i="4"/>
  <c r="R823" i="4" s="1"/>
  <c r="J721" i="4"/>
  <c r="I721" i="4"/>
  <c r="M721" i="4"/>
  <c r="M967" i="4"/>
  <c r="I967" i="4"/>
  <c r="P967" i="4"/>
  <c r="J967" i="4"/>
  <c r="L967" i="4"/>
  <c r="R967" i="4" s="1"/>
  <c r="S967" i="4" s="1"/>
  <c r="L976" i="4"/>
  <c r="R976" i="4" s="1"/>
  <c r="M976" i="4"/>
  <c r="L406" i="4"/>
  <c r="R406" i="4" s="1"/>
  <c r="S406" i="4" s="1"/>
  <c r="I406" i="4"/>
  <c r="G406" i="4"/>
  <c r="J406" i="4"/>
  <c r="M406" i="4"/>
  <c r="G288" i="4"/>
  <c r="L288" i="4"/>
  <c r="R288" i="4" s="1"/>
  <c r="J288" i="4"/>
  <c r="P288" i="4"/>
  <c r="I288" i="4"/>
  <c r="M385" i="4"/>
  <c r="G385" i="4"/>
  <c r="P385" i="4"/>
  <c r="I385" i="4"/>
  <c r="M535" i="4"/>
  <c r="J535" i="4"/>
  <c r="P535" i="4"/>
  <c r="I535" i="4"/>
  <c r="L535" i="4"/>
  <c r="R535" i="4" s="1"/>
  <c r="S535" i="4" s="1"/>
  <c r="J744" i="4"/>
  <c r="G744" i="4"/>
  <c r="P744" i="4"/>
  <c r="M744" i="4"/>
  <c r="I744" i="4"/>
  <c r="I625" i="4"/>
  <c r="L625" i="4"/>
  <c r="R625" i="4" s="1"/>
  <c r="J625" i="4"/>
  <c r="G625" i="4"/>
  <c r="J907" i="4"/>
  <c r="I907" i="4"/>
  <c r="L907" i="4"/>
  <c r="R907" i="4" s="1"/>
  <c r="S907" i="4" s="1"/>
  <c r="G907" i="4"/>
  <c r="G847" i="4"/>
  <c r="J847" i="4"/>
  <c r="M847" i="4"/>
  <c r="L847" i="4"/>
  <c r="R847" i="4" s="1"/>
  <c r="G970" i="4"/>
  <c r="M970" i="4"/>
  <c r="J970" i="4"/>
  <c r="P970" i="4"/>
  <c r="I970" i="4"/>
  <c r="I892" i="4"/>
  <c r="J892" i="4"/>
  <c r="G892" i="4"/>
  <c r="L892" i="4"/>
  <c r="R892" i="4" s="1"/>
  <c r="J839" i="4"/>
  <c r="G839" i="4"/>
  <c r="M839" i="4"/>
  <c r="I839" i="4"/>
  <c r="G770" i="4"/>
  <c r="P770" i="4"/>
  <c r="I770" i="4"/>
  <c r="J770" i="4"/>
  <c r="M815" i="4"/>
  <c r="I815" i="4"/>
  <c r="L815" i="4"/>
  <c r="R815" i="4" s="1"/>
  <c r="J815" i="4"/>
  <c r="P815" i="4"/>
  <c r="G815" i="4"/>
  <c r="I412" i="4"/>
  <c r="J412" i="4"/>
  <c r="M412" i="4"/>
  <c r="L412" i="4"/>
  <c r="R412" i="4" s="1"/>
  <c r="P412" i="4"/>
  <c r="G459" i="4"/>
  <c r="P459" i="4"/>
  <c r="L459" i="4"/>
  <c r="R459" i="4" s="1"/>
  <c r="S459" i="4" s="1"/>
  <c r="M459" i="4"/>
  <c r="J459" i="4"/>
  <c r="J231" i="4"/>
  <c r="C241" i="5" s="1"/>
  <c r="M231" i="4"/>
  <c r="P231" i="4"/>
  <c r="G231" i="4"/>
  <c r="J666" i="4"/>
  <c r="M666" i="4"/>
  <c r="P666" i="4"/>
  <c r="L666" i="4"/>
  <c r="R666" i="4" s="1"/>
  <c r="S666" i="4" s="1"/>
  <c r="I666" i="4"/>
  <c r="G666" i="4"/>
  <c r="G300" i="4"/>
  <c r="P300" i="4"/>
  <c r="M300" i="4"/>
  <c r="L300" i="4"/>
  <c r="R300" i="4" s="1"/>
  <c r="S300" i="4" s="1"/>
  <c r="J300" i="4"/>
  <c r="G259" i="4"/>
  <c r="J259" i="4"/>
  <c r="L259" i="4"/>
  <c r="R259" i="4" s="1"/>
  <c r="I259" i="4"/>
  <c r="G822" i="4"/>
  <c r="L822" i="4"/>
  <c r="R822" i="4" s="1"/>
  <c r="S822" i="4" s="1"/>
  <c r="P822" i="4"/>
  <c r="I822" i="4"/>
  <c r="M822" i="4"/>
  <c r="P296" i="4"/>
  <c r="L296" i="4"/>
  <c r="R296" i="4" s="1"/>
  <c r="I296" i="4"/>
  <c r="M296" i="4"/>
  <c r="J296" i="4"/>
  <c r="L74" i="4"/>
  <c r="D84" i="5" s="1"/>
  <c r="M74" i="4"/>
  <c r="N74" i="4"/>
  <c r="E84" i="5" s="1"/>
  <c r="K74" i="4"/>
  <c r="J74" i="4"/>
  <c r="C84" i="5" s="1"/>
  <c r="M12" i="4"/>
  <c r="K12" i="4"/>
  <c r="O12" i="4"/>
  <c r="G12" i="4"/>
  <c r="L12" i="4"/>
  <c r="D22" i="5" s="1"/>
  <c r="J12" i="4"/>
  <c r="C22" i="5" s="1"/>
  <c r="P12" i="4"/>
  <c r="I194" i="4"/>
  <c r="B204" i="5" s="1"/>
  <c r="L194" i="4"/>
  <c r="D204" i="5" s="1"/>
  <c r="J194" i="4"/>
  <c r="C204" i="5" s="1"/>
  <c r="J252" i="4"/>
  <c r="M252" i="4"/>
  <c r="L252" i="4"/>
  <c r="R252" i="4" s="1"/>
  <c r="S252" i="4" s="1"/>
  <c r="I252" i="4"/>
  <c r="M302" i="4"/>
  <c r="I302" i="4"/>
  <c r="G302" i="4"/>
  <c r="L302" i="4"/>
  <c r="R302" i="4" s="1"/>
  <c r="P302" i="4"/>
  <c r="J302" i="4"/>
  <c r="J598" i="4"/>
  <c r="P598" i="4"/>
  <c r="M598" i="4"/>
  <c r="G598" i="4"/>
  <c r="I598" i="4"/>
  <c r="L598" i="4"/>
  <c r="R598" i="4" s="1"/>
  <c r="L274" i="4"/>
  <c r="R274" i="4" s="1"/>
  <c r="M274" i="4"/>
  <c r="I274" i="4"/>
  <c r="J274" i="4"/>
  <c r="G274" i="4"/>
  <c r="P274" i="4"/>
  <c r="P153" i="4"/>
  <c r="G153" i="4"/>
  <c r="I153" i="4"/>
  <c r="B163" i="5" s="1"/>
  <c r="M153" i="4"/>
  <c r="G260" i="4"/>
  <c r="J260" i="4"/>
  <c r="M260" i="4"/>
  <c r="P260" i="4"/>
  <c r="L260" i="4"/>
  <c r="R260" i="4" s="1"/>
  <c r="S260" i="4" s="1"/>
  <c r="I634" i="4"/>
  <c r="J634" i="4"/>
  <c r="P634" i="4"/>
  <c r="M634" i="4"/>
  <c r="G634" i="4"/>
  <c r="L634" i="4"/>
  <c r="R634" i="4" s="1"/>
  <c r="S634" i="4" s="1"/>
  <c r="T634" i="4" s="1"/>
  <c r="I664" i="4"/>
  <c r="G664" i="4"/>
  <c r="L664" i="4"/>
  <c r="R664" i="4" s="1"/>
  <c r="S664" i="4" s="1"/>
  <c r="P664" i="4"/>
  <c r="J664" i="4"/>
  <c r="P710" i="4"/>
  <c r="J710" i="4"/>
  <c r="L710" i="4"/>
  <c r="R710" i="4" s="1"/>
  <c r="S710" i="4" s="1"/>
  <c r="G710" i="4"/>
  <c r="N76" i="4"/>
  <c r="E86" i="5" s="1"/>
  <c r="M76" i="4"/>
  <c r="I76" i="4"/>
  <c r="B86" i="5" s="1"/>
  <c r="O76" i="4"/>
  <c r="G76" i="4"/>
  <c r="L76" i="4"/>
  <c r="D86" i="5" s="1"/>
  <c r="J76" i="4"/>
  <c r="C86" i="5" s="1"/>
  <c r="P76" i="4"/>
  <c r="K76" i="4"/>
  <c r="M246" i="4"/>
  <c r="L246" i="4"/>
  <c r="R246" i="4" s="1"/>
  <c r="I246" i="4"/>
  <c r="P246" i="4"/>
  <c r="J246" i="4"/>
  <c r="L221" i="4"/>
  <c r="D231" i="5" s="1"/>
  <c r="P221" i="4"/>
  <c r="G221" i="4"/>
  <c r="M221" i="4"/>
  <c r="M308" i="4"/>
  <c r="L308" i="4"/>
  <c r="R308" i="4" s="1"/>
  <c r="S308" i="4" s="1"/>
  <c r="P308" i="4"/>
  <c r="G308" i="4"/>
  <c r="I308" i="4"/>
  <c r="J308" i="4"/>
  <c r="P504" i="4"/>
  <c r="G504" i="4"/>
  <c r="L855" i="4"/>
  <c r="R855" i="4" s="1"/>
  <c r="M855" i="4"/>
  <c r="J855" i="4"/>
  <c r="G855" i="4"/>
  <c r="P855" i="4"/>
  <c r="I855" i="4"/>
  <c r="J175" i="4"/>
  <c r="C185" i="5" s="1"/>
  <c r="L175" i="4"/>
  <c r="D185" i="5" s="1"/>
  <c r="G175" i="4"/>
  <c r="I175" i="4"/>
  <c r="B185" i="5" s="1"/>
  <c r="M266" i="4"/>
  <c r="G266" i="4"/>
  <c r="P266" i="4"/>
  <c r="J266" i="4"/>
  <c r="L266" i="4"/>
  <c r="R266" i="4" s="1"/>
  <c r="I266" i="4"/>
  <c r="P332" i="4"/>
  <c r="J332" i="4"/>
  <c r="L332" i="4"/>
  <c r="R332" i="4" s="1"/>
  <c r="I332" i="4"/>
  <c r="M332" i="4"/>
  <c r="G432" i="4"/>
  <c r="I432" i="4"/>
  <c r="J432" i="4"/>
  <c r="P432" i="4"/>
  <c r="M432" i="4"/>
  <c r="L432" i="4"/>
  <c r="R432" i="4" s="1"/>
  <c r="J742" i="4"/>
  <c r="M742" i="4"/>
  <c r="L742" i="4"/>
  <c r="R742" i="4" s="1"/>
  <c r="G742" i="4"/>
  <c r="P742" i="4"/>
  <c r="I742" i="4"/>
  <c r="I874" i="4"/>
  <c r="M874" i="4"/>
  <c r="G874" i="4"/>
  <c r="J874" i="4"/>
  <c r="L874" i="4"/>
  <c r="R874" i="4" s="1"/>
  <c r="S874" i="4" s="1"/>
  <c r="G363" i="4"/>
  <c r="H363" i="4" s="1"/>
  <c r="L363" i="4"/>
  <c r="R363" i="4" s="1"/>
  <c r="S363" i="4" s="1"/>
  <c r="J363" i="4"/>
  <c r="P363" i="4"/>
  <c r="M363" i="4"/>
  <c r="M86" i="4"/>
  <c r="O86" i="4"/>
  <c r="J86" i="4"/>
  <c r="C96" i="5" s="1"/>
  <c r="P86" i="4"/>
  <c r="L86" i="4"/>
  <c r="D96" i="5" s="1"/>
  <c r="K86" i="4"/>
  <c r="G86" i="4"/>
  <c r="P339" i="4"/>
  <c r="G339" i="4"/>
  <c r="M339" i="4"/>
  <c r="I339" i="4"/>
  <c r="P372" i="4"/>
  <c r="L372" i="4"/>
  <c r="R372" i="4" s="1"/>
  <c r="M372" i="4"/>
  <c r="G372" i="4"/>
  <c r="P232" i="4"/>
  <c r="L232" i="4"/>
  <c r="D242" i="5" s="1"/>
  <c r="M232" i="4"/>
  <c r="I232" i="4"/>
  <c r="B242" i="5" s="1"/>
  <c r="I979" i="4"/>
  <c r="P979" i="4"/>
  <c r="G979" i="4"/>
  <c r="M979" i="4"/>
  <c r="J979" i="4"/>
  <c r="K63" i="4"/>
  <c r="O63" i="4"/>
  <c r="L63" i="4"/>
  <c r="D73" i="5" s="1"/>
  <c r="N63" i="4"/>
  <c r="E73" i="5" s="1"/>
  <c r="J63" i="4"/>
  <c r="C73" i="5" s="1"/>
  <c r="G63" i="4"/>
  <c r="P63" i="4"/>
  <c r="M482" i="4"/>
  <c r="G482" i="4"/>
  <c r="J482" i="4"/>
  <c r="P482" i="4"/>
  <c r="L482" i="4"/>
  <c r="R482" i="4" s="1"/>
  <c r="J757" i="4"/>
  <c r="P757" i="4"/>
  <c r="G757" i="4"/>
  <c r="L757" i="4"/>
  <c r="R757" i="4" s="1"/>
  <c r="M757" i="4"/>
  <c r="I757" i="4"/>
  <c r="M444" i="4"/>
  <c r="P444" i="4"/>
  <c r="I444" i="4"/>
  <c r="J444" i="4"/>
  <c r="G444" i="4"/>
  <c r="L444" i="4"/>
  <c r="R444" i="4" s="1"/>
  <c r="J736" i="4"/>
  <c r="I736" i="4"/>
  <c r="G736" i="4"/>
  <c r="L736" i="4"/>
  <c r="R736" i="4" s="1"/>
  <c r="O70" i="4"/>
  <c r="G70" i="4"/>
  <c r="M70" i="4"/>
  <c r="I70" i="4"/>
  <c r="B80" i="5" s="1"/>
  <c r="J70" i="4"/>
  <c r="C80" i="5" s="1"/>
  <c r="I138" i="4"/>
  <c r="B148" i="5" s="1"/>
  <c r="G138" i="4"/>
  <c r="P138" i="4"/>
  <c r="M138" i="4"/>
  <c r="L138" i="4"/>
  <c r="D148" i="5" s="1"/>
  <c r="J138" i="4"/>
  <c r="C148" i="5" s="1"/>
  <c r="M73" i="4"/>
  <c r="J73" i="4"/>
  <c r="C83" i="5" s="1"/>
  <c r="G73" i="4"/>
  <c r="P73" i="4"/>
  <c r="L73" i="4"/>
  <c r="D83" i="5" s="1"/>
  <c r="J116" i="4"/>
  <c r="C126" i="5" s="1"/>
  <c r="G116" i="4"/>
  <c r="P116" i="4"/>
  <c r="M116" i="4"/>
  <c r="L116" i="4"/>
  <c r="D126" i="5" s="1"/>
  <c r="J402" i="4"/>
  <c r="L402" i="4"/>
  <c r="R402" i="4" s="1"/>
  <c r="I402" i="4"/>
  <c r="G402" i="4"/>
  <c r="M402" i="4"/>
  <c r="P402" i="4"/>
  <c r="I135" i="4"/>
  <c r="B145" i="5" s="1"/>
  <c r="J135" i="4"/>
  <c r="C145" i="5" s="1"/>
  <c r="L135" i="4"/>
  <c r="D145" i="5" s="1"/>
  <c r="P135" i="4"/>
  <c r="M135" i="4"/>
  <c r="G135" i="4"/>
  <c r="M158" i="4"/>
  <c r="P158" i="4"/>
  <c r="L158" i="4"/>
  <c r="D168" i="5" s="1"/>
  <c r="I158" i="4"/>
  <c r="B168" i="5" s="1"/>
  <c r="O83" i="4"/>
  <c r="P83" i="4"/>
  <c r="J83" i="4"/>
  <c r="C93" i="5" s="1"/>
  <c r="G83" i="4"/>
  <c r="N83" i="4"/>
  <c r="E93" i="5" s="1"/>
  <c r="M83" i="4"/>
  <c r="L83" i="4"/>
  <c r="D93" i="5" s="1"/>
  <c r="I83" i="4"/>
  <c r="B93" i="5" s="1"/>
  <c r="J555" i="4"/>
  <c r="G555" i="4"/>
  <c r="M555" i="4"/>
  <c r="P555" i="4"/>
  <c r="M662" i="4"/>
  <c r="J662" i="4"/>
  <c r="I662" i="4"/>
  <c r="L662" i="4"/>
  <c r="R662" i="4" s="1"/>
  <c r="S662" i="4" s="1"/>
  <c r="P662" i="4"/>
  <c r="I957" i="4"/>
  <c r="L957" i="4"/>
  <c r="R957" i="4" s="1"/>
  <c r="S957" i="4" s="1"/>
  <c r="M957" i="4"/>
  <c r="P957" i="4"/>
  <c r="J957" i="4"/>
  <c r="G957" i="4"/>
  <c r="M154" i="4"/>
  <c r="P154" i="4"/>
  <c r="J154" i="4"/>
  <c r="C164" i="5" s="1"/>
  <c r="L154" i="4"/>
  <c r="D164" i="5" s="1"/>
  <c r="K89" i="4"/>
  <c r="I89" i="4"/>
  <c r="B99" i="5" s="1"/>
  <c r="J89" i="4"/>
  <c r="C99" i="5" s="1"/>
  <c r="N89" i="4"/>
  <c r="E99" i="5" s="1"/>
  <c r="P89" i="4"/>
  <c r="G89" i="4"/>
  <c r="M89" i="4"/>
  <c r="L89" i="4"/>
  <c r="D99" i="5" s="1"/>
  <c r="L136" i="4"/>
  <c r="D146" i="5" s="1"/>
  <c r="P136" i="4"/>
  <c r="M136" i="4"/>
  <c r="G136" i="4"/>
  <c r="J136" i="4"/>
  <c r="C146" i="5" s="1"/>
  <c r="I136" i="4"/>
  <c r="B146" i="5" s="1"/>
  <c r="J425" i="4"/>
  <c r="P425" i="4"/>
  <c r="G534" i="4"/>
  <c r="M534" i="4"/>
  <c r="J534" i="4"/>
  <c r="L534" i="4"/>
  <c r="R534" i="4" s="1"/>
  <c r="S534" i="4" s="1"/>
  <c r="J633" i="4"/>
  <c r="I633" i="4"/>
  <c r="M633" i="4"/>
  <c r="P633" i="4"/>
  <c r="G633" i="4"/>
  <c r="L633" i="4"/>
  <c r="R633" i="4" s="1"/>
  <c r="S633" i="4" s="1"/>
  <c r="I3" i="4"/>
  <c r="B13" i="5" s="1"/>
  <c r="K3" i="4"/>
  <c r="P3" i="4"/>
  <c r="G3" i="4"/>
  <c r="M3" i="4"/>
  <c r="O3" i="4"/>
  <c r="J3" i="4"/>
  <c r="C13" i="5" s="1"/>
  <c r="N3" i="4"/>
  <c r="E13" i="5" s="1"/>
  <c r="P429" i="4"/>
  <c r="J429" i="4"/>
  <c r="L429" i="4"/>
  <c r="R429" i="4" s="1"/>
  <c r="I429" i="4"/>
  <c r="M429" i="4"/>
  <c r="G429" i="4"/>
  <c r="P164" i="4"/>
  <c r="J164" i="4"/>
  <c r="C174" i="5" s="1"/>
  <c r="M164" i="4"/>
  <c r="G164" i="4"/>
  <c r="M615" i="4"/>
  <c r="I615" i="4"/>
  <c r="L615" i="4"/>
  <c r="R615" i="4" s="1"/>
  <c r="S615" i="4" s="1"/>
  <c r="P615" i="4"/>
  <c r="G615" i="4"/>
  <c r="J615" i="4"/>
  <c r="M788" i="4"/>
  <c r="J788" i="4"/>
  <c r="P788" i="4"/>
  <c r="G788" i="4"/>
  <c r="I788" i="4"/>
  <c r="I746" i="4"/>
  <c r="L746" i="4"/>
  <c r="R746" i="4" s="1"/>
  <c r="S746" i="4" s="1"/>
  <c r="P746" i="4"/>
  <c r="M746" i="4"/>
  <c r="G746" i="4"/>
  <c r="J746" i="4"/>
  <c r="J654" i="4"/>
  <c r="P654" i="4"/>
  <c r="L654" i="4"/>
  <c r="R654" i="4" s="1"/>
  <c r="S654" i="4" s="1"/>
  <c r="G654" i="4"/>
  <c r="I654" i="4"/>
  <c r="M654" i="4"/>
  <c r="I908" i="4"/>
  <c r="G908" i="4"/>
  <c r="J908" i="4"/>
  <c r="M908" i="4"/>
  <c r="P908" i="4"/>
  <c r="L908" i="4"/>
  <c r="R908" i="4" s="1"/>
  <c r="G512" i="4"/>
  <c r="M512" i="4"/>
  <c r="I512" i="4"/>
  <c r="P512" i="4"/>
  <c r="L512" i="4"/>
  <c r="R512" i="4" s="1"/>
  <c r="J512" i="4"/>
  <c r="N11" i="4"/>
  <c r="E21" i="5" s="1"/>
  <c r="L11" i="4"/>
  <c r="D21" i="5" s="1"/>
  <c r="I11" i="4"/>
  <c r="B21" i="5" s="1"/>
  <c r="P11" i="4"/>
  <c r="K11" i="4"/>
  <c r="O11" i="4"/>
  <c r="M11" i="4"/>
  <c r="J11" i="4"/>
  <c r="C21" i="5" s="1"/>
  <c r="G11" i="4"/>
  <c r="J466" i="4"/>
  <c r="L466" i="4"/>
  <c r="R466" i="4" s="1"/>
  <c r="P466" i="4"/>
  <c r="I466" i="4"/>
  <c r="G466" i="4"/>
  <c r="N49" i="4"/>
  <c r="E59" i="5" s="1"/>
  <c r="L49" i="4"/>
  <c r="D59" i="5" s="1"/>
  <c r="I49" i="4"/>
  <c r="B59" i="5" s="1"/>
  <c r="K49" i="4"/>
  <c r="P49" i="4"/>
  <c r="M49" i="4"/>
  <c r="O49" i="4"/>
  <c r="G49" i="4"/>
  <c r="P623" i="4"/>
  <c r="J623" i="4"/>
  <c r="M623" i="4"/>
  <c r="I623" i="4"/>
  <c r="L623" i="4"/>
  <c r="R623" i="4" s="1"/>
  <c r="S623" i="4" s="1"/>
  <c r="G623" i="4"/>
  <c r="L216" i="4"/>
  <c r="D226" i="5" s="1"/>
  <c r="M216" i="4"/>
  <c r="P216" i="4"/>
  <c r="I216" i="4"/>
  <c r="B226" i="5" s="1"/>
  <c r="G216" i="4"/>
  <c r="G258" i="4"/>
  <c r="P258" i="4"/>
  <c r="J258" i="4"/>
  <c r="K34" i="4"/>
  <c r="M34" i="4"/>
  <c r="J34" i="4"/>
  <c r="C44" i="5" s="1"/>
  <c r="N34" i="4"/>
  <c r="E44" i="5" s="1"/>
  <c r="L34" i="4"/>
  <c r="D44" i="5" s="1"/>
  <c r="I34" i="4"/>
  <c r="B44" i="5" s="1"/>
  <c r="P34" i="4"/>
  <c r="G34" i="4"/>
  <c r="O34" i="4"/>
  <c r="I861" i="4"/>
  <c r="L861" i="4"/>
  <c r="R861" i="4" s="1"/>
  <c r="J861" i="4"/>
  <c r="P861" i="4"/>
  <c r="G861" i="4"/>
  <c r="M861" i="4"/>
  <c r="J212" i="4"/>
  <c r="C222" i="5" s="1"/>
  <c r="P212" i="4"/>
  <c r="L212" i="4"/>
  <c r="D222" i="5" s="1"/>
  <c r="G212" i="4"/>
  <c r="I212" i="4"/>
  <c r="B222" i="5" s="1"/>
  <c r="M212" i="4"/>
  <c r="G351" i="4"/>
  <c r="J351" i="4"/>
  <c r="M351" i="4"/>
  <c r="L351" i="4"/>
  <c r="R351" i="4" s="1"/>
  <c r="S351" i="4" s="1"/>
  <c r="I275" i="4"/>
  <c r="G275" i="4"/>
  <c r="P275" i="4"/>
  <c r="M275" i="4"/>
  <c r="L275" i="4"/>
  <c r="R275" i="4" s="1"/>
  <c r="J275" i="4"/>
  <c r="G134" i="4"/>
  <c r="P134" i="4"/>
  <c r="M134" i="4"/>
  <c r="I134" i="4"/>
  <c r="B144" i="5" s="1"/>
  <c r="I357" i="4"/>
  <c r="P357" i="4"/>
  <c r="G357" i="4"/>
  <c r="M357" i="4"/>
  <c r="L357" i="4"/>
  <c r="R357" i="4" s="1"/>
  <c r="J604" i="4"/>
  <c r="P604" i="4"/>
  <c r="L604" i="4"/>
  <c r="R604" i="4" s="1"/>
  <c r="G604" i="4"/>
  <c r="I604" i="4"/>
  <c r="M604" i="4"/>
  <c r="L110" i="4"/>
  <c r="D120" i="5" s="1"/>
  <c r="P110" i="4"/>
  <c r="I110" i="4"/>
  <c r="B120" i="5" s="1"/>
  <c r="M110" i="4"/>
  <c r="J110" i="4"/>
  <c r="C120" i="5" s="1"/>
  <c r="G110" i="4"/>
  <c r="M448" i="4"/>
  <c r="I448" i="4"/>
  <c r="G448" i="4"/>
  <c r="L448" i="4"/>
  <c r="R448" i="4" s="1"/>
  <c r="J82" i="4"/>
  <c r="C92" i="5" s="1"/>
  <c r="O82" i="4"/>
  <c r="I82" i="4"/>
  <c r="B92" i="5" s="1"/>
  <c r="M82" i="4"/>
  <c r="K82" i="4"/>
  <c r="N82" i="4"/>
  <c r="E92" i="5" s="1"/>
  <c r="L82" i="4"/>
  <c r="D92" i="5" s="1"/>
  <c r="P707" i="4"/>
  <c r="G707" i="4"/>
  <c r="L707" i="4"/>
  <c r="R707" i="4" s="1"/>
  <c r="I707" i="4"/>
  <c r="M707" i="4"/>
  <c r="M439" i="4"/>
  <c r="I439" i="4"/>
  <c r="G439" i="4"/>
  <c r="J439" i="4"/>
  <c r="P439" i="4"/>
  <c r="L439" i="4"/>
  <c r="R439" i="4" s="1"/>
  <c r="S439" i="4" s="1"/>
  <c r="I203" i="4"/>
  <c r="B213" i="5" s="1"/>
  <c r="L203" i="4"/>
  <c r="D213" i="5" s="1"/>
  <c r="J203" i="4"/>
  <c r="C213" i="5" s="1"/>
  <c r="P203" i="4"/>
  <c r="G203" i="4"/>
  <c r="M203" i="4"/>
  <c r="M46" i="4"/>
  <c r="N46" i="4"/>
  <c r="E56" i="5" s="1"/>
  <c r="J46" i="4"/>
  <c r="C56" i="5" s="1"/>
  <c r="P46" i="4"/>
  <c r="L46" i="4"/>
  <c r="D56" i="5" s="1"/>
  <c r="I46" i="4"/>
  <c r="B56" i="5" s="1"/>
  <c r="K46" i="4"/>
  <c r="G46" i="4"/>
  <c r="I151" i="4"/>
  <c r="B161" i="5" s="1"/>
  <c r="J151" i="4"/>
  <c r="C161" i="5" s="1"/>
  <c r="L151" i="4"/>
  <c r="D161" i="5" s="1"/>
  <c r="P151" i="4"/>
  <c r="P130" i="4"/>
  <c r="I130" i="4"/>
  <c r="B140" i="5" s="1"/>
  <c r="M130" i="4"/>
  <c r="G130" i="4"/>
  <c r="J130" i="4"/>
  <c r="C140" i="5" s="1"/>
  <c r="L130" i="4"/>
  <c r="D140" i="5" s="1"/>
  <c r="P422" i="4"/>
  <c r="I422" i="4"/>
  <c r="H422" i="4" s="1"/>
  <c r="M422" i="4"/>
  <c r="J422" i="4"/>
  <c r="L422" i="4"/>
  <c r="R422" i="4" s="1"/>
  <c r="S422" i="4" s="1"/>
  <c r="M699" i="4"/>
  <c r="I403" i="4"/>
  <c r="H403" i="4" s="1"/>
  <c r="L762" i="4"/>
  <c r="R762" i="4" s="1"/>
  <c r="G900" i="4"/>
  <c r="P900" i="4"/>
  <c r="J930" i="4"/>
  <c r="M930" i="4"/>
  <c r="J955" i="4"/>
  <c r="P955" i="4"/>
  <c r="L542" i="4"/>
  <c r="R542" i="4" s="1"/>
  <c r="P542" i="4"/>
  <c r="M650" i="4"/>
  <c r="J650" i="4"/>
  <c r="O52" i="4"/>
  <c r="J504" i="4"/>
  <c r="M736" i="4"/>
  <c r="I300" i="4"/>
  <c r="J153" i="4"/>
  <c r="C163" i="5" s="1"/>
  <c r="I63" i="4"/>
  <c r="B73" i="5" s="1"/>
  <c r="G232" i="4"/>
  <c r="J372" i="4"/>
  <c r="M892" i="4"/>
  <c r="G662" i="4"/>
  <c r="L3" i="4"/>
  <c r="D13" i="5" s="1"/>
  <c r="J221" i="4"/>
  <c r="C231" i="5" s="1"/>
  <c r="O46" i="4"/>
  <c r="J753" i="4"/>
  <c r="J699" i="4"/>
  <c r="P762" i="4"/>
  <c r="P930" i="4"/>
  <c r="I930" i="4"/>
  <c r="G955" i="4"/>
  <c r="L955" i="4"/>
  <c r="R955" i="4" s="1"/>
  <c r="I542" i="4"/>
  <c r="G542" i="4"/>
  <c r="L650" i="4"/>
  <c r="R650" i="4" s="1"/>
  <c r="G650" i="4"/>
  <c r="N52" i="4"/>
  <c r="E62" i="5" s="1"/>
  <c r="M52" i="4"/>
  <c r="G52" i="4"/>
  <c r="I504" i="4"/>
  <c r="I73" i="4"/>
  <c r="B83" i="5" s="1"/>
  <c r="G246" i="4"/>
  <c r="P736" i="4"/>
  <c r="M664" i="4"/>
  <c r="L153" i="4"/>
  <c r="D163" i="5" s="1"/>
  <c r="M63" i="4"/>
  <c r="L979" i="4"/>
  <c r="R979" i="4" s="1"/>
  <c r="J232" i="4"/>
  <c r="C242" i="5" s="1"/>
  <c r="I372" i="4"/>
  <c r="J339" i="4"/>
  <c r="P892" i="4"/>
  <c r="L744" i="4"/>
  <c r="R744" i="4" s="1"/>
  <c r="M288" i="4"/>
  <c r="G412" i="4"/>
  <c r="J448" i="4"/>
  <c r="J926" i="4"/>
  <c r="M872" i="4"/>
  <c r="K83" i="4"/>
  <c r="I459" i="4"/>
  <c r="I938" i="4"/>
  <c r="G950" i="4"/>
  <c r="P670" i="4"/>
  <c r="I699" i="4"/>
  <c r="J403" i="4"/>
  <c r="I762" i="4"/>
  <c r="I225" i="4"/>
  <c r="B235" i="5" s="1"/>
  <c r="P52" i="4"/>
  <c r="K52" i="4"/>
  <c r="G139" i="4"/>
  <c r="I6" i="4"/>
  <c r="B16" i="5" s="1"/>
  <c r="J430" i="4"/>
  <c r="P494" i="4"/>
  <c r="L504" i="4"/>
  <c r="R504" i="4" s="1"/>
  <c r="L425" i="4"/>
  <c r="R425" i="4" s="1"/>
  <c r="N73" i="4"/>
  <c r="E83" i="5" s="1"/>
  <c r="G154" i="4"/>
  <c r="J707" i="4"/>
  <c r="J216" i="4"/>
  <c r="C226" i="5" s="1"/>
  <c r="I482" i="4"/>
  <c r="L339" i="4"/>
  <c r="R339" i="4" s="1"/>
  <c r="S339" i="4" s="1"/>
  <c r="I86" i="4"/>
  <c r="B96" i="5" s="1"/>
  <c r="I12" i="4"/>
  <c r="B22" i="5" s="1"/>
  <c r="L970" i="4"/>
  <c r="R970" i="4" s="1"/>
  <c r="S970" i="4" s="1"/>
  <c r="G535" i="4"/>
  <c r="P406" i="4"/>
  <c r="G967" i="4"/>
  <c r="L555" i="4"/>
  <c r="R555" i="4" s="1"/>
  <c r="S555" i="4" s="1"/>
  <c r="T555" i="4" s="1"/>
  <c r="L164" i="4"/>
  <c r="D174" i="5" s="1"/>
  <c r="P448" i="4"/>
  <c r="I116" i="4"/>
  <c r="B126" i="5" s="1"/>
  <c r="O89" i="4"/>
  <c r="I260" i="4"/>
  <c r="J357" i="4"/>
  <c r="G931" i="4"/>
  <c r="P874" i="4"/>
  <c r="L79" i="4"/>
  <c r="D89" i="5" s="1"/>
  <c r="O79" i="4"/>
  <c r="M79" i="4"/>
  <c r="N79" i="4"/>
  <c r="E89" i="5" s="1"/>
  <c r="J79" i="4"/>
  <c r="C89" i="5" s="1"/>
  <c r="G79" i="4"/>
  <c r="P79" i="4"/>
  <c r="K79" i="4"/>
  <c r="I862" i="4"/>
  <c r="L862" i="4"/>
  <c r="R862" i="4" s="1"/>
  <c r="S862" i="4" s="1"/>
  <c r="J862" i="4"/>
  <c r="P862" i="4"/>
  <c r="K93" i="4"/>
  <c r="N68" i="4"/>
  <c r="E78" i="5" s="1"/>
  <c r="J68" i="4"/>
  <c r="C78" i="5" s="1"/>
  <c r="L370" i="4"/>
  <c r="R370" i="4" s="1"/>
  <c r="I370" i="4"/>
  <c r="H370" i="4" s="1"/>
  <c r="J211" i="4"/>
  <c r="C221" i="5" s="1"/>
  <c r="M862" i="4"/>
  <c r="P93" i="4"/>
  <c r="L93" i="4"/>
  <c r="D103" i="5" s="1"/>
  <c r="K68" i="4"/>
  <c r="P68" i="4"/>
  <c r="O68" i="4"/>
  <c r="J370" i="4"/>
  <c r="P777" i="4"/>
  <c r="L211" i="4"/>
  <c r="D221" i="5" s="1"/>
  <c r="M211" i="4"/>
  <c r="L582" i="4"/>
  <c r="R582" i="4" s="1"/>
  <c r="S582" i="4" s="1"/>
  <c r="T582" i="4" s="1"/>
  <c r="G862" i="4"/>
  <c r="I79" i="4"/>
  <c r="B89" i="5" s="1"/>
  <c r="M93" i="4"/>
  <c r="G93" i="4"/>
  <c r="L68" i="4"/>
  <c r="D78" i="5" s="1"/>
  <c r="G68" i="4"/>
  <c r="P211" i="4"/>
  <c r="M259" i="4"/>
  <c r="P259" i="4"/>
  <c r="J822" i="4"/>
  <c r="G296" i="4"/>
  <c r="I74" i="4"/>
  <c r="B84" i="5" s="1"/>
  <c r="O74" i="4"/>
  <c r="P74" i="4"/>
  <c r="P194" i="4"/>
  <c r="G194" i="4"/>
  <c r="P252" i="4"/>
  <c r="M770" i="4"/>
  <c r="L770" i="4"/>
  <c r="R770" i="4" s="1"/>
  <c r="S770" i="4" s="1"/>
  <c r="L839" i="4"/>
  <c r="R839" i="4" s="1"/>
  <c r="I847" i="4"/>
  <c r="P847" i="4"/>
  <c r="P907" i="4"/>
  <c r="P625" i="4"/>
  <c r="M625" i="4"/>
  <c r="J385" i="4"/>
  <c r="L385" i="4"/>
  <c r="R385" i="4" s="1"/>
  <c r="G976" i="4"/>
  <c r="H976" i="4" s="1"/>
  <c r="J976" i="4"/>
  <c r="G721" i="4"/>
  <c r="P721" i="4"/>
  <c r="G332" i="4"/>
  <c r="J158" i="4"/>
  <c r="C168" i="5" s="1"/>
  <c r="M175" i="4"/>
  <c r="P175" i="4"/>
  <c r="P534" i="4"/>
  <c r="L231" i="4"/>
  <c r="D241" i="5" s="1"/>
  <c r="I231" i="4"/>
  <c r="B241" i="5" s="1"/>
  <c r="N70" i="4"/>
  <c r="E80" i="5" s="1"/>
  <c r="P70" i="4"/>
  <c r="I710" i="4"/>
  <c r="M710" i="4"/>
  <c r="I258" i="4"/>
  <c r="M258" i="4"/>
  <c r="J563" i="4"/>
  <c r="I351" i="4"/>
  <c r="L134" i="4"/>
  <c r="D144" i="5" s="1"/>
  <c r="G74" i="4"/>
  <c r="M194" i="4"/>
  <c r="G252" i="4"/>
  <c r="P839" i="4"/>
  <c r="M907" i="4"/>
  <c r="P976" i="4"/>
  <c r="L721" i="4"/>
  <c r="R721" i="4" s="1"/>
  <c r="S721" i="4" s="1"/>
  <c r="G158" i="4"/>
  <c r="I534" i="4"/>
  <c r="K70" i="4"/>
  <c r="L70" i="4"/>
  <c r="D80" i="5" s="1"/>
  <c r="L258" i="4"/>
  <c r="R258" i="4" s="1"/>
  <c r="P563" i="4"/>
  <c r="J134" i="4"/>
  <c r="C144" i="5" s="1"/>
  <c r="T415" i="4" l="1"/>
  <c r="H221" i="4"/>
  <c r="T685" i="4"/>
  <c r="L303" i="4"/>
  <c r="R303" i="4" s="1"/>
  <c r="L789" i="4"/>
  <c r="R789" i="4" s="1"/>
  <c r="S789" i="4" s="1"/>
  <c r="I655" i="4"/>
  <c r="I15" i="4"/>
  <c r="B25" i="5" s="1"/>
  <c r="P601" i="4"/>
  <c r="G10" i="4"/>
  <c r="M80" i="4"/>
  <c r="M255" i="4"/>
  <c r="I64" i="4"/>
  <c r="B74" i="5" s="1"/>
  <c r="P996" i="4"/>
  <c r="M343" i="4"/>
  <c r="L996" i="4"/>
  <c r="R996" i="4" s="1"/>
  <c r="J383" i="4"/>
  <c r="P954" i="4"/>
  <c r="J223" i="4"/>
  <c r="C233" i="5" s="1"/>
  <c r="L127" i="4"/>
  <c r="L184" i="4"/>
  <c r="R184" i="4" s="1"/>
  <c r="S184" i="4" s="1"/>
  <c r="T184" i="4" s="1"/>
  <c r="A231" i="5"/>
  <c r="N26" i="4"/>
  <c r="E36" i="5" s="1"/>
  <c r="I92" i="4"/>
  <c r="B102" i="5" s="1"/>
  <c r="A90" i="5"/>
  <c r="A29" i="5"/>
  <c r="H555" i="4"/>
  <c r="H913" i="4"/>
  <c r="T821" i="4"/>
  <c r="H962" i="4"/>
  <c r="J322" i="4"/>
  <c r="I303" i="4"/>
  <c r="P502" i="4"/>
  <c r="M303" i="4"/>
  <c r="J2" i="4"/>
  <c r="C12" i="5" s="1"/>
  <c r="G111" i="4"/>
  <c r="P322" i="4"/>
  <c r="J343" i="4"/>
  <c r="I185" i="4"/>
  <c r="B195" i="5" s="1"/>
  <c r="O10" i="4"/>
  <c r="G383" i="4"/>
  <c r="L383" i="4"/>
  <c r="R383" i="4" s="1"/>
  <c r="S383" i="4" s="1"/>
  <c r="P376" i="4"/>
  <c r="J944" i="4"/>
  <c r="I184" i="4"/>
  <c r="B194" i="5" s="1"/>
  <c r="G904" i="4"/>
  <c r="J436" i="4"/>
  <c r="J303" i="4"/>
  <c r="A74" i="5"/>
  <c r="I10" i="4"/>
  <c r="B20" i="5" s="1"/>
  <c r="A15" i="5"/>
  <c r="K80" i="4"/>
  <c r="J638" i="4"/>
  <c r="T638" i="4" s="1"/>
  <c r="G946" i="4"/>
  <c r="H946" i="4" s="1"/>
  <c r="M383" i="4"/>
  <c r="I954" i="4"/>
  <c r="H338" i="4"/>
  <c r="H779" i="4"/>
  <c r="H611" i="4"/>
  <c r="H628" i="4"/>
  <c r="H964" i="4"/>
  <c r="H356" i="4"/>
  <c r="H958" i="4"/>
  <c r="P5" i="4"/>
  <c r="L407" i="4"/>
  <c r="R407" i="4" s="1"/>
  <c r="S407" i="4" s="1"/>
  <c r="L272" i="4"/>
  <c r="R272" i="4" s="1"/>
  <c r="S272" i="4" s="1"/>
  <c r="J954" i="4"/>
  <c r="G303" i="4"/>
  <c r="J376" i="4"/>
  <c r="J272" i="4"/>
  <c r="M272" i="4"/>
  <c r="J10" i="4"/>
  <c r="C20" i="5" s="1"/>
  <c r="L343" i="4"/>
  <c r="R343" i="4" s="1"/>
  <c r="S343" i="4" s="1"/>
  <c r="I272" i="4"/>
  <c r="H272" i="4" s="1"/>
  <c r="M376" i="4"/>
  <c r="O2" i="4"/>
  <c r="H944" i="4"/>
  <c r="H703" i="4"/>
  <c r="H376" i="4"/>
  <c r="P10" i="4"/>
  <c r="J407" i="4"/>
  <c r="I68" i="4"/>
  <c r="B78" i="5" s="1"/>
  <c r="T774" i="4"/>
  <c r="H528" i="4"/>
  <c r="H368" i="4"/>
  <c r="H804" i="4"/>
  <c r="T809" i="4"/>
  <c r="H251" i="4"/>
  <c r="H360" i="4"/>
  <c r="T801" i="4"/>
  <c r="H346" i="4"/>
  <c r="H322" i="4"/>
  <c r="T601" i="4"/>
  <c r="H954" i="4"/>
  <c r="H715" i="4"/>
  <c r="H678" i="4"/>
  <c r="T726" i="4"/>
  <c r="H305" i="4"/>
  <c r="L222" i="4"/>
  <c r="D232" i="5" s="1"/>
  <c r="P222" i="4"/>
  <c r="P82" i="4"/>
  <c r="H394" i="4"/>
  <c r="M151" i="4"/>
  <c r="J337" i="4"/>
  <c r="H956" i="4"/>
  <c r="H906" i="4"/>
  <c r="M419" i="4"/>
  <c r="H503" i="4"/>
  <c r="M676" i="4"/>
  <c r="P543" i="4"/>
  <c r="G676" i="4"/>
  <c r="H676" i="4" s="1"/>
  <c r="L543" i="4"/>
  <c r="R543" i="4" s="1"/>
  <c r="S543" i="4" s="1"/>
  <c r="T543" i="4" s="1"/>
  <c r="L968" i="4"/>
  <c r="R968" i="4" s="1"/>
  <c r="S968" i="4" s="1"/>
  <c r="I419" i="4"/>
  <c r="P752" i="4"/>
  <c r="M968" i="4"/>
  <c r="J114" i="4"/>
  <c r="C124" i="5" s="1"/>
  <c r="M310" i="4"/>
  <c r="J305" i="4"/>
  <c r="T305" i="4" s="1"/>
  <c r="L676" i="4"/>
  <c r="R676" i="4" s="1"/>
  <c r="S676" i="4" s="1"/>
  <c r="G310" i="4"/>
  <c r="H316" i="4"/>
  <c r="K28" i="4"/>
  <c r="T455" i="4"/>
  <c r="P413" i="4"/>
  <c r="K77" i="4"/>
  <c r="N77" i="4"/>
  <c r="E87" i="5" s="1"/>
  <c r="G287" i="4"/>
  <c r="H586" i="4"/>
  <c r="J287" i="4"/>
  <c r="T894" i="4"/>
  <c r="H941" i="4"/>
  <c r="P305" i="4"/>
  <c r="I28" i="4"/>
  <c r="B38" i="5" s="1"/>
  <c r="T982" i="4"/>
  <c r="J206" i="4"/>
  <c r="C216" i="5" s="1"/>
  <c r="L183" i="4"/>
  <c r="D193" i="5" s="1"/>
  <c r="T969" i="4"/>
  <c r="J183" i="4"/>
  <c r="C193" i="5" s="1"/>
  <c r="P183" i="4"/>
  <c r="I583" i="4"/>
  <c r="H583" i="4" s="1"/>
  <c r="G183" i="4"/>
  <c r="L583" i="4"/>
  <c r="R583" i="4" s="1"/>
  <c r="S583" i="4" s="1"/>
  <c r="J77" i="4"/>
  <c r="C87" i="5" s="1"/>
  <c r="I189" i="4"/>
  <c r="B199" i="5" s="1"/>
  <c r="G82" i="4"/>
  <c r="M206" i="4"/>
  <c r="O28" i="4"/>
  <c r="L114" i="4"/>
  <c r="D124" i="5" s="1"/>
  <c r="G583" i="4"/>
  <c r="J524" i="4"/>
  <c r="L434" i="4"/>
  <c r="R434" i="4" s="1"/>
  <c r="I287" i="4"/>
  <c r="H659" i="4"/>
  <c r="H507" i="4"/>
  <c r="H902" i="4"/>
  <c r="G211" i="4"/>
  <c r="G434" i="4"/>
  <c r="G206" i="4"/>
  <c r="M752" i="4"/>
  <c r="I114" i="4"/>
  <c r="B124" i="5" s="1"/>
  <c r="G752" i="4"/>
  <c r="T575" i="4"/>
  <c r="J752" i="4"/>
  <c r="P968" i="4"/>
  <c r="M114" i="4"/>
  <c r="H632" i="4"/>
  <c r="J968" i="4"/>
  <c r="L206" i="4"/>
  <c r="D216" i="5" s="1"/>
  <c r="I434" i="4"/>
  <c r="H636" i="4"/>
  <c r="M28" i="4"/>
  <c r="J28" i="4"/>
  <c r="C38" i="5" s="1"/>
  <c r="P523" i="4"/>
  <c r="H447" i="4"/>
  <c r="M413" i="4"/>
  <c r="G413" i="4"/>
  <c r="G77" i="4"/>
  <c r="M287" i="4"/>
  <c r="T630" i="4"/>
  <c r="I77" i="4"/>
  <c r="B87" i="5" s="1"/>
  <c r="H997" i="4"/>
  <c r="T681" i="4"/>
  <c r="I523" i="4"/>
  <c r="G524" i="4"/>
  <c r="L524" i="4"/>
  <c r="R524" i="4" s="1"/>
  <c r="H877" i="4"/>
  <c r="M583" i="4"/>
  <c r="P189" i="4"/>
  <c r="M183" i="4"/>
  <c r="I524" i="4"/>
  <c r="P524" i="4"/>
  <c r="L337" i="4"/>
  <c r="R337" i="4" s="1"/>
  <c r="S337" i="4" s="1"/>
  <c r="T454" i="4"/>
  <c r="H901" i="4"/>
  <c r="H716" i="4"/>
  <c r="J676" i="4"/>
  <c r="T676" i="4" s="1"/>
  <c r="I543" i="4"/>
  <c r="H441" i="4"/>
  <c r="P114" i="4"/>
  <c r="G543" i="4"/>
  <c r="P28" i="4"/>
  <c r="L28" i="4"/>
  <c r="D38" i="5" s="1"/>
  <c r="L523" i="4"/>
  <c r="R523" i="4" s="1"/>
  <c r="S523" i="4" s="1"/>
  <c r="J413" i="4"/>
  <c r="L77" i="4"/>
  <c r="P287" i="4"/>
  <c r="G523" i="4"/>
  <c r="G189" i="4"/>
  <c r="T640" i="4"/>
  <c r="T973" i="4"/>
  <c r="T438" i="4"/>
  <c r="H786" i="4"/>
  <c r="H769" i="4"/>
  <c r="H574" i="4"/>
  <c r="H733" i="4"/>
  <c r="H585" i="4"/>
  <c r="T474" i="4"/>
  <c r="H806" i="4"/>
  <c r="H411" i="4"/>
  <c r="H864" i="4"/>
  <c r="H428" i="4"/>
  <c r="H327" i="4"/>
  <c r="H392" i="4"/>
  <c r="H853" i="4"/>
  <c r="R39" i="4"/>
  <c r="T702" i="4"/>
  <c r="H650" i="4"/>
  <c r="H823" i="4"/>
  <c r="H532" i="4"/>
  <c r="H696" i="4"/>
  <c r="T897" i="4"/>
  <c r="H462" i="4"/>
  <c r="T961" i="4"/>
  <c r="H674" i="4"/>
  <c r="H848" i="4"/>
  <c r="T853" i="4"/>
  <c r="H951" i="4"/>
  <c r="H281" i="4"/>
  <c r="H388" i="4"/>
  <c r="H431" i="4"/>
  <c r="H369" i="4"/>
  <c r="H418" i="4"/>
  <c r="H772" i="4"/>
  <c r="H343" i="4"/>
  <c r="T854" i="4"/>
  <c r="H643" i="4"/>
  <c r="H999" i="4"/>
  <c r="H440" i="4"/>
  <c r="H349" i="4"/>
  <c r="T587" i="4"/>
  <c r="H413" i="4"/>
  <c r="H647" i="4"/>
  <c r="H904" i="4"/>
  <c r="T406" i="4"/>
  <c r="T786" i="4"/>
  <c r="T777" i="4"/>
  <c r="T893" i="4"/>
  <c r="T290" i="4"/>
  <c r="T954" i="4"/>
  <c r="T720" i="4"/>
  <c r="T817" i="4"/>
  <c r="T770" i="4"/>
  <c r="T442" i="4"/>
  <c r="T666" i="4"/>
  <c r="T571" i="4"/>
  <c r="T280" i="4"/>
  <c r="T443" i="4"/>
  <c r="T748" i="4"/>
  <c r="T837" i="4"/>
  <c r="T654" i="4"/>
  <c r="T387" i="4"/>
  <c r="T300" i="4"/>
  <c r="T805" i="4"/>
  <c r="T718" i="4"/>
  <c r="T426" i="4"/>
  <c r="T672" i="4"/>
  <c r="T981" i="4"/>
  <c r="T363" i="4"/>
  <c r="T966" i="4"/>
  <c r="T669" i="4"/>
  <c r="T479" i="4"/>
  <c r="T790" i="4"/>
  <c r="T733" i="4"/>
  <c r="T297" i="4"/>
  <c r="T423" i="4"/>
  <c r="T866" i="4"/>
  <c r="T970" i="4"/>
  <c r="T918" i="4"/>
  <c r="T950" i="4"/>
  <c r="T391" i="4"/>
  <c r="T990" i="4"/>
  <c r="T721" i="4"/>
  <c r="T439" i="4"/>
  <c r="T664" i="4"/>
  <c r="T870" i="4"/>
  <c r="T949" i="4"/>
  <c r="T321" i="4"/>
  <c r="T698" i="4"/>
  <c r="T256" i="4"/>
  <c r="T921" i="4"/>
  <c r="T668" i="4"/>
  <c r="T826" i="4"/>
  <c r="T359" i="4"/>
  <c r="T316" i="4"/>
  <c r="T778" i="4"/>
  <c r="T523" i="4"/>
  <c r="T648" i="4"/>
  <c r="T937" i="4"/>
  <c r="T724" i="4"/>
  <c r="T670" i="4"/>
  <c r="T686" i="4"/>
  <c r="T399" i="4"/>
  <c r="T499" i="4"/>
  <c r="T646" i="4"/>
  <c r="T814" i="4"/>
  <c r="T636" i="4"/>
  <c r="T324" i="4"/>
  <c r="T447" i="4"/>
  <c r="T951" i="4"/>
  <c r="T708" i="4"/>
  <c r="T615" i="4"/>
  <c r="T874" i="4"/>
  <c r="T339" i="4"/>
  <c r="T665" i="4"/>
  <c r="T677" i="4"/>
  <c r="T717" i="4"/>
  <c r="T595" i="4"/>
  <c r="T862" i="4"/>
  <c r="H996" i="4"/>
  <c r="H810" i="4"/>
  <c r="H562" i="4"/>
  <c r="H537" i="4"/>
  <c r="H359" i="4"/>
  <c r="H597" i="4"/>
  <c r="H400" i="4"/>
  <c r="H333" i="4"/>
  <c r="H660" i="4"/>
  <c r="H972" i="4"/>
  <c r="H832" i="4"/>
  <c r="H860" i="4"/>
  <c r="H511" i="4"/>
  <c r="H630" i="4"/>
  <c r="H909" i="4"/>
  <c r="H714" i="4"/>
  <c r="H694" i="4"/>
  <c r="T351" i="4"/>
  <c r="T534" i="4"/>
  <c r="T957" i="4"/>
  <c r="T260" i="4"/>
  <c r="T252" i="4"/>
  <c r="T889" i="4"/>
  <c r="T490" i="4"/>
  <c r="T975" i="4"/>
  <c r="T656" i="4"/>
  <c r="T917" i="4"/>
  <c r="T922" i="4"/>
  <c r="T989" i="4"/>
  <c r="T684" i="4"/>
  <c r="T471" i="4"/>
  <c r="T935" i="4"/>
  <c r="T467" i="4"/>
  <c r="T962" i="4"/>
  <c r="T732" i="4"/>
  <c r="T678" i="4"/>
  <c r="T673" i="4"/>
  <c r="T554" i="4"/>
  <c r="T308" i="4"/>
  <c r="T459" i="4"/>
  <c r="T907" i="4"/>
  <c r="T535" i="4"/>
  <c r="T551" i="4"/>
  <c r="T898" i="4"/>
  <c r="T632" i="4"/>
  <c r="T375" i="4"/>
  <c r="T483" i="4"/>
  <c r="T785" i="4"/>
  <c r="T522" i="4"/>
  <c r="T903" i="4"/>
  <c r="T579" i="4"/>
  <c r="T435" i="4"/>
  <c r="T946" i="4"/>
  <c r="T422" i="4"/>
  <c r="T623" i="4"/>
  <c r="T633" i="4"/>
  <c r="T710" i="4"/>
  <c r="T822" i="4"/>
  <c r="T967" i="4"/>
  <c r="T926" i="4"/>
  <c r="T705" i="4"/>
  <c r="T451" i="4"/>
  <c r="T927" i="4"/>
  <c r="T825" i="4"/>
  <c r="T470" i="4"/>
  <c r="T878" i="4"/>
  <c r="T716" i="4"/>
  <c r="T810" i="4"/>
  <c r="T850" i="4"/>
  <c r="T740" i="4"/>
  <c r="T694" i="4"/>
  <c r="T539" i="4"/>
  <c r="R215" i="4"/>
  <c r="S215" i="4" s="1"/>
  <c r="T215" i="4" s="1"/>
  <c r="R189" i="4"/>
  <c r="T746" i="4"/>
  <c r="T662" i="4"/>
  <c r="T978" i="4"/>
  <c r="T518" i="4"/>
  <c r="T689" i="4"/>
  <c r="T906" i="4"/>
  <c r="T395" i="4"/>
  <c r="T933" i="4"/>
  <c r="T403" i="4"/>
  <c r="T930" i="4"/>
  <c r="T938" i="4"/>
  <c r="T503" i="4"/>
  <c r="T566" i="4"/>
  <c r="T977" i="4"/>
  <c r="T411" i="4"/>
  <c r="T527" i="4"/>
  <c r="T793" i="4"/>
  <c r="T789" i="4"/>
  <c r="T945" i="4"/>
  <c r="T272" i="4"/>
  <c r="T649" i="4"/>
  <c r="T597" i="4"/>
  <c r="T502" i="4"/>
  <c r="S425" i="4"/>
  <c r="T425" i="4" s="1"/>
  <c r="S275" i="4"/>
  <c r="T275" i="4" s="1"/>
  <c r="S908" i="4"/>
  <c r="T908" i="4" s="1"/>
  <c r="S429" i="4"/>
  <c r="T429" i="4" s="1"/>
  <c r="S302" i="4"/>
  <c r="T302" i="4" s="1"/>
  <c r="S892" i="4"/>
  <c r="T892" i="4" s="1"/>
  <c r="S722" i="4"/>
  <c r="T722" i="4" s="1"/>
  <c r="S314" i="4"/>
  <c r="T314" i="4" s="1"/>
  <c r="S944" i="4"/>
  <c r="T944" i="4" s="1"/>
  <c r="S520" i="4"/>
  <c r="T520" i="4" s="1"/>
  <c r="S602" i="4"/>
  <c r="T602" i="4" s="1"/>
  <c r="S307" i="4"/>
  <c r="T307" i="4" s="1"/>
  <c r="S995" i="4"/>
  <c r="T995" i="4" s="1"/>
  <c r="S445" i="4"/>
  <c r="T445" i="4" s="1"/>
  <c r="S752" i="4"/>
  <c r="T752" i="4" s="1"/>
  <c r="S453" i="4"/>
  <c r="T453" i="4" s="1"/>
  <c r="S836" i="4"/>
  <c r="T836" i="4" s="1"/>
  <c r="S504" i="4"/>
  <c r="T504" i="4" s="1"/>
  <c r="S542" i="4"/>
  <c r="T542" i="4" s="1"/>
  <c r="S736" i="4"/>
  <c r="T736" i="4" s="1"/>
  <c r="S444" i="4"/>
  <c r="T444" i="4" s="1"/>
  <c r="S757" i="4"/>
  <c r="T757" i="4" s="1"/>
  <c r="S482" i="4"/>
  <c r="T482" i="4" s="1"/>
  <c r="S432" i="4"/>
  <c r="T432" i="4" s="1"/>
  <c r="S332" i="4"/>
  <c r="T332" i="4" s="1"/>
  <c r="S266" i="4"/>
  <c r="T266" i="4" s="1"/>
  <c r="S815" i="4"/>
  <c r="T815" i="4" s="1"/>
  <c r="S847" i="4"/>
  <c r="T847" i="4" s="1"/>
  <c r="S780" i="4"/>
  <c r="T780" i="4" s="1"/>
  <c r="S378" i="4"/>
  <c r="T378" i="4" s="1"/>
  <c r="S873" i="4"/>
  <c r="T873" i="4" s="1"/>
  <c r="S418" i="4"/>
  <c r="T418" i="4" s="1"/>
  <c r="S787" i="4"/>
  <c r="T787" i="4" s="1"/>
  <c r="S727" i="4"/>
  <c r="T727" i="4" s="1"/>
  <c r="S569" i="4"/>
  <c r="T569" i="4" s="1"/>
  <c r="S494" i="4"/>
  <c r="T494" i="4" s="1"/>
  <c r="S920" i="4"/>
  <c r="T920" i="4" s="1"/>
  <c r="S743" i="4"/>
  <c r="T743" i="4" s="1"/>
  <c r="S924" i="4"/>
  <c r="T924" i="4" s="1"/>
  <c r="S492" i="4"/>
  <c r="T492" i="4" s="1"/>
  <c r="S358" i="4"/>
  <c r="T358" i="4" s="1"/>
  <c r="S424" i="4"/>
  <c r="T424" i="4" s="1"/>
  <c r="S577" i="4"/>
  <c r="T577" i="4" s="1"/>
  <c r="S250" i="4"/>
  <c r="T250" i="4" s="1"/>
  <c r="S552" i="4"/>
  <c r="T552" i="4" s="1"/>
  <c r="S856" i="4"/>
  <c r="T856" i="4" s="1"/>
  <c r="S617" i="4"/>
  <c r="T617" i="4" s="1"/>
  <c r="S562" i="4"/>
  <c r="T562" i="4" s="1"/>
  <c r="S362" i="4"/>
  <c r="T362" i="4" s="1"/>
  <c r="S521" i="4"/>
  <c r="T521" i="4" s="1"/>
  <c r="S414" i="4"/>
  <c r="T414" i="4" s="1"/>
  <c r="S852" i="4"/>
  <c r="T852" i="4" s="1"/>
  <c r="S620" i="4"/>
  <c r="T620" i="4" s="1"/>
  <c r="S446" i="4"/>
  <c r="T446" i="4" s="1"/>
  <c r="S366" i="4"/>
  <c r="T366" i="4" s="1"/>
  <c r="S344" i="4"/>
  <c r="T344" i="4" s="1"/>
  <c r="S39" i="4"/>
  <c r="T39" i="4" s="1"/>
  <c r="S433" i="4"/>
  <c r="T433" i="4" s="1"/>
  <c r="S758" i="4"/>
  <c r="T758" i="4" s="1"/>
  <c r="S306" i="4"/>
  <c r="T306" i="4" s="1"/>
  <c r="S393" i="4"/>
  <c r="T393" i="4" s="1"/>
  <c r="S762" i="4"/>
  <c r="T762" i="4" s="1"/>
  <c r="S707" i="4"/>
  <c r="T707" i="4" s="1"/>
  <c r="S372" i="4"/>
  <c r="T372" i="4" s="1"/>
  <c r="S598" i="4"/>
  <c r="T598" i="4" s="1"/>
  <c r="S655" i="4"/>
  <c r="T655" i="4" s="1"/>
  <c r="S956" i="4"/>
  <c r="T956" i="4" s="1"/>
  <c r="S530" i="4"/>
  <c r="T530" i="4" s="1"/>
  <c r="S659" i="4"/>
  <c r="T659" i="4" s="1"/>
  <c r="S643" i="4"/>
  <c r="T643" i="4" s="1"/>
  <c r="S658" i="4"/>
  <c r="T658" i="4" s="1"/>
  <c r="S682" i="4"/>
  <c r="T682" i="4" s="1"/>
  <c r="S255" i="4"/>
  <c r="T255" i="4" s="1"/>
  <c r="S600" i="4"/>
  <c r="T600" i="4" s="1"/>
  <c r="S364" i="4"/>
  <c r="T364" i="4" s="1"/>
  <c r="S963" i="4"/>
  <c r="T963" i="4" s="1"/>
  <c r="S839" i="4"/>
  <c r="T839" i="4" s="1"/>
  <c r="S744" i="4"/>
  <c r="T744" i="4" s="1"/>
  <c r="S955" i="4"/>
  <c r="T955" i="4" s="1"/>
  <c r="S448" i="4"/>
  <c r="T448" i="4" s="1"/>
  <c r="S357" i="4"/>
  <c r="T357" i="4" s="1"/>
  <c r="S402" i="4"/>
  <c r="T402" i="4" s="1"/>
  <c r="S742" i="4"/>
  <c r="T742" i="4" s="1"/>
  <c r="S296" i="4"/>
  <c r="T296" i="4" s="1"/>
  <c r="S259" i="4"/>
  <c r="T259" i="4" s="1"/>
  <c r="S412" i="4"/>
  <c r="T412" i="4" s="1"/>
  <c r="S288" i="4"/>
  <c r="T288" i="4" s="1"/>
  <c r="S976" i="4"/>
  <c r="T976" i="4" s="1"/>
  <c r="S931" i="4"/>
  <c r="T931" i="4" s="1"/>
  <c r="S753" i="4"/>
  <c r="T753" i="4" s="1"/>
  <c r="S616" i="4"/>
  <c r="T616" i="4" s="1"/>
  <c r="S263" i="4"/>
  <c r="T263" i="4" s="1"/>
  <c r="S498" i="4"/>
  <c r="T498" i="4" s="1"/>
  <c r="S361" i="4"/>
  <c r="T361" i="4" s="1"/>
  <c r="S612" i="4"/>
  <c r="T612" i="4" s="1"/>
  <c r="S792" i="4"/>
  <c r="T792" i="4" s="1"/>
  <c r="S767" i="4"/>
  <c r="T767" i="4" s="1"/>
  <c r="S881" i="4"/>
  <c r="T881" i="4" s="1"/>
  <c r="S91" i="4"/>
  <c r="T91" i="4" s="1"/>
  <c r="S430" i="4"/>
  <c r="T430" i="4" s="1"/>
  <c r="S360" i="4"/>
  <c r="T360" i="4" s="1"/>
  <c r="S667" i="4"/>
  <c r="T667" i="4" s="1"/>
  <c r="S549" i="4"/>
  <c r="T549" i="4" s="1"/>
  <c r="S608" i="4"/>
  <c r="T608" i="4" s="1"/>
  <c r="S900" i="4"/>
  <c r="T900" i="4" s="1"/>
  <c r="S804" i="4"/>
  <c r="T804" i="4" s="1"/>
  <c r="S488" i="4"/>
  <c r="T488" i="4" s="1"/>
  <c r="S811" i="4"/>
  <c r="T811" i="4" s="1"/>
  <c r="S304" i="4"/>
  <c r="T304" i="4" s="1"/>
  <c r="S611" i="4"/>
  <c r="T611" i="4" s="1"/>
  <c r="S869" i="4"/>
  <c r="T869" i="4" s="1"/>
  <c r="S828" i="4"/>
  <c r="T828" i="4" s="1"/>
  <c r="S581" i="4"/>
  <c r="T581" i="4" s="1"/>
  <c r="S322" i="4"/>
  <c r="T322" i="4" s="1"/>
  <c r="S310" i="4"/>
  <c r="T310" i="4" s="1"/>
  <c r="S404" i="4"/>
  <c r="T404" i="4" s="1"/>
  <c r="S413" i="4"/>
  <c r="S593" i="4"/>
  <c r="T593" i="4" s="1"/>
  <c r="S303" i="4"/>
  <c r="T303" i="4" s="1"/>
  <c r="S556" i="4"/>
  <c r="T556" i="4" s="1"/>
  <c r="S526" i="4"/>
  <c r="T526" i="4" s="1"/>
  <c r="S877" i="4"/>
  <c r="T877" i="4" s="1"/>
  <c r="S588" i="4"/>
  <c r="T588" i="4" s="1"/>
  <c r="S741" i="4"/>
  <c r="T741" i="4" s="1"/>
  <c r="S354" i="4"/>
  <c r="T354" i="4" s="1"/>
  <c r="S772" i="4"/>
  <c r="T772" i="4" s="1"/>
  <c r="S699" i="4"/>
  <c r="T699" i="4" s="1"/>
  <c r="S875" i="4"/>
  <c r="T875" i="4" s="1"/>
  <c r="S779" i="4"/>
  <c r="T779" i="4" s="1"/>
  <c r="S405" i="4"/>
  <c r="T405" i="4" s="1"/>
  <c r="S835" i="4"/>
  <c r="T835" i="4" s="1"/>
  <c r="S258" i="4"/>
  <c r="T258" i="4" s="1"/>
  <c r="S385" i="4"/>
  <c r="T385" i="4" s="1"/>
  <c r="S370" i="4"/>
  <c r="T370" i="4" s="1"/>
  <c r="S979" i="4"/>
  <c r="T979" i="4" s="1"/>
  <c r="S650" i="4"/>
  <c r="T650" i="4" s="1"/>
  <c r="S604" i="4"/>
  <c r="T604" i="4" s="1"/>
  <c r="S861" i="4"/>
  <c r="T861" i="4" s="1"/>
  <c r="S466" i="4"/>
  <c r="T466" i="4" s="1"/>
  <c r="S512" i="4"/>
  <c r="T512" i="4" s="1"/>
  <c r="S855" i="4"/>
  <c r="T855" i="4" s="1"/>
  <c r="S246" i="4"/>
  <c r="T246" i="4" s="1"/>
  <c r="S274" i="4"/>
  <c r="T274" i="4" s="1"/>
  <c r="S625" i="4"/>
  <c r="T625" i="4" s="1"/>
  <c r="S823" i="4"/>
  <c r="T823" i="4" s="1"/>
  <c r="S872" i="4"/>
  <c r="T872" i="4" s="1"/>
  <c r="S565" i="4"/>
  <c r="T565" i="4" s="1"/>
  <c r="S420" i="4"/>
  <c r="T420" i="4" s="1"/>
  <c r="S293" i="4"/>
  <c r="T293" i="4" s="1"/>
  <c r="S318" i="4"/>
  <c r="T318" i="4" s="1"/>
  <c r="S879" i="4"/>
  <c r="T879" i="4" s="1"/>
  <c r="S756" i="4"/>
  <c r="T756" i="4" s="1"/>
  <c r="S278" i="4"/>
  <c r="T278" i="4" s="1"/>
  <c r="S394" i="4"/>
  <c r="T394" i="4" s="1"/>
  <c r="S631" i="4"/>
  <c r="T631" i="4" s="1"/>
  <c r="S605" i="4"/>
  <c r="T605" i="4" s="1"/>
  <c r="S915" i="4"/>
  <c r="T915" i="4" s="1"/>
  <c r="S348" i="4"/>
  <c r="T348" i="4" s="1"/>
  <c r="S368" i="4"/>
  <c r="T368" i="4" s="1"/>
  <c r="S800" i="4"/>
  <c r="T800" i="4" s="1"/>
  <c r="S983" i="4"/>
  <c r="T983" i="4" s="1"/>
  <c r="S827" i="4"/>
  <c r="T827" i="4" s="1"/>
  <c r="S537" i="4"/>
  <c r="T537" i="4" s="1"/>
  <c r="S775" i="4"/>
  <c r="T775" i="4" s="1"/>
  <c r="S441" i="4"/>
  <c r="T441" i="4" s="1"/>
  <c r="S940" i="4"/>
  <c r="T940" i="4" s="1"/>
  <c r="S840" i="4"/>
  <c r="T840" i="4" s="1"/>
  <c r="S540" i="4"/>
  <c r="T540" i="4" s="1"/>
  <c r="S243" i="4"/>
  <c r="T243" i="4" s="1"/>
  <c r="S489" i="4"/>
  <c r="T489" i="4" s="1"/>
  <c r="S485" i="4"/>
  <c r="T485" i="4" s="1"/>
  <c r="S561" i="4"/>
  <c r="T561" i="4" s="1"/>
  <c r="S472" i="4"/>
  <c r="T472" i="4" s="1"/>
  <c r="S592" i="4"/>
  <c r="T592" i="4" s="1"/>
  <c r="S340" i="4"/>
  <c r="T340" i="4" s="1"/>
  <c r="S621" i="4"/>
  <c r="T621" i="4" s="1"/>
  <c r="S461" i="4"/>
  <c r="T461" i="4" s="1"/>
  <c r="S737" i="4"/>
  <c r="T737" i="4" s="1"/>
  <c r="S574" i="4"/>
  <c r="T574" i="4" s="1"/>
  <c r="S715" i="4"/>
  <c r="T715" i="4" s="1"/>
  <c r="S309" i="4"/>
  <c r="T309" i="4" s="1"/>
  <c r="S524" i="4"/>
  <c r="S334" i="4"/>
  <c r="T334" i="4" s="1"/>
  <c r="S283" i="4"/>
  <c r="T283" i="4" s="1"/>
  <c r="S832" i="4"/>
  <c r="T832" i="4" s="1"/>
  <c r="S807" i="4"/>
  <c r="T807" i="4" s="1"/>
  <c r="S456" i="4"/>
  <c r="T456" i="4" s="1"/>
  <c r="S298" i="4"/>
  <c r="T298" i="4" s="1"/>
  <c r="S671" i="4"/>
  <c r="T671" i="4" s="1"/>
  <c r="S619" i="4"/>
  <c r="T619" i="4" s="1"/>
  <c r="S376" i="4"/>
  <c r="T376" i="4" s="1"/>
  <c r="S851" i="4"/>
  <c r="T851" i="4" s="1"/>
  <c r="S434" i="4"/>
  <c r="T434" i="4" s="1"/>
  <c r="S803" i="4"/>
  <c r="T803" i="4" s="1"/>
  <c r="S760" i="4"/>
  <c r="T760" i="4" s="1"/>
  <c r="S501" i="4"/>
  <c r="T501" i="4" s="1"/>
  <c r="S416" i="4"/>
  <c r="T416" i="4" s="1"/>
  <c r="S273" i="4"/>
  <c r="T273" i="4" s="1"/>
  <c r="S247" i="4"/>
  <c r="T247" i="4" s="1"/>
  <c r="S580" i="4"/>
  <c r="T580" i="4" s="1"/>
  <c r="S294" i="4"/>
  <c r="T294" i="4" s="1"/>
  <c r="D217" i="5"/>
  <c r="R207" i="4"/>
  <c r="S606" i="4"/>
  <c r="T606" i="4" s="1"/>
  <c r="S627" i="4"/>
  <c r="T627" i="4" s="1"/>
  <c r="D215" i="5"/>
  <c r="R205" i="4"/>
  <c r="S408" i="4"/>
  <c r="T408" i="4" s="1"/>
  <c r="T794" i="4"/>
  <c r="T858" i="4"/>
  <c r="S808" i="4"/>
  <c r="T808" i="4" s="1"/>
  <c r="T798" i="4"/>
  <c r="S829" i="4"/>
  <c r="T829" i="4" s="1"/>
  <c r="S356" i="4"/>
  <c r="T356" i="4" s="1"/>
  <c r="D239" i="5"/>
  <c r="R229" i="4"/>
  <c r="D117" i="5"/>
  <c r="R107" i="4"/>
  <c r="D129" i="5"/>
  <c r="R119" i="4"/>
  <c r="S609" i="4"/>
  <c r="T609" i="4" s="1"/>
  <c r="T769" i="4"/>
  <c r="T713" i="4"/>
  <c r="T379" i="4"/>
  <c r="S282" i="4"/>
  <c r="T282" i="4" s="1"/>
  <c r="S919" i="4"/>
  <c r="T919" i="4" s="1"/>
  <c r="S536" i="4"/>
  <c r="T536" i="4" s="1"/>
  <c r="S899" i="4"/>
  <c r="T899" i="4" s="1"/>
  <c r="S382" i="4"/>
  <c r="T382" i="4" s="1"/>
  <c r="T712" i="4"/>
  <c r="S320" i="4"/>
  <c r="T320" i="4" s="1"/>
  <c r="S679" i="4"/>
  <c r="T679" i="4" s="1"/>
  <c r="T709" i="4"/>
  <c r="S323" i="4"/>
  <c r="T323" i="4" s="1"/>
  <c r="D106" i="5"/>
  <c r="R96" i="4"/>
  <c r="S350" i="4"/>
  <c r="T350" i="4" s="1"/>
  <c r="S928" i="4"/>
  <c r="T928" i="4" s="1"/>
  <c r="S326" i="4"/>
  <c r="T326" i="4" s="1"/>
  <c r="S871" i="4"/>
  <c r="T871" i="4" s="1"/>
  <c r="D180" i="5"/>
  <c r="R170" i="4"/>
  <c r="S642" i="4"/>
  <c r="T642" i="4" s="1"/>
  <c r="T463" i="4"/>
  <c r="S279" i="4"/>
  <c r="T279" i="4" s="1"/>
  <c r="D236" i="5"/>
  <c r="R226" i="4"/>
  <c r="D54" i="5"/>
  <c r="R44" i="4"/>
  <c r="S44" i="4" s="1"/>
  <c r="T44" i="4" s="1"/>
  <c r="D17" i="5"/>
  <c r="R7" i="4"/>
  <c r="S295" i="4"/>
  <c r="T295" i="4" s="1"/>
  <c r="S885" i="4"/>
  <c r="T885" i="4" s="1"/>
  <c r="T849" i="4"/>
  <c r="S731" i="4"/>
  <c r="T731" i="4" s="1"/>
  <c r="S508" i="4"/>
  <c r="T508" i="4" s="1"/>
  <c r="S984" i="4"/>
  <c r="T984" i="4" s="1"/>
  <c r="S301" i="4"/>
  <c r="T301" i="4" s="1"/>
  <c r="S564" i="4"/>
  <c r="T564" i="4" s="1"/>
  <c r="S374" i="4"/>
  <c r="T374" i="4" s="1"/>
  <c r="S706" i="4"/>
  <c r="T706" i="4" s="1"/>
  <c r="T696" i="4"/>
  <c r="S584" i="4"/>
  <c r="T584" i="4" s="1"/>
  <c r="S614" i="4"/>
  <c r="T614" i="4" s="1"/>
  <c r="S514" i="4"/>
  <c r="T514" i="4" s="1"/>
  <c r="D29" i="5"/>
  <c r="R19" i="4"/>
  <c r="S548" i="4"/>
  <c r="T548" i="4" s="1"/>
  <c r="S759" i="4"/>
  <c r="T759" i="4" s="1"/>
  <c r="D43" i="5"/>
  <c r="R33" i="4"/>
  <c r="S33" i="4" s="1"/>
  <c r="T33" i="4" s="1"/>
  <c r="S484" i="4"/>
  <c r="T484" i="4" s="1"/>
  <c r="T292" i="4"/>
  <c r="S528" i="4"/>
  <c r="T528" i="4" s="1"/>
  <c r="D88" i="5"/>
  <c r="R78" i="4"/>
  <c r="S78" i="4" s="1"/>
  <c r="T78" i="4" s="1"/>
  <c r="S768" i="4"/>
  <c r="T768" i="4" s="1"/>
  <c r="T427" i="4"/>
  <c r="D135" i="5"/>
  <c r="R125" i="4"/>
  <c r="D233" i="5"/>
  <c r="R223" i="4"/>
  <c r="D166" i="5"/>
  <c r="R156" i="4"/>
  <c r="S156" i="4" s="1"/>
  <c r="T156" i="4" s="1"/>
  <c r="S750" i="4"/>
  <c r="T750" i="4" s="1"/>
  <c r="S392" i="4"/>
  <c r="T392" i="4" s="1"/>
  <c r="D228" i="5"/>
  <c r="R218" i="4"/>
  <c r="D58" i="5"/>
  <c r="R48" i="4"/>
  <c r="S936" i="4"/>
  <c r="T936" i="4" s="1"/>
  <c r="S887" i="4"/>
  <c r="T887" i="4" s="1"/>
  <c r="S783" i="4"/>
  <c r="T783" i="4" s="1"/>
  <c r="D195" i="5"/>
  <c r="R185" i="4"/>
  <c r="D27" i="5"/>
  <c r="R17" i="4"/>
  <c r="S17" i="4" s="1"/>
  <c r="T17" i="4" s="1"/>
  <c r="S493" i="4"/>
  <c r="T493" i="4" s="1"/>
  <c r="D134" i="5"/>
  <c r="R124" i="4"/>
  <c r="S124" i="4" s="1"/>
  <c r="T124" i="4" s="1"/>
  <c r="S948" i="4"/>
  <c r="T948" i="4" s="1"/>
  <c r="D137" i="5"/>
  <c r="R127" i="4"/>
  <c r="D194" i="5"/>
  <c r="D182" i="5"/>
  <c r="R172" i="4"/>
  <c r="R15" i="4"/>
  <c r="S996" i="4"/>
  <c r="T996" i="4" s="1"/>
  <c r="R151" i="4"/>
  <c r="S151" i="4" s="1"/>
  <c r="T151" i="4" s="1"/>
  <c r="S189" i="4"/>
  <c r="T189" i="4" s="1"/>
  <c r="R150" i="4"/>
  <c r="R46" i="4"/>
  <c r="S46" i="4" s="1"/>
  <c r="T46" i="4" s="1"/>
  <c r="R110" i="4"/>
  <c r="S110" i="4" s="1"/>
  <c r="T110" i="4" s="1"/>
  <c r="R13" i="4"/>
  <c r="R212" i="4"/>
  <c r="S212" i="4" s="1"/>
  <c r="T212" i="4" s="1"/>
  <c r="R11" i="4"/>
  <c r="S788" i="4"/>
  <c r="T788" i="4" s="1"/>
  <c r="S714" i="4"/>
  <c r="T714" i="4" s="1"/>
  <c r="R116" i="4"/>
  <c r="S116" i="4" s="1"/>
  <c r="T116" i="4" s="1"/>
  <c r="R138" i="4"/>
  <c r="R63" i="4"/>
  <c r="R20" i="4"/>
  <c r="S20" i="4" s="1"/>
  <c r="T20" i="4" s="1"/>
  <c r="R169" i="4"/>
  <c r="R140" i="4"/>
  <c r="R58" i="4"/>
  <c r="S58" i="4" s="1"/>
  <c r="T58" i="4" s="1"/>
  <c r="R81" i="4"/>
  <c r="S545" i="4"/>
  <c r="T545" i="4" s="1"/>
  <c r="R9" i="4"/>
  <c r="S9" i="4" s="1"/>
  <c r="T9" i="4" s="1"/>
  <c r="R94" i="4"/>
  <c r="S94" i="4" s="1"/>
  <c r="T94" i="4" s="1"/>
  <c r="R5" i="4"/>
  <c r="S5" i="4" s="1"/>
  <c r="T5" i="4" s="1"/>
  <c r="R22" i="4"/>
  <c r="S22" i="4" s="1"/>
  <c r="T22" i="4" s="1"/>
  <c r="T729" i="4"/>
  <c r="S500" i="4"/>
  <c r="T500" i="4" s="1"/>
  <c r="R188" i="4"/>
  <c r="S188" i="4" s="1"/>
  <c r="T188" i="4" s="1"/>
  <c r="R42" i="4"/>
  <c r="S42" i="4" s="1"/>
  <c r="T42" i="4" s="1"/>
  <c r="R166" i="4"/>
  <c r="R132" i="4"/>
  <c r="S132" i="4" s="1"/>
  <c r="T132" i="4" s="1"/>
  <c r="R210" i="4"/>
  <c r="R54" i="4"/>
  <c r="S54" i="4" s="1"/>
  <c r="T54" i="4" s="1"/>
  <c r="R71" i="4"/>
  <c r="S859" i="4"/>
  <c r="T859" i="4" s="1"/>
  <c r="S687" i="4"/>
  <c r="T687" i="4" s="1"/>
  <c r="R234" i="4"/>
  <c r="R41" i="4"/>
  <c r="S41" i="4" s="1"/>
  <c r="T41" i="4" s="1"/>
  <c r="T998" i="4"/>
  <c r="T994" i="4"/>
  <c r="T781" i="4"/>
  <c r="R117" i="4"/>
  <c r="R122" i="4"/>
  <c r="R55" i="4"/>
  <c r="S481" i="4"/>
  <c r="T481" i="4" s="1"/>
  <c r="S267" i="4"/>
  <c r="T267" i="4" s="1"/>
  <c r="S813" i="4"/>
  <c r="T813" i="4" s="1"/>
  <c r="D53" i="5"/>
  <c r="R43" i="4"/>
  <c r="S675" i="4"/>
  <c r="T675" i="4" s="1"/>
  <c r="D230" i="5"/>
  <c r="R220" i="4"/>
  <c r="S220" i="4" s="1"/>
  <c r="T220" i="4" s="1"/>
  <c r="S674" i="4"/>
  <c r="T674" i="4" s="1"/>
  <c r="D138" i="5"/>
  <c r="R128" i="4"/>
  <c r="S398" i="4"/>
  <c r="T398" i="4" s="1"/>
  <c r="S992" i="4"/>
  <c r="T992" i="4" s="1"/>
  <c r="S824" i="4"/>
  <c r="T824" i="4" s="1"/>
  <c r="S599" i="4"/>
  <c r="T599" i="4" s="1"/>
  <c r="S795" i="4"/>
  <c r="T795" i="4" s="1"/>
  <c r="S462" i="4"/>
  <c r="T462" i="4" s="1"/>
  <c r="S262" i="4"/>
  <c r="T262" i="4" s="1"/>
  <c r="D210" i="5"/>
  <c r="R200" i="4"/>
  <c r="S200" i="4" s="1"/>
  <c r="T200" i="4" s="1"/>
  <c r="D227" i="5"/>
  <c r="R217" i="4"/>
  <c r="D100" i="5"/>
  <c r="R90" i="4"/>
  <c r="D70" i="5"/>
  <c r="R60" i="4"/>
  <c r="S60" i="4" s="1"/>
  <c r="T60" i="4" s="1"/>
  <c r="T863" i="4"/>
  <c r="S820" i="4"/>
  <c r="T820" i="4" s="1"/>
  <c r="S440" i="4"/>
  <c r="T440" i="4" s="1"/>
  <c r="D192" i="5"/>
  <c r="R182" i="4"/>
  <c r="D211" i="5"/>
  <c r="R201" i="4"/>
  <c r="S428" i="4"/>
  <c r="T428" i="4" s="1"/>
  <c r="D109" i="5"/>
  <c r="R99" i="4"/>
  <c r="S271" i="4"/>
  <c r="T271" i="4" s="1"/>
  <c r="S285" i="4"/>
  <c r="T285" i="4" s="1"/>
  <c r="S478" i="4"/>
  <c r="T478" i="4" s="1"/>
  <c r="D87" i="5"/>
  <c r="R77" i="4"/>
  <c r="S77" i="4" s="1"/>
  <c r="T77" i="4" s="1"/>
  <c r="S436" i="4"/>
  <c r="T436" i="4" s="1"/>
  <c r="S281" i="4"/>
  <c r="T281" i="4" s="1"/>
  <c r="S291" i="4"/>
  <c r="T291" i="4" s="1"/>
  <c r="D45" i="5"/>
  <c r="R35" i="4"/>
  <c r="S353" i="4"/>
  <c r="T353" i="4" s="1"/>
  <c r="D200" i="5"/>
  <c r="R190" i="4"/>
  <c r="D152" i="5"/>
  <c r="R142" i="4"/>
  <c r="S388" i="4"/>
  <c r="T388" i="4" s="1"/>
  <c r="S389" i="4"/>
  <c r="T389" i="4" s="1"/>
  <c r="D37" i="5"/>
  <c r="R27" i="4"/>
  <c r="S557" i="4"/>
  <c r="T557" i="4" s="1"/>
  <c r="S690" i="4"/>
  <c r="T690" i="4" s="1"/>
  <c r="T997" i="4"/>
  <c r="S544" i="4"/>
  <c r="T544" i="4" s="1"/>
  <c r="S764" i="4"/>
  <c r="T764" i="4" s="1"/>
  <c r="D238" i="5"/>
  <c r="R228" i="4"/>
  <c r="S228" i="4" s="1"/>
  <c r="T228" i="4" s="1"/>
  <c r="T652" i="4"/>
  <c r="S249" i="4"/>
  <c r="T249" i="4" s="1"/>
  <c r="S868" i="4"/>
  <c r="T868" i="4" s="1"/>
  <c r="T431" i="4"/>
  <c r="T287" i="4"/>
  <c r="R174" i="4"/>
  <c r="S330" i="4"/>
  <c r="T330" i="4" s="1"/>
  <c r="R79" i="4"/>
  <c r="R93" i="4"/>
  <c r="R34" i="4"/>
  <c r="S34" i="4" s="1"/>
  <c r="T34" i="4" s="1"/>
  <c r="R49" i="4"/>
  <c r="S49" i="4" s="1"/>
  <c r="T49" i="4" s="1"/>
  <c r="R136" i="4"/>
  <c r="R154" i="4"/>
  <c r="R158" i="4"/>
  <c r="R135" i="4"/>
  <c r="R175" i="4"/>
  <c r="R76" i="4"/>
  <c r="S76" i="4" s="1"/>
  <c r="T76" i="4" s="1"/>
  <c r="R45" i="4"/>
  <c r="S45" i="4" s="1"/>
  <c r="T45" i="4" s="1"/>
  <c r="R69" i="4"/>
  <c r="S69" i="4" s="1"/>
  <c r="T69" i="4" s="1"/>
  <c r="R52" i="4"/>
  <c r="S52" i="4" s="1"/>
  <c r="T52" i="4" s="1"/>
  <c r="T725" i="4"/>
  <c r="T661" i="4"/>
  <c r="R161" i="4"/>
  <c r="R155" i="4"/>
  <c r="S155" i="4" s="1"/>
  <c r="T155" i="4" s="1"/>
  <c r="R198" i="4"/>
  <c r="S560" i="4"/>
  <c r="T560" i="4" s="1"/>
  <c r="S819" i="4"/>
  <c r="T819" i="4" s="1"/>
  <c r="R208" i="4"/>
  <c r="S208" i="4" s="1"/>
  <c r="T208" i="4" s="1"/>
  <c r="T286" i="4"/>
  <c r="R59" i="4"/>
  <c r="R114" i="4"/>
  <c r="R24" i="4"/>
  <c r="S558" i="4"/>
  <c r="T558" i="4" s="1"/>
  <c r="R235" i="4"/>
  <c r="S253" i="4"/>
  <c r="T253" i="4" s="1"/>
  <c r="R162" i="4"/>
  <c r="R32" i="4"/>
  <c r="T475" i="4"/>
  <c r="T531" i="4"/>
  <c r="S845" i="4"/>
  <c r="T845" i="4" s="1"/>
  <c r="T487" i="4"/>
  <c r="R31" i="4"/>
  <c r="R137" i="4"/>
  <c r="T495" i="4"/>
  <c r="R187" i="4"/>
  <c r="R160" i="4"/>
  <c r="S160" i="4" s="1"/>
  <c r="T160" i="4" s="1"/>
  <c r="S755" i="4"/>
  <c r="T755" i="4" s="1"/>
  <c r="T704" i="4"/>
  <c r="T728" i="4"/>
  <c r="T244" i="4"/>
  <c r="S317" i="4"/>
  <c r="T317" i="4" s="1"/>
  <c r="S289" i="4"/>
  <c r="T289" i="4" s="1"/>
  <c r="S241" i="4"/>
  <c r="T241" i="4" s="1"/>
  <c r="S468" i="4"/>
  <c r="T468" i="4" s="1"/>
  <c r="S952" i="4"/>
  <c r="T952" i="4" s="1"/>
  <c r="S401" i="4"/>
  <c r="T401" i="4" s="1"/>
  <c r="S626" i="4"/>
  <c r="T626" i="4" s="1"/>
  <c r="D46" i="5"/>
  <c r="R36" i="4"/>
  <c r="S36" i="4" s="1"/>
  <c r="T36" i="4" s="1"/>
  <c r="D151" i="5"/>
  <c r="R141" i="4"/>
  <c r="S369" i="4"/>
  <c r="T369" i="4" s="1"/>
  <c r="T347" i="4"/>
  <c r="S480" i="4"/>
  <c r="T480" i="4" s="1"/>
  <c r="S791" i="4"/>
  <c r="T791" i="4" s="1"/>
  <c r="S373" i="4"/>
  <c r="T373" i="4" s="1"/>
  <c r="D114" i="5"/>
  <c r="R104" i="4"/>
  <c r="S529" i="4"/>
  <c r="T529" i="4" s="1"/>
  <c r="D187" i="5"/>
  <c r="R177" i="4"/>
  <c r="S761" i="4"/>
  <c r="T761" i="4" s="1"/>
  <c r="D201" i="5"/>
  <c r="R191" i="4"/>
  <c r="D203" i="5"/>
  <c r="R193" i="4"/>
  <c r="S749" i="4"/>
  <c r="T749" i="4" s="1"/>
  <c r="S763" i="4"/>
  <c r="T763" i="4" s="1"/>
  <c r="D246" i="5"/>
  <c r="R236" i="4"/>
  <c r="S236" i="4" s="1"/>
  <c r="T236" i="4" s="1"/>
  <c r="S987" i="4"/>
  <c r="T987" i="4" s="1"/>
  <c r="S988" i="4"/>
  <c r="T988" i="4" s="1"/>
  <c r="S799" i="4"/>
  <c r="T799" i="4" s="1"/>
  <c r="T934" i="4"/>
  <c r="D133" i="5"/>
  <c r="R123" i="4"/>
  <c r="S734" i="4"/>
  <c r="T734" i="4" s="1"/>
  <c r="D107" i="5"/>
  <c r="R97" i="4"/>
  <c r="S251" i="4"/>
  <c r="T251" i="4" s="1"/>
  <c r="T644" i="4"/>
  <c r="D173" i="5"/>
  <c r="R163" i="4"/>
  <c r="S163" i="4" s="1"/>
  <c r="T163" i="4" s="1"/>
  <c r="D47" i="5"/>
  <c r="R37" i="4"/>
  <c r="S37" i="4" s="1"/>
  <c r="T37" i="4" s="1"/>
  <c r="S345" i="4"/>
  <c r="T345" i="4" s="1"/>
  <c r="T240" i="4"/>
  <c r="T284" i="4"/>
  <c r="S352" i="4"/>
  <c r="T352" i="4" s="1"/>
  <c r="D175" i="5"/>
  <c r="R165" i="4"/>
  <c r="S338" i="4"/>
  <c r="T338" i="4" s="1"/>
  <c r="S980" i="4"/>
  <c r="T980" i="4" s="1"/>
  <c r="T547" i="4"/>
  <c r="S766" i="4"/>
  <c r="T766" i="4" s="1"/>
  <c r="D128" i="5"/>
  <c r="R118" i="4"/>
  <c r="S118" i="4" s="1"/>
  <c r="T118" i="4" s="1"/>
  <c r="D136" i="5"/>
  <c r="R126" i="4"/>
  <c r="S126" i="4" s="1"/>
  <c r="T126" i="4" s="1"/>
  <c r="T538" i="4"/>
  <c r="S497" i="4"/>
  <c r="T497" i="4" s="1"/>
  <c r="T507" i="4"/>
  <c r="S315" i="4"/>
  <c r="T315" i="4" s="1"/>
  <c r="S457" i="4"/>
  <c r="T457" i="4" s="1"/>
  <c r="D31" i="5"/>
  <c r="R21" i="4"/>
  <c r="S21" i="4" s="1"/>
  <c r="T21" i="4" s="1"/>
  <c r="S261" i="4"/>
  <c r="T261" i="4" s="1"/>
  <c r="D190" i="5"/>
  <c r="R180" i="4"/>
  <c r="S180" i="4" s="1"/>
  <c r="T180" i="4" s="1"/>
  <c r="S421" i="4"/>
  <c r="T421" i="4" s="1"/>
  <c r="T971" i="4"/>
  <c r="S765" i="4"/>
  <c r="T765" i="4" s="1"/>
  <c r="S377" i="4"/>
  <c r="T377" i="4" s="1"/>
  <c r="S299" i="4"/>
  <c r="T299" i="4" s="1"/>
  <c r="T905" i="4"/>
  <c r="S386" i="4"/>
  <c r="T386" i="4" s="1"/>
  <c r="S513" i="4"/>
  <c r="T513" i="4" s="1"/>
  <c r="D219" i="5"/>
  <c r="R209" i="4"/>
  <c r="T519" i="4"/>
  <c r="S333" i="4"/>
  <c r="T333" i="4" s="1"/>
  <c r="S916" i="4"/>
  <c r="T916" i="4" s="1"/>
  <c r="D186" i="5"/>
  <c r="R176" i="4"/>
  <c r="S176" i="4" s="1"/>
  <c r="T176" i="4" s="1"/>
  <c r="D181" i="5"/>
  <c r="R171" i="4"/>
  <c r="S683" i="4"/>
  <c r="T683" i="4" s="1"/>
  <c r="T833" i="4"/>
  <c r="S585" i="4"/>
  <c r="T585" i="4" s="1"/>
  <c r="D188" i="5"/>
  <c r="R178" i="4"/>
  <c r="D240" i="5"/>
  <c r="R230" i="4"/>
  <c r="D206" i="5"/>
  <c r="R196" i="4"/>
  <c r="S196" i="4" s="1"/>
  <c r="T196" i="4" s="1"/>
  <c r="S972" i="4"/>
  <c r="T972" i="4" s="1"/>
  <c r="S245" i="4"/>
  <c r="T245" i="4" s="1"/>
  <c r="S639" i="4"/>
  <c r="T639" i="4" s="1"/>
  <c r="S437" i="4"/>
  <c r="T437" i="4" s="1"/>
  <c r="S349" i="4"/>
  <c r="T349" i="4" s="1"/>
  <c r="D157" i="5"/>
  <c r="R147" i="4"/>
  <c r="S147" i="4" s="1"/>
  <c r="T147" i="4" s="1"/>
  <c r="S691" i="4"/>
  <c r="T691" i="4" s="1"/>
  <c r="S473" i="4"/>
  <c r="T473" i="4" s="1"/>
  <c r="T831" i="4"/>
  <c r="T567" i="4"/>
  <c r="S864" i="4"/>
  <c r="T864" i="4" s="1"/>
  <c r="S452" i="4"/>
  <c r="T452" i="4" s="1"/>
  <c r="S380" i="4"/>
  <c r="T380" i="4" s="1"/>
  <c r="S923" i="4"/>
  <c r="T923" i="4" s="1"/>
  <c r="S346" i="4"/>
  <c r="T346" i="4" s="1"/>
  <c r="D191" i="5"/>
  <c r="R181" i="4"/>
  <c r="D155" i="5"/>
  <c r="R145" i="4"/>
  <c r="T802" i="4"/>
  <c r="T570" i="4"/>
  <c r="T688" i="4"/>
  <c r="D202" i="5"/>
  <c r="R192" i="4"/>
  <c r="S192" i="4" s="1"/>
  <c r="T192" i="4" s="1"/>
  <c r="D224" i="5"/>
  <c r="R214" i="4"/>
  <c r="S635" i="4"/>
  <c r="T635" i="4" s="1"/>
  <c r="D105" i="5"/>
  <c r="R95" i="4"/>
  <c r="S477" i="4"/>
  <c r="T477" i="4" s="1"/>
  <c r="S735" i="4"/>
  <c r="T735" i="4" s="1"/>
  <c r="S739" i="4"/>
  <c r="T739" i="4" s="1"/>
  <c r="S449" i="4"/>
  <c r="T449" i="4" s="1"/>
  <c r="S586" i="4"/>
  <c r="T586" i="4" s="1"/>
  <c r="S695" i="4"/>
  <c r="T695" i="4" s="1"/>
  <c r="S964" i="4"/>
  <c r="T964" i="4" s="1"/>
  <c r="D40" i="5"/>
  <c r="R30" i="4"/>
  <c r="S30" i="4" s="1"/>
  <c r="T30" i="4" s="1"/>
  <c r="S409" i="4"/>
  <c r="T409" i="4" s="1"/>
  <c r="T842" i="4"/>
  <c r="D108" i="5"/>
  <c r="R98" i="4"/>
  <c r="S365" i="4"/>
  <c r="T365" i="4" s="1"/>
  <c r="S505" i="4"/>
  <c r="T505" i="4" s="1"/>
  <c r="S516" i="4"/>
  <c r="T516" i="4" s="1"/>
  <c r="T941" i="4"/>
  <c r="S960" i="4"/>
  <c r="T960" i="4" s="1"/>
  <c r="S319" i="4"/>
  <c r="T319" i="4" s="1"/>
  <c r="H433" i="4"/>
  <c r="D57" i="5"/>
  <c r="R47" i="4"/>
  <c r="D110" i="5"/>
  <c r="R100" i="4"/>
  <c r="S100" i="4" s="1"/>
  <c r="T100" i="4" s="1"/>
  <c r="D159" i="5"/>
  <c r="R149" i="4"/>
  <c r="R111" i="4"/>
  <c r="R130" i="4"/>
  <c r="R203" i="4"/>
  <c r="R82" i="4"/>
  <c r="R134" i="4"/>
  <c r="S134" i="4" s="1"/>
  <c r="T134" i="4" s="1"/>
  <c r="R216" i="4"/>
  <c r="S216" i="4" s="1"/>
  <c r="T216" i="4" s="1"/>
  <c r="R3" i="4"/>
  <c r="R120" i="4"/>
  <c r="R73" i="4"/>
  <c r="S73" i="4" s="1"/>
  <c r="T73" i="4" s="1"/>
  <c r="R70" i="4"/>
  <c r="S70" i="4" s="1"/>
  <c r="T70" i="4" s="1"/>
  <c r="R225" i="4"/>
  <c r="R12" i="4"/>
  <c r="R231" i="4"/>
  <c r="R199" i="4"/>
  <c r="R101" i="4"/>
  <c r="S101" i="4" s="1"/>
  <c r="T101" i="4" s="1"/>
  <c r="R26" i="4"/>
  <c r="S26" i="4" s="1"/>
  <c r="T26" i="4" s="1"/>
  <c r="R8" i="4"/>
  <c r="R112" i="4"/>
  <c r="R129" i="4"/>
  <c r="R87" i="4"/>
  <c r="S381" i="4"/>
  <c r="T381" i="4" s="1"/>
  <c r="T637" i="4"/>
  <c r="T991" i="4"/>
  <c r="R50" i="4"/>
  <c r="S50" i="4" s="1"/>
  <c r="T50" i="4" s="1"/>
  <c r="T371" i="4"/>
  <c r="T515" i="4"/>
  <c r="S257" i="4"/>
  <c r="T257" i="4" s="1"/>
  <c r="R56" i="4"/>
  <c r="T692" i="4"/>
  <c r="R133" i="4"/>
  <c r="R113" i="4"/>
  <c r="R143" i="4"/>
  <c r="R146" i="4"/>
  <c r="S450" i="4"/>
  <c r="T450" i="4" s="1"/>
  <c r="D112" i="5"/>
  <c r="R102" i="4"/>
  <c r="S102" i="4" s="1"/>
  <c r="T102" i="4" s="1"/>
  <c r="S576" i="4"/>
  <c r="T576" i="4" s="1"/>
  <c r="D75" i="5"/>
  <c r="R65" i="4"/>
  <c r="S65" i="4" s="1"/>
  <c r="T65" i="4" s="1"/>
  <c r="S896" i="4"/>
  <c r="T896" i="4" s="1"/>
  <c r="S812" i="4"/>
  <c r="T812" i="4" s="1"/>
  <c r="S912" i="4"/>
  <c r="T912" i="4" s="1"/>
  <c r="S745" i="4"/>
  <c r="T745" i="4" s="1"/>
  <c r="S342" i="4"/>
  <c r="T342" i="4" s="1"/>
  <c r="T641" i="4"/>
  <c r="D116" i="5"/>
  <c r="R106" i="4"/>
  <c r="S476" i="4"/>
  <c r="T476" i="4" s="1"/>
  <c r="S269" i="4"/>
  <c r="T269" i="4" s="1"/>
  <c r="D177" i="5"/>
  <c r="R167" i="4"/>
  <c r="S167" i="4" s="1"/>
  <c r="T167" i="4" s="1"/>
  <c r="S532" i="4"/>
  <c r="T532" i="4" s="1"/>
  <c r="S573" i="4"/>
  <c r="T573" i="4" s="1"/>
  <c r="D63" i="5"/>
  <c r="R53" i="4"/>
  <c r="S53" i="4" s="1"/>
  <c r="T53" i="4" s="1"/>
  <c r="D247" i="5"/>
  <c r="R237" i="4"/>
  <c r="D249" i="5"/>
  <c r="R239" i="4"/>
  <c r="S270" i="4"/>
  <c r="T270" i="4" s="1"/>
  <c r="S876" i="4"/>
  <c r="T876" i="4" s="1"/>
  <c r="S396" i="4"/>
  <c r="T396" i="4" s="1"/>
  <c r="D125" i="5"/>
  <c r="R115" i="4"/>
  <c r="D98" i="5"/>
  <c r="R88" i="4"/>
  <c r="S460" i="4"/>
  <c r="T460" i="4" s="1"/>
  <c r="D141" i="5"/>
  <c r="R131" i="4"/>
  <c r="S553" i="4"/>
  <c r="T553" i="4" s="1"/>
  <c r="S711" i="4"/>
  <c r="T711" i="4" s="1"/>
  <c r="S390" i="4"/>
  <c r="T390" i="4" s="1"/>
  <c r="D223" i="5"/>
  <c r="R213" i="4"/>
  <c r="S589" i="4"/>
  <c r="T589" i="4" s="1"/>
  <c r="T653" i="4"/>
  <c r="D28" i="5"/>
  <c r="R18" i="4"/>
  <c r="S18" i="4" s="1"/>
  <c r="T18" i="4" s="1"/>
  <c r="S747" i="4"/>
  <c r="T747" i="4" s="1"/>
  <c r="T563" i="4"/>
  <c r="T834" i="4"/>
  <c r="T607" i="4"/>
  <c r="D14" i="5"/>
  <c r="R4" i="4"/>
  <c r="S4" i="4" s="1"/>
  <c r="T4" i="4" s="1"/>
  <c r="S311" i="4"/>
  <c r="T311" i="4" s="1"/>
  <c r="D35" i="5"/>
  <c r="R25" i="4"/>
  <c r="S25" i="4" s="1"/>
  <c r="T25" i="4" s="1"/>
  <c r="T335" i="4"/>
  <c r="S723" i="4"/>
  <c r="T723" i="4" s="1"/>
  <c r="S325" i="4"/>
  <c r="T325" i="4" s="1"/>
  <c r="S844" i="4"/>
  <c r="T844" i="4" s="1"/>
  <c r="S277" i="4"/>
  <c r="T277" i="4" s="1"/>
  <c r="S701" i="4"/>
  <c r="T701" i="4" s="1"/>
  <c r="S622" i="4"/>
  <c r="T622" i="4" s="1"/>
  <c r="D26" i="5"/>
  <c r="R16" i="4"/>
  <c r="S590" i="4"/>
  <c r="T590" i="4" s="1"/>
  <c r="S328" i="4"/>
  <c r="T328" i="4" s="1"/>
  <c r="D85" i="5"/>
  <c r="R75" i="4"/>
  <c r="S816" i="4"/>
  <c r="T816" i="4" s="1"/>
  <c r="D237" i="5"/>
  <c r="R227" i="4"/>
  <c r="S400" i="4"/>
  <c r="T400" i="4" s="1"/>
  <c r="S312" i="4"/>
  <c r="T312" i="4" s="1"/>
  <c r="S719" i="4"/>
  <c r="T719" i="4" s="1"/>
  <c r="S880" i="4"/>
  <c r="T880" i="4" s="1"/>
  <c r="S596" i="4"/>
  <c r="T596" i="4" s="1"/>
  <c r="D113" i="5"/>
  <c r="R103" i="4"/>
  <c r="S265" i="4"/>
  <c r="T265" i="4" s="1"/>
  <c r="S883" i="4"/>
  <c r="T883" i="4" s="1"/>
  <c r="D77" i="5"/>
  <c r="R67" i="4"/>
  <c r="T901" i="4"/>
  <c r="S624" i="4"/>
  <c r="T624" i="4" s="1"/>
  <c r="D229" i="5"/>
  <c r="R219" i="4"/>
  <c r="D50" i="5"/>
  <c r="R40" i="4"/>
  <c r="T865" i="4"/>
  <c r="T838" i="4"/>
  <c r="T913" i="4"/>
  <c r="S843" i="4"/>
  <c r="T843" i="4" s="1"/>
  <c r="S541" i="4"/>
  <c r="T541" i="4" s="1"/>
  <c r="T738" i="4"/>
  <c r="T902" i="4"/>
  <c r="D95" i="5"/>
  <c r="R85" i="4"/>
  <c r="S85" i="4" s="1"/>
  <c r="T85" i="4" s="1"/>
  <c r="D167" i="5"/>
  <c r="R157" i="4"/>
  <c r="S464" i="4"/>
  <c r="T464" i="4" s="1"/>
  <c r="S613" i="4"/>
  <c r="T613" i="4" s="1"/>
  <c r="S517" i="4"/>
  <c r="T517" i="4" s="1"/>
  <c r="S496" i="4"/>
  <c r="T496" i="4" s="1"/>
  <c r="S848" i="4"/>
  <c r="T848" i="4" s="1"/>
  <c r="S329" i="4"/>
  <c r="T329" i="4" s="1"/>
  <c r="S867" i="4"/>
  <c r="T867" i="4" s="1"/>
  <c r="S751" i="4"/>
  <c r="T751" i="4" s="1"/>
  <c r="D178" i="5"/>
  <c r="R168" i="4"/>
  <c r="T974" i="4"/>
  <c r="T327" i="4"/>
  <c r="S771" i="4"/>
  <c r="T771" i="4" s="1"/>
  <c r="T700" i="4"/>
  <c r="D214" i="5"/>
  <c r="R204" i="4"/>
  <c r="S204" i="4" s="1"/>
  <c r="T204" i="4" s="1"/>
  <c r="T890" i="4"/>
  <c r="S796" i="4"/>
  <c r="T796" i="4" s="1"/>
  <c r="S397" i="4"/>
  <c r="T397" i="4" s="1"/>
  <c r="T693" i="4"/>
  <c r="D189" i="5"/>
  <c r="R179" i="4"/>
  <c r="T550" i="4"/>
  <c r="S578" i="4"/>
  <c r="T578" i="4" s="1"/>
  <c r="D212" i="5"/>
  <c r="R202" i="4"/>
  <c r="S932" i="4"/>
  <c r="T932" i="4" s="1"/>
  <c r="D48" i="5"/>
  <c r="R38" i="4"/>
  <c r="S38" i="4" s="1"/>
  <c r="T38" i="4" s="1"/>
  <c r="T264" i="4"/>
  <c r="T486" i="4"/>
  <c r="S341" i="4"/>
  <c r="T341" i="4" s="1"/>
  <c r="S510" i="4"/>
  <c r="T510" i="4" s="1"/>
  <c r="D72" i="5"/>
  <c r="R62" i="4"/>
  <c r="S62" i="4" s="1"/>
  <c r="T62" i="4" s="1"/>
  <c r="S525" i="4"/>
  <c r="T525" i="4" s="1"/>
  <c r="S647" i="4"/>
  <c r="T647" i="4" s="1"/>
  <c r="S888" i="4"/>
  <c r="T888" i="4" s="1"/>
  <c r="T628" i="4"/>
  <c r="D205" i="5"/>
  <c r="R195" i="4"/>
  <c r="D183" i="5"/>
  <c r="R173" i="4"/>
  <c r="S703" i="4"/>
  <c r="T703" i="4" s="1"/>
  <c r="T276" i="4"/>
  <c r="S884" i="4"/>
  <c r="T884" i="4" s="1"/>
  <c r="S904" i="4"/>
  <c r="T904" i="4" s="1"/>
  <c r="S860" i="4"/>
  <c r="T860" i="4" s="1"/>
  <c r="S730" i="4"/>
  <c r="T730" i="4" s="1"/>
  <c r="D162" i="5"/>
  <c r="R152" i="4"/>
  <c r="S152" i="4" s="1"/>
  <c r="T152" i="4" s="1"/>
  <c r="T818" i="4"/>
  <c r="T367" i="4"/>
  <c r="T909" i="4"/>
  <c r="S568" i="4"/>
  <c r="T568" i="4" s="1"/>
  <c r="R29" i="4"/>
  <c r="S29" i="4" s="1"/>
  <c r="T29" i="4" s="1"/>
  <c r="R23" i="4"/>
  <c r="R64" i="4"/>
  <c r="R211" i="4"/>
  <c r="R183" i="4"/>
  <c r="R68" i="4"/>
  <c r="S68" i="4" s="1"/>
  <c r="T68" i="4" s="1"/>
  <c r="R72" i="4"/>
  <c r="R10" i="4"/>
  <c r="R238" i="4"/>
  <c r="R164" i="4"/>
  <c r="R89" i="4"/>
  <c r="R83" i="4"/>
  <c r="R139" i="4"/>
  <c r="R232" i="4"/>
  <c r="S232" i="4" s="1"/>
  <c r="T232" i="4" s="1"/>
  <c r="R86" i="4"/>
  <c r="S86" i="4" s="1"/>
  <c r="T86" i="4" s="1"/>
  <c r="R6" i="4"/>
  <c r="R221" i="4"/>
  <c r="R153" i="4"/>
  <c r="R194" i="4"/>
  <c r="R74" i="4"/>
  <c r="S74" i="4" s="1"/>
  <c r="T74" i="4" s="1"/>
  <c r="R144" i="4"/>
  <c r="S144" i="4" s="1"/>
  <c r="T144" i="4" s="1"/>
  <c r="R105" i="4"/>
  <c r="S105" i="4" s="1"/>
  <c r="T105" i="4" s="1"/>
  <c r="R197" i="4"/>
  <c r="R14" i="4"/>
  <c r="R206" i="4"/>
  <c r="R92" i="4"/>
  <c r="S92" i="4" s="1"/>
  <c r="T92" i="4" s="1"/>
  <c r="R121" i="4"/>
  <c r="R57" i="4"/>
  <c r="S57" i="4" s="1"/>
  <c r="T57" i="4" s="1"/>
  <c r="R80" i="4"/>
  <c r="S663" i="4"/>
  <c r="T663" i="4" s="1"/>
  <c r="R51" i="4"/>
  <c r="T857" i="4"/>
  <c r="S594" i="4"/>
  <c r="T594" i="4" s="1"/>
  <c r="S384" i="4"/>
  <c r="T384" i="4" s="1"/>
  <c r="R186" i="4"/>
  <c r="R109" i="4"/>
  <c r="R159" i="4"/>
  <c r="S159" i="4" s="1"/>
  <c r="T159" i="4" s="1"/>
  <c r="R224" i="4"/>
  <c r="S224" i="4" s="1"/>
  <c r="T224" i="4" s="1"/>
  <c r="T506" i="4"/>
  <c r="R84" i="4"/>
  <c r="S84" i="4" s="1"/>
  <c r="T84" i="4" s="1"/>
  <c r="T925" i="4"/>
  <c r="R233" i="4"/>
  <c r="R222" i="4"/>
  <c r="R108" i="4"/>
  <c r="S108" i="4" s="1"/>
  <c r="T108" i="4" s="1"/>
  <c r="S546" i="4"/>
  <c r="T546" i="4" s="1"/>
  <c r="R66" i="4"/>
  <c r="S66" i="4" s="1"/>
  <c r="T66" i="4" s="1"/>
  <c r="R148" i="4"/>
  <c r="R61" i="4"/>
  <c r="S61" i="4" s="1"/>
  <c r="T61" i="4" s="1"/>
  <c r="S776" i="4"/>
  <c r="T776" i="4" s="1"/>
  <c r="S943" i="4"/>
  <c r="T943" i="4" s="1"/>
  <c r="S509" i="4"/>
  <c r="T509" i="4" s="1"/>
  <c r="S651" i="4"/>
  <c r="T651" i="4" s="1"/>
  <c r="S591" i="4"/>
  <c r="T591" i="4" s="1"/>
  <c r="T629" i="4"/>
  <c r="T331" i="4"/>
  <c r="S572" i="4"/>
  <c r="T572" i="4" s="1"/>
  <c r="S618" i="4"/>
  <c r="T618" i="4" s="1"/>
  <c r="T645" i="4"/>
  <c r="S939" i="4"/>
  <c r="T939" i="4" s="1"/>
  <c r="S336" i="4"/>
  <c r="T336" i="4" s="1"/>
  <c r="S465" i="4"/>
  <c r="T465" i="4" s="1"/>
  <c r="S891" i="4"/>
  <c r="T891" i="4" s="1"/>
  <c r="S417" i="4"/>
  <c r="T417" i="4" s="1"/>
  <c r="S754" i="4"/>
  <c r="T754" i="4" s="1"/>
  <c r="T959" i="4"/>
  <c r="S610" i="4"/>
  <c r="T610" i="4" s="1"/>
  <c r="T603" i="4"/>
  <c r="S533" i="4"/>
  <c r="T533" i="4" s="1"/>
  <c r="S254" i="4"/>
  <c r="T254" i="4" s="1"/>
  <c r="T355" i="4"/>
  <c r="S242" i="4"/>
  <c r="T242" i="4" s="1"/>
  <c r="S784" i="4"/>
  <c r="T784" i="4" s="1"/>
  <c r="S469" i="4"/>
  <c r="T469" i="4" s="1"/>
  <c r="T882" i="4"/>
  <c r="T947" i="4"/>
  <c r="H181" i="4"/>
  <c r="H164" i="4"/>
  <c r="H170" i="4"/>
  <c r="H9" i="4"/>
  <c r="H154" i="4"/>
  <c r="R2" i="4"/>
  <c r="H120" i="4"/>
  <c r="H194" i="4"/>
  <c r="H560" i="4"/>
  <c r="H543" i="4"/>
  <c r="H47" i="4"/>
  <c r="H638" i="4"/>
  <c r="H819" i="4"/>
  <c r="H787" i="4"/>
  <c r="H74" i="4"/>
  <c r="H605" i="4"/>
  <c r="H871" i="4"/>
  <c r="H477" i="4"/>
  <c r="H23" i="4"/>
  <c r="H30" i="4"/>
  <c r="H214" i="4"/>
  <c r="H145" i="4"/>
  <c r="H721" i="4"/>
  <c r="H662" i="4"/>
  <c r="H91" i="4"/>
  <c r="H27" i="4"/>
  <c r="H691" i="4"/>
  <c r="H998" i="4"/>
  <c r="H296" i="4"/>
  <c r="H103" i="4"/>
  <c r="H173" i="4"/>
  <c r="H931" i="4"/>
  <c r="H172" i="4"/>
  <c r="H731" i="4"/>
  <c r="H188" i="4"/>
  <c r="H244" i="4"/>
  <c r="H161" i="4"/>
  <c r="H741" i="4"/>
  <c r="H183" i="4"/>
  <c r="H948" i="4"/>
  <c r="H473" i="4"/>
  <c r="H264" i="4"/>
  <c r="H200" i="4"/>
  <c r="B210" i="5"/>
  <c r="H246" i="4"/>
  <c r="H435" i="4"/>
  <c r="H189" i="4"/>
  <c r="H575" i="4"/>
  <c r="H884" i="4"/>
  <c r="H248" i="4"/>
  <c r="H319" i="4"/>
  <c r="H601" i="4"/>
  <c r="H950" i="4"/>
  <c r="H184" i="4"/>
  <c r="H671" i="4"/>
  <c r="H383" i="4"/>
  <c r="H254" i="4"/>
  <c r="H743" i="4"/>
  <c r="H556" i="4"/>
  <c r="H861" i="4"/>
  <c r="H520" i="4"/>
  <c r="H228" i="4"/>
  <c r="H20" i="4"/>
  <c r="H938" i="4"/>
  <c r="H629" i="4"/>
  <c r="H942" i="4"/>
  <c r="H882" i="4"/>
  <c r="H898" i="4"/>
  <c r="H366" i="4"/>
  <c r="H307" i="4"/>
  <c r="H619" i="4"/>
  <c r="H341" i="4"/>
  <c r="H784" i="4"/>
  <c r="H754" i="4"/>
  <c r="H303" i="4"/>
  <c r="H524" i="4"/>
  <c r="H377" i="4"/>
  <c r="H825" i="4"/>
  <c r="H39" i="4"/>
  <c r="H69" i="4"/>
  <c r="H756" i="4"/>
  <c r="H155" i="4"/>
  <c r="H851" i="4"/>
  <c r="H144" i="4"/>
  <c r="H545" i="4"/>
  <c r="H661" i="4"/>
  <c r="H641" i="4"/>
  <c r="H569" i="4"/>
  <c r="H649" i="4"/>
  <c r="H140" i="4"/>
  <c r="H127" i="4"/>
  <c r="H242" i="4"/>
  <c r="H969" i="4"/>
  <c r="H655" i="4"/>
  <c r="H478" i="4"/>
  <c r="H817" i="4"/>
  <c r="H554" i="4"/>
  <c r="H702" i="4"/>
  <c r="H595" i="4"/>
  <c r="H773" i="4"/>
  <c r="H142" i="4"/>
  <c r="H708" i="4"/>
  <c r="H727" i="4"/>
  <c r="H195" i="4"/>
  <c r="H965" i="4"/>
  <c r="H768" i="4"/>
  <c r="H337" i="4"/>
  <c r="H150" i="4"/>
  <c r="H190" i="4"/>
  <c r="H185" i="4"/>
  <c r="H93" i="4"/>
  <c r="H728" i="4"/>
  <c r="H991" i="4"/>
  <c r="H380" i="4"/>
  <c r="H960" i="4"/>
  <c r="H783" i="4"/>
  <c r="H818" i="4"/>
  <c r="H523" i="4"/>
  <c r="H245" i="4"/>
  <c r="H759" i="4"/>
  <c r="H95" i="4"/>
  <c r="H101" i="4"/>
  <c r="H124" i="4"/>
  <c r="H745" i="4"/>
  <c r="H776" i="4"/>
  <c r="H681" i="4"/>
  <c r="H192" i="4"/>
  <c r="H603" i="4"/>
  <c r="H17" i="4"/>
  <c r="H688" i="4"/>
  <c r="H618" i="4"/>
  <c r="H758" i="4"/>
  <c r="H174" i="4"/>
  <c r="H223" i="4"/>
  <c r="H436" i="4"/>
  <c r="H764" i="4"/>
  <c r="H695" i="4"/>
  <c r="H249" i="4"/>
  <c r="H28" i="4"/>
  <c r="H344" i="4"/>
  <c r="H785" i="4"/>
  <c r="H109" i="4"/>
  <c r="H828" i="4"/>
  <c r="H243" i="4"/>
  <c r="H740" i="4"/>
  <c r="H486" i="4"/>
  <c r="H570" i="4"/>
  <c r="H407" i="4"/>
  <c r="H2" i="4"/>
  <c r="H218" i="4"/>
  <c r="H292" i="4"/>
  <c r="H310" i="4"/>
  <c r="H94" i="4"/>
  <c r="H330" i="4"/>
  <c r="H510" i="4"/>
  <c r="H35" i="4"/>
  <c r="H99" i="4"/>
  <c r="H234" i="4"/>
  <c r="H963" i="4"/>
  <c r="H224" i="4"/>
  <c r="H204" i="4"/>
  <c r="H821" i="4"/>
  <c r="H797" i="4"/>
  <c r="H672" i="4"/>
  <c r="H493" i="4"/>
  <c r="H588" i="4"/>
  <c r="H675" i="4"/>
  <c r="H38" i="4"/>
  <c r="H593" i="4"/>
  <c r="H206" i="4"/>
  <c r="H19" i="4"/>
  <c r="H472" i="4"/>
  <c r="H491" i="4"/>
  <c r="H415" i="4"/>
  <c r="H648" i="4"/>
  <c r="H732" i="4"/>
  <c r="H637" i="4"/>
  <c r="H591" i="4"/>
  <c r="H751" i="4"/>
  <c r="H279" i="4"/>
  <c r="H484" i="4"/>
  <c r="H455" i="4"/>
  <c r="H159" i="4"/>
  <c r="H726" i="4"/>
  <c r="H932" i="4"/>
  <c r="H426" i="4"/>
  <c r="H887" i="4"/>
  <c r="H409" i="4"/>
  <c r="H48" i="4"/>
  <c r="H166" i="4"/>
  <c r="H179" i="4"/>
  <c r="H386" i="4"/>
  <c r="H911" i="4"/>
  <c r="H663" i="4"/>
  <c r="H850" i="4"/>
  <c r="H552" i="4"/>
  <c r="H467" i="4"/>
  <c r="H940" i="4"/>
  <c r="H500" i="4"/>
  <c r="H782" i="4"/>
  <c r="H579" i="4"/>
  <c r="H750" i="4"/>
  <c r="H697" i="4"/>
  <c r="H365" i="4"/>
  <c r="H449" i="4"/>
  <c r="H793" i="4"/>
  <c r="H198" i="4"/>
  <c r="H558" i="4"/>
  <c r="H587" i="4"/>
  <c r="H845" i="4"/>
  <c r="H968" i="4"/>
  <c r="H461" i="4"/>
  <c r="H888" i="4"/>
  <c r="H389" i="4"/>
  <c r="H505" i="4"/>
  <c r="H936" i="4"/>
  <c r="H805" i="4"/>
  <c r="H749" i="4"/>
  <c r="H111" i="4"/>
  <c r="H533" i="4"/>
  <c r="H469" i="4"/>
  <c r="H974" i="4"/>
  <c r="H304" i="4"/>
  <c r="H107" i="4"/>
  <c r="H840" i="4"/>
  <c r="H752" i="4"/>
  <c r="H700" i="4"/>
  <c r="H796" i="4"/>
  <c r="H514" i="4"/>
  <c r="H285" i="4"/>
  <c r="H367" i="4"/>
  <c r="H182" i="4"/>
  <c r="H516" i="4"/>
  <c r="H730" i="4"/>
  <c r="H226" i="4"/>
  <c r="H522" i="4"/>
  <c r="H687" i="4"/>
  <c r="H393" i="4"/>
  <c r="H271" i="4"/>
  <c r="H895" i="4"/>
  <c r="H355" i="4"/>
  <c r="H809" i="4"/>
  <c r="H814" i="4"/>
  <c r="H947" i="4"/>
  <c r="H557" i="4"/>
  <c r="H262" i="4"/>
  <c r="H673" i="4"/>
  <c r="H98" i="4"/>
  <c r="H77" i="4"/>
  <c r="H612" i="4"/>
  <c r="H53" i="4"/>
  <c r="H547" i="4"/>
  <c r="H191" i="4"/>
  <c r="H594" i="4"/>
  <c r="H375" i="4"/>
  <c r="H939" i="4"/>
  <c r="H561" i="4"/>
  <c r="H977" i="4"/>
  <c r="H658" i="4"/>
  <c r="H419" i="4"/>
  <c r="H186" i="4"/>
  <c r="H405" i="4"/>
  <c r="H15" i="4"/>
  <c r="H215" i="4"/>
  <c r="H544" i="4"/>
  <c r="H85" i="4"/>
  <c r="H152" i="4"/>
  <c r="H635" i="4"/>
  <c r="H539" i="4"/>
  <c r="H959" i="4"/>
  <c r="H29" i="4"/>
  <c r="H62" i="4"/>
  <c r="H795" i="4"/>
  <c r="H801" i="4"/>
  <c r="H903" i="4"/>
  <c r="H334" i="4"/>
  <c r="H286" i="4"/>
  <c r="H789" i="4"/>
  <c r="H566" i="4"/>
  <c r="H80" i="4"/>
  <c r="H802" i="4"/>
  <c r="H842" i="4"/>
  <c r="H994" i="4"/>
  <c r="H445" i="4"/>
  <c r="H729" i="4"/>
  <c r="H437" i="4"/>
  <c r="H781" i="4"/>
  <c r="H340" i="4"/>
  <c r="H856" i="4"/>
  <c r="H471" i="4"/>
  <c r="H92" i="4"/>
  <c r="H521" i="4"/>
  <c r="H869" i="4"/>
  <c r="H41" i="4"/>
  <c r="H705" i="4"/>
  <c r="H284" i="4"/>
  <c r="H971" i="4"/>
  <c r="H880" i="4"/>
  <c r="H399" i="4"/>
  <c r="H42" i="4"/>
  <c r="H564" i="4"/>
  <c r="H599" i="4"/>
  <c r="H984" i="4"/>
  <c r="H10" i="4"/>
  <c r="H139" i="4"/>
  <c r="H762" i="4"/>
  <c r="H930" i="4"/>
  <c r="H712" i="4"/>
  <c r="H627" i="4"/>
  <c r="H680" i="4"/>
  <c r="H837" i="4"/>
  <c r="H208" i="4"/>
  <c r="H693" i="4"/>
  <c r="H775" i="4"/>
  <c r="H345" i="4"/>
  <c r="H803" i="4"/>
  <c r="H499" i="4"/>
  <c r="H992" i="4"/>
  <c r="H475" i="4"/>
  <c r="H397" i="4"/>
  <c r="H26" i="4"/>
  <c r="H857" i="4"/>
  <c r="H354" i="4"/>
  <c r="H985" i="4"/>
  <c r="H446" i="4"/>
  <c r="H423" i="4"/>
  <c r="H646" i="4"/>
  <c r="H255" i="4"/>
  <c r="H502" i="4"/>
  <c r="H404" i="4"/>
  <c r="H71" i="4"/>
  <c r="H33" i="4"/>
  <c r="H78" i="4"/>
  <c r="H59" i="4"/>
  <c r="H217" i="4"/>
  <c r="H577" i="4"/>
  <c r="H835" i="4"/>
  <c r="H592" i="4"/>
  <c r="H57" i="4"/>
  <c r="H621" i="4"/>
  <c r="H738" i="4"/>
  <c r="H24" i="4"/>
  <c r="H391" i="4"/>
  <c r="H720" i="4"/>
  <c r="H617" i="4"/>
  <c r="H331" i="4"/>
  <c r="H364" i="4"/>
  <c r="H434" i="4"/>
  <c r="H868" i="4"/>
  <c r="H438" i="4"/>
  <c r="H371" i="4"/>
  <c r="H890" i="4"/>
  <c r="H531" i="4"/>
  <c r="H990" i="4"/>
  <c r="H5" i="4"/>
  <c r="H826" i="4"/>
  <c r="H807" i="4"/>
  <c r="H506" i="4"/>
  <c r="H456" i="4"/>
  <c r="H50" i="4"/>
  <c r="H156" i="4"/>
  <c r="H114" i="4"/>
  <c r="H60" i="4"/>
  <c r="H317" i="4"/>
  <c r="H928" i="4"/>
  <c r="H921" i="4"/>
  <c r="H859" i="4"/>
  <c r="H311" i="4"/>
  <c r="H567" i="4"/>
  <c r="H620" i="4"/>
  <c r="H381" i="4"/>
  <c r="H6" i="4"/>
  <c r="H540" i="4"/>
  <c r="H995" i="4"/>
  <c r="H384" i="4"/>
  <c r="H129" i="4"/>
  <c r="H210" i="4"/>
  <c r="H645" i="4"/>
  <c r="H485" i="4"/>
  <c r="H147" i="4"/>
  <c r="H362" i="4"/>
  <c r="H51" i="4"/>
  <c r="H342" i="4"/>
  <c r="H314" i="4"/>
  <c r="H382" i="4"/>
  <c r="H684" i="4"/>
  <c r="H943" i="4"/>
  <c r="H32" i="4"/>
  <c r="H132" i="4"/>
  <c r="H169" i="4"/>
  <c r="H90" i="4"/>
  <c r="H325" i="4"/>
  <c r="H295" i="4"/>
  <c r="H253" i="4"/>
  <c r="H600" i="4"/>
  <c r="H548" i="4"/>
  <c r="H269" i="4"/>
  <c r="H227" i="4"/>
  <c r="H229" i="4"/>
  <c r="H348" i="4"/>
  <c r="H398" i="4"/>
  <c r="H187" i="4"/>
  <c r="H14" i="4"/>
  <c r="H54" i="4"/>
  <c r="H112" i="4"/>
  <c r="H87" i="4"/>
  <c r="H193" i="4"/>
  <c r="H105" i="4"/>
  <c r="H149" i="4"/>
  <c r="H52" i="4"/>
  <c r="H955" i="4"/>
  <c r="H886" i="4"/>
  <c r="H610" i="4"/>
  <c r="H914" i="4"/>
  <c r="H698" i="4"/>
  <c r="H961" i="4"/>
  <c r="H250" i="4"/>
  <c r="H261" i="4"/>
  <c r="H883" i="4"/>
  <c r="H350" i="4"/>
  <c r="H425" i="4"/>
  <c r="H328" i="4"/>
  <c r="H536" i="4"/>
  <c r="H925" i="4"/>
  <c r="H146" i="4"/>
  <c r="H45" i="4"/>
  <c r="H374" i="4"/>
  <c r="H496" i="4"/>
  <c r="H863" i="4"/>
  <c r="H373" i="4"/>
  <c r="H686" i="4"/>
  <c r="H301" i="4"/>
  <c r="H924" i="4"/>
  <c r="H651" i="4"/>
  <c r="H565" i="4"/>
  <c r="H443" i="4"/>
  <c r="H315" i="4"/>
  <c r="H72" i="4"/>
  <c r="H622" i="4"/>
  <c r="H21" i="4"/>
  <c r="H916" i="4"/>
  <c r="H481" i="4"/>
  <c r="H56" i="4"/>
  <c r="H718" i="4"/>
  <c r="H347" i="4"/>
  <c r="H606" i="4"/>
  <c r="H335" i="4"/>
  <c r="H240" i="4"/>
  <c r="H490" i="4"/>
  <c r="H88" i="4"/>
  <c r="H329" i="4"/>
  <c r="H283" i="4"/>
  <c r="H453" i="4"/>
  <c r="H820" i="4"/>
  <c r="H358" i="4"/>
  <c r="H910" i="4"/>
  <c r="H417" i="4"/>
  <c r="H517" i="4"/>
  <c r="H704" i="4"/>
  <c r="H640" i="4"/>
  <c r="H918" i="4"/>
  <c r="H197" i="4"/>
  <c r="H162" i="4"/>
  <c r="H178" i="4"/>
  <c r="H474" i="4"/>
  <c r="H230" i="4"/>
  <c r="H424" i="4"/>
  <c r="H125" i="4"/>
  <c r="H973" i="4"/>
  <c r="H508" i="4"/>
  <c r="H171" i="4"/>
  <c r="H176" i="4"/>
  <c r="H22" i="4"/>
  <c r="H706" i="4"/>
  <c r="H75" i="4"/>
  <c r="H717" i="4"/>
  <c r="H464" i="4"/>
  <c r="H43" i="4"/>
  <c r="H268" i="4"/>
  <c r="H7" i="4"/>
  <c r="H833" i="4"/>
  <c r="H44" i="4"/>
  <c r="H4" i="4"/>
  <c r="H923" i="4"/>
  <c r="H590" i="4"/>
  <c r="H919" i="4"/>
  <c r="H816" i="4"/>
  <c r="H843" i="4"/>
  <c r="H299" i="4"/>
  <c r="H838" i="4"/>
  <c r="H430" i="4"/>
  <c r="H725" i="4"/>
  <c r="H202" i="4"/>
  <c r="H578" i="4"/>
  <c r="H639" i="4"/>
  <c r="H257" i="4"/>
  <c r="H219" i="4"/>
  <c r="H765" i="4"/>
  <c r="H115" i="4"/>
  <c r="H905" i="4"/>
  <c r="H211" i="4"/>
  <c r="H256" i="4"/>
  <c r="H549" i="4"/>
  <c r="H929" i="4"/>
  <c r="H81" i="4"/>
  <c r="H935" i="4"/>
  <c r="H829" i="4"/>
  <c r="H854" i="4"/>
  <c r="H515" i="4"/>
  <c r="H584" i="4"/>
  <c r="H771" i="4"/>
  <c r="H96" i="4"/>
  <c r="H168" i="4"/>
  <c r="H844" i="4"/>
  <c r="H897" i="4"/>
  <c r="H815" i="4"/>
  <c r="H201" i="4"/>
  <c r="H463" i="4"/>
  <c r="H881" i="4"/>
  <c r="H589" i="4"/>
  <c r="H872" i="4"/>
  <c r="H865" i="4"/>
  <c r="H102" i="4"/>
  <c r="H495" i="4"/>
  <c r="H280" i="4"/>
  <c r="H65" i="4"/>
  <c r="H408" i="4"/>
  <c r="H794" i="4"/>
  <c r="H509" i="4"/>
  <c r="H209" i="4"/>
  <c r="H572" i="4"/>
  <c r="H117" i="4"/>
  <c r="H480" i="4"/>
  <c r="H791" i="4"/>
  <c r="H538" i="4"/>
  <c r="H846" i="4"/>
  <c r="H239" i="4"/>
  <c r="H624" i="4"/>
  <c r="H323" i="4"/>
  <c r="H396" i="4"/>
  <c r="H470" i="4"/>
  <c r="H987" i="4"/>
  <c r="H582" i="4"/>
  <c r="H667" i="4"/>
  <c r="H306" i="4"/>
  <c r="H685" i="4"/>
  <c r="H915" i="4"/>
  <c r="H657" i="4"/>
  <c r="H608" i="4"/>
  <c r="H199" i="4"/>
  <c r="H454" i="4"/>
  <c r="H933" i="4"/>
  <c r="H811" i="4"/>
  <c r="H983" i="4"/>
  <c r="H755" i="4"/>
  <c r="H237" i="4"/>
  <c r="H13" i="4"/>
  <c r="H378" i="4"/>
  <c r="H626" i="4"/>
  <c r="H289" i="4"/>
  <c r="H896" i="4"/>
  <c r="H917" i="4"/>
  <c r="H141" i="4"/>
  <c r="H981" i="4"/>
  <c r="H387" i="4"/>
  <c r="H497" i="4"/>
  <c r="H669" i="4"/>
  <c r="H122" i="4"/>
  <c r="H679" i="4"/>
  <c r="H64" i="4"/>
  <c r="H238" i="4"/>
  <c r="H488" i="4"/>
  <c r="H986" i="4"/>
  <c r="H465" i="4"/>
  <c r="H953" i="4"/>
  <c r="H297" i="4"/>
  <c r="H530" i="4"/>
  <c r="H813" i="4"/>
  <c r="H792" i="4"/>
  <c r="H876" i="4"/>
  <c r="H634" i="4"/>
  <c r="H177" i="4"/>
  <c r="H900" i="4"/>
  <c r="H18" i="4"/>
  <c r="H699" i="4"/>
  <c r="H148" i="4"/>
  <c r="H76" i="4"/>
  <c r="H288" i="4"/>
  <c r="H157" i="4"/>
  <c r="H513" i="4"/>
  <c r="H282" i="4"/>
  <c r="H104" i="4"/>
  <c r="H336" i="4"/>
  <c r="H719" i="4"/>
  <c r="H31" i="4"/>
  <c r="H326" i="4"/>
  <c r="H878" i="4"/>
  <c r="H167" i="4"/>
  <c r="H236" i="4"/>
  <c r="H165" i="4"/>
  <c r="H266" i="4"/>
  <c r="H259" i="4"/>
  <c r="H970" i="4"/>
  <c r="H37" i="4"/>
  <c r="H106" i="4"/>
  <c r="H16" i="4"/>
  <c r="H113" i="4"/>
  <c r="H222" i="4"/>
  <c r="H701" i="4"/>
  <c r="H460" i="4"/>
  <c r="H677" i="4"/>
  <c r="H278" i="4"/>
  <c r="H352" i="4"/>
  <c r="H252" i="4"/>
  <c r="H746" i="4"/>
  <c r="H158" i="4"/>
  <c r="H847" i="4"/>
  <c r="H862" i="4"/>
  <c r="H459" i="4"/>
  <c r="H300" i="4"/>
  <c r="H512" i="4"/>
  <c r="H136" i="4"/>
  <c r="H73" i="4"/>
  <c r="H874" i="4"/>
  <c r="H839" i="4"/>
  <c r="H416" i="4"/>
  <c r="H546" i="4"/>
  <c r="H927" i="4"/>
  <c r="H822" i="4"/>
  <c r="H889" i="4"/>
  <c r="H753" i="4"/>
  <c r="H458" i="4"/>
  <c r="H596" i="4"/>
  <c r="H270" i="4"/>
  <c r="H761" i="4"/>
  <c r="H67" i="4"/>
  <c r="H321" i="4"/>
  <c r="H466" i="4"/>
  <c r="H535" i="4"/>
  <c r="H534" i="4"/>
  <c r="H86" i="4"/>
  <c r="H855" i="4"/>
  <c r="H978" i="4"/>
  <c r="H799" i="4"/>
  <c r="H160" i="4"/>
  <c r="H858" i="4"/>
  <c r="H267" i="4"/>
  <c r="H118" i="4"/>
  <c r="H504" i="4"/>
  <c r="H788" i="4"/>
  <c r="H402" i="4"/>
  <c r="H406" i="4"/>
  <c r="H722" i="4"/>
  <c r="H975" i="4"/>
  <c r="H616" i="4"/>
  <c r="H988" i="4"/>
  <c r="H553" i="4"/>
  <c r="H468" i="4"/>
  <c r="H873" i="4"/>
  <c r="H401" i="4"/>
  <c r="H841" i="4"/>
  <c r="H834" i="4"/>
  <c r="H808" i="4"/>
  <c r="H563" i="4"/>
  <c r="H849" i="4"/>
  <c r="H893" i="4"/>
  <c r="H133" i="4"/>
  <c r="H135" i="4"/>
  <c r="H203" i="4"/>
  <c r="H108" i="4"/>
  <c r="H36" i="4"/>
  <c r="H351" i="4"/>
  <c r="H412" i="4"/>
  <c r="H110" i="4"/>
  <c r="H11" i="4"/>
  <c r="H736" i="4"/>
  <c r="H757" i="4"/>
  <c r="H63" i="4"/>
  <c r="H390" i="4"/>
  <c r="H937" i="4"/>
  <c r="H980" i="4"/>
  <c r="H318" i="4"/>
  <c r="H713" i="4"/>
  <c r="H379" i="4"/>
  <c r="H934" i="4"/>
  <c r="H451" i="4"/>
  <c r="H126" i="4"/>
  <c r="H479" i="4"/>
  <c r="H573" i="4"/>
  <c r="H879" i="4"/>
  <c r="H748" i="4"/>
  <c r="H312" i="4"/>
  <c r="H529" i="4"/>
  <c r="H320" i="4"/>
  <c r="H180" i="4"/>
  <c r="H989" i="4"/>
  <c r="H767" i="4"/>
  <c r="H233" i="4"/>
  <c r="H709" i="4"/>
  <c r="H866" i="4"/>
  <c r="H143" i="4"/>
  <c r="H922" i="4"/>
  <c r="H763" i="4"/>
  <c r="H61" i="4"/>
  <c r="H97" i="4"/>
  <c r="H12" i="4"/>
  <c r="H40" i="4"/>
  <c r="H137" i="4"/>
  <c r="H82" i="4"/>
  <c r="H332" i="4"/>
  <c r="H967" i="4"/>
  <c r="H153" i="4"/>
  <c r="H131" i="4"/>
  <c r="H196" i="4"/>
  <c r="H175" i="4"/>
  <c r="H163" i="4"/>
  <c r="H119" i="4"/>
  <c r="H25" i="4"/>
  <c r="H46" i="4"/>
  <c r="H213" i="4"/>
  <c r="H84" i="4"/>
  <c r="H260" i="4"/>
  <c r="H891" i="4"/>
  <c r="H79" i="4"/>
  <c r="H542" i="4"/>
  <c r="H130" i="4"/>
  <c r="H707" i="4"/>
  <c r="H232" i="4"/>
  <c r="H908" i="4"/>
  <c r="H70" i="4"/>
  <c r="H625" i="4"/>
  <c r="H744" i="4"/>
  <c r="H692" i="4"/>
  <c r="H273" i="4"/>
  <c r="H498" i="4"/>
  <c r="H656" i="4"/>
  <c r="H231" i="4"/>
  <c r="H83" i="4"/>
  <c r="H275" i="4"/>
  <c r="H654" i="4"/>
  <c r="H615" i="4"/>
  <c r="H439" i="4"/>
  <c r="H49" i="4"/>
  <c r="H957" i="4"/>
  <c r="H664" i="4"/>
  <c r="H138" i="4"/>
  <c r="H3" i="4"/>
  <c r="H151" i="4"/>
  <c r="H216" i="4"/>
  <c r="H225" i="4"/>
  <c r="H68" i="4"/>
  <c r="H448" i="4"/>
  <c r="H604" i="4"/>
  <c r="H357" i="4"/>
  <c r="H134" i="4"/>
  <c r="H623" i="4"/>
  <c r="H633" i="4"/>
  <c r="H89" i="4"/>
  <c r="H116" i="4"/>
  <c r="H444" i="4"/>
  <c r="H482" i="4"/>
  <c r="H979" i="4"/>
  <c r="H372" i="4"/>
  <c r="H339" i="4"/>
  <c r="H308" i="4"/>
  <c r="H710" i="4"/>
  <c r="H274" i="4"/>
  <c r="H598" i="4"/>
  <c r="H302" i="4"/>
  <c r="H770" i="4"/>
  <c r="H892" i="4"/>
  <c r="H907" i="4"/>
  <c r="H385" i="4"/>
  <c r="H926" i="4"/>
  <c r="H571" i="4"/>
  <c r="H247" i="4"/>
  <c r="H361" i="4"/>
  <c r="H780" i="4"/>
  <c r="H711" i="4"/>
  <c r="H774" i="4"/>
  <c r="H420" i="4"/>
  <c r="H952" i="4"/>
  <c r="H653" i="4"/>
  <c r="H212" i="4"/>
  <c r="H34" i="4"/>
  <c r="H487" i="4"/>
  <c r="H207" i="4"/>
  <c r="H205" i="4"/>
  <c r="H258" i="4"/>
  <c r="H123" i="4"/>
  <c r="H742" i="4"/>
  <c r="H551" i="4"/>
  <c r="H429" i="4"/>
  <c r="H432" i="4"/>
  <c r="H666" i="4"/>
  <c r="T413" i="4" l="1"/>
  <c r="T343" i="4"/>
  <c r="T407" i="4"/>
  <c r="T383" i="4"/>
  <c r="T583" i="4"/>
  <c r="R28" i="4"/>
  <c r="S28" i="4" s="1"/>
  <c r="T28" i="4" s="1"/>
  <c r="T524" i="4"/>
  <c r="T337" i="4"/>
  <c r="T968" i="4"/>
  <c r="H287" i="4"/>
  <c r="D251" i="5"/>
  <c r="S194" i="4"/>
  <c r="T194" i="4" s="1"/>
  <c r="S72" i="4"/>
  <c r="T72" i="4" s="1"/>
  <c r="S202" i="4"/>
  <c r="T202" i="4" s="1"/>
  <c r="S168" i="4"/>
  <c r="T168" i="4" s="1"/>
  <c r="S148" i="4"/>
  <c r="T148" i="4" s="1"/>
  <c r="S109" i="4"/>
  <c r="T109" i="4" s="1"/>
  <c r="S121" i="4"/>
  <c r="T121" i="4" s="1"/>
  <c r="S14" i="4"/>
  <c r="T14" i="4" s="1"/>
  <c r="S6" i="4"/>
  <c r="T6" i="4" s="1"/>
  <c r="S83" i="4"/>
  <c r="T83" i="4" s="1"/>
  <c r="S10" i="4"/>
  <c r="T10" i="4" s="1"/>
  <c r="S211" i="4"/>
  <c r="T211" i="4" s="1"/>
  <c r="S195" i="4"/>
  <c r="T195" i="4" s="1"/>
  <c r="S40" i="4"/>
  <c r="T40" i="4" s="1"/>
  <c r="S115" i="4"/>
  <c r="T115" i="4" s="1"/>
  <c r="S239" i="4"/>
  <c r="T239" i="4" s="1"/>
  <c r="S106" i="4"/>
  <c r="T106" i="4" s="1"/>
  <c r="S133" i="4"/>
  <c r="T133" i="4" s="1"/>
  <c r="S87" i="4"/>
  <c r="T87" i="4" s="1"/>
  <c r="S12" i="4"/>
  <c r="T12" i="4" s="1"/>
  <c r="S120" i="4"/>
  <c r="T120" i="4" s="1"/>
  <c r="S82" i="4"/>
  <c r="T82" i="4" s="1"/>
  <c r="S149" i="4"/>
  <c r="T149" i="4" s="1"/>
  <c r="S47" i="4"/>
  <c r="T47" i="4" s="1"/>
  <c r="S181" i="4"/>
  <c r="T181" i="4" s="1"/>
  <c r="S230" i="4"/>
  <c r="T230" i="4" s="1"/>
  <c r="S137" i="4"/>
  <c r="T137" i="4" s="1"/>
  <c r="S162" i="4"/>
  <c r="T162" i="4" s="1"/>
  <c r="S59" i="4"/>
  <c r="T59" i="4" s="1"/>
  <c r="S175" i="4"/>
  <c r="T175" i="4" s="1"/>
  <c r="S136" i="4"/>
  <c r="T136" i="4" s="1"/>
  <c r="S79" i="4"/>
  <c r="T79" i="4" s="1"/>
  <c r="S142" i="4"/>
  <c r="T142" i="4" s="1"/>
  <c r="S182" i="4"/>
  <c r="T182" i="4" s="1"/>
  <c r="S234" i="4"/>
  <c r="T234" i="4" s="1"/>
  <c r="S169" i="4"/>
  <c r="T169" i="4" s="1"/>
  <c r="S15" i="4"/>
  <c r="T15" i="4" s="1"/>
  <c r="S96" i="4"/>
  <c r="T96" i="4" s="1"/>
  <c r="S207" i="4"/>
  <c r="T207" i="4" s="1"/>
  <c r="S89" i="4"/>
  <c r="T89" i="4" s="1"/>
  <c r="S75" i="4"/>
  <c r="T75" i="4" s="1"/>
  <c r="S129" i="4"/>
  <c r="T129" i="4" s="1"/>
  <c r="S203" i="4"/>
  <c r="T203" i="4" s="1"/>
  <c r="S171" i="4"/>
  <c r="T171" i="4" s="1"/>
  <c r="S31" i="4"/>
  <c r="T31" i="4" s="1"/>
  <c r="S135" i="4"/>
  <c r="T135" i="4" s="1"/>
  <c r="S90" i="4"/>
  <c r="T90" i="4" s="1"/>
  <c r="S128" i="4"/>
  <c r="T128" i="4" s="1"/>
  <c r="S43" i="4"/>
  <c r="T43" i="4" s="1"/>
  <c r="S55" i="4"/>
  <c r="T55" i="4" s="1"/>
  <c r="S71" i="4"/>
  <c r="T71" i="4" s="1"/>
  <c r="S166" i="4"/>
  <c r="T166" i="4" s="1"/>
  <c r="S81" i="4"/>
  <c r="T81" i="4" s="1"/>
  <c r="S11" i="4"/>
  <c r="T11" i="4" s="1"/>
  <c r="S185" i="4"/>
  <c r="T185" i="4" s="1"/>
  <c r="S48" i="4"/>
  <c r="T48" i="4" s="1"/>
  <c r="S125" i="4"/>
  <c r="T125" i="4" s="1"/>
  <c r="S119" i="4"/>
  <c r="T119" i="4" s="1"/>
  <c r="S229" i="4"/>
  <c r="T229" i="4" s="1"/>
  <c r="S186" i="4"/>
  <c r="T186" i="4" s="1"/>
  <c r="S64" i="4"/>
  <c r="T64" i="4" s="1"/>
  <c r="S103" i="4"/>
  <c r="T103" i="4" s="1"/>
  <c r="S3" i="4"/>
  <c r="T3" i="4" s="1"/>
  <c r="S193" i="4"/>
  <c r="T193" i="4" s="1"/>
  <c r="S161" i="4"/>
  <c r="T161" i="4" s="1"/>
  <c r="S233" i="4"/>
  <c r="T233" i="4" s="1"/>
  <c r="S80" i="4"/>
  <c r="T80" i="4" s="1"/>
  <c r="S153" i="4"/>
  <c r="T153" i="4" s="1"/>
  <c r="S164" i="4"/>
  <c r="T164" i="4" s="1"/>
  <c r="S23" i="4"/>
  <c r="T23" i="4" s="1"/>
  <c r="S173" i="4"/>
  <c r="T173" i="4" s="1"/>
  <c r="S179" i="4"/>
  <c r="T179" i="4" s="1"/>
  <c r="S219" i="4"/>
  <c r="T219" i="4" s="1"/>
  <c r="S213" i="4"/>
  <c r="T213" i="4" s="1"/>
  <c r="S131" i="4"/>
  <c r="T131" i="4" s="1"/>
  <c r="S88" i="4"/>
  <c r="T88" i="4" s="1"/>
  <c r="S237" i="4"/>
  <c r="T237" i="4" s="1"/>
  <c r="S143" i="4"/>
  <c r="T143" i="4" s="1"/>
  <c r="S56" i="4"/>
  <c r="T56" i="4" s="1"/>
  <c r="S112" i="4"/>
  <c r="T112" i="4" s="1"/>
  <c r="S199" i="4"/>
  <c r="T199" i="4" s="1"/>
  <c r="S130" i="4"/>
  <c r="T130" i="4" s="1"/>
  <c r="S98" i="4"/>
  <c r="T98" i="4" s="1"/>
  <c r="S145" i="4"/>
  <c r="T145" i="4" s="1"/>
  <c r="S178" i="4"/>
  <c r="T178" i="4" s="1"/>
  <c r="S209" i="4"/>
  <c r="T209" i="4" s="1"/>
  <c r="S97" i="4"/>
  <c r="T97" i="4" s="1"/>
  <c r="S123" i="4"/>
  <c r="T123" i="4" s="1"/>
  <c r="S141" i="4"/>
  <c r="T141" i="4" s="1"/>
  <c r="S187" i="4"/>
  <c r="T187" i="4" s="1"/>
  <c r="S24" i="4"/>
  <c r="T24" i="4" s="1"/>
  <c r="S158" i="4"/>
  <c r="T158" i="4" s="1"/>
  <c r="S27" i="4"/>
  <c r="T27" i="4" s="1"/>
  <c r="S190" i="4"/>
  <c r="T190" i="4" s="1"/>
  <c r="S35" i="4"/>
  <c r="T35" i="4" s="1"/>
  <c r="S99" i="4"/>
  <c r="T99" i="4" s="1"/>
  <c r="S201" i="4"/>
  <c r="T201" i="4" s="1"/>
  <c r="S122" i="4"/>
  <c r="T122" i="4" s="1"/>
  <c r="S63" i="4"/>
  <c r="T63" i="4" s="1"/>
  <c r="S150" i="4"/>
  <c r="T150" i="4" s="1"/>
  <c r="S170" i="4"/>
  <c r="T170" i="4" s="1"/>
  <c r="S205" i="4"/>
  <c r="T205" i="4" s="1"/>
  <c r="S222" i="4"/>
  <c r="T222" i="4" s="1"/>
  <c r="S197" i="4"/>
  <c r="T197" i="4" s="1"/>
  <c r="S227" i="4"/>
  <c r="T227" i="4" s="1"/>
  <c r="S146" i="4"/>
  <c r="T146" i="4" s="1"/>
  <c r="S225" i="4"/>
  <c r="T225" i="4" s="1"/>
  <c r="S51" i="4"/>
  <c r="T51" i="4" s="1"/>
  <c r="S206" i="4"/>
  <c r="T206" i="4" s="1"/>
  <c r="S221" i="4"/>
  <c r="T221" i="4" s="1"/>
  <c r="S139" i="4"/>
  <c r="T139" i="4" s="1"/>
  <c r="S238" i="4"/>
  <c r="T238" i="4" s="1"/>
  <c r="S183" i="4"/>
  <c r="T183" i="4" s="1"/>
  <c r="S157" i="4"/>
  <c r="T157" i="4" s="1"/>
  <c r="S67" i="4"/>
  <c r="T67" i="4" s="1"/>
  <c r="S16" i="4"/>
  <c r="T16" i="4" s="1"/>
  <c r="S113" i="4"/>
  <c r="T113" i="4" s="1"/>
  <c r="S8" i="4"/>
  <c r="T8" i="4" s="1"/>
  <c r="S231" i="4"/>
  <c r="T231" i="4" s="1"/>
  <c r="S111" i="4"/>
  <c r="T111" i="4" s="1"/>
  <c r="S95" i="4"/>
  <c r="T95" i="4" s="1"/>
  <c r="S214" i="4"/>
  <c r="T214" i="4" s="1"/>
  <c r="S165" i="4"/>
  <c r="T165" i="4" s="1"/>
  <c r="S191" i="4"/>
  <c r="T191" i="4" s="1"/>
  <c r="S177" i="4"/>
  <c r="T177" i="4" s="1"/>
  <c r="S104" i="4"/>
  <c r="T104" i="4" s="1"/>
  <c r="S32" i="4"/>
  <c r="T32" i="4" s="1"/>
  <c r="S235" i="4"/>
  <c r="T235" i="4" s="1"/>
  <c r="S114" i="4"/>
  <c r="T114" i="4" s="1"/>
  <c r="S198" i="4"/>
  <c r="T198" i="4" s="1"/>
  <c r="S154" i="4"/>
  <c r="T154" i="4" s="1"/>
  <c r="S93" i="4"/>
  <c r="T93" i="4" s="1"/>
  <c r="S174" i="4"/>
  <c r="T174" i="4" s="1"/>
  <c r="S217" i="4"/>
  <c r="T217" i="4" s="1"/>
  <c r="S117" i="4"/>
  <c r="T117" i="4" s="1"/>
  <c r="S210" i="4"/>
  <c r="T210" i="4" s="1"/>
  <c r="S140" i="4"/>
  <c r="T140" i="4" s="1"/>
  <c r="S138" i="4"/>
  <c r="T138" i="4" s="1"/>
  <c r="S13" i="4"/>
  <c r="T13" i="4" s="1"/>
  <c r="S172" i="4"/>
  <c r="T172" i="4" s="1"/>
  <c r="S127" i="4"/>
  <c r="T127" i="4" s="1"/>
  <c r="S218" i="4"/>
  <c r="T218" i="4" s="1"/>
  <c r="S223" i="4"/>
  <c r="T223" i="4" s="1"/>
  <c r="S19" i="4"/>
  <c r="T19" i="4" s="1"/>
  <c r="S7" i="4"/>
  <c r="T7" i="4" s="1"/>
  <c r="S226" i="4"/>
  <c r="T226" i="4" s="1"/>
  <c r="S107" i="4"/>
  <c r="T107" i="4" s="1"/>
  <c r="S2" i="4"/>
  <c r="T2" i="4" s="1"/>
</calcChain>
</file>

<file path=xl/sharedStrings.xml><?xml version="1.0" encoding="utf-8"?>
<sst xmlns="http://schemas.openxmlformats.org/spreadsheetml/2006/main" count="121" uniqueCount="68">
  <si>
    <t>Lote</t>
  </si>
  <si>
    <t>Item</t>
  </si>
  <si>
    <t xml:space="preserve">Quantidade </t>
  </si>
  <si>
    <t>Valor da Compra (UN.)</t>
  </si>
  <si>
    <t>Valor da Venda  (UN.)</t>
  </si>
  <si>
    <t>% de Lucro</t>
  </si>
  <si>
    <t>% Comissão</t>
  </si>
  <si>
    <t>$ Comissão</t>
  </si>
  <si>
    <t>Marca/Modelo</t>
  </si>
  <si>
    <t>Link</t>
  </si>
  <si>
    <t>Responsável Pelo Orçamento</t>
  </si>
  <si>
    <t>Valor da Venda Real</t>
  </si>
  <si>
    <t>Lucro Real</t>
  </si>
  <si>
    <t>Vencedor</t>
  </si>
  <si>
    <t>Compra Preen</t>
  </si>
  <si>
    <t>Imposto</t>
  </si>
  <si>
    <t>Empresa</t>
  </si>
  <si>
    <t>Solicitante</t>
  </si>
  <si>
    <t>56.386.309 STEFFAN DIORGY SILVA VERNILLO</t>
  </si>
  <si>
    <t>Endereço</t>
  </si>
  <si>
    <t>Cidade, Estado e País</t>
  </si>
  <si>
    <t>Data da Proposta:</t>
  </si>
  <si>
    <t>Jaborandi - São Paulo - Brasil</t>
  </si>
  <si>
    <t>CEP</t>
  </si>
  <si>
    <t>14775-000</t>
  </si>
  <si>
    <t>CNPJ</t>
  </si>
  <si>
    <t>Telefone</t>
  </si>
  <si>
    <t>Email</t>
  </si>
  <si>
    <t>Total da Proposta</t>
  </si>
  <si>
    <t>Repetições</t>
  </si>
  <si>
    <t>Junção</t>
  </si>
  <si>
    <t>Preço Preenchido</t>
  </si>
  <si>
    <t>Ordem dos Lotes</t>
  </si>
  <si>
    <t xml:space="preserve">Lote </t>
  </si>
  <si>
    <t>Valor da Compra</t>
  </si>
  <si>
    <t>Valor da Venda Prevista</t>
  </si>
  <si>
    <t>Responsável pelos Lances</t>
  </si>
  <si>
    <t>Município</t>
  </si>
  <si>
    <t>Concatenar</t>
  </si>
  <si>
    <t>Valor de Compra Previsto</t>
  </si>
  <si>
    <t>Link da Compra</t>
  </si>
  <si>
    <t>Marca</t>
  </si>
  <si>
    <t>Responsável Pela Cotação</t>
  </si>
  <si>
    <t>58.603.996 LILIAN MARINO AMARAL LOPES</t>
  </si>
  <si>
    <t>40.127.372 RICHARD HENRIQUE VERNILLO</t>
  </si>
  <si>
    <t>Ariane Vieira</t>
  </si>
  <si>
    <t>Nathalia Barroti</t>
  </si>
  <si>
    <t>Leonardo Savan</t>
  </si>
  <si>
    <t>Neto Frederico</t>
  </si>
  <si>
    <t>Guilherme Cândido</t>
  </si>
  <si>
    <t>Isabela Gontijo</t>
  </si>
  <si>
    <t>Livia Andrade</t>
  </si>
  <si>
    <t>Barbara Jordão</t>
  </si>
  <si>
    <t>Samuel Duarte</t>
  </si>
  <si>
    <t>Alef Freire</t>
  </si>
  <si>
    <t>João Vitor Ferreira</t>
  </si>
  <si>
    <t>Equipe Mabus</t>
  </si>
  <si>
    <t>Heverton Moreira</t>
  </si>
  <si>
    <t>Thiago Alves</t>
  </si>
  <si>
    <t>R$ Comissão Prevista</t>
  </si>
  <si>
    <t>% Comissão Prevista</t>
  </si>
  <si>
    <t>% de Lucro Previsto</t>
  </si>
  <si>
    <t>Mauricio Raduan</t>
  </si>
  <si>
    <t>Gabrielly Freitas</t>
  </si>
  <si>
    <t>Anna Carolina</t>
  </si>
  <si>
    <t>Damiana Alvelino</t>
  </si>
  <si>
    <t>Geovanna Candido</t>
  </si>
  <si>
    <t>Lucilene Vernillo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</si>
</sst>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_-"/>
    <numFmt numFmtId="165" formatCode="d/m/yyyy"/>
    <numFmt numFmtId="166" formatCode="_-* #,##0.00_-;\-* #,##0.00_-;_-* \-??_-;_-@_-"/>
  </numFmts>
  <fonts count="21" x14ac:knownFonts="1">
    <font>
      <sz val="10"/>
      <color rgb="FF000000"/>
      <name val="Arial"/>
      <charset val="1"/>
    </font>
    <font>
      <sz val="10"/>
      <name val="Arial"/>
      <family val="2"/>
      <charset val="1"/>
    </font>
    <font>
      <b/>
      <sz val="14"/>
      <color theme="1"/>
      <name val="Times New Roman"/>
      <family val="1"/>
      <charset val="1"/>
    </font>
    <font>
      <b/>
      <sz val="14"/>
      <color theme="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0"/>
      <color theme="1"/>
      <name val="Arial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2"/>
      <color theme="0"/>
      <name val="Times New Roman"/>
      <family val="1"/>
      <charset val="1"/>
    </font>
    <font>
      <b/>
      <sz val="10"/>
      <color rgb="FFFFFFFF"/>
      <name val="Noto Sans Old Italic"/>
      <family val="2"/>
      <charset val="1"/>
    </font>
    <font>
      <b/>
      <sz val="10"/>
      <color theme="0"/>
      <name val="Arial"/>
      <family val="2"/>
      <charset val="1"/>
    </font>
    <font>
      <sz val="10"/>
      <color rgb="FF000000"/>
      <name val="Times New Roman"/>
      <family val="1"/>
      <charset val="1"/>
    </font>
    <font>
      <b/>
      <sz val="14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00"/>
      <name val="Arial"/>
      <family val="2"/>
    </font>
    <font>
      <sz val="11"/>
      <color rgb="FF000000"/>
      <name val="Calibri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1"/>
        <bgColor rgb="FF333300"/>
      </patternFill>
    </fill>
    <fill>
      <patternFill patternType="solid">
        <fgColor rgb="FF000000"/>
        <bgColor rgb="FF232629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164" fontId="1" fillId="0" borderId="0" applyBorder="0" applyProtection="0"/>
    <xf numFmtId="9" fontId="1" fillId="0" borderId="0" applyBorder="0" applyProtection="0"/>
    <xf numFmtId="0" fontId="17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164" fontId="1" fillId="0" borderId="0" xfId="1" applyBorder="1" applyProtection="1"/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5" fillId="0" borderId="0" xfId="1" applyFont="1" applyBorder="1" applyProtection="1"/>
    <xf numFmtId="0" fontId="7" fillId="0" borderId="0" xfId="0" applyFont="1"/>
    <xf numFmtId="0" fontId="3" fillId="3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3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64" fontId="10" fillId="4" borderId="1" xfId="1" applyFont="1" applyFill="1" applyBorder="1" applyAlignment="1" applyProtection="1">
      <alignment horizontal="center"/>
    </xf>
    <xf numFmtId="0" fontId="10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1" fillId="0" borderId="1" xfId="1" applyBorder="1" applyProtection="1"/>
    <xf numFmtId="0" fontId="7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3" fillId="3" borderId="0" xfId="0" applyFont="1" applyFill="1"/>
    <xf numFmtId="0" fontId="3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left"/>
    </xf>
    <xf numFmtId="164" fontId="15" fillId="5" borderId="1" xfId="1" applyFont="1" applyFill="1" applyBorder="1" applyAlignment="1" applyProtection="1">
      <alignment horizontal="center"/>
    </xf>
    <xf numFmtId="10" fontId="5" fillId="5" borderId="1" xfId="2" applyNumberFormat="1" applyFont="1" applyFill="1" applyBorder="1" applyAlignment="1" applyProtection="1">
      <alignment horizontal="center"/>
    </xf>
    <xf numFmtId="0" fontId="12" fillId="0" borderId="1" xfId="0" applyFont="1" applyBorder="1"/>
    <xf numFmtId="164" fontId="15" fillId="0" borderId="1" xfId="1" applyFont="1" applyBorder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1" fillId="0" borderId="2" xfId="1" applyBorder="1" applyAlignment="1" applyProtection="1">
      <alignment horizontal="center"/>
    </xf>
    <xf numFmtId="0" fontId="7" fillId="0" borderId="0" xfId="0" applyFont="1" applyAlignment="1">
      <alignment horizontal="center" vertical="center" wrapText="1"/>
    </xf>
    <xf numFmtId="165" fontId="1" fillId="0" borderId="0" xfId="1" applyNumberFormat="1" applyBorder="1" applyProtection="1"/>
    <xf numFmtId="0" fontId="7" fillId="0" borderId="0" xfId="0" applyFont="1" applyAlignment="1">
      <alignment horizontal="left" vertical="center"/>
    </xf>
    <xf numFmtId="0" fontId="1" fillId="0" borderId="1" xfId="1" applyNumberFormat="1" applyBorder="1" applyAlignment="1" applyProtection="1">
      <alignment horizontal="center"/>
    </xf>
    <xf numFmtId="166" fontId="7" fillId="0" borderId="0" xfId="0" applyNumberFormat="1" applyFont="1"/>
    <xf numFmtId="0" fontId="7" fillId="0" borderId="4" xfId="0" applyFont="1" applyBorder="1"/>
    <xf numFmtId="165" fontId="8" fillId="0" borderId="0" xfId="0" applyNumberFormat="1" applyFont="1" applyAlignment="1">
      <alignment horizontal="left"/>
    </xf>
    <xf numFmtId="164" fontId="20" fillId="0" borderId="0" xfId="1" applyFont="1" applyBorder="1" applyAlignment="1" applyProtection="1">
      <alignment horizontal="right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164" fontId="1" fillId="0" borderId="1" xfId="1" applyBorder="1" applyAlignment="1" applyProtection="1">
      <alignment wrapText="1"/>
    </xf>
    <xf numFmtId="0" fontId="7" fillId="0" borderId="1" xfId="0" applyFont="1" applyBorder="1" applyAlignment="1">
      <alignment wrapText="1"/>
    </xf>
    <xf numFmtId="0" fontId="10" fillId="4" borderId="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10" fontId="5" fillId="0" borderId="1" xfId="2" applyNumberFormat="1" applyFont="1" applyBorder="1" applyAlignment="1" applyProtection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right" wrapText="1"/>
    </xf>
    <xf numFmtId="0" fontId="17" fillId="0" borderId="1" xfId="3" applyBorder="1" applyProtection="1">
      <protection locked="0"/>
    </xf>
    <xf numFmtId="0" fontId="17" fillId="0" borderId="1" xfId="3" applyBorder="1"/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6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164" fontId="1" fillId="0" borderId="1" xfId="1" applyBorder="1"/>
    <xf numFmtId="0" fontId="7" fillId="0" borderId="4" xfId="0" applyFont="1" applyBorder="1" applyAlignment="1">
      <alignment horizontal="center"/>
    </xf>
    <xf numFmtId="0" fontId="9" fillId="3" borderId="1" xfId="0" applyFont="1" applyFill="1" applyBorder="1" applyAlignment="1">
      <alignment horizontal="right"/>
    </xf>
    <xf numFmtId="164" fontId="18" fillId="3" borderId="1" xfId="1" applyFont="1" applyFill="1" applyBorder="1" applyAlignment="1" applyProtection="1">
      <alignment horizontal="center"/>
    </xf>
    <xf numFmtId="164" fontId="19" fillId="3" borderId="1" xfId="1" applyFont="1" applyFill="1" applyBorder="1" applyAlignment="1" applyProtection="1">
      <alignment horizontal="center"/>
    </xf>
    <xf numFmtId="164" fontId="11" fillId="3" borderId="1" xfId="1" applyFont="1" applyFill="1" applyBorder="1" applyAlignment="1" applyProtection="1">
      <alignment horizontal="center"/>
    </xf>
  </cellXfs>
  <cellStyles count="4">
    <cellStyle name="Moeda" xfId="1" builtinId="4"/>
    <cellStyle name="Normal" xfId="0" builtinId="0"/>
    <cellStyle name="Normal 2" xfId="3" xr:uid="{7D65CA67-A57D-4C85-81E1-577A8F1E413A}"/>
    <cellStyle name="Porcentagem" xfId="2" builtinId="5"/>
  </cellStyles>
  <dxfs count="2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b/>
        <i val="0"/>
        <strike val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numFmt numFmtId="0" formatCode="General"/>
      <alignment textRotation="0" wrapText="1" indent="0" justifyLastLine="0" shrinkToFit="0" readingOrder="0"/>
    </dxf>
    <dxf>
      <numFmt numFmtId="164" formatCode="_-&quot;R$ &quot;* #,##0.00_-;&quot;-R$ &quot;* #,##0.00_-;_-&quot;R$ &quot;* \-??_-;_-@_-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R$ &quot;* #,##0.00_-;&quot;-R$ &quot;* #,##0.00_-;_-&quot;R$ &quot;* \-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CF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326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DadosOrigem" displayName="TabelaDadosOrigem" ref="A1:K500" totalsRowShown="0">
  <autoFilter ref="A1:K500" xr:uid="{00000000-0009-0000-0100-000004000000}"/>
  <tableColumns count="11">
    <tableColumn id="1" xr3:uid="{00000000-0010-0000-0000-000001000000}" name="Lote" dataDxfId="22"/>
    <tableColumn id="2" xr3:uid="{00000000-0010-0000-0000-000002000000}" name="Item" dataDxfId="21"/>
    <tableColumn id="3" xr3:uid="{00000000-0010-0000-0000-000003000000}" name="Quantidade " dataDxfId="20"/>
    <tableColumn id="4" xr3:uid="{00000000-0010-0000-0000-000004000000}" name="Valor da Compra (UN.)" dataDxfId="19"/>
    <tableColumn id="5" xr3:uid="{00000000-0010-0000-0000-000005000000}" name="Valor da Venda  (UN.)" dataDxfId="18" dataCellStyle="Moeda"/>
    <tableColumn id="6" xr3:uid="{00000000-0010-0000-0000-000006000000}" name="% de Lucro" dataDxfId="17">
      <calculatedColumnFormula>IF(B2&gt;0,(((E2*C2)-(D2*C2)-(P2*C2))/(E2*C2)),"")</calculatedColumnFormula>
    </tableColumn>
    <tableColumn id="7" xr3:uid="{00000000-0010-0000-0000-000007000000}" name="% Comissão" dataDxfId="16">
      <calculatedColumnFormula>IF(F2="","",IF(F2&lt;0.2,0.05,IF(F2&lt;0.25,0.1,IF(F2&lt;0.3,0.15,IF(F2&lt;0.35,0.2,IF(F2&lt;0.45,0.25,IF(F2&lt;0.5,0.3,IF(F2&lt;0.6,0.35,0.4))))))))</calculatedColumnFormula>
    </tableColumn>
    <tableColumn id="8" xr3:uid="{00000000-0010-0000-0000-000008000000}" name="$ Comissão" dataDxfId="15">
      <calculatedColumnFormula>IFERROR(((E2*C2)-(D2*C2)-(E2*C2*4%))*G2,"")</calculatedColumnFormula>
    </tableColumn>
    <tableColumn id="9" xr3:uid="{00000000-0010-0000-0000-000009000000}" name="Marca/Modelo" dataDxfId="14"/>
    <tableColumn id="10" xr3:uid="{00000000-0010-0000-0000-00000A000000}" name="Link" dataDxfId="13"/>
    <tableColumn id="11" xr3:uid="{00000000-0010-0000-0000-00000B000000}" name="Responsável Pelo Orçamento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elaDadosOrigem_2" displayName="TabelaDadosOrigem_2" ref="G9:K503" totalsRowShown="0" dataDxfId="11">
  <autoFilter ref="G9:K503" xr:uid="{00000000-0009-0000-0100-000005000000}"/>
  <tableColumns count="5">
    <tableColumn id="1" xr3:uid="{00000000-0010-0000-0100-000001000000}" name="Lote" dataDxfId="10">
      <calculatedColumnFormula>IFERROR((VLOOKUP(CONCATENATE("Sim",D2),$B$2:$D$1000,3,FALSE())),"")</calculatedColumnFormula>
    </tableColumn>
    <tableColumn id="2" xr3:uid="{00000000-0010-0000-0100-000002000000}" name="Item" dataDxfId="9">
      <calculatedColumnFormula>IFERROR((VLOOKUP(G10,'Planilha de Cadastro - Previsão'!$A$2:$N$1100,2,FALSE()))," ")</calculatedColumnFormula>
    </tableColumn>
    <tableColumn id="3" xr3:uid="{00000000-0010-0000-0100-000003000000}" name="Quantidade " dataDxfId="8">
      <calculatedColumnFormula>IFERROR((VLOOKUP(G10,'Planilha de Cadastro - Previsão'!$A$2:$N$1100,3,FALSE()))," ")</calculatedColumnFormula>
    </tableColumn>
    <tableColumn id="4" xr3:uid="{00000000-0010-0000-0100-000004000000}" name="Valor da Venda  (UN.)" dataDxfId="7">
      <calculatedColumnFormula>IFERROR((VLOOKUP(G10,'Planilha de Cadastro - Previsão'!$A$2:$N$1100,5,FALSE()))," ")</calculatedColumnFormula>
    </tableColumn>
    <tableColumn id="5" xr3:uid="{00000000-0010-0000-0100-000005000000}" name="Marca/Modelo" dataDxfId="6">
      <calculatedColumnFormula>IFERROR((VLOOKUP(G10,'Planilha de Cadastro - Previsão'!$A$2:$N$1100,9,FALSE()))," 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2" displayName="Tabela2" ref="F1:M1000" totalsRowShown="0">
  <autoFilter ref="F1:M1000" xr:uid="{00000000-0009-0000-0100-000003000000}"/>
  <tableColumns count="8">
    <tableColumn id="1" xr3:uid="{00000000-0010-0000-0200-000001000000}" name="Lote ">
      <calculatedColumnFormula>IFERROR((VLOOKUP(CONCATENATE("Sim",D2),$B$2:$D$1000,3,FALSE())),"")</calculatedColumnFormula>
    </tableColumn>
    <tableColumn id="2" xr3:uid="{00000000-0010-0000-0200-000002000000}" name="Item">
      <calculatedColumnFormula>IFERROR((VLOOKUP(F2,'Planilha de Cadastro - Previsão'!$A$2:$N$1100,2,FALSE()))," ")</calculatedColumnFormula>
    </tableColumn>
    <tableColumn id="3" xr3:uid="{00000000-0010-0000-0200-000003000000}" name="Quantidade "/>
    <tableColumn id="4" xr3:uid="{00000000-0010-0000-0200-000004000000}" name="Valor da Compra"/>
    <tableColumn id="5" xr3:uid="{00000000-0010-0000-0200-000005000000}" name="Valor da Venda Prevista"/>
    <tableColumn id="6" xr3:uid="{00000000-0010-0000-0200-000006000000}" name="Valor da Venda Real"/>
    <tableColumn id="7" xr3:uid="{00000000-0010-0000-0200-000007000000}" name="Lucro Real">
      <calculatedColumnFormula>IF(K2&gt;0,(K2*H2)-(I2*H2)-(K2*H2*4%),"")</calculatedColumnFormula>
    </tableColumn>
    <tableColumn id="8" xr3:uid="{00000000-0010-0000-0200-000008000000}" name="% de Lucro">
      <calculatedColumnFormula>IFERROR(L2/(K2*H2),"")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Final" displayName="Final" ref="F1:P1000" totalsRowShown="0">
  <autoFilter ref="F1:P1000" xr:uid="{00000000-0009-0000-0100-000001000000}"/>
  <tableColumns count="11">
    <tableColumn id="1" xr3:uid="{00000000-0010-0000-0300-000001000000}" name="Lote "/>
    <tableColumn id="2" xr3:uid="{00000000-0010-0000-0300-000002000000}" name="Município"/>
    <tableColumn id="3" xr3:uid="{00000000-0010-0000-0300-000003000000}" name="Concatenar"/>
    <tableColumn id="4" xr3:uid="{00000000-0010-0000-0300-000004000000}" name="Item"/>
    <tableColumn id="5" xr3:uid="{00000000-0010-0000-0300-000005000000}" name="Quantidade "/>
    <tableColumn id="6" xr3:uid="{00000000-0010-0000-0300-000006000000}" name="Valor de Compra Previsto"/>
    <tableColumn id="7" xr3:uid="{00000000-0010-0000-0300-000007000000}" name="Valor da Venda Real"/>
    <tableColumn id="8" xr3:uid="{00000000-0010-0000-0300-000008000000}" name="Link da Compra"/>
    <tableColumn id="9" xr3:uid="{00000000-0010-0000-0300-000009000000}" name="Marca"/>
    <tableColumn id="10" xr3:uid="{00000000-0010-0000-0300-00000A000000}" name="Responsável Pela Cotação"/>
    <tableColumn id="11" xr3:uid="{00000000-0010-0000-0300-00000B000000}" name="Responsável pelos Lanc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Final_2" displayName="Final_2" ref="A11:E249" totalsRowShown="0">
  <autoFilter ref="A11:E249" xr:uid="{00000000-0009-0000-0100-000002000000}"/>
  <tableColumns count="5">
    <tableColumn id="1" xr3:uid="{00000000-0010-0000-0400-000001000000}" name="Lote">
      <calculatedColumnFormula>'Itens Vencedores'!F2</calculatedColumnFormula>
    </tableColumn>
    <tableColumn id="2" xr3:uid="{00000000-0010-0000-0400-000002000000}" name="Item">
      <calculatedColumnFormula>'Itens Vencedores'!I2</calculatedColumnFormula>
    </tableColumn>
    <tableColumn id="3" xr3:uid="{00000000-0010-0000-0400-000003000000}" name="Quantidade ">
      <calculatedColumnFormula>'Itens Vencedores'!J2</calculatedColumnFormula>
    </tableColumn>
    <tableColumn id="4" xr3:uid="{00000000-0010-0000-0400-000004000000}" name="Valor da Venda  (UN.)">
      <calculatedColumnFormula>'Itens Vencedores'!L2</calculatedColumnFormula>
    </tableColumn>
    <tableColumn id="5" xr3:uid="{00000000-0010-0000-0400-000005000000}" name="Marca/Modelo">
      <calculatedColumnFormula>'Itens Vencedores'!N2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Breeze">
      <a:dk1>
        <a:srgbClr val="232629"/>
      </a:dk1>
      <a:lt1>
        <a:srgbClr val="FCFCFC"/>
      </a:lt1>
      <a:dk2>
        <a:srgbClr val="31363B"/>
      </a:dk2>
      <a:lt2>
        <a:srgbClr val="EFF0F1"/>
      </a:lt2>
      <a:accent1>
        <a:srgbClr val="DA4453"/>
      </a:accent1>
      <a:accent2>
        <a:srgbClr val="F47750"/>
      </a:accent2>
      <a:accent3>
        <a:srgbClr val="FDBC4B"/>
      </a:accent3>
      <a:accent4>
        <a:srgbClr val="C9CE3B"/>
      </a:accent4>
      <a:accent5>
        <a:srgbClr val="1CDC9A"/>
      </a:accent5>
      <a:accent6>
        <a:srgbClr val="2ECC71"/>
      </a:accent6>
      <a:hlink>
        <a:srgbClr val="1D99F3"/>
      </a:hlink>
      <a:folHlink>
        <a:srgbClr val="3DAEE9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0"/>
  <sheetViews>
    <sheetView tabSelected="1" zoomScaleNormal="100" workbookViewId="0">
      <selection activeCell="B8" sqref="B8"/>
    </sheetView>
  </sheetViews>
  <sheetFormatPr defaultColWidth="8.7109375" defaultRowHeight="12.75" x14ac:dyDescent="0.2"/>
  <cols>
    <col min="1" max="1" width="8.7109375" style="1"/>
    <col min="2" max="2" width="28.5703125" customWidth="1"/>
    <col min="3" max="3" width="16.42578125" style="1" customWidth="1"/>
    <col min="4" max="4" width="28.7109375" style="2" customWidth="1"/>
    <col min="5" max="5" width="27.5703125" customWidth="1"/>
    <col min="6" max="6" width="16" customWidth="1"/>
    <col min="7" max="7" width="17" customWidth="1"/>
    <col min="8" max="8" width="16" customWidth="1"/>
    <col min="9" max="9" width="24.42578125" customWidth="1"/>
    <col min="10" max="11" width="45.7109375" customWidth="1"/>
    <col min="12" max="12" width="21.140625" customWidth="1"/>
    <col min="13" max="13" width="33" customWidth="1"/>
    <col min="14" max="14" width="8.7109375" style="1" customWidth="1"/>
    <col min="15" max="15" width="14" customWidth="1"/>
    <col min="16" max="16" width="11.85546875" customWidth="1"/>
    <col min="18" max="18" width="8.7109375" hidden="1" customWidth="1"/>
    <col min="19" max="19" width="8.28515625" customWidth="1"/>
  </cols>
  <sheetData>
    <row r="1" spans="1:18" s="5" customFormat="1" ht="37.5" x14ac:dyDescent="0.2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3" t="s">
        <v>5</v>
      </c>
      <c r="G1" s="3" t="s">
        <v>6</v>
      </c>
      <c r="H1" s="3" t="s">
        <v>7</v>
      </c>
      <c r="I1" s="62" t="s">
        <v>8</v>
      </c>
      <c r="J1" s="62" t="s">
        <v>9</v>
      </c>
      <c r="K1" s="6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8" ht="15.75" x14ac:dyDescent="0.25">
      <c r="A2" s="64"/>
      <c r="B2" s="65"/>
      <c r="C2" s="66"/>
      <c r="D2" s="23"/>
      <c r="E2" s="23"/>
      <c r="F2" s="61" t="str">
        <f>IF(B2&gt;0,(((E2*C2)-(D2*C2)-(P2*C2))/(E2*C2)),"")</f>
        <v/>
      </c>
      <c r="G2" s="61" t="str">
        <f>IF(F2="","",IF(F2&lt;0.2,0.05,IF(F2&lt;0.25,0.1,IF(F2&lt;0.3,0.15,IF(F2&lt;0.35,0.2,IF(F2&lt;0.45,0.25,IF(F2&lt;0.5,0.3,IF(F2&lt;0.6,0.35,0.4))))))))</f>
        <v/>
      </c>
      <c r="H2" s="23" t="str">
        <f t="shared" ref="H2" si="0">IFERROR(((E2*C2)-(D2*C2)-(E2*C2*4%))*G2,"")</f>
        <v/>
      </c>
      <c r="I2" s="67"/>
      <c r="J2" s="68"/>
      <c r="K2" s="69"/>
      <c r="L2" s="6" t="str">
        <f>IFERROR(VLOOKUP(A2,'Acompanhamento da Licitação'!$F$2:$N$1000,6,FALSE()),"")</f>
        <v/>
      </c>
      <c r="M2" s="6" t="str">
        <f>IFERROR(VLOOKUP(A2,'Acompanhamento da Licitação'!$F$2:$N$1000,7,FALSE()),"")</f>
        <v/>
      </c>
      <c r="N2" s="1" t="str">
        <f>IFERROR(VLOOKUP(A2,'Acompanhamento da Licitação'!$F$2:$N$1000,9,FALSE()),"")</f>
        <v/>
      </c>
      <c r="O2" s="1" t="str">
        <f>IF(AND(D2&gt;0,F2&gt;0.25),"Sim","Não")</f>
        <v>Não</v>
      </c>
      <c r="P2" s="6">
        <f>4%*E2</f>
        <v>0</v>
      </c>
      <c r="R2" s="26" t="s">
        <v>54</v>
      </c>
    </row>
    <row r="3" spans="1:18" ht="15.75" x14ac:dyDescent="0.25">
      <c r="A3" s="66"/>
      <c r="B3" s="65"/>
      <c r="C3" s="66"/>
      <c r="D3" s="23"/>
      <c r="E3" s="23"/>
      <c r="F3" s="61" t="str">
        <f t="shared" ref="F3:F66" si="1">IF(B3&gt;0,(((E3*C3)-(D3*C3)-(P3*C3))/(E3*C3)),"")</f>
        <v/>
      </c>
      <c r="G3" s="61" t="str">
        <f t="shared" ref="G3:G66" si="2">IF(F3="","",IF(F3&lt;0.2,0.05,IF(F3&lt;0.25,0.1,IF(F3&lt;0.3,0.15,IF(F3&lt;0.35,0.2,IF(F3&lt;0.45,0.25,IF(F3&lt;0.5,0.3,IF(F3&lt;0.6,0.35,0.4))))))))</f>
        <v/>
      </c>
      <c r="H3" s="23" t="str">
        <f t="shared" ref="H3:H66" si="3">IFERROR(((E3*C3)-(D3*C3)-(E3*C3*4%))*G3,"")</f>
        <v/>
      </c>
      <c r="I3" s="70"/>
      <c r="J3" s="70"/>
      <c r="K3" s="69"/>
      <c r="L3" s="6" t="str">
        <f>IFERROR(VLOOKUP(A3,'Acompanhamento da Licitação'!$F$2:$N$1000,6,FALSE()),"")</f>
        <v/>
      </c>
      <c r="M3" s="6" t="str">
        <f>IFERROR(VLOOKUP(A3,'Acompanhamento da Licitação'!$F$2:$N$1000,7,FALSE()),"")</f>
        <v/>
      </c>
      <c r="N3" s="1" t="str">
        <f>IFERROR(VLOOKUP(A3,'Acompanhamento da Licitação'!$F$2:$N$1000,9,FALSE()),"")</f>
        <v/>
      </c>
      <c r="O3" s="1" t="str">
        <f t="shared" ref="O3:O66" si="4">IF(AND(D3&gt;0,F3&gt;0.25),"Sim","Não")</f>
        <v>Não</v>
      </c>
      <c r="P3" s="6">
        <f t="shared" ref="P3:P66" si="5">4%*E3</f>
        <v>0</v>
      </c>
      <c r="R3" s="26" t="s">
        <v>64</v>
      </c>
    </row>
    <row r="4" spans="1:18" ht="15.75" x14ac:dyDescent="0.25">
      <c r="A4" s="64"/>
      <c r="B4" s="71"/>
      <c r="C4" s="64"/>
      <c r="D4" s="23"/>
      <c r="E4" s="73"/>
      <c r="F4" s="61" t="str">
        <f t="shared" si="1"/>
        <v/>
      </c>
      <c r="G4" s="61" t="str">
        <f t="shared" si="2"/>
        <v/>
      </c>
      <c r="H4" s="23" t="str">
        <f t="shared" si="3"/>
        <v/>
      </c>
      <c r="I4" s="70"/>
      <c r="J4" s="70"/>
      <c r="K4" s="69"/>
      <c r="L4" s="6" t="str">
        <f>IFERROR(VLOOKUP(A4,'Acompanhamento da Licitação'!$F$2:$N$1000,6,FALSE()),"")</f>
        <v/>
      </c>
      <c r="M4" s="6" t="str">
        <f>IFERROR(VLOOKUP(A4,'Acompanhamento da Licitação'!$F$2:$N$1000,7,FALSE()),"")</f>
        <v/>
      </c>
      <c r="N4" s="1" t="str">
        <f>IFERROR(VLOOKUP(A4,'Acompanhamento da Licitação'!$F$2:$N$1000,9,FALSE()),"")</f>
        <v/>
      </c>
      <c r="O4" s="1" t="str">
        <f t="shared" si="4"/>
        <v>Não</v>
      </c>
      <c r="P4" s="6">
        <f t="shared" si="5"/>
        <v>0</v>
      </c>
      <c r="R4" s="26" t="s">
        <v>45</v>
      </c>
    </row>
    <row r="5" spans="1:18" ht="15.75" x14ac:dyDescent="0.25">
      <c r="A5" s="64"/>
      <c r="B5" s="71"/>
      <c r="C5" s="64"/>
      <c r="D5" s="23"/>
      <c r="E5" s="73"/>
      <c r="F5" s="61" t="str">
        <f t="shared" si="1"/>
        <v/>
      </c>
      <c r="G5" s="61" t="str">
        <f t="shared" si="2"/>
        <v/>
      </c>
      <c r="H5" s="23" t="str">
        <f t="shared" si="3"/>
        <v/>
      </c>
      <c r="I5" s="70"/>
      <c r="J5" s="70"/>
      <c r="K5" s="69"/>
      <c r="L5" s="6" t="str">
        <f>IFERROR(VLOOKUP(A5,'Acompanhamento da Licitação'!$F$2:$N$1000,6,FALSE()),"")</f>
        <v/>
      </c>
      <c r="M5" s="6" t="str">
        <f>IFERROR(VLOOKUP(A5,'Acompanhamento da Licitação'!$F$2:$N$1000,7,FALSE()),"")</f>
        <v/>
      </c>
      <c r="N5" s="1" t="str">
        <f>IFERROR(VLOOKUP(A5,'Acompanhamento da Licitação'!$F$2:$N$1000,9,FALSE()),"")</f>
        <v/>
      </c>
      <c r="O5" s="1" t="str">
        <f t="shared" si="4"/>
        <v>Não</v>
      </c>
      <c r="P5" s="6">
        <f t="shared" si="5"/>
        <v>0</v>
      </c>
      <c r="R5" s="26" t="s">
        <v>52</v>
      </c>
    </row>
    <row r="6" spans="1:18" ht="15.75" x14ac:dyDescent="0.25">
      <c r="A6" s="64"/>
      <c r="B6" s="71"/>
      <c r="C6" s="64"/>
      <c r="D6" s="23"/>
      <c r="E6" s="73"/>
      <c r="F6" s="61" t="str">
        <f t="shared" si="1"/>
        <v/>
      </c>
      <c r="G6" s="61" t="str">
        <f t="shared" si="2"/>
        <v/>
      </c>
      <c r="H6" s="23" t="str">
        <f t="shared" si="3"/>
        <v/>
      </c>
      <c r="I6" s="70"/>
      <c r="J6" s="70"/>
      <c r="K6" s="69"/>
      <c r="L6" s="6" t="str">
        <f>IFERROR(VLOOKUP(A6,'Acompanhamento da Licitação'!$F$2:$N$1000,6,FALSE()),"")</f>
        <v/>
      </c>
      <c r="M6" s="6" t="str">
        <f>IFERROR(VLOOKUP(A6,'Acompanhamento da Licitação'!$F$2:$N$1000,7,FALSE()),"")</f>
        <v/>
      </c>
      <c r="N6" s="1" t="str">
        <f>IFERROR(VLOOKUP(A6,'Acompanhamento da Licitação'!$F$2:$N$1000,9,FALSE()),"")</f>
        <v/>
      </c>
      <c r="O6" s="1" t="str">
        <f t="shared" si="4"/>
        <v>Não</v>
      </c>
      <c r="P6" s="6">
        <f t="shared" si="5"/>
        <v>0</v>
      </c>
      <c r="R6" s="26" t="s">
        <v>65</v>
      </c>
    </row>
    <row r="7" spans="1:18" ht="15.75" x14ac:dyDescent="0.25">
      <c r="A7" s="64"/>
      <c r="B7" s="71"/>
      <c r="C7" s="64"/>
      <c r="D7" s="23"/>
      <c r="E7" s="73"/>
      <c r="F7" s="61" t="str">
        <f t="shared" si="1"/>
        <v/>
      </c>
      <c r="G7" s="61" t="str">
        <f t="shared" si="2"/>
        <v/>
      </c>
      <c r="H7" s="23" t="str">
        <f t="shared" si="3"/>
        <v/>
      </c>
      <c r="I7" s="70"/>
      <c r="J7" s="70"/>
      <c r="K7" s="69"/>
      <c r="L7" s="6" t="str">
        <f>IFERROR(VLOOKUP(A7,'Acompanhamento da Licitação'!$F$2:$N$1000,6,FALSE()),"")</f>
        <v/>
      </c>
      <c r="M7" s="6" t="str">
        <f>IFERROR(VLOOKUP(A7,'Acompanhamento da Licitação'!$F$2:$N$1000,7,FALSE()),"")</f>
        <v/>
      </c>
      <c r="N7" s="1" t="str">
        <f>IFERROR(VLOOKUP(A7,'Acompanhamento da Licitação'!$F$2:$N$1000,9,FALSE()),"")</f>
        <v/>
      </c>
      <c r="O7" s="1" t="str">
        <f t="shared" si="4"/>
        <v>Não</v>
      </c>
      <c r="P7" s="6">
        <f t="shared" si="5"/>
        <v>0</v>
      </c>
      <c r="R7" s="26" t="s">
        <v>56</v>
      </c>
    </row>
    <row r="8" spans="1:18" ht="15.75" x14ac:dyDescent="0.25">
      <c r="A8" s="64"/>
      <c r="B8" s="71"/>
      <c r="C8" s="64"/>
      <c r="D8" s="23"/>
      <c r="E8" s="73"/>
      <c r="F8" s="61" t="str">
        <f t="shared" si="1"/>
        <v/>
      </c>
      <c r="G8" s="61" t="str">
        <f t="shared" si="2"/>
        <v/>
      </c>
      <c r="H8" s="23" t="str">
        <f t="shared" si="3"/>
        <v/>
      </c>
      <c r="I8" s="70"/>
      <c r="J8" s="70"/>
      <c r="K8" s="69"/>
      <c r="L8" s="6" t="str">
        <f>IFERROR(VLOOKUP(A8,'Acompanhamento da Licitação'!$F$2:$N$1000,6,FALSE()),"")</f>
        <v/>
      </c>
      <c r="M8" s="6" t="str">
        <f>IFERROR(VLOOKUP(A8,'Acompanhamento da Licitação'!$F$2:$N$1000,7,FALSE()),"")</f>
        <v/>
      </c>
      <c r="N8" s="1" t="str">
        <f>IFERROR(VLOOKUP(A8,'Acompanhamento da Licitação'!$F$2:$N$1000,9,FALSE()),"")</f>
        <v/>
      </c>
      <c r="O8" s="1" t="str">
        <f t="shared" si="4"/>
        <v>Não</v>
      </c>
      <c r="P8" s="6">
        <f t="shared" si="5"/>
        <v>0</v>
      </c>
      <c r="R8" s="26" t="s">
        <v>63</v>
      </c>
    </row>
    <row r="9" spans="1:18" ht="15.75" x14ac:dyDescent="0.25">
      <c r="A9" s="64"/>
      <c r="B9" s="71"/>
      <c r="C9" s="64"/>
      <c r="D9" s="23"/>
      <c r="E9" s="73"/>
      <c r="F9" s="61" t="str">
        <f t="shared" si="1"/>
        <v/>
      </c>
      <c r="G9" s="61" t="str">
        <f t="shared" si="2"/>
        <v/>
      </c>
      <c r="H9" s="23" t="str">
        <f t="shared" si="3"/>
        <v/>
      </c>
      <c r="I9" s="70"/>
      <c r="J9" s="70"/>
      <c r="K9" s="69"/>
      <c r="L9" s="6" t="str">
        <f>IFERROR(VLOOKUP(A9,'Acompanhamento da Licitação'!$F$2:$N$1000,6,FALSE()),"")</f>
        <v/>
      </c>
      <c r="M9" s="6" t="str">
        <f>IFERROR(VLOOKUP(A9,'Acompanhamento da Licitação'!$F$2:$N$1000,7,FALSE()),"")</f>
        <v/>
      </c>
      <c r="N9" s="1" t="str">
        <f>IFERROR(VLOOKUP(A9,'Acompanhamento da Licitação'!$F$2:$N$1000,9,FALSE()),"")</f>
        <v/>
      </c>
      <c r="O9" s="1" t="str">
        <f t="shared" si="4"/>
        <v>Não</v>
      </c>
      <c r="P9" s="6">
        <f t="shared" si="5"/>
        <v>0</v>
      </c>
      <c r="R9" s="26" t="s">
        <v>66</v>
      </c>
    </row>
    <row r="10" spans="1:18" ht="15.75" x14ac:dyDescent="0.25">
      <c r="A10" s="64"/>
      <c r="B10" s="71"/>
      <c r="C10" s="64"/>
      <c r="D10" s="23"/>
      <c r="E10" s="73"/>
      <c r="F10" s="61" t="str">
        <f t="shared" si="1"/>
        <v/>
      </c>
      <c r="G10" s="61" t="str">
        <f t="shared" si="2"/>
        <v/>
      </c>
      <c r="H10" s="23" t="str">
        <f t="shared" si="3"/>
        <v/>
      </c>
      <c r="I10" s="70"/>
      <c r="J10" s="70"/>
      <c r="K10" s="69"/>
      <c r="L10" s="6" t="str">
        <f>IFERROR(VLOOKUP(A10,'Acompanhamento da Licitação'!$F$2:$N$1000,6,FALSE()),"")</f>
        <v/>
      </c>
      <c r="M10" s="6" t="str">
        <f>IFERROR(VLOOKUP(A10,'Acompanhamento da Licitação'!$F$2:$N$1000,7,FALSE()),"")</f>
        <v/>
      </c>
      <c r="N10" s="1" t="str">
        <f>IFERROR(VLOOKUP(A10,'Acompanhamento da Licitação'!$F$2:$N$1000,9,FALSE()),"")</f>
        <v/>
      </c>
      <c r="O10" s="1" t="str">
        <f t="shared" si="4"/>
        <v>Não</v>
      </c>
      <c r="P10" s="6">
        <f t="shared" si="5"/>
        <v>0</v>
      </c>
      <c r="R10" s="26" t="s">
        <v>49</v>
      </c>
    </row>
    <row r="11" spans="1:18" ht="15.75" x14ac:dyDescent="0.25">
      <c r="A11" s="64"/>
      <c r="B11" s="71"/>
      <c r="C11" s="64"/>
      <c r="D11" s="23"/>
      <c r="E11" s="73"/>
      <c r="F11" s="61" t="str">
        <f t="shared" si="1"/>
        <v/>
      </c>
      <c r="G11" s="61" t="str">
        <f t="shared" si="2"/>
        <v/>
      </c>
      <c r="H11" s="23" t="str">
        <f t="shared" si="3"/>
        <v/>
      </c>
      <c r="I11" s="70"/>
      <c r="J11" s="70"/>
      <c r="K11" s="69"/>
      <c r="L11" s="6" t="str">
        <f>IFERROR(VLOOKUP(A11,'Acompanhamento da Licitação'!$F$2:$N$1000,6,FALSE()),"")</f>
        <v/>
      </c>
      <c r="M11" s="6" t="str">
        <f>IFERROR(VLOOKUP(A11,'Acompanhamento da Licitação'!$F$2:$N$1000,7,FALSE()),"")</f>
        <v/>
      </c>
      <c r="N11" s="1" t="str">
        <f>IFERROR(VLOOKUP(A11,'Acompanhamento da Licitação'!$F$2:$N$1000,9,FALSE()),"")</f>
        <v/>
      </c>
      <c r="O11" s="1" t="str">
        <f t="shared" si="4"/>
        <v>Não</v>
      </c>
      <c r="P11" s="6">
        <f t="shared" si="5"/>
        <v>0</v>
      </c>
      <c r="R11" s="26" t="s">
        <v>57</v>
      </c>
    </row>
    <row r="12" spans="1:18" ht="15.75" x14ac:dyDescent="0.25">
      <c r="A12" s="64"/>
      <c r="B12" s="71"/>
      <c r="C12" s="64"/>
      <c r="D12" s="23"/>
      <c r="E12" s="73"/>
      <c r="F12" s="61" t="str">
        <f t="shared" si="1"/>
        <v/>
      </c>
      <c r="G12" s="61" t="str">
        <f t="shared" si="2"/>
        <v/>
      </c>
      <c r="H12" s="23" t="str">
        <f t="shared" si="3"/>
        <v/>
      </c>
      <c r="I12" s="70"/>
      <c r="J12" s="70"/>
      <c r="K12" s="69"/>
      <c r="L12" s="6" t="str">
        <f>IFERROR(VLOOKUP(A12,'Acompanhamento da Licitação'!$F$2:$N$1000,6,FALSE()),"")</f>
        <v/>
      </c>
      <c r="M12" s="6" t="str">
        <f>IFERROR(VLOOKUP(A12,'Acompanhamento da Licitação'!$F$2:$N$1000,7,FALSE()),"")</f>
        <v/>
      </c>
      <c r="N12" s="1" t="str">
        <f>IFERROR(VLOOKUP(A12,'Acompanhamento da Licitação'!$F$2:$N$1000,9,FALSE()),"")</f>
        <v/>
      </c>
      <c r="O12" s="1" t="str">
        <f t="shared" si="4"/>
        <v>Não</v>
      </c>
      <c r="P12" s="6">
        <f t="shared" si="5"/>
        <v>0</v>
      </c>
      <c r="R12" s="26" t="s">
        <v>50</v>
      </c>
    </row>
    <row r="13" spans="1:18" ht="15.75" x14ac:dyDescent="0.25">
      <c r="A13" s="64"/>
      <c r="B13" s="71"/>
      <c r="C13" s="64"/>
      <c r="D13" s="23"/>
      <c r="E13" s="73"/>
      <c r="F13" s="61" t="str">
        <f t="shared" si="1"/>
        <v/>
      </c>
      <c r="G13" s="61" t="str">
        <f t="shared" si="2"/>
        <v/>
      </c>
      <c r="H13" s="23" t="str">
        <f t="shared" si="3"/>
        <v/>
      </c>
      <c r="I13" s="70"/>
      <c r="J13" s="70"/>
      <c r="K13" s="69"/>
      <c r="L13" s="6" t="str">
        <f>IFERROR(VLOOKUP(A13,'Acompanhamento da Licitação'!$F$2:$N$1000,6,FALSE()),"")</f>
        <v/>
      </c>
      <c r="M13" s="6" t="str">
        <f>IFERROR(VLOOKUP(A13,'Acompanhamento da Licitação'!$F$2:$N$1000,7,FALSE()),"")</f>
        <v/>
      </c>
      <c r="N13" s="1" t="str">
        <f>IFERROR(VLOOKUP(A13,'Acompanhamento da Licitação'!$F$2:$N$1000,9,FALSE()),"")</f>
        <v/>
      </c>
      <c r="O13" s="1" t="str">
        <f t="shared" si="4"/>
        <v>Não</v>
      </c>
      <c r="P13" s="6">
        <f t="shared" si="5"/>
        <v>0</v>
      </c>
      <c r="R13" s="26" t="s">
        <v>55</v>
      </c>
    </row>
    <row r="14" spans="1:18" ht="15.75" x14ac:dyDescent="0.25">
      <c r="A14" s="64"/>
      <c r="B14" s="71"/>
      <c r="C14" s="64"/>
      <c r="D14" s="23"/>
      <c r="E14" s="73"/>
      <c r="F14" s="61" t="str">
        <f t="shared" si="1"/>
        <v/>
      </c>
      <c r="G14" s="61" t="str">
        <f t="shared" si="2"/>
        <v/>
      </c>
      <c r="H14" s="23" t="str">
        <f t="shared" si="3"/>
        <v/>
      </c>
      <c r="I14" s="70"/>
      <c r="J14" s="70"/>
      <c r="K14" s="69"/>
      <c r="L14" s="6" t="str">
        <f>IFERROR(VLOOKUP(A14,'Acompanhamento da Licitação'!$F$2:$N$1000,6,FALSE()),"")</f>
        <v/>
      </c>
      <c r="M14" s="6" t="str">
        <f>IFERROR(VLOOKUP(A14,'Acompanhamento da Licitação'!$F$2:$N$1000,7,FALSE()),"")</f>
        <v/>
      </c>
      <c r="N14" s="1" t="str">
        <f>IFERROR(VLOOKUP(A14,'Acompanhamento da Licitação'!$F$2:$N$1000,9,FALSE()),"")</f>
        <v/>
      </c>
      <c r="O14" s="1" t="str">
        <f t="shared" si="4"/>
        <v>Não</v>
      </c>
      <c r="P14" s="6">
        <f t="shared" si="5"/>
        <v>0</v>
      </c>
      <c r="R14" s="26" t="s">
        <v>47</v>
      </c>
    </row>
    <row r="15" spans="1:18" ht="15.75" x14ac:dyDescent="0.25">
      <c r="A15" s="64"/>
      <c r="B15" s="71"/>
      <c r="C15" s="64"/>
      <c r="D15" s="23"/>
      <c r="E15" s="73"/>
      <c r="F15" s="61" t="str">
        <f t="shared" si="1"/>
        <v/>
      </c>
      <c r="G15" s="61" t="str">
        <f t="shared" si="2"/>
        <v/>
      </c>
      <c r="H15" s="23" t="str">
        <f t="shared" si="3"/>
        <v/>
      </c>
      <c r="I15" s="70"/>
      <c r="J15" s="70"/>
      <c r="K15" s="69"/>
      <c r="L15" s="6" t="str">
        <f>IFERROR(VLOOKUP(A15,'Acompanhamento da Licitação'!$F$2:$N$1000,6,FALSE()),"")</f>
        <v/>
      </c>
      <c r="M15" s="6" t="str">
        <f>IFERROR(VLOOKUP(A15,'Acompanhamento da Licitação'!$F$2:$N$1000,7,FALSE()),"")</f>
        <v/>
      </c>
      <c r="N15" s="1" t="str">
        <f>IFERROR(VLOOKUP(A15,'Acompanhamento da Licitação'!$F$2:$N$1000,9,FALSE()),"")</f>
        <v/>
      </c>
      <c r="O15" s="1" t="str">
        <f t="shared" si="4"/>
        <v>Não</v>
      </c>
      <c r="P15" s="6">
        <f t="shared" si="5"/>
        <v>0</v>
      </c>
      <c r="R15" s="26" t="s">
        <v>51</v>
      </c>
    </row>
    <row r="16" spans="1:18" ht="15.75" x14ac:dyDescent="0.25">
      <c r="A16" s="64"/>
      <c r="B16" s="71"/>
      <c r="C16" s="64"/>
      <c r="D16" s="23"/>
      <c r="E16" s="73"/>
      <c r="F16" s="61" t="str">
        <f t="shared" si="1"/>
        <v/>
      </c>
      <c r="G16" s="61" t="str">
        <f t="shared" si="2"/>
        <v/>
      </c>
      <c r="H16" s="23" t="str">
        <f t="shared" si="3"/>
        <v/>
      </c>
      <c r="I16" s="70"/>
      <c r="J16" s="70"/>
      <c r="K16" s="69"/>
      <c r="L16" s="6" t="str">
        <f>IFERROR(VLOOKUP(A16,'Acompanhamento da Licitação'!$F$2:$N$1000,6,FALSE()),"")</f>
        <v/>
      </c>
      <c r="M16" s="6" t="str">
        <f>IFERROR(VLOOKUP(A16,'Acompanhamento da Licitação'!$F$2:$N$1000,7,FALSE()),"")</f>
        <v/>
      </c>
      <c r="N16" s="1" t="str">
        <f>IFERROR(VLOOKUP(A16,'Acompanhamento da Licitação'!$F$2:$N$1000,9,FALSE()),"")</f>
        <v/>
      </c>
      <c r="O16" s="1" t="str">
        <f t="shared" si="4"/>
        <v>Não</v>
      </c>
      <c r="P16" s="6">
        <f t="shared" si="5"/>
        <v>0</v>
      </c>
      <c r="R16" s="26" t="s">
        <v>67</v>
      </c>
    </row>
    <row r="17" spans="1:18" ht="15.75" x14ac:dyDescent="0.25">
      <c r="A17" s="64"/>
      <c r="B17" s="71"/>
      <c r="C17" s="64"/>
      <c r="D17" s="23"/>
      <c r="E17" s="73"/>
      <c r="F17" s="61" t="str">
        <f t="shared" si="1"/>
        <v/>
      </c>
      <c r="G17" s="61" t="str">
        <f t="shared" si="2"/>
        <v/>
      </c>
      <c r="H17" s="23" t="str">
        <f t="shared" si="3"/>
        <v/>
      </c>
      <c r="I17" s="70"/>
      <c r="J17" s="70"/>
      <c r="K17" s="69"/>
      <c r="L17" s="6" t="str">
        <f>IFERROR(VLOOKUP(A17,'Acompanhamento da Licitação'!$F$2:$N$1000,6,FALSE()),"")</f>
        <v/>
      </c>
      <c r="M17" s="6" t="str">
        <f>IFERROR(VLOOKUP(A17,'Acompanhamento da Licitação'!$F$2:$N$1000,7,FALSE()),"")</f>
        <v/>
      </c>
      <c r="N17" s="1" t="str">
        <f>IFERROR(VLOOKUP(A17,'Acompanhamento da Licitação'!$F$2:$N$1000,9,FALSE()),"")</f>
        <v/>
      </c>
      <c r="O17" s="1" t="str">
        <f t="shared" si="4"/>
        <v>Não</v>
      </c>
      <c r="P17" s="6">
        <f t="shared" si="5"/>
        <v>0</v>
      </c>
      <c r="R17" s="26" t="s">
        <v>62</v>
      </c>
    </row>
    <row r="18" spans="1:18" ht="15.75" x14ac:dyDescent="0.25">
      <c r="A18" s="64"/>
      <c r="B18" s="71"/>
      <c r="C18" s="64"/>
      <c r="D18" s="23"/>
      <c r="E18" s="73"/>
      <c r="F18" s="61" t="str">
        <f t="shared" si="1"/>
        <v/>
      </c>
      <c r="G18" s="61" t="str">
        <f t="shared" si="2"/>
        <v/>
      </c>
      <c r="H18" s="23" t="str">
        <f t="shared" si="3"/>
        <v/>
      </c>
      <c r="I18" s="70"/>
      <c r="J18" s="70"/>
      <c r="K18" s="69"/>
      <c r="L18" s="6" t="str">
        <f>IFERROR(VLOOKUP(A18,'Acompanhamento da Licitação'!$F$2:$N$1000,6,FALSE()),"")</f>
        <v/>
      </c>
      <c r="M18" s="6" t="str">
        <f>IFERROR(VLOOKUP(A18,'Acompanhamento da Licitação'!$F$2:$N$1000,7,FALSE()),"")</f>
        <v/>
      </c>
      <c r="N18" s="1" t="str">
        <f>IFERROR(VLOOKUP(A18,'Acompanhamento da Licitação'!$F$2:$N$1000,9,FALSE()),"")</f>
        <v/>
      </c>
      <c r="O18" s="1" t="str">
        <f t="shared" si="4"/>
        <v>Não</v>
      </c>
      <c r="P18" s="6">
        <f t="shared" si="5"/>
        <v>0</v>
      </c>
      <c r="R18" s="26" t="s">
        <v>46</v>
      </c>
    </row>
    <row r="19" spans="1:18" ht="15.75" x14ac:dyDescent="0.25">
      <c r="A19" s="64"/>
      <c r="B19" s="71"/>
      <c r="C19" s="64"/>
      <c r="D19" s="23"/>
      <c r="E19" s="73"/>
      <c r="F19" s="61" t="str">
        <f t="shared" si="1"/>
        <v/>
      </c>
      <c r="G19" s="61" t="str">
        <f t="shared" si="2"/>
        <v/>
      </c>
      <c r="H19" s="23" t="str">
        <f t="shared" si="3"/>
        <v/>
      </c>
      <c r="I19" s="70"/>
      <c r="J19" s="70"/>
      <c r="K19" s="69"/>
      <c r="L19" s="6" t="str">
        <f>IFERROR(VLOOKUP(A19,'Acompanhamento da Licitação'!$F$2:$N$1000,6,FALSE()),"")</f>
        <v/>
      </c>
      <c r="M19" s="6" t="str">
        <f>IFERROR(VLOOKUP(A19,'Acompanhamento da Licitação'!$F$2:$N$1000,7,FALSE()),"")</f>
        <v/>
      </c>
      <c r="N19" s="1" t="str">
        <f>IFERROR(VLOOKUP(A19,'Acompanhamento da Licitação'!$F$2:$N$1000,9,FALSE()),"")</f>
        <v/>
      </c>
      <c r="O19" s="1" t="str">
        <f t="shared" si="4"/>
        <v>Não</v>
      </c>
      <c r="P19" s="6">
        <f t="shared" si="5"/>
        <v>0</v>
      </c>
      <c r="R19" s="26" t="s">
        <v>48</v>
      </c>
    </row>
    <row r="20" spans="1:18" ht="15.75" x14ac:dyDescent="0.25">
      <c r="A20" s="64"/>
      <c r="B20" s="71"/>
      <c r="C20" s="64"/>
      <c r="D20" s="23"/>
      <c r="E20" s="73"/>
      <c r="F20" s="61" t="str">
        <f t="shared" si="1"/>
        <v/>
      </c>
      <c r="G20" s="61" t="str">
        <f t="shared" si="2"/>
        <v/>
      </c>
      <c r="H20" s="23" t="str">
        <f t="shared" si="3"/>
        <v/>
      </c>
      <c r="I20" s="70"/>
      <c r="J20" s="70"/>
      <c r="K20" s="69"/>
      <c r="L20" s="6" t="str">
        <f>IFERROR(VLOOKUP(A20,'Acompanhamento da Licitação'!$F$2:$N$1000,6,FALSE()),"")</f>
        <v/>
      </c>
      <c r="M20" s="6" t="str">
        <f>IFERROR(VLOOKUP(A20,'Acompanhamento da Licitação'!$F$2:$N$1000,7,FALSE()),"")</f>
        <v/>
      </c>
      <c r="N20" s="1" t="str">
        <f>IFERROR(VLOOKUP(A20,'Acompanhamento da Licitação'!$F$2:$N$1000,9,FALSE()),"")</f>
        <v/>
      </c>
      <c r="O20" s="1" t="str">
        <f t="shared" si="4"/>
        <v>Não</v>
      </c>
      <c r="P20" s="6">
        <f t="shared" si="5"/>
        <v>0</v>
      </c>
      <c r="R20" s="26" t="s">
        <v>53</v>
      </c>
    </row>
    <row r="21" spans="1:18" ht="15.75" x14ac:dyDescent="0.25">
      <c r="A21" s="64"/>
      <c r="B21" s="71"/>
      <c r="C21" s="64"/>
      <c r="D21" s="23"/>
      <c r="E21" s="73"/>
      <c r="F21" s="61" t="str">
        <f t="shared" si="1"/>
        <v/>
      </c>
      <c r="G21" s="61" t="str">
        <f t="shared" si="2"/>
        <v/>
      </c>
      <c r="H21" s="23" t="str">
        <f t="shared" si="3"/>
        <v/>
      </c>
      <c r="I21" s="70"/>
      <c r="J21" s="70"/>
      <c r="K21" s="69"/>
      <c r="L21" s="6" t="str">
        <f>IFERROR(VLOOKUP(A21,'Acompanhamento da Licitação'!$F$2:$N$1000,6,FALSE()),"")</f>
        <v/>
      </c>
      <c r="M21" s="6" t="str">
        <f>IFERROR(VLOOKUP(A21,'Acompanhamento da Licitação'!$F$2:$N$1000,7,FALSE()),"")</f>
        <v/>
      </c>
      <c r="N21" s="1" t="str">
        <f>IFERROR(VLOOKUP(A21,'Acompanhamento da Licitação'!$F$2:$N$1000,9,FALSE()),"")</f>
        <v/>
      </c>
      <c r="O21" s="1" t="str">
        <f t="shared" si="4"/>
        <v>Não</v>
      </c>
      <c r="P21" s="6">
        <f t="shared" si="5"/>
        <v>0</v>
      </c>
      <c r="R21" s="26" t="s">
        <v>58</v>
      </c>
    </row>
    <row r="22" spans="1:18" ht="15.75" x14ac:dyDescent="0.25">
      <c r="A22" s="64"/>
      <c r="B22" s="71"/>
      <c r="C22" s="64"/>
      <c r="D22" s="23"/>
      <c r="E22" s="73"/>
      <c r="F22" s="61" t="str">
        <f t="shared" si="1"/>
        <v/>
      </c>
      <c r="G22" s="61" t="str">
        <f t="shared" si="2"/>
        <v/>
      </c>
      <c r="H22" s="23" t="str">
        <f t="shared" si="3"/>
        <v/>
      </c>
      <c r="I22" s="70"/>
      <c r="J22" s="70"/>
      <c r="K22" s="69"/>
      <c r="L22" s="6" t="str">
        <f>IFERROR(VLOOKUP(A22,'Acompanhamento da Licitação'!$F$2:$N$1000,6,FALSE()),"")</f>
        <v/>
      </c>
      <c r="M22" s="6" t="str">
        <f>IFERROR(VLOOKUP(A22,'Acompanhamento da Licitação'!$F$2:$N$1000,7,FALSE()),"")</f>
        <v/>
      </c>
      <c r="N22" s="1" t="str">
        <f>IFERROR(VLOOKUP(A22,'Acompanhamento da Licitação'!$F$2:$N$1000,9,FALSE()),"")</f>
        <v/>
      </c>
      <c r="O22" s="1" t="str">
        <f t="shared" si="4"/>
        <v>Não</v>
      </c>
      <c r="P22" s="6">
        <f t="shared" si="5"/>
        <v>0</v>
      </c>
    </row>
    <row r="23" spans="1:18" ht="15.75" x14ac:dyDescent="0.25">
      <c r="A23" s="64"/>
      <c r="B23" s="71"/>
      <c r="C23" s="64"/>
      <c r="D23" s="23"/>
      <c r="E23" s="73"/>
      <c r="F23" s="61" t="str">
        <f t="shared" si="1"/>
        <v/>
      </c>
      <c r="G23" s="61" t="str">
        <f t="shared" si="2"/>
        <v/>
      </c>
      <c r="H23" s="23" t="str">
        <f t="shared" si="3"/>
        <v/>
      </c>
      <c r="I23" s="70"/>
      <c r="J23" s="70"/>
      <c r="K23" s="69"/>
      <c r="L23" s="6" t="str">
        <f>IFERROR(VLOOKUP(A23,'Acompanhamento da Licitação'!$F$2:$N$1000,6,FALSE()),"")</f>
        <v/>
      </c>
      <c r="M23" s="6" t="str">
        <f>IFERROR(VLOOKUP(A23,'Acompanhamento da Licitação'!$F$2:$N$1000,7,FALSE()),"")</f>
        <v/>
      </c>
      <c r="N23" s="1" t="str">
        <f>IFERROR(VLOOKUP(A23,'Acompanhamento da Licitação'!$F$2:$N$1000,9,FALSE()),"")</f>
        <v/>
      </c>
      <c r="O23" s="1" t="str">
        <f t="shared" si="4"/>
        <v>Não</v>
      </c>
      <c r="P23" s="6">
        <f t="shared" si="5"/>
        <v>0</v>
      </c>
    </row>
    <row r="24" spans="1:18" ht="15.75" x14ac:dyDescent="0.25">
      <c r="A24" s="64"/>
      <c r="B24" s="71"/>
      <c r="C24" s="64"/>
      <c r="D24" s="23"/>
      <c r="E24" s="73"/>
      <c r="F24" s="61" t="str">
        <f t="shared" si="1"/>
        <v/>
      </c>
      <c r="G24" s="61" t="str">
        <f t="shared" si="2"/>
        <v/>
      </c>
      <c r="H24" s="23" t="str">
        <f t="shared" si="3"/>
        <v/>
      </c>
      <c r="I24" s="70"/>
      <c r="J24" s="70"/>
      <c r="K24" s="69"/>
      <c r="L24" s="6" t="str">
        <f>IFERROR(VLOOKUP(A24,'Acompanhamento da Licitação'!$F$2:$N$1000,6,FALSE()),"")</f>
        <v/>
      </c>
      <c r="M24" s="6" t="str">
        <f>IFERROR(VLOOKUP(A24,'Acompanhamento da Licitação'!$F$2:$N$1000,7,FALSE()),"")</f>
        <v/>
      </c>
      <c r="N24" s="1" t="str">
        <f>IFERROR(VLOOKUP(A24,'Acompanhamento da Licitação'!$F$2:$N$1000,9,FALSE()),"")</f>
        <v/>
      </c>
      <c r="O24" s="1" t="str">
        <f t="shared" si="4"/>
        <v>Não</v>
      </c>
      <c r="P24" s="6">
        <f t="shared" si="5"/>
        <v>0</v>
      </c>
    </row>
    <row r="25" spans="1:18" ht="15.75" x14ac:dyDescent="0.25">
      <c r="A25" s="64"/>
      <c r="B25" s="71"/>
      <c r="C25" s="64"/>
      <c r="D25" s="23"/>
      <c r="E25" s="73"/>
      <c r="F25" s="61" t="str">
        <f t="shared" si="1"/>
        <v/>
      </c>
      <c r="G25" s="61" t="str">
        <f t="shared" si="2"/>
        <v/>
      </c>
      <c r="H25" s="23" t="str">
        <f t="shared" si="3"/>
        <v/>
      </c>
      <c r="I25" s="70"/>
      <c r="J25" s="70"/>
      <c r="K25" s="69"/>
      <c r="L25" s="6" t="str">
        <f>IFERROR(VLOOKUP(A25,'Acompanhamento da Licitação'!$F$2:$N$1000,6,FALSE()),"")</f>
        <v/>
      </c>
      <c r="M25" s="6" t="str">
        <f>IFERROR(VLOOKUP(A25,'Acompanhamento da Licitação'!$F$2:$N$1000,7,FALSE()),"")</f>
        <v/>
      </c>
      <c r="N25" s="1" t="str">
        <f>IFERROR(VLOOKUP(A25,'Acompanhamento da Licitação'!$F$2:$N$1000,9,FALSE()),"")</f>
        <v/>
      </c>
      <c r="O25" s="1" t="str">
        <f t="shared" si="4"/>
        <v>Não</v>
      </c>
      <c r="P25" s="6">
        <f t="shared" si="5"/>
        <v>0</v>
      </c>
    </row>
    <row r="26" spans="1:18" ht="15.75" x14ac:dyDescent="0.25">
      <c r="A26" s="64"/>
      <c r="B26" s="71"/>
      <c r="C26" s="64"/>
      <c r="D26" s="23"/>
      <c r="E26" s="73"/>
      <c r="F26" s="61" t="str">
        <f t="shared" si="1"/>
        <v/>
      </c>
      <c r="G26" s="61" t="str">
        <f t="shared" si="2"/>
        <v/>
      </c>
      <c r="H26" s="23" t="str">
        <f t="shared" si="3"/>
        <v/>
      </c>
      <c r="I26" s="70"/>
      <c r="J26" s="70"/>
      <c r="K26" s="69"/>
      <c r="L26" s="6" t="str">
        <f>IFERROR(VLOOKUP(A26,'Acompanhamento da Licitação'!$F$2:$N$1000,6,FALSE()),"")</f>
        <v/>
      </c>
      <c r="M26" s="6" t="str">
        <f>IFERROR(VLOOKUP(A26,'Acompanhamento da Licitação'!$F$2:$N$1000,7,FALSE()),"")</f>
        <v/>
      </c>
      <c r="N26" s="1" t="str">
        <f>IFERROR(VLOOKUP(A26,'Acompanhamento da Licitação'!$F$2:$N$1000,9,FALSE()),"")</f>
        <v/>
      </c>
      <c r="O26" s="1" t="str">
        <f t="shared" si="4"/>
        <v>Não</v>
      </c>
      <c r="P26" s="6">
        <f t="shared" si="5"/>
        <v>0</v>
      </c>
    </row>
    <row r="27" spans="1:18" ht="15.75" x14ac:dyDescent="0.25">
      <c r="A27" s="64"/>
      <c r="B27" s="71"/>
      <c r="C27" s="64"/>
      <c r="D27" s="23"/>
      <c r="E27" s="73"/>
      <c r="F27" s="61" t="str">
        <f t="shared" si="1"/>
        <v/>
      </c>
      <c r="G27" s="61" t="str">
        <f t="shared" si="2"/>
        <v/>
      </c>
      <c r="H27" s="23" t="str">
        <f t="shared" si="3"/>
        <v/>
      </c>
      <c r="I27" s="70"/>
      <c r="J27" s="70"/>
      <c r="K27" s="69"/>
      <c r="L27" s="6" t="str">
        <f>IFERROR(VLOOKUP(A27,'Acompanhamento da Licitação'!$F$2:$N$1000,6,FALSE()),"")</f>
        <v/>
      </c>
      <c r="M27" s="6" t="str">
        <f>IFERROR(VLOOKUP(A27,'Acompanhamento da Licitação'!$F$2:$N$1000,7,FALSE()),"")</f>
        <v/>
      </c>
      <c r="N27" s="1" t="str">
        <f>IFERROR(VLOOKUP(A27,'Acompanhamento da Licitação'!$F$2:$N$1000,9,FALSE()),"")</f>
        <v/>
      </c>
      <c r="O27" s="1" t="str">
        <f t="shared" si="4"/>
        <v>Não</v>
      </c>
      <c r="P27" s="6">
        <f t="shared" si="5"/>
        <v>0</v>
      </c>
    </row>
    <row r="28" spans="1:18" ht="15.75" x14ac:dyDescent="0.25">
      <c r="A28" s="64"/>
      <c r="B28" s="71"/>
      <c r="C28" s="64"/>
      <c r="D28" s="23"/>
      <c r="E28" s="73"/>
      <c r="F28" s="61" t="str">
        <f t="shared" si="1"/>
        <v/>
      </c>
      <c r="G28" s="61" t="str">
        <f t="shared" si="2"/>
        <v/>
      </c>
      <c r="H28" s="23" t="str">
        <f t="shared" si="3"/>
        <v/>
      </c>
      <c r="I28" s="70"/>
      <c r="J28" s="70"/>
      <c r="K28" s="69"/>
      <c r="L28" s="6" t="str">
        <f>IFERROR(VLOOKUP(A28,'Acompanhamento da Licitação'!$F$2:$N$1000,6,FALSE()),"")</f>
        <v/>
      </c>
      <c r="M28" s="6" t="str">
        <f>IFERROR(VLOOKUP(A28,'Acompanhamento da Licitação'!$F$2:$N$1000,7,FALSE()),"")</f>
        <v/>
      </c>
      <c r="N28" s="1" t="str">
        <f>IFERROR(VLOOKUP(A28,'Acompanhamento da Licitação'!$F$2:$N$1000,9,FALSE()),"")</f>
        <v/>
      </c>
      <c r="O28" s="1" t="str">
        <f t="shared" si="4"/>
        <v>Não</v>
      </c>
      <c r="P28" s="6">
        <f t="shared" si="5"/>
        <v>0</v>
      </c>
    </row>
    <row r="29" spans="1:18" ht="15.75" x14ac:dyDescent="0.25">
      <c r="A29" s="64"/>
      <c r="B29" s="71"/>
      <c r="C29" s="64"/>
      <c r="D29" s="23"/>
      <c r="E29" s="73"/>
      <c r="F29" s="61" t="str">
        <f t="shared" si="1"/>
        <v/>
      </c>
      <c r="G29" s="61" t="str">
        <f t="shared" si="2"/>
        <v/>
      </c>
      <c r="H29" s="23" t="str">
        <f t="shared" si="3"/>
        <v/>
      </c>
      <c r="I29" s="70"/>
      <c r="J29" s="70"/>
      <c r="K29" s="69"/>
      <c r="L29" s="6" t="str">
        <f>IFERROR(VLOOKUP(A29,'Acompanhamento da Licitação'!$F$2:$N$1000,6,FALSE()),"")</f>
        <v/>
      </c>
      <c r="M29" s="6" t="str">
        <f>IFERROR(VLOOKUP(A29,'Acompanhamento da Licitação'!$F$2:$N$1000,7,FALSE()),"")</f>
        <v/>
      </c>
      <c r="N29" s="1" t="str">
        <f>IFERROR(VLOOKUP(A29,'Acompanhamento da Licitação'!$F$2:$N$1000,9,FALSE()),"")</f>
        <v/>
      </c>
      <c r="O29" s="1" t="str">
        <f t="shared" si="4"/>
        <v>Não</v>
      </c>
      <c r="P29" s="6">
        <f t="shared" si="5"/>
        <v>0</v>
      </c>
    </row>
    <row r="30" spans="1:18" ht="15.75" x14ac:dyDescent="0.25">
      <c r="A30" s="64"/>
      <c r="B30" s="71"/>
      <c r="C30" s="64"/>
      <c r="D30" s="23"/>
      <c r="E30" s="73"/>
      <c r="F30" s="61" t="str">
        <f t="shared" si="1"/>
        <v/>
      </c>
      <c r="G30" s="61" t="str">
        <f t="shared" si="2"/>
        <v/>
      </c>
      <c r="H30" s="23" t="str">
        <f t="shared" si="3"/>
        <v/>
      </c>
      <c r="I30" s="70"/>
      <c r="J30" s="70"/>
      <c r="K30" s="69"/>
      <c r="L30" s="6" t="str">
        <f>IFERROR(VLOOKUP(A30,'Acompanhamento da Licitação'!$F$2:$N$1000,6,FALSE()),"")</f>
        <v/>
      </c>
      <c r="M30" s="6" t="str">
        <f>IFERROR(VLOOKUP(A30,'Acompanhamento da Licitação'!$F$2:$N$1000,7,FALSE()),"")</f>
        <v/>
      </c>
      <c r="N30" s="1" t="str">
        <f>IFERROR(VLOOKUP(A30,'Acompanhamento da Licitação'!$F$2:$N$1000,9,FALSE()),"")</f>
        <v/>
      </c>
      <c r="O30" s="1" t="str">
        <f t="shared" si="4"/>
        <v>Não</v>
      </c>
      <c r="P30" s="6">
        <f t="shared" si="5"/>
        <v>0</v>
      </c>
    </row>
    <row r="31" spans="1:18" ht="15.75" x14ac:dyDescent="0.25">
      <c r="A31" s="64"/>
      <c r="B31" s="71"/>
      <c r="C31" s="64"/>
      <c r="D31" s="23"/>
      <c r="E31" s="73"/>
      <c r="F31" s="61" t="str">
        <f t="shared" si="1"/>
        <v/>
      </c>
      <c r="G31" s="61" t="str">
        <f t="shared" si="2"/>
        <v/>
      </c>
      <c r="H31" s="23" t="str">
        <f t="shared" si="3"/>
        <v/>
      </c>
      <c r="I31" s="70"/>
      <c r="J31" s="70"/>
      <c r="K31" s="69"/>
      <c r="L31" s="6" t="str">
        <f>IFERROR(VLOOKUP(A31,'Acompanhamento da Licitação'!$F$2:$N$1000,6,FALSE()),"")</f>
        <v/>
      </c>
      <c r="M31" s="6" t="str">
        <f>IFERROR(VLOOKUP(A31,'Acompanhamento da Licitação'!$F$2:$N$1000,7,FALSE()),"")</f>
        <v/>
      </c>
      <c r="N31" s="1" t="str">
        <f>IFERROR(VLOOKUP(A31,'Acompanhamento da Licitação'!$F$2:$N$1000,9,FALSE()),"")</f>
        <v/>
      </c>
      <c r="O31" s="1" t="str">
        <f t="shared" si="4"/>
        <v>Não</v>
      </c>
      <c r="P31" s="6">
        <f t="shared" si="5"/>
        <v>0</v>
      </c>
    </row>
    <row r="32" spans="1:18" ht="15.75" x14ac:dyDescent="0.25">
      <c r="A32" s="64"/>
      <c r="B32" s="71"/>
      <c r="C32" s="64"/>
      <c r="D32" s="23"/>
      <c r="E32" s="73"/>
      <c r="F32" s="61" t="str">
        <f t="shared" si="1"/>
        <v/>
      </c>
      <c r="G32" s="61" t="str">
        <f t="shared" si="2"/>
        <v/>
      </c>
      <c r="H32" s="23" t="str">
        <f t="shared" si="3"/>
        <v/>
      </c>
      <c r="I32" s="70"/>
      <c r="J32" s="70"/>
      <c r="K32" s="69"/>
      <c r="L32" s="6" t="str">
        <f>IFERROR(VLOOKUP(A32,'Acompanhamento da Licitação'!$F$2:$N$1000,6,FALSE()),"")</f>
        <v/>
      </c>
      <c r="M32" s="6" t="str">
        <f>IFERROR(VLOOKUP(A32,'Acompanhamento da Licitação'!$F$2:$N$1000,7,FALSE()),"")</f>
        <v/>
      </c>
      <c r="N32" s="1" t="str">
        <f>IFERROR(VLOOKUP(A32,'Acompanhamento da Licitação'!$F$2:$N$1000,9,FALSE()),"")</f>
        <v/>
      </c>
      <c r="O32" s="1" t="str">
        <f t="shared" si="4"/>
        <v>Não</v>
      </c>
      <c r="P32" s="6">
        <f t="shared" si="5"/>
        <v>0</v>
      </c>
    </row>
    <row r="33" spans="1:16" ht="15.75" x14ac:dyDescent="0.25">
      <c r="A33" s="64"/>
      <c r="B33" s="71"/>
      <c r="C33" s="64"/>
      <c r="D33" s="23"/>
      <c r="E33" s="73"/>
      <c r="F33" s="61" t="str">
        <f t="shared" si="1"/>
        <v/>
      </c>
      <c r="G33" s="61" t="str">
        <f t="shared" si="2"/>
        <v/>
      </c>
      <c r="H33" s="23" t="str">
        <f t="shared" si="3"/>
        <v/>
      </c>
      <c r="I33" s="70"/>
      <c r="J33" s="70"/>
      <c r="K33" s="69"/>
      <c r="L33" s="6" t="str">
        <f>IFERROR(VLOOKUP(A33,'Acompanhamento da Licitação'!$F$2:$N$1000,6,FALSE()),"")</f>
        <v/>
      </c>
      <c r="M33" s="6" t="str">
        <f>IFERROR(VLOOKUP(A33,'Acompanhamento da Licitação'!$F$2:$N$1000,7,FALSE()),"")</f>
        <v/>
      </c>
      <c r="N33" s="1" t="str">
        <f>IFERROR(VLOOKUP(A33,'Acompanhamento da Licitação'!$F$2:$N$1000,9,FALSE()),"")</f>
        <v/>
      </c>
      <c r="O33" s="1" t="str">
        <f t="shared" si="4"/>
        <v>Não</v>
      </c>
      <c r="P33" s="6">
        <f t="shared" si="5"/>
        <v>0</v>
      </c>
    </row>
    <row r="34" spans="1:16" ht="15.75" x14ac:dyDescent="0.25">
      <c r="A34" s="64"/>
      <c r="B34" s="71"/>
      <c r="C34" s="64"/>
      <c r="D34" s="23"/>
      <c r="E34" s="73"/>
      <c r="F34" s="61" t="str">
        <f t="shared" si="1"/>
        <v/>
      </c>
      <c r="G34" s="61" t="str">
        <f t="shared" si="2"/>
        <v/>
      </c>
      <c r="H34" s="23" t="str">
        <f t="shared" si="3"/>
        <v/>
      </c>
      <c r="I34" s="70"/>
      <c r="J34" s="70"/>
      <c r="K34" s="69"/>
      <c r="L34" s="6" t="str">
        <f>IFERROR(VLOOKUP(A34,'Acompanhamento da Licitação'!$F$2:$N$1000,6,FALSE()),"")</f>
        <v/>
      </c>
      <c r="M34" s="6" t="str">
        <f>IFERROR(VLOOKUP(A34,'Acompanhamento da Licitação'!$F$2:$N$1000,7,FALSE()),"")</f>
        <v/>
      </c>
      <c r="N34" s="1" t="str">
        <f>IFERROR(VLOOKUP(A34,'Acompanhamento da Licitação'!$F$2:$N$1000,9,FALSE()),"")</f>
        <v/>
      </c>
      <c r="O34" s="1" t="str">
        <f t="shared" si="4"/>
        <v>Não</v>
      </c>
      <c r="P34" s="6">
        <f t="shared" si="5"/>
        <v>0</v>
      </c>
    </row>
    <row r="35" spans="1:16" ht="15.75" x14ac:dyDescent="0.25">
      <c r="A35" s="64"/>
      <c r="B35" s="71"/>
      <c r="C35" s="64"/>
      <c r="D35" s="23"/>
      <c r="E35" s="73"/>
      <c r="F35" s="61" t="str">
        <f t="shared" si="1"/>
        <v/>
      </c>
      <c r="G35" s="61" t="str">
        <f t="shared" si="2"/>
        <v/>
      </c>
      <c r="H35" s="23" t="str">
        <f t="shared" si="3"/>
        <v/>
      </c>
      <c r="I35" s="70"/>
      <c r="J35" s="70"/>
      <c r="K35" s="69"/>
      <c r="L35" s="6" t="str">
        <f>IFERROR(VLOOKUP(A35,'Acompanhamento da Licitação'!$F$2:$N$1000,6,FALSE()),"")</f>
        <v/>
      </c>
      <c r="M35" s="6" t="str">
        <f>IFERROR(VLOOKUP(A35,'Acompanhamento da Licitação'!$F$2:$N$1000,7,FALSE()),"")</f>
        <v/>
      </c>
      <c r="N35" s="1" t="str">
        <f>IFERROR(VLOOKUP(A35,'Acompanhamento da Licitação'!$F$2:$N$1000,9,FALSE()),"")</f>
        <v/>
      </c>
      <c r="O35" s="1" t="str">
        <f t="shared" si="4"/>
        <v>Não</v>
      </c>
      <c r="P35" s="6">
        <f t="shared" si="5"/>
        <v>0</v>
      </c>
    </row>
    <row r="36" spans="1:16" ht="15.75" x14ac:dyDescent="0.25">
      <c r="A36" s="64"/>
      <c r="B36" s="71"/>
      <c r="C36" s="64"/>
      <c r="D36" s="23"/>
      <c r="E36" s="73"/>
      <c r="F36" s="61" t="str">
        <f t="shared" si="1"/>
        <v/>
      </c>
      <c r="G36" s="61" t="str">
        <f t="shared" si="2"/>
        <v/>
      </c>
      <c r="H36" s="23" t="str">
        <f t="shared" si="3"/>
        <v/>
      </c>
      <c r="I36" s="70"/>
      <c r="J36" s="70"/>
      <c r="K36" s="69"/>
      <c r="L36" s="6" t="str">
        <f>IFERROR(VLOOKUP(A36,'Acompanhamento da Licitação'!$F$2:$N$1000,6,FALSE()),"")</f>
        <v/>
      </c>
      <c r="M36" s="6" t="str">
        <f>IFERROR(VLOOKUP(A36,'Acompanhamento da Licitação'!$F$2:$N$1000,7,FALSE()),"")</f>
        <v/>
      </c>
      <c r="N36" s="1" t="str">
        <f>IFERROR(VLOOKUP(A36,'Acompanhamento da Licitação'!$F$2:$N$1000,9,FALSE()),"")</f>
        <v/>
      </c>
      <c r="O36" s="1" t="str">
        <f t="shared" si="4"/>
        <v>Não</v>
      </c>
      <c r="P36" s="6">
        <f t="shared" si="5"/>
        <v>0</v>
      </c>
    </row>
    <row r="37" spans="1:16" ht="15.75" x14ac:dyDescent="0.25">
      <c r="A37" s="64"/>
      <c r="B37" s="71"/>
      <c r="C37" s="64"/>
      <c r="D37" s="23"/>
      <c r="E37" s="73"/>
      <c r="F37" s="61" t="str">
        <f t="shared" si="1"/>
        <v/>
      </c>
      <c r="G37" s="61" t="str">
        <f t="shared" si="2"/>
        <v/>
      </c>
      <c r="H37" s="23" t="str">
        <f t="shared" si="3"/>
        <v/>
      </c>
      <c r="I37" s="70"/>
      <c r="J37" s="70"/>
      <c r="K37" s="69"/>
      <c r="L37" s="6" t="str">
        <f>IFERROR(VLOOKUP(A37,'Acompanhamento da Licitação'!$F$2:$N$1000,6,FALSE()),"")</f>
        <v/>
      </c>
      <c r="M37" s="6" t="str">
        <f>IFERROR(VLOOKUP(A37,'Acompanhamento da Licitação'!$F$2:$N$1000,7,FALSE()),"")</f>
        <v/>
      </c>
      <c r="N37" s="1" t="str">
        <f>IFERROR(VLOOKUP(A37,'Acompanhamento da Licitação'!$F$2:$N$1000,9,FALSE()),"")</f>
        <v/>
      </c>
      <c r="O37" s="1" t="str">
        <f t="shared" si="4"/>
        <v>Não</v>
      </c>
      <c r="P37" s="6">
        <f t="shared" si="5"/>
        <v>0</v>
      </c>
    </row>
    <row r="38" spans="1:16" ht="15.75" x14ac:dyDescent="0.25">
      <c r="A38" s="64"/>
      <c r="B38" s="71"/>
      <c r="C38" s="64"/>
      <c r="D38" s="23"/>
      <c r="E38" s="73"/>
      <c r="F38" s="61" t="str">
        <f t="shared" si="1"/>
        <v/>
      </c>
      <c r="G38" s="61" t="str">
        <f t="shared" si="2"/>
        <v/>
      </c>
      <c r="H38" s="23" t="str">
        <f t="shared" si="3"/>
        <v/>
      </c>
      <c r="I38" s="70"/>
      <c r="J38" s="70"/>
      <c r="K38" s="69"/>
      <c r="L38" s="6" t="str">
        <f>IFERROR(VLOOKUP(A38,'Acompanhamento da Licitação'!$F$2:$N$1000,6,FALSE()),"")</f>
        <v/>
      </c>
      <c r="M38" s="6" t="str">
        <f>IFERROR(VLOOKUP(A38,'Acompanhamento da Licitação'!$F$2:$N$1000,7,FALSE()),"")</f>
        <v/>
      </c>
      <c r="N38" s="1" t="str">
        <f>IFERROR(VLOOKUP(A38,'Acompanhamento da Licitação'!$F$2:$N$1000,9,FALSE()),"")</f>
        <v/>
      </c>
      <c r="O38" s="1" t="str">
        <f t="shared" si="4"/>
        <v>Não</v>
      </c>
      <c r="P38" s="6">
        <f t="shared" si="5"/>
        <v>0</v>
      </c>
    </row>
    <row r="39" spans="1:16" ht="15.75" x14ac:dyDescent="0.25">
      <c r="A39" s="64"/>
      <c r="B39" s="71"/>
      <c r="C39" s="64"/>
      <c r="D39" s="23"/>
      <c r="E39" s="73"/>
      <c r="F39" s="61" t="str">
        <f t="shared" si="1"/>
        <v/>
      </c>
      <c r="G39" s="61" t="str">
        <f t="shared" si="2"/>
        <v/>
      </c>
      <c r="H39" s="23" t="str">
        <f t="shared" si="3"/>
        <v/>
      </c>
      <c r="I39" s="70"/>
      <c r="J39" s="70"/>
      <c r="K39" s="69"/>
      <c r="L39" s="6" t="str">
        <f>IFERROR(VLOOKUP(A39,'Acompanhamento da Licitação'!$F$2:$N$1000,6,FALSE()),"")</f>
        <v/>
      </c>
      <c r="M39" s="6" t="str">
        <f>IFERROR(VLOOKUP(A39,'Acompanhamento da Licitação'!$F$2:$N$1000,7,FALSE()),"")</f>
        <v/>
      </c>
      <c r="N39" s="1" t="str">
        <f>IFERROR(VLOOKUP(A39,'Acompanhamento da Licitação'!$F$2:$N$1000,9,FALSE()),"")</f>
        <v/>
      </c>
      <c r="O39" s="1" t="str">
        <f t="shared" si="4"/>
        <v>Não</v>
      </c>
      <c r="P39" s="6">
        <f t="shared" si="5"/>
        <v>0</v>
      </c>
    </row>
    <row r="40" spans="1:16" ht="15.75" x14ac:dyDescent="0.25">
      <c r="A40" s="64"/>
      <c r="B40" s="71"/>
      <c r="C40" s="64"/>
      <c r="D40" s="23"/>
      <c r="E40" s="73"/>
      <c r="F40" s="61" t="str">
        <f t="shared" si="1"/>
        <v/>
      </c>
      <c r="G40" s="61" t="str">
        <f t="shared" si="2"/>
        <v/>
      </c>
      <c r="H40" s="23" t="str">
        <f t="shared" si="3"/>
        <v/>
      </c>
      <c r="I40" s="70"/>
      <c r="J40" s="70"/>
      <c r="K40" s="69"/>
      <c r="L40" s="6" t="str">
        <f>IFERROR(VLOOKUP(A40,'Acompanhamento da Licitação'!$F$2:$N$1000,6,FALSE()),"")</f>
        <v/>
      </c>
      <c r="M40" s="6" t="str">
        <f>IFERROR(VLOOKUP(A40,'Acompanhamento da Licitação'!$F$2:$N$1000,7,FALSE()),"")</f>
        <v/>
      </c>
      <c r="N40" s="1" t="str">
        <f>IFERROR(VLOOKUP(A40,'Acompanhamento da Licitação'!$F$2:$N$1000,9,FALSE()),"")</f>
        <v/>
      </c>
      <c r="O40" s="1" t="str">
        <f t="shared" si="4"/>
        <v>Não</v>
      </c>
      <c r="P40" s="6">
        <f t="shared" si="5"/>
        <v>0</v>
      </c>
    </row>
    <row r="41" spans="1:16" ht="15.75" x14ac:dyDescent="0.25">
      <c r="A41" s="64"/>
      <c r="B41" s="71"/>
      <c r="C41" s="64"/>
      <c r="D41" s="23"/>
      <c r="E41" s="73"/>
      <c r="F41" s="61" t="str">
        <f t="shared" si="1"/>
        <v/>
      </c>
      <c r="G41" s="61" t="str">
        <f t="shared" si="2"/>
        <v/>
      </c>
      <c r="H41" s="23" t="str">
        <f t="shared" si="3"/>
        <v/>
      </c>
      <c r="I41" s="70"/>
      <c r="J41" s="70"/>
      <c r="K41" s="69"/>
      <c r="L41" s="6" t="str">
        <f>IFERROR(VLOOKUP(A41,'Acompanhamento da Licitação'!$F$2:$N$1000,6,FALSE()),"")</f>
        <v/>
      </c>
      <c r="M41" s="6" t="str">
        <f>IFERROR(VLOOKUP(A41,'Acompanhamento da Licitação'!$F$2:$N$1000,7,FALSE()),"")</f>
        <v/>
      </c>
      <c r="N41" s="1" t="str">
        <f>IFERROR(VLOOKUP(A41,'Acompanhamento da Licitação'!$F$2:$N$1000,9,FALSE()),"")</f>
        <v/>
      </c>
      <c r="O41" s="1" t="str">
        <f t="shared" si="4"/>
        <v>Não</v>
      </c>
      <c r="P41" s="6">
        <f t="shared" si="5"/>
        <v>0</v>
      </c>
    </row>
    <row r="42" spans="1:16" ht="15.75" x14ac:dyDescent="0.25">
      <c r="A42" s="72"/>
      <c r="B42" s="41"/>
      <c r="C42" s="72"/>
      <c r="D42" s="23"/>
      <c r="E42" s="23"/>
      <c r="F42" s="61" t="str">
        <f t="shared" si="1"/>
        <v/>
      </c>
      <c r="G42" s="61" t="str">
        <f t="shared" si="2"/>
        <v/>
      </c>
      <c r="H42" s="23" t="str">
        <f t="shared" si="3"/>
        <v/>
      </c>
      <c r="I42" s="70"/>
      <c r="J42" s="70"/>
      <c r="K42" s="69"/>
      <c r="L42" s="6" t="str">
        <f>IFERROR(VLOOKUP(A42,'Acompanhamento da Licitação'!$F$2:$N$1000,6,FALSE()),"")</f>
        <v/>
      </c>
      <c r="M42" s="6" t="str">
        <f>IFERROR(VLOOKUP(A42,'Acompanhamento da Licitação'!$F$2:$N$1000,7,FALSE()),"")</f>
        <v/>
      </c>
      <c r="N42" s="1" t="str">
        <f>IFERROR(VLOOKUP(A42,'Acompanhamento da Licitação'!$F$2:$N$1000,9,FALSE()),"")</f>
        <v/>
      </c>
      <c r="O42" s="1" t="str">
        <f t="shared" si="4"/>
        <v>Não</v>
      </c>
      <c r="P42" s="6">
        <f t="shared" si="5"/>
        <v>0</v>
      </c>
    </row>
    <row r="43" spans="1:16" ht="15.75" x14ac:dyDescent="0.25">
      <c r="A43" s="72"/>
      <c r="B43" s="41"/>
      <c r="C43" s="72"/>
      <c r="D43" s="23"/>
      <c r="E43" s="23"/>
      <c r="F43" s="61" t="str">
        <f t="shared" si="1"/>
        <v/>
      </c>
      <c r="G43" s="61" t="str">
        <f t="shared" si="2"/>
        <v/>
      </c>
      <c r="H43" s="23" t="str">
        <f t="shared" si="3"/>
        <v/>
      </c>
      <c r="I43" s="70"/>
      <c r="J43" s="70"/>
      <c r="K43" s="69"/>
      <c r="L43" s="6" t="str">
        <f>IFERROR(VLOOKUP(A43,'Acompanhamento da Licitação'!$F$2:$N$1000,6,FALSE()),"")</f>
        <v/>
      </c>
      <c r="M43" s="6" t="str">
        <f>IFERROR(VLOOKUP(A43,'Acompanhamento da Licitação'!$F$2:$N$1000,7,FALSE()),"")</f>
        <v/>
      </c>
      <c r="N43" s="1" t="str">
        <f>IFERROR(VLOOKUP(A43,'Acompanhamento da Licitação'!$F$2:$N$1000,9,FALSE()),"")</f>
        <v/>
      </c>
      <c r="O43" s="1" t="str">
        <f t="shared" si="4"/>
        <v>Não</v>
      </c>
      <c r="P43" s="6">
        <f t="shared" si="5"/>
        <v>0</v>
      </c>
    </row>
    <row r="44" spans="1:16" ht="15.75" x14ac:dyDescent="0.25">
      <c r="A44" s="72"/>
      <c r="B44" s="41"/>
      <c r="C44" s="72"/>
      <c r="D44" s="23"/>
      <c r="E44" s="23"/>
      <c r="F44" s="61" t="str">
        <f t="shared" si="1"/>
        <v/>
      </c>
      <c r="G44" s="61" t="str">
        <f t="shared" si="2"/>
        <v/>
      </c>
      <c r="H44" s="23" t="str">
        <f t="shared" si="3"/>
        <v/>
      </c>
      <c r="I44" s="70"/>
      <c r="J44" s="70"/>
      <c r="K44" s="69"/>
      <c r="L44" s="6" t="str">
        <f>IFERROR(VLOOKUP(A44,'Acompanhamento da Licitação'!$F$2:$N$1000,6,FALSE()),"")</f>
        <v/>
      </c>
      <c r="M44" s="6" t="str">
        <f>IFERROR(VLOOKUP(A44,'Acompanhamento da Licitação'!$F$2:$N$1000,7,FALSE()),"")</f>
        <v/>
      </c>
      <c r="N44" s="1" t="str">
        <f>IFERROR(VLOOKUP(A44,'Acompanhamento da Licitação'!$F$2:$N$1000,9,FALSE()),"")</f>
        <v/>
      </c>
      <c r="O44" s="1" t="str">
        <f t="shared" si="4"/>
        <v>Não</v>
      </c>
      <c r="P44" s="6">
        <f t="shared" si="5"/>
        <v>0</v>
      </c>
    </row>
    <row r="45" spans="1:16" ht="15.75" x14ac:dyDescent="0.25">
      <c r="A45" s="72"/>
      <c r="B45" s="41"/>
      <c r="C45" s="72"/>
      <c r="D45" s="23"/>
      <c r="E45" s="23"/>
      <c r="F45" s="61" t="str">
        <f t="shared" si="1"/>
        <v/>
      </c>
      <c r="G45" s="61" t="str">
        <f t="shared" si="2"/>
        <v/>
      </c>
      <c r="H45" s="23" t="str">
        <f t="shared" si="3"/>
        <v/>
      </c>
      <c r="I45" s="70"/>
      <c r="J45" s="70"/>
      <c r="K45" s="69"/>
      <c r="L45" s="6" t="str">
        <f>IFERROR(VLOOKUP(A45,'Acompanhamento da Licitação'!$F$2:$N$1000,6,FALSE()),"")</f>
        <v/>
      </c>
      <c r="M45" s="6" t="str">
        <f>IFERROR(VLOOKUP(A45,'Acompanhamento da Licitação'!$F$2:$N$1000,7,FALSE()),"")</f>
        <v/>
      </c>
      <c r="N45" s="1" t="str">
        <f>IFERROR(VLOOKUP(A45,'Acompanhamento da Licitação'!$F$2:$N$1000,9,FALSE()),"")</f>
        <v/>
      </c>
      <c r="O45" s="1" t="str">
        <f t="shared" si="4"/>
        <v>Não</v>
      </c>
      <c r="P45" s="6">
        <f t="shared" si="5"/>
        <v>0</v>
      </c>
    </row>
    <row r="46" spans="1:16" ht="15.75" x14ac:dyDescent="0.25">
      <c r="A46" s="72"/>
      <c r="B46" s="41"/>
      <c r="C46" s="72"/>
      <c r="D46" s="23"/>
      <c r="E46" s="23"/>
      <c r="F46" s="61" t="str">
        <f t="shared" si="1"/>
        <v/>
      </c>
      <c r="G46" s="61" t="str">
        <f t="shared" si="2"/>
        <v/>
      </c>
      <c r="H46" s="23" t="str">
        <f t="shared" si="3"/>
        <v/>
      </c>
      <c r="I46" s="70"/>
      <c r="J46" s="70"/>
      <c r="K46" s="69"/>
      <c r="L46" s="6" t="str">
        <f>IFERROR(VLOOKUP(A46,'Acompanhamento da Licitação'!$F$2:$N$1000,6,FALSE()),"")</f>
        <v/>
      </c>
      <c r="M46" s="6" t="str">
        <f>IFERROR(VLOOKUP(A46,'Acompanhamento da Licitação'!$F$2:$N$1000,7,FALSE()),"")</f>
        <v/>
      </c>
      <c r="N46" s="1" t="str">
        <f>IFERROR(VLOOKUP(A46,'Acompanhamento da Licitação'!$F$2:$N$1000,9,FALSE()),"")</f>
        <v/>
      </c>
      <c r="O46" s="1" t="str">
        <f t="shared" si="4"/>
        <v>Não</v>
      </c>
      <c r="P46" s="6">
        <f t="shared" si="5"/>
        <v>0</v>
      </c>
    </row>
    <row r="47" spans="1:16" ht="15.75" x14ac:dyDescent="0.25">
      <c r="A47" s="72"/>
      <c r="B47" s="41"/>
      <c r="C47" s="72"/>
      <c r="D47" s="23"/>
      <c r="E47" s="23"/>
      <c r="F47" s="61" t="str">
        <f t="shared" si="1"/>
        <v/>
      </c>
      <c r="G47" s="61" t="str">
        <f t="shared" si="2"/>
        <v/>
      </c>
      <c r="H47" s="23" t="str">
        <f t="shared" si="3"/>
        <v/>
      </c>
      <c r="I47" s="70"/>
      <c r="J47" s="70"/>
      <c r="K47" s="69"/>
      <c r="L47" s="6" t="str">
        <f>IFERROR(VLOOKUP(A47,'Acompanhamento da Licitação'!$F$2:$N$1000,6,FALSE()),"")</f>
        <v/>
      </c>
      <c r="M47" s="6" t="str">
        <f>IFERROR(VLOOKUP(A47,'Acompanhamento da Licitação'!$F$2:$N$1000,7,FALSE()),"")</f>
        <v/>
      </c>
      <c r="N47" s="1" t="str">
        <f>IFERROR(VLOOKUP(A47,'Acompanhamento da Licitação'!$F$2:$N$1000,9,FALSE()),"")</f>
        <v/>
      </c>
      <c r="O47" s="1" t="str">
        <f t="shared" si="4"/>
        <v>Não</v>
      </c>
      <c r="P47" s="6">
        <f t="shared" si="5"/>
        <v>0</v>
      </c>
    </row>
    <row r="48" spans="1:16" ht="15.75" x14ac:dyDescent="0.25">
      <c r="A48" s="72"/>
      <c r="B48" s="41"/>
      <c r="C48" s="72"/>
      <c r="D48" s="23"/>
      <c r="E48" s="23"/>
      <c r="F48" s="61" t="str">
        <f t="shared" si="1"/>
        <v/>
      </c>
      <c r="G48" s="61" t="str">
        <f t="shared" si="2"/>
        <v/>
      </c>
      <c r="H48" s="23" t="str">
        <f t="shared" si="3"/>
        <v/>
      </c>
      <c r="I48" s="70"/>
      <c r="J48" s="70"/>
      <c r="K48" s="69"/>
      <c r="L48" s="6" t="str">
        <f>IFERROR(VLOOKUP(A48,'Acompanhamento da Licitação'!$F$2:$N$1000,6,FALSE()),"")</f>
        <v/>
      </c>
      <c r="M48" s="6" t="str">
        <f>IFERROR(VLOOKUP(A48,'Acompanhamento da Licitação'!$F$2:$N$1000,7,FALSE()),"")</f>
        <v/>
      </c>
      <c r="N48" s="1" t="str">
        <f>IFERROR(VLOOKUP(A48,'Acompanhamento da Licitação'!$F$2:$N$1000,9,FALSE()),"")</f>
        <v/>
      </c>
      <c r="O48" s="1" t="str">
        <f t="shared" si="4"/>
        <v>Não</v>
      </c>
      <c r="P48" s="6">
        <f t="shared" si="5"/>
        <v>0</v>
      </c>
    </row>
    <row r="49" spans="1:16" ht="15.75" x14ac:dyDescent="0.25">
      <c r="A49" s="72"/>
      <c r="B49" s="41"/>
      <c r="C49" s="72"/>
      <c r="D49" s="23"/>
      <c r="E49" s="23"/>
      <c r="F49" s="61" t="str">
        <f t="shared" si="1"/>
        <v/>
      </c>
      <c r="G49" s="61" t="str">
        <f t="shared" si="2"/>
        <v/>
      </c>
      <c r="H49" s="23" t="str">
        <f t="shared" si="3"/>
        <v/>
      </c>
      <c r="I49" s="70"/>
      <c r="J49" s="70"/>
      <c r="K49" s="69"/>
      <c r="L49" s="6" t="str">
        <f>IFERROR(VLOOKUP(A49,'Acompanhamento da Licitação'!$F$2:$N$1000,6,FALSE()),"")</f>
        <v/>
      </c>
      <c r="M49" s="6" t="str">
        <f>IFERROR(VLOOKUP(A49,'Acompanhamento da Licitação'!$F$2:$N$1000,7,FALSE()),"")</f>
        <v/>
      </c>
      <c r="N49" s="1" t="str">
        <f>IFERROR(VLOOKUP(A49,'Acompanhamento da Licitação'!$F$2:$N$1000,9,FALSE()),"")</f>
        <v/>
      </c>
      <c r="O49" s="1" t="str">
        <f t="shared" si="4"/>
        <v>Não</v>
      </c>
      <c r="P49" s="6">
        <f t="shared" si="5"/>
        <v>0</v>
      </c>
    </row>
    <row r="50" spans="1:16" ht="15.75" x14ac:dyDescent="0.25">
      <c r="A50" s="72"/>
      <c r="B50" s="41"/>
      <c r="C50" s="72"/>
      <c r="D50" s="23"/>
      <c r="E50" s="23"/>
      <c r="F50" s="61" t="str">
        <f t="shared" si="1"/>
        <v/>
      </c>
      <c r="G50" s="61" t="str">
        <f t="shared" si="2"/>
        <v/>
      </c>
      <c r="H50" s="23" t="str">
        <f t="shared" si="3"/>
        <v/>
      </c>
      <c r="I50" s="70"/>
      <c r="J50" s="70"/>
      <c r="K50" s="69"/>
      <c r="L50" s="6" t="str">
        <f>IFERROR(VLOOKUP(A50,'Acompanhamento da Licitação'!$F$2:$N$1000,6,FALSE()),"")</f>
        <v/>
      </c>
      <c r="M50" s="6" t="str">
        <f>IFERROR(VLOOKUP(A50,'Acompanhamento da Licitação'!$F$2:$N$1000,7,FALSE()),"")</f>
        <v/>
      </c>
      <c r="N50" s="1" t="str">
        <f>IFERROR(VLOOKUP(A50,'Acompanhamento da Licitação'!$F$2:$N$1000,9,FALSE()),"")</f>
        <v/>
      </c>
      <c r="O50" s="1" t="str">
        <f t="shared" si="4"/>
        <v>Não</v>
      </c>
      <c r="P50" s="6">
        <f t="shared" si="5"/>
        <v>0</v>
      </c>
    </row>
    <row r="51" spans="1:16" ht="15.75" x14ac:dyDescent="0.25">
      <c r="A51" s="72"/>
      <c r="B51" s="41"/>
      <c r="C51" s="72"/>
      <c r="D51" s="23"/>
      <c r="E51" s="23"/>
      <c r="F51" s="61" t="str">
        <f t="shared" si="1"/>
        <v/>
      </c>
      <c r="G51" s="61" t="str">
        <f t="shared" si="2"/>
        <v/>
      </c>
      <c r="H51" s="23" t="str">
        <f t="shared" si="3"/>
        <v/>
      </c>
      <c r="I51" s="70"/>
      <c r="J51" s="70"/>
      <c r="K51" s="69"/>
      <c r="L51" s="6" t="str">
        <f>IFERROR(VLOOKUP(A51,'Acompanhamento da Licitação'!$F$2:$N$1000,6,FALSE()),"")</f>
        <v/>
      </c>
      <c r="M51" s="6" t="str">
        <f>IFERROR(VLOOKUP(A51,'Acompanhamento da Licitação'!$F$2:$N$1000,7,FALSE()),"")</f>
        <v/>
      </c>
      <c r="N51" s="1" t="str">
        <f>IFERROR(VLOOKUP(A51,'Acompanhamento da Licitação'!$F$2:$N$1000,9,FALSE()),"")</f>
        <v/>
      </c>
      <c r="O51" s="1" t="str">
        <f t="shared" si="4"/>
        <v>Não</v>
      </c>
      <c r="P51" s="6">
        <f t="shared" si="5"/>
        <v>0</v>
      </c>
    </row>
    <row r="52" spans="1:16" ht="15.75" x14ac:dyDescent="0.25">
      <c r="A52" s="72"/>
      <c r="B52" s="41"/>
      <c r="C52" s="72"/>
      <c r="D52" s="23"/>
      <c r="E52" s="23"/>
      <c r="F52" s="61" t="str">
        <f t="shared" si="1"/>
        <v/>
      </c>
      <c r="G52" s="61" t="str">
        <f t="shared" si="2"/>
        <v/>
      </c>
      <c r="H52" s="23" t="str">
        <f t="shared" si="3"/>
        <v/>
      </c>
      <c r="I52" s="70"/>
      <c r="J52" s="70"/>
      <c r="K52" s="69"/>
      <c r="L52" s="6" t="str">
        <f>IFERROR(VLOOKUP(A52,'Acompanhamento da Licitação'!$F$2:$N$1000,6,FALSE()),"")</f>
        <v/>
      </c>
      <c r="M52" s="6" t="str">
        <f>IFERROR(VLOOKUP(A52,'Acompanhamento da Licitação'!$F$2:$N$1000,7,FALSE()),"")</f>
        <v/>
      </c>
      <c r="N52" s="1" t="str">
        <f>IFERROR(VLOOKUP(A52,'Acompanhamento da Licitação'!$F$2:$N$1000,9,FALSE()),"")</f>
        <v/>
      </c>
      <c r="O52" s="1" t="str">
        <f t="shared" si="4"/>
        <v>Não</v>
      </c>
      <c r="P52" s="6">
        <f t="shared" si="5"/>
        <v>0</v>
      </c>
    </row>
    <row r="53" spans="1:16" ht="15.75" x14ac:dyDescent="0.25">
      <c r="A53" s="72"/>
      <c r="B53" s="41"/>
      <c r="C53" s="72"/>
      <c r="D53" s="23"/>
      <c r="E53" s="23"/>
      <c r="F53" s="61" t="str">
        <f t="shared" si="1"/>
        <v/>
      </c>
      <c r="G53" s="61" t="str">
        <f t="shared" si="2"/>
        <v/>
      </c>
      <c r="H53" s="23" t="str">
        <f t="shared" si="3"/>
        <v/>
      </c>
      <c r="I53" s="70"/>
      <c r="J53" s="70"/>
      <c r="K53" s="69"/>
      <c r="L53" s="6" t="str">
        <f>IFERROR(VLOOKUP(A53,'Acompanhamento da Licitação'!$F$2:$N$1000,6,FALSE()),"")</f>
        <v/>
      </c>
      <c r="M53" s="6" t="str">
        <f>IFERROR(VLOOKUP(A53,'Acompanhamento da Licitação'!$F$2:$N$1000,7,FALSE()),"")</f>
        <v/>
      </c>
      <c r="N53" s="1" t="str">
        <f>IFERROR(VLOOKUP(A53,'Acompanhamento da Licitação'!$F$2:$N$1000,9,FALSE()),"")</f>
        <v/>
      </c>
      <c r="O53" s="1" t="str">
        <f t="shared" si="4"/>
        <v>Não</v>
      </c>
      <c r="P53" s="6">
        <f t="shared" si="5"/>
        <v>0</v>
      </c>
    </row>
    <row r="54" spans="1:16" ht="15.75" x14ac:dyDescent="0.25">
      <c r="A54" s="72"/>
      <c r="B54" s="41"/>
      <c r="C54" s="72"/>
      <c r="D54" s="23"/>
      <c r="E54" s="23"/>
      <c r="F54" s="61" t="str">
        <f t="shared" si="1"/>
        <v/>
      </c>
      <c r="G54" s="61" t="str">
        <f t="shared" si="2"/>
        <v/>
      </c>
      <c r="H54" s="23" t="str">
        <f t="shared" si="3"/>
        <v/>
      </c>
      <c r="I54" s="70"/>
      <c r="J54" s="70"/>
      <c r="K54" s="69"/>
      <c r="L54" s="6" t="str">
        <f>IFERROR(VLOOKUP(A54,'Acompanhamento da Licitação'!$F$2:$N$1000,6,FALSE()),"")</f>
        <v/>
      </c>
      <c r="M54" s="6" t="str">
        <f>IFERROR(VLOOKUP(A54,'Acompanhamento da Licitação'!$F$2:$N$1000,7,FALSE()),"")</f>
        <v/>
      </c>
      <c r="N54" s="1" t="str">
        <f>IFERROR(VLOOKUP(A54,'Acompanhamento da Licitação'!$F$2:$N$1000,9,FALSE()),"")</f>
        <v/>
      </c>
      <c r="O54" s="1" t="str">
        <f t="shared" si="4"/>
        <v>Não</v>
      </c>
      <c r="P54" s="6">
        <f t="shared" si="5"/>
        <v>0</v>
      </c>
    </row>
    <row r="55" spans="1:16" ht="15.75" x14ac:dyDescent="0.25">
      <c r="A55" s="72"/>
      <c r="B55" s="41"/>
      <c r="C55" s="72"/>
      <c r="D55" s="23"/>
      <c r="E55" s="23"/>
      <c r="F55" s="61" t="str">
        <f t="shared" si="1"/>
        <v/>
      </c>
      <c r="G55" s="61" t="str">
        <f t="shared" si="2"/>
        <v/>
      </c>
      <c r="H55" s="23" t="str">
        <f t="shared" si="3"/>
        <v/>
      </c>
      <c r="I55" s="70"/>
      <c r="J55" s="70"/>
      <c r="K55" s="69"/>
      <c r="L55" s="6" t="str">
        <f>IFERROR(VLOOKUP(A55,'Acompanhamento da Licitação'!$F$2:$N$1000,6,FALSE()),"")</f>
        <v/>
      </c>
      <c r="M55" s="6" t="str">
        <f>IFERROR(VLOOKUP(A55,'Acompanhamento da Licitação'!$F$2:$N$1000,7,FALSE()),"")</f>
        <v/>
      </c>
      <c r="N55" s="1" t="str">
        <f>IFERROR(VLOOKUP(A55,'Acompanhamento da Licitação'!$F$2:$N$1000,9,FALSE()),"")</f>
        <v/>
      </c>
      <c r="O55" s="1" t="str">
        <f t="shared" si="4"/>
        <v>Não</v>
      </c>
      <c r="P55" s="6">
        <f t="shared" si="5"/>
        <v>0</v>
      </c>
    </row>
    <row r="56" spans="1:16" ht="15.75" x14ac:dyDescent="0.25">
      <c r="A56" s="72"/>
      <c r="B56" s="41"/>
      <c r="C56" s="72"/>
      <c r="D56" s="23"/>
      <c r="E56" s="23"/>
      <c r="F56" s="61" t="str">
        <f t="shared" si="1"/>
        <v/>
      </c>
      <c r="G56" s="61" t="str">
        <f t="shared" si="2"/>
        <v/>
      </c>
      <c r="H56" s="23" t="str">
        <f t="shared" si="3"/>
        <v/>
      </c>
      <c r="I56" s="70"/>
      <c r="J56" s="70"/>
      <c r="K56" s="69"/>
      <c r="L56" s="6" t="str">
        <f>IFERROR(VLOOKUP(A56,'Acompanhamento da Licitação'!$F$2:$N$1000,6,FALSE()),"")</f>
        <v/>
      </c>
      <c r="M56" s="6" t="str">
        <f>IFERROR(VLOOKUP(A56,'Acompanhamento da Licitação'!$F$2:$N$1000,7,FALSE()),"")</f>
        <v/>
      </c>
      <c r="N56" s="1" t="str">
        <f>IFERROR(VLOOKUP(A56,'Acompanhamento da Licitação'!$F$2:$N$1000,9,FALSE()),"")</f>
        <v/>
      </c>
      <c r="O56" s="1" t="str">
        <f t="shared" si="4"/>
        <v>Não</v>
      </c>
      <c r="P56" s="6">
        <f t="shared" si="5"/>
        <v>0</v>
      </c>
    </row>
    <row r="57" spans="1:16" ht="15.75" x14ac:dyDescent="0.25">
      <c r="A57" s="72"/>
      <c r="B57" s="41"/>
      <c r="C57" s="72"/>
      <c r="D57" s="23"/>
      <c r="E57" s="23"/>
      <c r="F57" s="61" t="str">
        <f t="shared" si="1"/>
        <v/>
      </c>
      <c r="G57" s="61" t="str">
        <f t="shared" si="2"/>
        <v/>
      </c>
      <c r="H57" s="23" t="str">
        <f t="shared" si="3"/>
        <v/>
      </c>
      <c r="I57" s="70"/>
      <c r="J57" s="70"/>
      <c r="K57" s="69"/>
      <c r="L57" s="6" t="str">
        <f>IFERROR(VLOOKUP(A57,'Acompanhamento da Licitação'!$F$2:$N$1000,6,FALSE()),"")</f>
        <v/>
      </c>
      <c r="M57" s="6" t="str">
        <f>IFERROR(VLOOKUP(A57,'Acompanhamento da Licitação'!$F$2:$N$1000,7,FALSE()),"")</f>
        <v/>
      </c>
      <c r="N57" s="1" t="str">
        <f>IFERROR(VLOOKUP(A57,'Acompanhamento da Licitação'!$F$2:$N$1000,9,FALSE()),"")</f>
        <v/>
      </c>
      <c r="O57" s="1" t="str">
        <f t="shared" si="4"/>
        <v>Não</v>
      </c>
      <c r="P57" s="6">
        <f t="shared" si="5"/>
        <v>0</v>
      </c>
    </row>
    <row r="58" spans="1:16" ht="15.75" x14ac:dyDescent="0.25">
      <c r="A58" s="72"/>
      <c r="B58" s="41"/>
      <c r="C58" s="72"/>
      <c r="D58" s="23"/>
      <c r="E58" s="23"/>
      <c r="F58" s="61" t="str">
        <f t="shared" si="1"/>
        <v/>
      </c>
      <c r="G58" s="61" t="str">
        <f t="shared" si="2"/>
        <v/>
      </c>
      <c r="H58" s="23" t="str">
        <f t="shared" si="3"/>
        <v/>
      </c>
      <c r="I58" s="70"/>
      <c r="J58" s="70"/>
      <c r="K58" s="69"/>
      <c r="L58" s="6" t="str">
        <f>IFERROR(VLOOKUP(A58,'Acompanhamento da Licitação'!$F$2:$N$1000,6,FALSE()),"")</f>
        <v/>
      </c>
      <c r="M58" s="6" t="str">
        <f>IFERROR(VLOOKUP(A58,'Acompanhamento da Licitação'!$F$2:$N$1000,7,FALSE()),"")</f>
        <v/>
      </c>
      <c r="N58" s="1" t="str">
        <f>IFERROR(VLOOKUP(A58,'Acompanhamento da Licitação'!$F$2:$N$1000,9,FALSE()),"")</f>
        <v/>
      </c>
      <c r="O58" s="1" t="str">
        <f t="shared" si="4"/>
        <v>Não</v>
      </c>
      <c r="P58" s="6">
        <f t="shared" si="5"/>
        <v>0</v>
      </c>
    </row>
    <row r="59" spans="1:16" ht="15.75" x14ac:dyDescent="0.25">
      <c r="A59" s="72"/>
      <c r="B59" s="41"/>
      <c r="C59" s="72"/>
      <c r="D59" s="23"/>
      <c r="E59" s="23"/>
      <c r="F59" s="61" t="str">
        <f t="shared" si="1"/>
        <v/>
      </c>
      <c r="G59" s="61" t="str">
        <f t="shared" si="2"/>
        <v/>
      </c>
      <c r="H59" s="23" t="str">
        <f t="shared" si="3"/>
        <v/>
      </c>
      <c r="I59" s="70"/>
      <c r="J59" s="70"/>
      <c r="K59" s="69"/>
      <c r="L59" s="6" t="str">
        <f>IFERROR(VLOOKUP(A59,'Acompanhamento da Licitação'!$F$2:$N$1000,6,FALSE()),"")</f>
        <v/>
      </c>
      <c r="M59" s="6" t="str">
        <f>IFERROR(VLOOKUP(A59,'Acompanhamento da Licitação'!$F$2:$N$1000,7,FALSE()),"")</f>
        <v/>
      </c>
      <c r="N59" s="1" t="str">
        <f>IFERROR(VLOOKUP(A59,'Acompanhamento da Licitação'!$F$2:$N$1000,9,FALSE()),"")</f>
        <v/>
      </c>
      <c r="O59" s="1" t="str">
        <f t="shared" si="4"/>
        <v>Não</v>
      </c>
      <c r="P59" s="6">
        <f t="shared" si="5"/>
        <v>0</v>
      </c>
    </row>
    <row r="60" spans="1:16" ht="15.75" x14ac:dyDescent="0.25">
      <c r="A60" s="72"/>
      <c r="B60" s="41"/>
      <c r="C60" s="72"/>
      <c r="D60" s="23"/>
      <c r="E60" s="23"/>
      <c r="F60" s="61" t="str">
        <f t="shared" si="1"/>
        <v/>
      </c>
      <c r="G60" s="61" t="str">
        <f t="shared" si="2"/>
        <v/>
      </c>
      <c r="H60" s="23" t="str">
        <f t="shared" si="3"/>
        <v/>
      </c>
      <c r="I60" s="70"/>
      <c r="J60" s="70"/>
      <c r="K60" s="69"/>
      <c r="L60" s="6" t="str">
        <f>IFERROR(VLOOKUP(A60,'Acompanhamento da Licitação'!$F$2:$N$1000,6,FALSE()),"")</f>
        <v/>
      </c>
      <c r="M60" s="6" t="str">
        <f>IFERROR(VLOOKUP(A60,'Acompanhamento da Licitação'!$F$2:$N$1000,7,FALSE()),"")</f>
        <v/>
      </c>
      <c r="N60" s="1" t="str">
        <f>IFERROR(VLOOKUP(A60,'Acompanhamento da Licitação'!$F$2:$N$1000,9,FALSE()),"")</f>
        <v/>
      </c>
      <c r="O60" s="1" t="str">
        <f t="shared" si="4"/>
        <v>Não</v>
      </c>
      <c r="P60" s="6">
        <f t="shared" si="5"/>
        <v>0</v>
      </c>
    </row>
    <row r="61" spans="1:16" ht="15.75" x14ac:dyDescent="0.25">
      <c r="A61" s="72"/>
      <c r="B61" s="41"/>
      <c r="C61" s="72"/>
      <c r="D61" s="23"/>
      <c r="E61" s="23"/>
      <c r="F61" s="61" t="str">
        <f t="shared" si="1"/>
        <v/>
      </c>
      <c r="G61" s="61" t="str">
        <f t="shared" si="2"/>
        <v/>
      </c>
      <c r="H61" s="23" t="str">
        <f t="shared" si="3"/>
        <v/>
      </c>
      <c r="I61" s="70"/>
      <c r="J61" s="70"/>
      <c r="K61" s="69"/>
      <c r="L61" s="6" t="str">
        <f>IFERROR(VLOOKUP(A61,'Acompanhamento da Licitação'!$F$2:$N$1000,6,FALSE()),"")</f>
        <v/>
      </c>
      <c r="M61" s="6" t="str">
        <f>IFERROR(VLOOKUP(A61,'Acompanhamento da Licitação'!$F$2:$N$1000,7,FALSE()),"")</f>
        <v/>
      </c>
      <c r="N61" s="1" t="str">
        <f>IFERROR(VLOOKUP(A61,'Acompanhamento da Licitação'!$F$2:$N$1000,9,FALSE()),"")</f>
        <v/>
      </c>
      <c r="O61" s="1" t="str">
        <f t="shared" si="4"/>
        <v>Não</v>
      </c>
      <c r="P61" s="6">
        <f t="shared" si="5"/>
        <v>0</v>
      </c>
    </row>
    <row r="62" spans="1:16" ht="15.75" x14ac:dyDescent="0.25">
      <c r="A62" s="72"/>
      <c r="B62" s="41"/>
      <c r="C62" s="72"/>
      <c r="D62" s="23"/>
      <c r="E62" s="23"/>
      <c r="F62" s="61" t="str">
        <f t="shared" si="1"/>
        <v/>
      </c>
      <c r="G62" s="61" t="str">
        <f t="shared" si="2"/>
        <v/>
      </c>
      <c r="H62" s="23" t="str">
        <f t="shared" si="3"/>
        <v/>
      </c>
      <c r="I62" s="70"/>
      <c r="J62" s="70"/>
      <c r="K62" s="69"/>
      <c r="L62" s="6" t="str">
        <f>IFERROR(VLOOKUP(A62,'Acompanhamento da Licitação'!$F$2:$N$1000,6,FALSE()),"")</f>
        <v/>
      </c>
      <c r="M62" s="6" t="str">
        <f>IFERROR(VLOOKUP(A62,'Acompanhamento da Licitação'!$F$2:$N$1000,7,FALSE()),"")</f>
        <v/>
      </c>
      <c r="N62" s="1" t="str">
        <f>IFERROR(VLOOKUP(A62,'Acompanhamento da Licitação'!$F$2:$N$1000,9,FALSE()),"")</f>
        <v/>
      </c>
      <c r="O62" s="1" t="str">
        <f t="shared" si="4"/>
        <v>Não</v>
      </c>
      <c r="P62" s="6">
        <f t="shared" si="5"/>
        <v>0</v>
      </c>
    </row>
    <row r="63" spans="1:16" ht="15.75" x14ac:dyDescent="0.25">
      <c r="A63" s="72"/>
      <c r="B63" s="41"/>
      <c r="C63" s="72"/>
      <c r="D63" s="23"/>
      <c r="E63" s="23"/>
      <c r="F63" s="61" t="str">
        <f t="shared" si="1"/>
        <v/>
      </c>
      <c r="G63" s="61" t="str">
        <f t="shared" si="2"/>
        <v/>
      </c>
      <c r="H63" s="23" t="str">
        <f t="shared" si="3"/>
        <v/>
      </c>
      <c r="I63" s="70"/>
      <c r="J63" s="70"/>
      <c r="K63" s="69"/>
      <c r="L63" s="6" t="str">
        <f>IFERROR(VLOOKUP(A63,'Acompanhamento da Licitação'!$F$2:$N$1000,6,FALSE()),"")</f>
        <v/>
      </c>
      <c r="M63" s="6" t="str">
        <f>IFERROR(VLOOKUP(A63,'Acompanhamento da Licitação'!$F$2:$N$1000,7,FALSE()),"")</f>
        <v/>
      </c>
      <c r="N63" s="1" t="str">
        <f>IFERROR(VLOOKUP(A63,'Acompanhamento da Licitação'!$F$2:$N$1000,9,FALSE()),"")</f>
        <v/>
      </c>
      <c r="O63" s="1" t="str">
        <f t="shared" si="4"/>
        <v>Não</v>
      </c>
      <c r="P63" s="6">
        <f t="shared" si="5"/>
        <v>0</v>
      </c>
    </row>
    <row r="64" spans="1:16" ht="15.75" x14ac:dyDescent="0.25">
      <c r="A64" s="72"/>
      <c r="B64" s="41"/>
      <c r="C64" s="72"/>
      <c r="D64" s="23"/>
      <c r="E64" s="23"/>
      <c r="F64" s="61" t="str">
        <f t="shared" si="1"/>
        <v/>
      </c>
      <c r="G64" s="61" t="str">
        <f t="shared" si="2"/>
        <v/>
      </c>
      <c r="H64" s="23" t="str">
        <f t="shared" si="3"/>
        <v/>
      </c>
      <c r="I64" s="70"/>
      <c r="J64" s="70"/>
      <c r="K64" s="69"/>
      <c r="L64" s="6" t="str">
        <f>IFERROR(VLOOKUP(A64,'Acompanhamento da Licitação'!$F$2:$N$1000,6,FALSE()),"")</f>
        <v/>
      </c>
      <c r="M64" s="6" t="str">
        <f>IFERROR(VLOOKUP(A64,'Acompanhamento da Licitação'!$F$2:$N$1000,7,FALSE()),"")</f>
        <v/>
      </c>
      <c r="N64" s="1" t="str">
        <f>IFERROR(VLOOKUP(A64,'Acompanhamento da Licitação'!$F$2:$N$1000,9,FALSE()),"")</f>
        <v/>
      </c>
      <c r="O64" s="1" t="str">
        <f t="shared" si="4"/>
        <v>Não</v>
      </c>
      <c r="P64" s="6">
        <f t="shared" si="5"/>
        <v>0</v>
      </c>
    </row>
    <row r="65" spans="1:16" ht="15.75" x14ac:dyDescent="0.25">
      <c r="A65" s="72"/>
      <c r="B65" s="41"/>
      <c r="C65" s="72"/>
      <c r="D65" s="23"/>
      <c r="E65" s="23"/>
      <c r="F65" s="61" t="str">
        <f t="shared" si="1"/>
        <v/>
      </c>
      <c r="G65" s="61" t="str">
        <f t="shared" si="2"/>
        <v/>
      </c>
      <c r="H65" s="23" t="str">
        <f t="shared" si="3"/>
        <v/>
      </c>
      <c r="I65" s="70"/>
      <c r="J65" s="70"/>
      <c r="K65" s="69"/>
      <c r="L65" s="6" t="str">
        <f>IFERROR(VLOOKUP(A65,'Acompanhamento da Licitação'!$F$2:$N$1000,6,FALSE()),"")</f>
        <v/>
      </c>
      <c r="M65" s="6" t="str">
        <f>IFERROR(VLOOKUP(A65,'Acompanhamento da Licitação'!$F$2:$N$1000,7,FALSE()),"")</f>
        <v/>
      </c>
      <c r="N65" s="1" t="str">
        <f>IFERROR(VLOOKUP(A65,'Acompanhamento da Licitação'!$F$2:$N$1000,9,FALSE()),"")</f>
        <v/>
      </c>
      <c r="O65" s="1" t="str">
        <f t="shared" si="4"/>
        <v>Não</v>
      </c>
      <c r="P65" s="6">
        <f t="shared" si="5"/>
        <v>0</v>
      </c>
    </row>
    <row r="66" spans="1:16" ht="15.75" x14ac:dyDescent="0.25">
      <c r="A66" s="72"/>
      <c r="B66" s="41"/>
      <c r="C66" s="72"/>
      <c r="D66" s="23"/>
      <c r="E66" s="23"/>
      <c r="F66" s="61" t="str">
        <f t="shared" si="1"/>
        <v/>
      </c>
      <c r="G66" s="61" t="str">
        <f t="shared" si="2"/>
        <v/>
      </c>
      <c r="H66" s="23" t="str">
        <f t="shared" si="3"/>
        <v/>
      </c>
      <c r="I66" s="70"/>
      <c r="J66" s="70"/>
      <c r="K66" s="69"/>
      <c r="L66" s="6" t="str">
        <f>IFERROR(VLOOKUP(A66,'Acompanhamento da Licitação'!$F$2:$N$1000,6,FALSE()),"")</f>
        <v/>
      </c>
      <c r="M66" s="6" t="str">
        <f>IFERROR(VLOOKUP(A66,'Acompanhamento da Licitação'!$F$2:$N$1000,7,FALSE()),"")</f>
        <v/>
      </c>
      <c r="N66" s="1" t="str">
        <f>IFERROR(VLOOKUP(A66,'Acompanhamento da Licitação'!$F$2:$N$1000,9,FALSE()),"")</f>
        <v/>
      </c>
      <c r="O66" s="1" t="str">
        <f t="shared" si="4"/>
        <v>Não</v>
      </c>
      <c r="P66" s="6">
        <f t="shared" si="5"/>
        <v>0</v>
      </c>
    </row>
    <row r="67" spans="1:16" ht="15.75" x14ac:dyDescent="0.25">
      <c r="A67" s="72"/>
      <c r="B67" s="41"/>
      <c r="C67" s="72"/>
      <c r="D67" s="23"/>
      <c r="E67" s="23"/>
      <c r="F67" s="61" t="str">
        <f t="shared" ref="F67:F130" si="6">IF(B67&gt;0,(((E67*C67)-(D67*C67)-(P67*C67))/(E67*C67)),"")</f>
        <v/>
      </c>
      <c r="G67" s="61" t="str">
        <f t="shared" ref="G67:G130" si="7">IF(F67="","",IF(F67&lt;0.2,0.05,IF(F67&lt;0.25,0.1,IF(F67&lt;0.3,0.15,IF(F67&lt;0.35,0.2,IF(F67&lt;0.45,0.25,IF(F67&lt;0.5,0.3,IF(F67&lt;0.6,0.35,0.4))))))))</f>
        <v/>
      </c>
      <c r="H67" s="23" t="str">
        <f t="shared" ref="H67:H130" si="8">IFERROR(((E67*C67)-(D67*C67)-(E67*C67*4%))*G67,"")</f>
        <v/>
      </c>
      <c r="I67" s="70"/>
      <c r="J67" s="70"/>
      <c r="K67" s="69"/>
      <c r="L67" s="6" t="str">
        <f>IFERROR(VLOOKUP(A67,'Acompanhamento da Licitação'!$F$2:$N$1000,6,FALSE()),"")</f>
        <v/>
      </c>
      <c r="M67" s="6" t="str">
        <f>IFERROR(VLOOKUP(A67,'Acompanhamento da Licitação'!$F$2:$N$1000,7,FALSE()),"")</f>
        <v/>
      </c>
      <c r="N67" s="1" t="str">
        <f>IFERROR(VLOOKUP(A67,'Acompanhamento da Licitação'!$F$2:$N$1000,9,FALSE()),"")</f>
        <v/>
      </c>
      <c r="O67" s="1" t="str">
        <f t="shared" ref="O67:O130" si="9">IF(AND(D67&gt;0,F67&gt;0.25),"Sim","Não")</f>
        <v>Não</v>
      </c>
      <c r="P67" s="6">
        <f t="shared" ref="P67:P130" si="10">4%*E67</f>
        <v>0</v>
      </c>
    </row>
    <row r="68" spans="1:16" ht="15.75" x14ac:dyDescent="0.25">
      <c r="A68" s="72"/>
      <c r="B68" s="41"/>
      <c r="C68" s="72"/>
      <c r="D68" s="23"/>
      <c r="E68" s="23"/>
      <c r="F68" s="61" t="str">
        <f t="shared" si="6"/>
        <v/>
      </c>
      <c r="G68" s="61" t="str">
        <f t="shared" si="7"/>
        <v/>
      </c>
      <c r="H68" s="23" t="str">
        <f t="shared" si="8"/>
        <v/>
      </c>
      <c r="I68" s="70"/>
      <c r="J68" s="70"/>
      <c r="K68" s="69"/>
      <c r="L68" s="6" t="str">
        <f>IFERROR(VLOOKUP(A68,'Acompanhamento da Licitação'!$F$2:$N$1000,6,FALSE()),"")</f>
        <v/>
      </c>
      <c r="M68" s="6" t="str">
        <f>IFERROR(VLOOKUP(A68,'Acompanhamento da Licitação'!$F$2:$N$1000,7,FALSE()),"")</f>
        <v/>
      </c>
      <c r="N68" s="1" t="str">
        <f>IFERROR(VLOOKUP(A68,'Acompanhamento da Licitação'!$F$2:$N$1000,9,FALSE()),"")</f>
        <v/>
      </c>
      <c r="O68" s="1" t="str">
        <f t="shared" si="9"/>
        <v>Não</v>
      </c>
      <c r="P68" s="6">
        <f t="shared" si="10"/>
        <v>0</v>
      </c>
    </row>
    <row r="69" spans="1:16" ht="15.75" x14ac:dyDescent="0.25">
      <c r="A69" s="72"/>
      <c r="B69" s="41"/>
      <c r="C69" s="72"/>
      <c r="D69" s="23"/>
      <c r="E69" s="23"/>
      <c r="F69" s="61" t="str">
        <f t="shared" si="6"/>
        <v/>
      </c>
      <c r="G69" s="61" t="str">
        <f t="shared" si="7"/>
        <v/>
      </c>
      <c r="H69" s="23" t="str">
        <f t="shared" si="8"/>
        <v/>
      </c>
      <c r="I69" s="70"/>
      <c r="J69" s="70"/>
      <c r="K69" s="69"/>
      <c r="L69" s="6" t="str">
        <f>IFERROR(VLOOKUP(A69,'Acompanhamento da Licitação'!$F$2:$N$1000,6,FALSE()),"")</f>
        <v/>
      </c>
      <c r="M69" s="6" t="str">
        <f>IFERROR(VLOOKUP(A69,'Acompanhamento da Licitação'!$F$2:$N$1000,7,FALSE()),"")</f>
        <v/>
      </c>
      <c r="N69" s="1" t="str">
        <f>IFERROR(VLOOKUP(A69,'Acompanhamento da Licitação'!$F$2:$N$1000,9,FALSE()),"")</f>
        <v/>
      </c>
      <c r="O69" s="1" t="str">
        <f t="shared" si="9"/>
        <v>Não</v>
      </c>
      <c r="P69" s="6">
        <f t="shared" si="10"/>
        <v>0</v>
      </c>
    </row>
    <row r="70" spans="1:16" ht="15.75" x14ac:dyDescent="0.25">
      <c r="A70" s="72"/>
      <c r="B70" s="41"/>
      <c r="C70" s="72"/>
      <c r="D70" s="23"/>
      <c r="E70" s="23"/>
      <c r="F70" s="61" t="str">
        <f t="shared" si="6"/>
        <v/>
      </c>
      <c r="G70" s="61" t="str">
        <f t="shared" si="7"/>
        <v/>
      </c>
      <c r="H70" s="23" t="str">
        <f t="shared" si="8"/>
        <v/>
      </c>
      <c r="I70" s="70"/>
      <c r="J70" s="70"/>
      <c r="K70" s="69"/>
      <c r="L70" s="6" t="str">
        <f>IFERROR(VLOOKUP(A70,'Acompanhamento da Licitação'!$F$2:$N$1000,6,FALSE()),"")</f>
        <v/>
      </c>
      <c r="M70" s="6" t="str">
        <f>IFERROR(VLOOKUP(A70,'Acompanhamento da Licitação'!$F$2:$N$1000,7,FALSE()),"")</f>
        <v/>
      </c>
      <c r="N70" s="1" t="str">
        <f>IFERROR(VLOOKUP(A70,'Acompanhamento da Licitação'!$F$2:$N$1000,9,FALSE()),"")</f>
        <v/>
      </c>
      <c r="O70" s="1" t="str">
        <f t="shared" si="9"/>
        <v>Não</v>
      </c>
      <c r="P70" s="6">
        <f t="shared" si="10"/>
        <v>0</v>
      </c>
    </row>
    <row r="71" spans="1:16" ht="15.75" x14ac:dyDescent="0.25">
      <c r="A71" s="72"/>
      <c r="B71" s="41"/>
      <c r="C71" s="72"/>
      <c r="D71" s="23"/>
      <c r="E71" s="23"/>
      <c r="F71" s="61" t="str">
        <f t="shared" si="6"/>
        <v/>
      </c>
      <c r="G71" s="61" t="str">
        <f t="shared" si="7"/>
        <v/>
      </c>
      <c r="H71" s="23" t="str">
        <f t="shared" si="8"/>
        <v/>
      </c>
      <c r="I71" s="70"/>
      <c r="J71" s="70"/>
      <c r="K71" s="69"/>
      <c r="L71" s="6" t="str">
        <f>IFERROR(VLOOKUP(A71,'Acompanhamento da Licitação'!$F$2:$N$1000,6,FALSE()),"")</f>
        <v/>
      </c>
      <c r="M71" s="6" t="str">
        <f>IFERROR(VLOOKUP(A71,'Acompanhamento da Licitação'!$F$2:$N$1000,7,FALSE()),"")</f>
        <v/>
      </c>
      <c r="N71" s="1" t="str">
        <f>IFERROR(VLOOKUP(A71,'Acompanhamento da Licitação'!$F$2:$N$1000,9,FALSE()),"")</f>
        <v/>
      </c>
      <c r="O71" s="1" t="str">
        <f t="shared" si="9"/>
        <v>Não</v>
      </c>
      <c r="P71" s="6">
        <f t="shared" si="10"/>
        <v>0</v>
      </c>
    </row>
    <row r="72" spans="1:16" ht="15.75" x14ac:dyDescent="0.25">
      <c r="A72" s="72"/>
      <c r="B72" s="41"/>
      <c r="C72" s="72"/>
      <c r="D72" s="23"/>
      <c r="E72" s="23"/>
      <c r="F72" s="61" t="str">
        <f t="shared" si="6"/>
        <v/>
      </c>
      <c r="G72" s="61" t="str">
        <f t="shared" si="7"/>
        <v/>
      </c>
      <c r="H72" s="23" t="str">
        <f t="shared" si="8"/>
        <v/>
      </c>
      <c r="I72" s="70"/>
      <c r="J72" s="70"/>
      <c r="K72" s="69"/>
      <c r="L72" s="6" t="str">
        <f>IFERROR(VLOOKUP(A72,'Acompanhamento da Licitação'!$F$2:$N$1000,6,FALSE()),"")</f>
        <v/>
      </c>
      <c r="M72" s="6" t="str">
        <f>IFERROR(VLOOKUP(A72,'Acompanhamento da Licitação'!$F$2:$N$1000,7,FALSE()),"")</f>
        <v/>
      </c>
      <c r="N72" s="1" t="str">
        <f>IFERROR(VLOOKUP(A72,'Acompanhamento da Licitação'!$F$2:$N$1000,9,FALSE()),"")</f>
        <v/>
      </c>
      <c r="O72" s="1" t="str">
        <f t="shared" si="9"/>
        <v>Não</v>
      </c>
      <c r="P72" s="6">
        <f t="shared" si="10"/>
        <v>0</v>
      </c>
    </row>
    <row r="73" spans="1:16" ht="15.75" x14ac:dyDescent="0.25">
      <c r="A73" s="72"/>
      <c r="B73" s="41"/>
      <c r="C73" s="72"/>
      <c r="D73" s="23"/>
      <c r="E73" s="23"/>
      <c r="F73" s="61" t="str">
        <f t="shared" si="6"/>
        <v/>
      </c>
      <c r="G73" s="61" t="str">
        <f t="shared" si="7"/>
        <v/>
      </c>
      <c r="H73" s="23" t="str">
        <f t="shared" si="8"/>
        <v/>
      </c>
      <c r="I73" s="70"/>
      <c r="J73" s="70"/>
      <c r="K73" s="69"/>
      <c r="L73" s="6" t="str">
        <f>IFERROR(VLOOKUP(A73,'Acompanhamento da Licitação'!$F$2:$N$1000,6,FALSE()),"")</f>
        <v/>
      </c>
      <c r="M73" s="6" t="str">
        <f>IFERROR(VLOOKUP(A73,'Acompanhamento da Licitação'!$F$2:$N$1000,7,FALSE()),"")</f>
        <v/>
      </c>
      <c r="N73" s="1" t="str">
        <f>IFERROR(VLOOKUP(A73,'Acompanhamento da Licitação'!$F$2:$N$1000,9,FALSE()),"")</f>
        <v/>
      </c>
      <c r="O73" s="1" t="str">
        <f t="shared" si="9"/>
        <v>Não</v>
      </c>
      <c r="P73" s="6">
        <f t="shared" si="10"/>
        <v>0</v>
      </c>
    </row>
    <row r="74" spans="1:16" ht="15.75" x14ac:dyDescent="0.25">
      <c r="A74" s="72"/>
      <c r="B74" s="41"/>
      <c r="C74" s="72"/>
      <c r="D74" s="23"/>
      <c r="E74" s="23"/>
      <c r="F74" s="61" t="str">
        <f t="shared" si="6"/>
        <v/>
      </c>
      <c r="G74" s="61" t="str">
        <f t="shared" si="7"/>
        <v/>
      </c>
      <c r="H74" s="23" t="str">
        <f t="shared" si="8"/>
        <v/>
      </c>
      <c r="I74" s="70"/>
      <c r="J74" s="70"/>
      <c r="K74" s="69"/>
      <c r="L74" s="6" t="str">
        <f>IFERROR(VLOOKUP(A74,'Acompanhamento da Licitação'!$F$2:$N$1000,6,FALSE()),"")</f>
        <v/>
      </c>
      <c r="M74" s="6" t="str">
        <f>IFERROR(VLOOKUP(A74,'Acompanhamento da Licitação'!$F$2:$N$1000,7,FALSE()),"")</f>
        <v/>
      </c>
      <c r="N74" s="1" t="str">
        <f>IFERROR(VLOOKUP(A74,'Acompanhamento da Licitação'!$F$2:$N$1000,9,FALSE()),"")</f>
        <v/>
      </c>
      <c r="O74" s="1" t="str">
        <f t="shared" si="9"/>
        <v>Não</v>
      </c>
      <c r="P74" s="6">
        <f t="shared" si="10"/>
        <v>0</v>
      </c>
    </row>
    <row r="75" spans="1:16" ht="15.75" x14ac:dyDescent="0.25">
      <c r="A75" s="72"/>
      <c r="B75" s="41"/>
      <c r="C75" s="72"/>
      <c r="D75" s="23"/>
      <c r="E75" s="23"/>
      <c r="F75" s="61" t="str">
        <f t="shared" si="6"/>
        <v/>
      </c>
      <c r="G75" s="61" t="str">
        <f t="shared" si="7"/>
        <v/>
      </c>
      <c r="H75" s="23" t="str">
        <f t="shared" si="8"/>
        <v/>
      </c>
      <c r="I75" s="70"/>
      <c r="J75" s="70"/>
      <c r="K75" s="69"/>
      <c r="L75" s="6" t="str">
        <f>IFERROR(VLOOKUP(A75,'Acompanhamento da Licitação'!$F$2:$N$1000,6,FALSE()),"")</f>
        <v/>
      </c>
      <c r="M75" s="6" t="str">
        <f>IFERROR(VLOOKUP(A75,'Acompanhamento da Licitação'!$F$2:$N$1000,7,FALSE()),"")</f>
        <v/>
      </c>
      <c r="N75" s="1" t="str">
        <f>IFERROR(VLOOKUP(A75,'Acompanhamento da Licitação'!$F$2:$N$1000,9,FALSE()),"")</f>
        <v/>
      </c>
      <c r="O75" s="1" t="str">
        <f t="shared" si="9"/>
        <v>Não</v>
      </c>
      <c r="P75" s="6">
        <f t="shared" si="10"/>
        <v>0</v>
      </c>
    </row>
    <row r="76" spans="1:16" ht="15.75" x14ac:dyDescent="0.25">
      <c r="A76" s="72"/>
      <c r="B76" s="41"/>
      <c r="C76" s="72"/>
      <c r="D76" s="23"/>
      <c r="E76" s="23"/>
      <c r="F76" s="61" t="str">
        <f t="shared" si="6"/>
        <v/>
      </c>
      <c r="G76" s="61" t="str">
        <f t="shared" si="7"/>
        <v/>
      </c>
      <c r="H76" s="23" t="str">
        <f t="shared" si="8"/>
        <v/>
      </c>
      <c r="I76" s="70"/>
      <c r="J76" s="70"/>
      <c r="K76" s="69"/>
      <c r="L76" s="6" t="str">
        <f>IFERROR(VLOOKUP(A76,'Acompanhamento da Licitação'!$F$2:$N$1000,6,FALSE()),"")</f>
        <v/>
      </c>
      <c r="M76" s="6" t="str">
        <f>IFERROR(VLOOKUP(A76,'Acompanhamento da Licitação'!$F$2:$N$1000,7,FALSE()),"")</f>
        <v/>
      </c>
      <c r="N76" s="1" t="str">
        <f>IFERROR(VLOOKUP(A76,'Acompanhamento da Licitação'!$F$2:$N$1000,9,FALSE()),"")</f>
        <v/>
      </c>
      <c r="O76" s="1" t="str">
        <f t="shared" si="9"/>
        <v>Não</v>
      </c>
      <c r="P76" s="6">
        <f t="shared" si="10"/>
        <v>0</v>
      </c>
    </row>
    <row r="77" spans="1:16" ht="15.75" x14ac:dyDescent="0.25">
      <c r="A77" s="72"/>
      <c r="B77" s="41"/>
      <c r="C77" s="72"/>
      <c r="D77" s="23"/>
      <c r="E77" s="23"/>
      <c r="F77" s="61" t="str">
        <f t="shared" si="6"/>
        <v/>
      </c>
      <c r="G77" s="61" t="str">
        <f t="shared" si="7"/>
        <v/>
      </c>
      <c r="H77" s="23" t="str">
        <f t="shared" si="8"/>
        <v/>
      </c>
      <c r="I77" s="70"/>
      <c r="J77" s="70"/>
      <c r="K77" s="69"/>
      <c r="L77" s="6" t="str">
        <f>IFERROR(VLOOKUP(A77,'Acompanhamento da Licitação'!$F$2:$N$1000,6,FALSE()),"")</f>
        <v/>
      </c>
      <c r="M77" s="6" t="str">
        <f>IFERROR(VLOOKUP(A77,'Acompanhamento da Licitação'!$F$2:$N$1000,7,FALSE()),"")</f>
        <v/>
      </c>
      <c r="N77" s="1" t="str">
        <f>IFERROR(VLOOKUP(A77,'Acompanhamento da Licitação'!$F$2:$N$1000,9,FALSE()),"")</f>
        <v/>
      </c>
      <c r="O77" s="1" t="str">
        <f t="shared" si="9"/>
        <v>Não</v>
      </c>
      <c r="P77" s="6">
        <f t="shared" si="10"/>
        <v>0</v>
      </c>
    </row>
    <row r="78" spans="1:16" ht="15.75" x14ac:dyDescent="0.25">
      <c r="A78" s="72"/>
      <c r="B78" s="41"/>
      <c r="C78" s="72"/>
      <c r="D78" s="23"/>
      <c r="E78" s="23"/>
      <c r="F78" s="61" t="str">
        <f t="shared" si="6"/>
        <v/>
      </c>
      <c r="G78" s="61" t="str">
        <f t="shared" si="7"/>
        <v/>
      </c>
      <c r="H78" s="23" t="str">
        <f t="shared" si="8"/>
        <v/>
      </c>
      <c r="I78" s="70"/>
      <c r="J78" s="70"/>
      <c r="K78" s="69"/>
      <c r="L78" s="6" t="str">
        <f>IFERROR(VLOOKUP(A78,'Acompanhamento da Licitação'!$F$2:$N$1000,6,FALSE()),"")</f>
        <v/>
      </c>
      <c r="M78" s="6" t="str">
        <f>IFERROR(VLOOKUP(A78,'Acompanhamento da Licitação'!$F$2:$N$1000,7,FALSE()),"")</f>
        <v/>
      </c>
      <c r="N78" s="1" t="str">
        <f>IFERROR(VLOOKUP(A78,'Acompanhamento da Licitação'!$F$2:$N$1000,9,FALSE()),"")</f>
        <v/>
      </c>
      <c r="O78" s="1" t="str">
        <f t="shared" si="9"/>
        <v>Não</v>
      </c>
      <c r="P78" s="6">
        <f t="shared" si="10"/>
        <v>0</v>
      </c>
    </row>
    <row r="79" spans="1:16" ht="15.75" x14ac:dyDescent="0.25">
      <c r="A79" s="72"/>
      <c r="B79" s="41"/>
      <c r="C79" s="72"/>
      <c r="D79" s="23"/>
      <c r="E79" s="23"/>
      <c r="F79" s="61" t="str">
        <f t="shared" si="6"/>
        <v/>
      </c>
      <c r="G79" s="61" t="str">
        <f t="shared" si="7"/>
        <v/>
      </c>
      <c r="H79" s="23" t="str">
        <f t="shared" si="8"/>
        <v/>
      </c>
      <c r="I79" s="70"/>
      <c r="J79" s="70"/>
      <c r="K79" s="69"/>
      <c r="L79" s="6" t="str">
        <f>IFERROR(VLOOKUP(A79,'Acompanhamento da Licitação'!$F$2:$N$1000,6,FALSE()),"")</f>
        <v/>
      </c>
      <c r="M79" s="6" t="str">
        <f>IFERROR(VLOOKUP(A79,'Acompanhamento da Licitação'!$F$2:$N$1000,7,FALSE()),"")</f>
        <v/>
      </c>
      <c r="N79" s="1" t="str">
        <f>IFERROR(VLOOKUP(A79,'Acompanhamento da Licitação'!$F$2:$N$1000,9,FALSE()),"")</f>
        <v/>
      </c>
      <c r="O79" s="1" t="str">
        <f t="shared" si="9"/>
        <v>Não</v>
      </c>
      <c r="P79" s="6">
        <f t="shared" si="10"/>
        <v>0</v>
      </c>
    </row>
    <row r="80" spans="1:16" ht="15.75" x14ac:dyDescent="0.25">
      <c r="A80" s="72"/>
      <c r="B80" s="41"/>
      <c r="C80" s="72"/>
      <c r="D80" s="23"/>
      <c r="E80" s="23"/>
      <c r="F80" s="61" t="str">
        <f t="shared" si="6"/>
        <v/>
      </c>
      <c r="G80" s="61" t="str">
        <f t="shared" si="7"/>
        <v/>
      </c>
      <c r="H80" s="23" t="str">
        <f t="shared" si="8"/>
        <v/>
      </c>
      <c r="I80" s="70"/>
      <c r="J80" s="70"/>
      <c r="K80" s="69"/>
      <c r="L80" s="6" t="str">
        <f>IFERROR(VLOOKUP(A80,'Acompanhamento da Licitação'!$F$2:$N$1000,6,FALSE()),"")</f>
        <v/>
      </c>
      <c r="M80" s="6" t="str">
        <f>IFERROR(VLOOKUP(A80,'Acompanhamento da Licitação'!$F$2:$N$1000,7,FALSE()),"")</f>
        <v/>
      </c>
      <c r="N80" s="1" t="str">
        <f>IFERROR(VLOOKUP(A80,'Acompanhamento da Licitação'!$F$2:$N$1000,9,FALSE()),"")</f>
        <v/>
      </c>
      <c r="O80" s="1" t="str">
        <f t="shared" si="9"/>
        <v>Não</v>
      </c>
      <c r="P80" s="6">
        <f t="shared" si="10"/>
        <v>0</v>
      </c>
    </row>
    <row r="81" spans="1:16" ht="15.75" x14ac:dyDescent="0.25">
      <c r="A81" s="72"/>
      <c r="B81" s="41"/>
      <c r="C81" s="72"/>
      <c r="D81" s="23"/>
      <c r="E81" s="23"/>
      <c r="F81" s="61" t="str">
        <f t="shared" si="6"/>
        <v/>
      </c>
      <c r="G81" s="61" t="str">
        <f t="shared" si="7"/>
        <v/>
      </c>
      <c r="H81" s="23" t="str">
        <f t="shared" si="8"/>
        <v/>
      </c>
      <c r="I81" s="70"/>
      <c r="J81" s="70"/>
      <c r="K81" s="69"/>
      <c r="L81" s="6" t="str">
        <f>IFERROR(VLOOKUP(A81,'Acompanhamento da Licitação'!$F$2:$N$1000,6,FALSE()),"")</f>
        <v/>
      </c>
      <c r="M81" s="6" t="str">
        <f>IFERROR(VLOOKUP(A81,'Acompanhamento da Licitação'!$F$2:$N$1000,7,FALSE()),"")</f>
        <v/>
      </c>
      <c r="N81" s="1" t="str">
        <f>IFERROR(VLOOKUP(A81,'Acompanhamento da Licitação'!$F$2:$N$1000,9,FALSE()),"")</f>
        <v/>
      </c>
      <c r="O81" s="1" t="str">
        <f t="shared" si="9"/>
        <v>Não</v>
      </c>
      <c r="P81" s="6">
        <f t="shared" si="10"/>
        <v>0</v>
      </c>
    </row>
    <row r="82" spans="1:16" ht="15.75" x14ac:dyDescent="0.25">
      <c r="A82" s="72"/>
      <c r="B82" s="41"/>
      <c r="C82" s="72"/>
      <c r="D82" s="23"/>
      <c r="E82" s="23"/>
      <c r="F82" s="61" t="str">
        <f t="shared" si="6"/>
        <v/>
      </c>
      <c r="G82" s="61" t="str">
        <f t="shared" si="7"/>
        <v/>
      </c>
      <c r="H82" s="23" t="str">
        <f t="shared" si="8"/>
        <v/>
      </c>
      <c r="I82" s="70"/>
      <c r="J82" s="70"/>
      <c r="K82" s="69"/>
      <c r="L82" s="6" t="str">
        <f>IFERROR(VLOOKUP(A82,'Acompanhamento da Licitação'!$F$2:$N$1000,6,FALSE()),"")</f>
        <v/>
      </c>
      <c r="M82" s="6" t="str">
        <f>IFERROR(VLOOKUP(A82,'Acompanhamento da Licitação'!$F$2:$N$1000,7,FALSE()),"")</f>
        <v/>
      </c>
      <c r="N82" s="1" t="str">
        <f>IFERROR(VLOOKUP(A82,'Acompanhamento da Licitação'!$F$2:$N$1000,9,FALSE()),"")</f>
        <v/>
      </c>
      <c r="O82" s="1" t="str">
        <f t="shared" si="9"/>
        <v>Não</v>
      </c>
      <c r="P82" s="6">
        <f t="shared" si="10"/>
        <v>0</v>
      </c>
    </row>
    <row r="83" spans="1:16" ht="15.75" x14ac:dyDescent="0.25">
      <c r="A83" s="72"/>
      <c r="B83" s="41"/>
      <c r="C83" s="72"/>
      <c r="D83" s="23"/>
      <c r="E83" s="23"/>
      <c r="F83" s="61" t="str">
        <f t="shared" si="6"/>
        <v/>
      </c>
      <c r="G83" s="61" t="str">
        <f t="shared" si="7"/>
        <v/>
      </c>
      <c r="H83" s="23" t="str">
        <f t="shared" si="8"/>
        <v/>
      </c>
      <c r="I83" s="70"/>
      <c r="J83" s="70"/>
      <c r="K83" s="69"/>
      <c r="L83" s="6" t="str">
        <f>IFERROR(VLOOKUP(A83,'Acompanhamento da Licitação'!$F$2:$N$1000,6,FALSE()),"")</f>
        <v/>
      </c>
      <c r="M83" s="6" t="str">
        <f>IFERROR(VLOOKUP(A83,'Acompanhamento da Licitação'!$F$2:$N$1000,7,FALSE()),"")</f>
        <v/>
      </c>
      <c r="N83" s="1" t="str">
        <f>IFERROR(VLOOKUP(A83,'Acompanhamento da Licitação'!$F$2:$N$1000,9,FALSE()),"")</f>
        <v/>
      </c>
      <c r="O83" s="1" t="str">
        <f t="shared" si="9"/>
        <v>Não</v>
      </c>
      <c r="P83" s="6">
        <f t="shared" si="10"/>
        <v>0</v>
      </c>
    </row>
    <row r="84" spans="1:16" ht="15.75" x14ac:dyDescent="0.25">
      <c r="A84" s="72"/>
      <c r="B84" s="41"/>
      <c r="C84" s="72"/>
      <c r="D84" s="23"/>
      <c r="E84" s="23"/>
      <c r="F84" s="61" t="str">
        <f t="shared" si="6"/>
        <v/>
      </c>
      <c r="G84" s="61" t="str">
        <f t="shared" si="7"/>
        <v/>
      </c>
      <c r="H84" s="23" t="str">
        <f t="shared" si="8"/>
        <v/>
      </c>
      <c r="I84" s="70"/>
      <c r="J84" s="70"/>
      <c r="K84" s="69"/>
      <c r="L84" s="6" t="str">
        <f>IFERROR(VLOOKUP(A84,'Acompanhamento da Licitação'!$F$2:$N$1000,6,FALSE()),"")</f>
        <v/>
      </c>
      <c r="M84" s="6" t="str">
        <f>IFERROR(VLOOKUP(A84,'Acompanhamento da Licitação'!$F$2:$N$1000,7,FALSE()),"")</f>
        <v/>
      </c>
      <c r="N84" s="1" t="str">
        <f>IFERROR(VLOOKUP(A84,'Acompanhamento da Licitação'!$F$2:$N$1000,9,FALSE()),"")</f>
        <v/>
      </c>
      <c r="O84" s="1" t="str">
        <f t="shared" si="9"/>
        <v>Não</v>
      </c>
      <c r="P84" s="6">
        <f t="shared" si="10"/>
        <v>0</v>
      </c>
    </row>
    <row r="85" spans="1:16" ht="15.75" x14ac:dyDescent="0.25">
      <c r="A85" s="72"/>
      <c r="B85" s="41"/>
      <c r="C85" s="72"/>
      <c r="D85" s="23"/>
      <c r="E85" s="23"/>
      <c r="F85" s="61" t="str">
        <f t="shared" si="6"/>
        <v/>
      </c>
      <c r="G85" s="61" t="str">
        <f t="shared" si="7"/>
        <v/>
      </c>
      <c r="H85" s="23" t="str">
        <f t="shared" si="8"/>
        <v/>
      </c>
      <c r="I85" s="70"/>
      <c r="J85" s="70"/>
      <c r="K85" s="69"/>
      <c r="L85" s="6" t="str">
        <f>IFERROR(VLOOKUP(A85,'Acompanhamento da Licitação'!$F$2:$N$1000,6,FALSE()),"")</f>
        <v/>
      </c>
      <c r="M85" s="6" t="str">
        <f>IFERROR(VLOOKUP(A85,'Acompanhamento da Licitação'!$F$2:$N$1000,7,FALSE()),"")</f>
        <v/>
      </c>
      <c r="N85" s="1" t="str">
        <f>IFERROR(VLOOKUP(A85,'Acompanhamento da Licitação'!$F$2:$N$1000,9,FALSE()),"")</f>
        <v/>
      </c>
      <c r="O85" s="1" t="str">
        <f t="shared" si="9"/>
        <v>Não</v>
      </c>
      <c r="P85" s="6">
        <f t="shared" si="10"/>
        <v>0</v>
      </c>
    </row>
    <row r="86" spans="1:16" ht="15.75" x14ac:dyDescent="0.25">
      <c r="A86" s="72"/>
      <c r="B86" s="41"/>
      <c r="C86" s="72"/>
      <c r="D86" s="23"/>
      <c r="E86" s="23"/>
      <c r="F86" s="61" t="str">
        <f t="shared" si="6"/>
        <v/>
      </c>
      <c r="G86" s="61" t="str">
        <f t="shared" si="7"/>
        <v/>
      </c>
      <c r="H86" s="23" t="str">
        <f t="shared" si="8"/>
        <v/>
      </c>
      <c r="I86" s="70"/>
      <c r="J86" s="70"/>
      <c r="K86" s="69"/>
      <c r="L86" s="6" t="str">
        <f>IFERROR(VLOOKUP(A86,'Acompanhamento da Licitação'!$F$2:$N$1000,6,FALSE()),"")</f>
        <v/>
      </c>
      <c r="M86" s="6" t="str">
        <f>IFERROR(VLOOKUP(A86,'Acompanhamento da Licitação'!$F$2:$N$1000,7,FALSE()),"")</f>
        <v/>
      </c>
      <c r="N86" s="1" t="str">
        <f>IFERROR(VLOOKUP(A86,'Acompanhamento da Licitação'!$F$2:$N$1000,9,FALSE()),"")</f>
        <v/>
      </c>
      <c r="O86" s="1" t="str">
        <f t="shared" si="9"/>
        <v>Não</v>
      </c>
      <c r="P86" s="6">
        <f t="shared" si="10"/>
        <v>0</v>
      </c>
    </row>
    <row r="87" spans="1:16" ht="15.75" x14ac:dyDescent="0.25">
      <c r="A87" s="72"/>
      <c r="B87" s="41"/>
      <c r="C87" s="72"/>
      <c r="D87" s="23"/>
      <c r="E87" s="23"/>
      <c r="F87" s="61" t="str">
        <f t="shared" si="6"/>
        <v/>
      </c>
      <c r="G87" s="61" t="str">
        <f t="shared" si="7"/>
        <v/>
      </c>
      <c r="H87" s="23" t="str">
        <f t="shared" si="8"/>
        <v/>
      </c>
      <c r="I87" s="70"/>
      <c r="J87" s="70"/>
      <c r="K87" s="69"/>
      <c r="L87" s="6" t="str">
        <f>IFERROR(VLOOKUP(A87,'Acompanhamento da Licitação'!$F$2:$N$1000,6,FALSE()),"")</f>
        <v/>
      </c>
      <c r="M87" s="6" t="str">
        <f>IFERROR(VLOOKUP(A87,'Acompanhamento da Licitação'!$F$2:$N$1000,7,FALSE()),"")</f>
        <v/>
      </c>
      <c r="N87" s="1" t="str">
        <f>IFERROR(VLOOKUP(A87,'Acompanhamento da Licitação'!$F$2:$N$1000,9,FALSE()),"")</f>
        <v/>
      </c>
      <c r="O87" s="1" t="str">
        <f t="shared" si="9"/>
        <v>Não</v>
      </c>
      <c r="P87" s="6">
        <f t="shared" si="10"/>
        <v>0</v>
      </c>
    </row>
    <row r="88" spans="1:16" ht="15.75" x14ac:dyDescent="0.25">
      <c r="A88" s="72"/>
      <c r="B88" s="41"/>
      <c r="C88" s="72"/>
      <c r="D88" s="23"/>
      <c r="E88" s="23"/>
      <c r="F88" s="61" t="str">
        <f t="shared" si="6"/>
        <v/>
      </c>
      <c r="G88" s="61" t="str">
        <f t="shared" si="7"/>
        <v/>
      </c>
      <c r="H88" s="23" t="str">
        <f t="shared" si="8"/>
        <v/>
      </c>
      <c r="I88" s="70"/>
      <c r="J88" s="70"/>
      <c r="K88" s="69"/>
      <c r="L88" s="6" t="str">
        <f>IFERROR(VLOOKUP(A88,'Acompanhamento da Licitação'!$F$2:$N$1000,6,FALSE()),"")</f>
        <v/>
      </c>
      <c r="M88" s="6" t="str">
        <f>IFERROR(VLOOKUP(A88,'Acompanhamento da Licitação'!$F$2:$N$1000,7,FALSE()),"")</f>
        <v/>
      </c>
      <c r="N88" s="1" t="str">
        <f>IFERROR(VLOOKUP(A88,'Acompanhamento da Licitação'!$F$2:$N$1000,9,FALSE()),"")</f>
        <v/>
      </c>
      <c r="O88" s="1" t="str">
        <f t="shared" si="9"/>
        <v>Não</v>
      </c>
      <c r="P88" s="6">
        <f t="shared" si="10"/>
        <v>0</v>
      </c>
    </row>
    <row r="89" spans="1:16" ht="15.75" x14ac:dyDescent="0.25">
      <c r="A89" s="72"/>
      <c r="B89" s="41"/>
      <c r="C89" s="72"/>
      <c r="D89" s="23"/>
      <c r="E89" s="23"/>
      <c r="F89" s="61" t="str">
        <f t="shared" si="6"/>
        <v/>
      </c>
      <c r="G89" s="61" t="str">
        <f t="shared" si="7"/>
        <v/>
      </c>
      <c r="H89" s="23" t="str">
        <f t="shared" si="8"/>
        <v/>
      </c>
      <c r="I89" s="70"/>
      <c r="J89" s="70"/>
      <c r="K89" s="69"/>
      <c r="L89" s="6" t="str">
        <f>IFERROR(VLOOKUP(A89,'Acompanhamento da Licitação'!$F$2:$N$1000,6,FALSE()),"")</f>
        <v/>
      </c>
      <c r="M89" s="6" t="str">
        <f>IFERROR(VLOOKUP(A89,'Acompanhamento da Licitação'!$F$2:$N$1000,7,FALSE()),"")</f>
        <v/>
      </c>
      <c r="N89" s="1" t="str">
        <f>IFERROR(VLOOKUP(A89,'Acompanhamento da Licitação'!$F$2:$N$1000,9,FALSE()),"")</f>
        <v/>
      </c>
      <c r="O89" s="1" t="str">
        <f t="shared" si="9"/>
        <v>Não</v>
      </c>
      <c r="P89" s="6">
        <f t="shared" si="10"/>
        <v>0</v>
      </c>
    </row>
    <row r="90" spans="1:16" ht="15.75" x14ac:dyDescent="0.25">
      <c r="A90" s="72"/>
      <c r="B90" s="41"/>
      <c r="C90" s="72"/>
      <c r="D90" s="23"/>
      <c r="E90" s="23"/>
      <c r="F90" s="61" t="str">
        <f t="shared" si="6"/>
        <v/>
      </c>
      <c r="G90" s="61" t="str">
        <f t="shared" si="7"/>
        <v/>
      </c>
      <c r="H90" s="23" t="str">
        <f t="shared" si="8"/>
        <v/>
      </c>
      <c r="I90" s="70"/>
      <c r="J90" s="70"/>
      <c r="K90" s="69"/>
      <c r="L90" s="6" t="str">
        <f>IFERROR(VLOOKUP(A90,'Acompanhamento da Licitação'!$F$2:$N$1000,6,FALSE()),"")</f>
        <v/>
      </c>
      <c r="M90" s="6" t="str">
        <f>IFERROR(VLOOKUP(A90,'Acompanhamento da Licitação'!$F$2:$N$1000,7,FALSE()),"")</f>
        <v/>
      </c>
      <c r="N90" s="1" t="str">
        <f>IFERROR(VLOOKUP(A90,'Acompanhamento da Licitação'!$F$2:$N$1000,9,FALSE()),"")</f>
        <v/>
      </c>
      <c r="O90" s="1" t="str">
        <f t="shared" si="9"/>
        <v>Não</v>
      </c>
      <c r="P90" s="6">
        <f t="shared" si="10"/>
        <v>0</v>
      </c>
    </row>
    <row r="91" spans="1:16" ht="15.75" x14ac:dyDescent="0.25">
      <c r="A91" s="72"/>
      <c r="B91" s="41"/>
      <c r="C91" s="72"/>
      <c r="D91" s="23"/>
      <c r="E91" s="23"/>
      <c r="F91" s="61" t="str">
        <f t="shared" si="6"/>
        <v/>
      </c>
      <c r="G91" s="61" t="str">
        <f t="shared" si="7"/>
        <v/>
      </c>
      <c r="H91" s="23" t="str">
        <f t="shared" si="8"/>
        <v/>
      </c>
      <c r="I91" s="70"/>
      <c r="J91" s="70"/>
      <c r="K91" s="69"/>
      <c r="L91" s="6" t="str">
        <f>IFERROR(VLOOKUP(A91,'Acompanhamento da Licitação'!$F$2:$N$1000,6,FALSE()),"")</f>
        <v/>
      </c>
      <c r="M91" s="6" t="str">
        <f>IFERROR(VLOOKUP(A91,'Acompanhamento da Licitação'!$F$2:$N$1000,7,FALSE()),"")</f>
        <v/>
      </c>
      <c r="N91" s="1" t="str">
        <f>IFERROR(VLOOKUP(A91,'Acompanhamento da Licitação'!$F$2:$N$1000,9,FALSE()),"")</f>
        <v/>
      </c>
      <c r="O91" s="1" t="str">
        <f t="shared" si="9"/>
        <v>Não</v>
      </c>
      <c r="P91" s="6">
        <f t="shared" si="10"/>
        <v>0</v>
      </c>
    </row>
    <row r="92" spans="1:16" ht="15.75" x14ac:dyDescent="0.25">
      <c r="A92" s="72"/>
      <c r="B92" s="41"/>
      <c r="C92" s="72"/>
      <c r="D92" s="23"/>
      <c r="E92" s="23"/>
      <c r="F92" s="61" t="str">
        <f t="shared" si="6"/>
        <v/>
      </c>
      <c r="G92" s="61" t="str">
        <f t="shared" si="7"/>
        <v/>
      </c>
      <c r="H92" s="23" t="str">
        <f t="shared" si="8"/>
        <v/>
      </c>
      <c r="I92" s="70"/>
      <c r="J92" s="70"/>
      <c r="K92" s="69"/>
      <c r="L92" s="6" t="str">
        <f>IFERROR(VLOOKUP(A92,'Acompanhamento da Licitação'!$F$2:$N$1000,6,FALSE()),"")</f>
        <v/>
      </c>
      <c r="M92" s="6" t="str">
        <f>IFERROR(VLOOKUP(A92,'Acompanhamento da Licitação'!$F$2:$N$1000,7,FALSE()),"")</f>
        <v/>
      </c>
      <c r="N92" s="1" t="str">
        <f>IFERROR(VLOOKUP(A92,'Acompanhamento da Licitação'!$F$2:$N$1000,9,FALSE()),"")</f>
        <v/>
      </c>
      <c r="O92" s="1" t="str">
        <f t="shared" si="9"/>
        <v>Não</v>
      </c>
      <c r="P92" s="6">
        <f t="shared" si="10"/>
        <v>0</v>
      </c>
    </row>
    <row r="93" spans="1:16" ht="15.75" x14ac:dyDescent="0.25">
      <c r="A93" s="72"/>
      <c r="B93" s="41"/>
      <c r="C93" s="72"/>
      <c r="D93" s="23"/>
      <c r="E93" s="23"/>
      <c r="F93" s="61" t="str">
        <f t="shared" si="6"/>
        <v/>
      </c>
      <c r="G93" s="61" t="str">
        <f t="shared" si="7"/>
        <v/>
      </c>
      <c r="H93" s="23" t="str">
        <f t="shared" si="8"/>
        <v/>
      </c>
      <c r="I93" s="70"/>
      <c r="J93" s="70"/>
      <c r="K93" s="69"/>
      <c r="L93" s="6" t="str">
        <f>IFERROR(VLOOKUP(A93,'Acompanhamento da Licitação'!$F$2:$N$1000,6,FALSE()),"")</f>
        <v/>
      </c>
      <c r="M93" s="6" t="str">
        <f>IFERROR(VLOOKUP(A93,'Acompanhamento da Licitação'!$F$2:$N$1000,7,FALSE()),"")</f>
        <v/>
      </c>
      <c r="N93" s="1" t="str">
        <f>IFERROR(VLOOKUP(A93,'Acompanhamento da Licitação'!$F$2:$N$1000,9,FALSE()),"")</f>
        <v/>
      </c>
      <c r="O93" s="1" t="str">
        <f t="shared" si="9"/>
        <v>Não</v>
      </c>
      <c r="P93" s="6">
        <f t="shared" si="10"/>
        <v>0</v>
      </c>
    </row>
    <row r="94" spans="1:16" ht="15.75" x14ac:dyDescent="0.25">
      <c r="A94" s="72"/>
      <c r="B94" s="41"/>
      <c r="C94" s="72"/>
      <c r="D94" s="23"/>
      <c r="E94" s="23"/>
      <c r="F94" s="61" t="str">
        <f t="shared" si="6"/>
        <v/>
      </c>
      <c r="G94" s="61" t="str">
        <f t="shared" si="7"/>
        <v/>
      </c>
      <c r="H94" s="23" t="str">
        <f t="shared" si="8"/>
        <v/>
      </c>
      <c r="I94" s="70"/>
      <c r="J94" s="70"/>
      <c r="K94" s="69"/>
      <c r="L94" s="6" t="str">
        <f>IFERROR(VLOOKUP(A94,'Acompanhamento da Licitação'!$F$2:$N$1000,6,FALSE()),"")</f>
        <v/>
      </c>
      <c r="M94" s="6" t="str">
        <f>IFERROR(VLOOKUP(A94,'Acompanhamento da Licitação'!$F$2:$N$1000,7,FALSE()),"")</f>
        <v/>
      </c>
      <c r="N94" s="1" t="str">
        <f>IFERROR(VLOOKUP(A94,'Acompanhamento da Licitação'!$F$2:$N$1000,9,FALSE()),"")</f>
        <v/>
      </c>
      <c r="O94" s="1" t="str">
        <f t="shared" si="9"/>
        <v>Não</v>
      </c>
      <c r="P94" s="6">
        <f t="shared" si="10"/>
        <v>0</v>
      </c>
    </row>
    <row r="95" spans="1:16" ht="15.75" x14ac:dyDescent="0.25">
      <c r="A95" s="72"/>
      <c r="B95" s="41"/>
      <c r="C95" s="72"/>
      <c r="D95" s="23"/>
      <c r="E95" s="23"/>
      <c r="F95" s="61" t="str">
        <f t="shared" si="6"/>
        <v/>
      </c>
      <c r="G95" s="61" t="str">
        <f t="shared" si="7"/>
        <v/>
      </c>
      <c r="H95" s="23" t="str">
        <f t="shared" si="8"/>
        <v/>
      </c>
      <c r="I95" s="70"/>
      <c r="J95" s="70"/>
      <c r="K95" s="69"/>
      <c r="L95" s="6" t="str">
        <f>IFERROR(VLOOKUP(A95,'Acompanhamento da Licitação'!$F$2:$N$1000,6,FALSE()),"")</f>
        <v/>
      </c>
      <c r="M95" s="6" t="str">
        <f>IFERROR(VLOOKUP(A95,'Acompanhamento da Licitação'!$F$2:$N$1000,7,FALSE()),"")</f>
        <v/>
      </c>
      <c r="N95" s="1" t="str">
        <f>IFERROR(VLOOKUP(A95,'Acompanhamento da Licitação'!$F$2:$N$1000,9,FALSE()),"")</f>
        <v/>
      </c>
      <c r="O95" s="1" t="str">
        <f t="shared" si="9"/>
        <v>Não</v>
      </c>
      <c r="P95" s="6">
        <f t="shared" si="10"/>
        <v>0</v>
      </c>
    </row>
    <row r="96" spans="1:16" ht="15.75" x14ac:dyDescent="0.25">
      <c r="A96" s="72"/>
      <c r="B96" s="41"/>
      <c r="C96" s="72"/>
      <c r="D96" s="23"/>
      <c r="E96" s="23"/>
      <c r="F96" s="61" t="str">
        <f t="shared" si="6"/>
        <v/>
      </c>
      <c r="G96" s="61" t="str">
        <f t="shared" si="7"/>
        <v/>
      </c>
      <c r="H96" s="23" t="str">
        <f t="shared" si="8"/>
        <v/>
      </c>
      <c r="I96" s="70"/>
      <c r="J96" s="70"/>
      <c r="K96" s="69"/>
      <c r="L96" s="6" t="str">
        <f>IFERROR(VLOOKUP(A96,'Acompanhamento da Licitação'!$F$2:$N$1000,6,FALSE()),"")</f>
        <v/>
      </c>
      <c r="M96" s="6" t="str">
        <f>IFERROR(VLOOKUP(A96,'Acompanhamento da Licitação'!$F$2:$N$1000,7,FALSE()),"")</f>
        <v/>
      </c>
      <c r="N96" s="1" t="str">
        <f>IFERROR(VLOOKUP(A96,'Acompanhamento da Licitação'!$F$2:$N$1000,9,FALSE()),"")</f>
        <v/>
      </c>
      <c r="O96" s="1" t="str">
        <f t="shared" si="9"/>
        <v>Não</v>
      </c>
      <c r="P96" s="6">
        <f t="shared" si="10"/>
        <v>0</v>
      </c>
    </row>
    <row r="97" spans="1:16" ht="15.75" x14ac:dyDescent="0.25">
      <c r="A97" s="72"/>
      <c r="B97" s="41"/>
      <c r="C97" s="72"/>
      <c r="D97" s="23"/>
      <c r="E97" s="23"/>
      <c r="F97" s="61" t="str">
        <f t="shared" si="6"/>
        <v/>
      </c>
      <c r="G97" s="61" t="str">
        <f t="shared" si="7"/>
        <v/>
      </c>
      <c r="H97" s="23" t="str">
        <f t="shared" si="8"/>
        <v/>
      </c>
      <c r="I97" s="70"/>
      <c r="J97" s="70"/>
      <c r="K97" s="69"/>
      <c r="L97" s="6" t="str">
        <f>IFERROR(VLOOKUP(A97,'Acompanhamento da Licitação'!$F$2:$N$1000,6,FALSE()),"")</f>
        <v/>
      </c>
      <c r="M97" s="6" t="str">
        <f>IFERROR(VLOOKUP(A97,'Acompanhamento da Licitação'!$F$2:$N$1000,7,FALSE()),"")</f>
        <v/>
      </c>
      <c r="N97" s="1" t="str">
        <f>IFERROR(VLOOKUP(A97,'Acompanhamento da Licitação'!$F$2:$N$1000,9,FALSE()),"")</f>
        <v/>
      </c>
      <c r="O97" s="1" t="str">
        <f t="shared" si="9"/>
        <v>Não</v>
      </c>
      <c r="P97" s="6">
        <f t="shared" si="10"/>
        <v>0</v>
      </c>
    </row>
    <row r="98" spans="1:16" ht="15.75" x14ac:dyDescent="0.25">
      <c r="A98" s="72"/>
      <c r="B98" s="41"/>
      <c r="C98" s="72"/>
      <c r="D98" s="23"/>
      <c r="E98" s="23"/>
      <c r="F98" s="61" t="str">
        <f t="shared" si="6"/>
        <v/>
      </c>
      <c r="G98" s="61" t="str">
        <f t="shared" si="7"/>
        <v/>
      </c>
      <c r="H98" s="23" t="str">
        <f t="shared" si="8"/>
        <v/>
      </c>
      <c r="I98" s="70"/>
      <c r="J98" s="70"/>
      <c r="K98" s="69"/>
      <c r="L98" s="6" t="str">
        <f>IFERROR(VLOOKUP(A98,'Acompanhamento da Licitação'!$F$2:$N$1000,6,FALSE()),"")</f>
        <v/>
      </c>
      <c r="M98" s="6" t="str">
        <f>IFERROR(VLOOKUP(A98,'Acompanhamento da Licitação'!$F$2:$N$1000,7,FALSE()),"")</f>
        <v/>
      </c>
      <c r="N98" s="1" t="str">
        <f>IFERROR(VLOOKUP(A98,'Acompanhamento da Licitação'!$F$2:$N$1000,9,FALSE()),"")</f>
        <v/>
      </c>
      <c r="O98" s="1" t="str">
        <f t="shared" si="9"/>
        <v>Não</v>
      </c>
      <c r="P98" s="6">
        <f t="shared" si="10"/>
        <v>0</v>
      </c>
    </row>
    <row r="99" spans="1:16" ht="15.75" x14ac:dyDescent="0.25">
      <c r="A99" s="72"/>
      <c r="B99" s="41"/>
      <c r="C99" s="72"/>
      <c r="D99" s="23"/>
      <c r="E99" s="23"/>
      <c r="F99" s="61" t="str">
        <f t="shared" si="6"/>
        <v/>
      </c>
      <c r="G99" s="61" t="str">
        <f t="shared" si="7"/>
        <v/>
      </c>
      <c r="H99" s="23" t="str">
        <f t="shared" si="8"/>
        <v/>
      </c>
      <c r="I99" s="70"/>
      <c r="J99" s="70"/>
      <c r="K99" s="69"/>
      <c r="L99" s="6" t="str">
        <f>IFERROR(VLOOKUP(A99,'Acompanhamento da Licitação'!$F$2:$N$1000,6,FALSE()),"")</f>
        <v/>
      </c>
      <c r="M99" s="6" t="str">
        <f>IFERROR(VLOOKUP(A99,'Acompanhamento da Licitação'!$F$2:$N$1000,7,FALSE()),"")</f>
        <v/>
      </c>
      <c r="N99" s="1" t="str">
        <f>IFERROR(VLOOKUP(A99,'Acompanhamento da Licitação'!$F$2:$N$1000,9,FALSE()),"")</f>
        <v/>
      </c>
      <c r="O99" s="1" t="str">
        <f t="shared" si="9"/>
        <v>Não</v>
      </c>
      <c r="P99" s="6">
        <f t="shared" si="10"/>
        <v>0</v>
      </c>
    </row>
    <row r="100" spans="1:16" ht="15.75" x14ac:dyDescent="0.25">
      <c r="A100" s="72"/>
      <c r="B100" s="41"/>
      <c r="C100" s="72"/>
      <c r="D100" s="23"/>
      <c r="E100" s="23"/>
      <c r="F100" s="61" t="str">
        <f t="shared" si="6"/>
        <v/>
      </c>
      <c r="G100" s="61" t="str">
        <f t="shared" si="7"/>
        <v/>
      </c>
      <c r="H100" s="23" t="str">
        <f t="shared" si="8"/>
        <v/>
      </c>
      <c r="I100" s="70"/>
      <c r="J100" s="70"/>
      <c r="K100" s="69"/>
      <c r="L100" s="6" t="str">
        <f>IFERROR(VLOOKUP(A100,'Acompanhamento da Licitação'!$F$2:$N$1000,6,FALSE()),"")</f>
        <v/>
      </c>
      <c r="M100" s="6" t="str">
        <f>IFERROR(VLOOKUP(A100,'Acompanhamento da Licitação'!$F$2:$N$1000,7,FALSE()),"")</f>
        <v/>
      </c>
      <c r="N100" s="1" t="str">
        <f>IFERROR(VLOOKUP(A100,'Acompanhamento da Licitação'!$F$2:$N$1000,9,FALSE()),"")</f>
        <v/>
      </c>
      <c r="O100" s="1" t="str">
        <f t="shared" si="9"/>
        <v>Não</v>
      </c>
      <c r="P100" s="6">
        <f t="shared" si="10"/>
        <v>0</v>
      </c>
    </row>
    <row r="101" spans="1:16" ht="15.75" x14ac:dyDescent="0.25">
      <c r="A101" s="72"/>
      <c r="B101" s="41"/>
      <c r="C101" s="72"/>
      <c r="D101" s="23"/>
      <c r="E101" s="23"/>
      <c r="F101" s="61" t="str">
        <f t="shared" si="6"/>
        <v/>
      </c>
      <c r="G101" s="61" t="str">
        <f t="shared" si="7"/>
        <v/>
      </c>
      <c r="H101" s="23" t="str">
        <f t="shared" si="8"/>
        <v/>
      </c>
      <c r="I101" s="70"/>
      <c r="J101" s="70"/>
      <c r="K101" s="69"/>
      <c r="L101" s="6" t="str">
        <f>IFERROR(VLOOKUP(A101,'Acompanhamento da Licitação'!$F$2:$N$1000,6,FALSE()),"")</f>
        <v/>
      </c>
      <c r="M101" s="6" t="str">
        <f>IFERROR(VLOOKUP(A101,'Acompanhamento da Licitação'!$F$2:$N$1000,7,FALSE()),"")</f>
        <v/>
      </c>
      <c r="N101" s="1" t="str">
        <f>IFERROR(VLOOKUP(A101,'Acompanhamento da Licitação'!$F$2:$N$1000,9,FALSE()),"")</f>
        <v/>
      </c>
      <c r="O101" s="1" t="str">
        <f t="shared" si="9"/>
        <v>Não</v>
      </c>
      <c r="P101" s="6">
        <f t="shared" si="10"/>
        <v>0</v>
      </c>
    </row>
    <row r="102" spans="1:16" ht="15.75" x14ac:dyDescent="0.25">
      <c r="A102" s="72"/>
      <c r="B102" s="41"/>
      <c r="C102" s="72"/>
      <c r="D102" s="23"/>
      <c r="E102" s="23"/>
      <c r="F102" s="61" t="str">
        <f t="shared" si="6"/>
        <v/>
      </c>
      <c r="G102" s="61" t="str">
        <f t="shared" si="7"/>
        <v/>
      </c>
      <c r="H102" s="23" t="str">
        <f t="shared" si="8"/>
        <v/>
      </c>
      <c r="I102" s="70"/>
      <c r="J102" s="70"/>
      <c r="K102" s="69"/>
      <c r="L102" s="6" t="str">
        <f>IFERROR(VLOOKUP(A102,'Acompanhamento da Licitação'!$F$2:$N$1000,6,FALSE()),"")</f>
        <v/>
      </c>
      <c r="M102" s="6" t="str">
        <f>IFERROR(VLOOKUP(A102,'Acompanhamento da Licitação'!$F$2:$N$1000,7,FALSE()),"")</f>
        <v/>
      </c>
      <c r="N102" s="1" t="str">
        <f>IFERROR(VLOOKUP(A102,'Acompanhamento da Licitação'!$F$2:$N$1000,9,FALSE()),"")</f>
        <v/>
      </c>
      <c r="O102" s="1" t="str">
        <f t="shared" si="9"/>
        <v>Não</v>
      </c>
      <c r="P102" s="6">
        <f t="shared" si="10"/>
        <v>0</v>
      </c>
    </row>
    <row r="103" spans="1:16" ht="15.75" x14ac:dyDescent="0.25">
      <c r="A103" s="72"/>
      <c r="B103" s="41"/>
      <c r="C103" s="72"/>
      <c r="D103" s="23"/>
      <c r="E103" s="23"/>
      <c r="F103" s="61" t="str">
        <f t="shared" si="6"/>
        <v/>
      </c>
      <c r="G103" s="61" t="str">
        <f t="shared" si="7"/>
        <v/>
      </c>
      <c r="H103" s="23" t="str">
        <f t="shared" si="8"/>
        <v/>
      </c>
      <c r="I103" s="70"/>
      <c r="J103" s="70"/>
      <c r="K103" s="69"/>
      <c r="L103" s="6" t="str">
        <f>IFERROR(VLOOKUP(A103,'Acompanhamento da Licitação'!$F$2:$N$1000,6,FALSE()),"")</f>
        <v/>
      </c>
      <c r="M103" s="6" t="str">
        <f>IFERROR(VLOOKUP(A103,'Acompanhamento da Licitação'!$F$2:$N$1000,7,FALSE()),"")</f>
        <v/>
      </c>
      <c r="N103" s="1" t="str">
        <f>IFERROR(VLOOKUP(A103,'Acompanhamento da Licitação'!$F$2:$N$1000,9,FALSE()),"")</f>
        <v/>
      </c>
      <c r="O103" s="1" t="str">
        <f t="shared" si="9"/>
        <v>Não</v>
      </c>
      <c r="P103" s="6">
        <f t="shared" si="10"/>
        <v>0</v>
      </c>
    </row>
    <row r="104" spans="1:16" ht="15.75" x14ac:dyDescent="0.25">
      <c r="A104" s="72"/>
      <c r="B104" s="41"/>
      <c r="C104" s="72"/>
      <c r="D104" s="23"/>
      <c r="E104" s="23"/>
      <c r="F104" s="61" t="str">
        <f t="shared" si="6"/>
        <v/>
      </c>
      <c r="G104" s="61" t="str">
        <f t="shared" si="7"/>
        <v/>
      </c>
      <c r="H104" s="23" t="str">
        <f t="shared" si="8"/>
        <v/>
      </c>
      <c r="I104" s="70"/>
      <c r="J104" s="70"/>
      <c r="K104" s="69"/>
      <c r="L104" s="6" t="str">
        <f>IFERROR(VLOOKUP(A104,'Acompanhamento da Licitação'!$F$2:$N$1000,6,FALSE()),"")</f>
        <v/>
      </c>
      <c r="M104" s="6" t="str">
        <f>IFERROR(VLOOKUP(A104,'Acompanhamento da Licitação'!$F$2:$N$1000,7,FALSE()),"")</f>
        <v/>
      </c>
      <c r="N104" s="1" t="str">
        <f>IFERROR(VLOOKUP(A104,'Acompanhamento da Licitação'!$F$2:$N$1000,9,FALSE()),"")</f>
        <v/>
      </c>
      <c r="O104" s="1" t="str">
        <f t="shared" si="9"/>
        <v>Não</v>
      </c>
      <c r="P104" s="6">
        <f t="shared" si="10"/>
        <v>0</v>
      </c>
    </row>
    <row r="105" spans="1:16" ht="15.75" x14ac:dyDescent="0.25">
      <c r="A105" s="72"/>
      <c r="B105" s="41"/>
      <c r="C105" s="72"/>
      <c r="D105" s="23"/>
      <c r="E105" s="23"/>
      <c r="F105" s="61" t="str">
        <f t="shared" si="6"/>
        <v/>
      </c>
      <c r="G105" s="61" t="str">
        <f t="shared" si="7"/>
        <v/>
      </c>
      <c r="H105" s="23" t="str">
        <f t="shared" si="8"/>
        <v/>
      </c>
      <c r="I105" s="70"/>
      <c r="J105" s="70"/>
      <c r="K105" s="69"/>
      <c r="L105" s="6" t="str">
        <f>IFERROR(VLOOKUP(A105,'Acompanhamento da Licitação'!$F$2:$N$1000,6,FALSE()),"")</f>
        <v/>
      </c>
      <c r="M105" s="6" t="str">
        <f>IFERROR(VLOOKUP(A105,'Acompanhamento da Licitação'!$F$2:$N$1000,7,FALSE()),"")</f>
        <v/>
      </c>
      <c r="N105" s="1" t="str">
        <f>IFERROR(VLOOKUP(A105,'Acompanhamento da Licitação'!$F$2:$N$1000,9,FALSE()),"")</f>
        <v/>
      </c>
      <c r="O105" s="1" t="str">
        <f t="shared" si="9"/>
        <v>Não</v>
      </c>
      <c r="P105" s="6">
        <f t="shared" si="10"/>
        <v>0</v>
      </c>
    </row>
    <row r="106" spans="1:16" ht="15.75" x14ac:dyDescent="0.25">
      <c r="A106" s="72"/>
      <c r="B106" s="41"/>
      <c r="C106" s="72"/>
      <c r="D106" s="23"/>
      <c r="E106" s="23"/>
      <c r="F106" s="61" t="str">
        <f t="shared" si="6"/>
        <v/>
      </c>
      <c r="G106" s="61" t="str">
        <f t="shared" si="7"/>
        <v/>
      </c>
      <c r="H106" s="23" t="str">
        <f t="shared" si="8"/>
        <v/>
      </c>
      <c r="I106" s="70"/>
      <c r="J106" s="70"/>
      <c r="K106" s="69"/>
      <c r="L106" s="6" t="str">
        <f>IFERROR(VLOOKUP(A106,'Acompanhamento da Licitação'!$F$2:$N$1000,6,FALSE()),"")</f>
        <v/>
      </c>
      <c r="M106" s="6" t="str">
        <f>IFERROR(VLOOKUP(A106,'Acompanhamento da Licitação'!$F$2:$N$1000,7,FALSE()),"")</f>
        <v/>
      </c>
      <c r="N106" s="1" t="str">
        <f>IFERROR(VLOOKUP(A106,'Acompanhamento da Licitação'!$F$2:$N$1000,9,FALSE()),"")</f>
        <v/>
      </c>
      <c r="O106" s="1" t="str">
        <f t="shared" si="9"/>
        <v>Não</v>
      </c>
      <c r="P106" s="6">
        <f t="shared" si="10"/>
        <v>0</v>
      </c>
    </row>
    <row r="107" spans="1:16" ht="15.75" x14ac:dyDescent="0.25">
      <c r="A107" s="72"/>
      <c r="B107" s="41"/>
      <c r="C107" s="72"/>
      <c r="D107" s="23"/>
      <c r="E107" s="23"/>
      <c r="F107" s="61" t="str">
        <f t="shared" si="6"/>
        <v/>
      </c>
      <c r="G107" s="61" t="str">
        <f t="shared" si="7"/>
        <v/>
      </c>
      <c r="H107" s="23" t="str">
        <f t="shared" si="8"/>
        <v/>
      </c>
      <c r="I107" s="70"/>
      <c r="J107" s="70"/>
      <c r="K107" s="69"/>
      <c r="L107" s="6" t="str">
        <f>IFERROR(VLOOKUP(A107,'Acompanhamento da Licitação'!$F$2:$N$1000,6,FALSE()),"")</f>
        <v/>
      </c>
      <c r="M107" s="6" t="str">
        <f>IFERROR(VLOOKUP(A107,'Acompanhamento da Licitação'!$F$2:$N$1000,7,FALSE()),"")</f>
        <v/>
      </c>
      <c r="N107" s="1" t="str">
        <f>IFERROR(VLOOKUP(A107,'Acompanhamento da Licitação'!$F$2:$N$1000,9,FALSE()),"")</f>
        <v/>
      </c>
      <c r="O107" s="1" t="str">
        <f t="shared" si="9"/>
        <v>Não</v>
      </c>
      <c r="P107" s="6">
        <f t="shared" si="10"/>
        <v>0</v>
      </c>
    </row>
    <row r="108" spans="1:16" ht="15.75" x14ac:dyDescent="0.25">
      <c r="A108" s="72"/>
      <c r="B108" s="41"/>
      <c r="C108" s="72"/>
      <c r="D108" s="23"/>
      <c r="E108" s="23"/>
      <c r="F108" s="61" t="str">
        <f t="shared" si="6"/>
        <v/>
      </c>
      <c r="G108" s="61" t="str">
        <f t="shared" si="7"/>
        <v/>
      </c>
      <c r="H108" s="23" t="str">
        <f t="shared" si="8"/>
        <v/>
      </c>
      <c r="I108" s="70"/>
      <c r="J108" s="70"/>
      <c r="K108" s="69"/>
      <c r="L108" s="6" t="str">
        <f>IFERROR(VLOOKUP(A108,'Acompanhamento da Licitação'!$F$2:$N$1000,6,FALSE()),"")</f>
        <v/>
      </c>
      <c r="M108" s="6" t="str">
        <f>IFERROR(VLOOKUP(A108,'Acompanhamento da Licitação'!$F$2:$N$1000,7,FALSE()),"")</f>
        <v/>
      </c>
      <c r="N108" s="1" t="str">
        <f>IFERROR(VLOOKUP(A108,'Acompanhamento da Licitação'!$F$2:$N$1000,9,FALSE()),"")</f>
        <v/>
      </c>
      <c r="O108" s="1" t="str">
        <f t="shared" si="9"/>
        <v>Não</v>
      </c>
      <c r="P108" s="6">
        <f t="shared" si="10"/>
        <v>0</v>
      </c>
    </row>
    <row r="109" spans="1:16" ht="15.75" x14ac:dyDescent="0.25">
      <c r="A109" s="72"/>
      <c r="B109" s="41"/>
      <c r="C109" s="72"/>
      <c r="D109" s="23"/>
      <c r="E109" s="23"/>
      <c r="F109" s="61" t="str">
        <f t="shared" si="6"/>
        <v/>
      </c>
      <c r="G109" s="61" t="str">
        <f t="shared" si="7"/>
        <v/>
      </c>
      <c r="H109" s="23" t="str">
        <f t="shared" si="8"/>
        <v/>
      </c>
      <c r="I109" s="70"/>
      <c r="J109" s="70"/>
      <c r="K109" s="69"/>
      <c r="L109" s="6" t="str">
        <f>IFERROR(VLOOKUP(A109,'Acompanhamento da Licitação'!$F$2:$N$1000,6,FALSE()),"")</f>
        <v/>
      </c>
      <c r="M109" s="6" t="str">
        <f>IFERROR(VLOOKUP(A109,'Acompanhamento da Licitação'!$F$2:$N$1000,7,FALSE()),"")</f>
        <v/>
      </c>
      <c r="N109" s="1" t="str">
        <f>IFERROR(VLOOKUP(A109,'Acompanhamento da Licitação'!$F$2:$N$1000,9,FALSE()),"")</f>
        <v/>
      </c>
      <c r="O109" s="1" t="str">
        <f t="shared" si="9"/>
        <v>Não</v>
      </c>
      <c r="P109" s="6">
        <f t="shared" si="10"/>
        <v>0</v>
      </c>
    </row>
    <row r="110" spans="1:16" ht="15.75" x14ac:dyDescent="0.25">
      <c r="A110" s="72"/>
      <c r="B110" s="41"/>
      <c r="C110" s="72"/>
      <c r="D110" s="23"/>
      <c r="E110" s="23"/>
      <c r="F110" s="61" t="str">
        <f t="shared" si="6"/>
        <v/>
      </c>
      <c r="G110" s="61" t="str">
        <f t="shared" si="7"/>
        <v/>
      </c>
      <c r="H110" s="23" t="str">
        <f t="shared" si="8"/>
        <v/>
      </c>
      <c r="I110" s="70"/>
      <c r="J110" s="70"/>
      <c r="K110" s="69"/>
      <c r="L110" s="6" t="str">
        <f>IFERROR(VLOOKUP(A110,'Acompanhamento da Licitação'!$F$2:$N$1000,6,FALSE()),"")</f>
        <v/>
      </c>
      <c r="M110" s="6" t="str">
        <f>IFERROR(VLOOKUP(A110,'Acompanhamento da Licitação'!$F$2:$N$1000,7,FALSE()),"")</f>
        <v/>
      </c>
      <c r="N110" s="1" t="str">
        <f>IFERROR(VLOOKUP(A110,'Acompanhamento da Licitação'!$F$2:$N$1000,9,FALSE()),"")</f>
        <v/>
      </c>
      <c r="O110" s="1" t="str">
        <f t="shared" si="9"/>
        <v>Não</v>
      </c>
      <c r="P110" s="6">
        <f t="shared" si="10"/>
        <v>0</v>
      </c>
    </row>
    <row r="111" spans="1:16" ht="15.75" x14ac:dyDescent="0.25">
      <c r="A111" s="72"/>
      <c r="B111" s="41"/>
      <c r="C111" s="72"/>
      <c r="D111" s="23"/>
      <c r="E111" s="23"/>
      <c r="F111" s="61" t="str">
        <f t="shared" si="6"/>
        <v/>
      </c>
      <c r="G111" s="61" t="str">
        <f t="shared" si="7"/>
        <v/>
      </c>
      <c r="H111" s="23" t="str">
        <f t="shared" si="8"/>
        <v/>
      </c>
      <c r="I111" s="70"/>
      <c r="J111" s="70"/>
      <c r="K111" s="69"/>
      <c r="L111" s="6" t="str">
        <f>IFERROR(VLOOKUP(A111,'Acompanhamento da Licitação'!$F$2:$N$1000,6,FALSE()),"")</f>
        <v/>
      </c>
      <c r="M111" s="6" t="str">
        <f>IFERROR(VLOOKUP(A111,'Acompanhamento da Licitação'!$F$2:$N$1000,7,FALSE()),"")</f>
        <v/>
      </c>
      <c r="N111" s="1" t="str">
        <f>IFERROR(VLOOKUP(A111,'Acompanhamento da Licitação'!$F$2:$N$1000,9,FALSE()),"")</f>
        <v/>
      </c>
      <c r="O111" s="1" t="str">
        <f t="shared" si="9"/>
        <v>Não</v>
      </c>
      <c r="P111" s="6">
        <f t="shared" si="10"/>
        <v>0</v>
      </c>
    </row>
    <row r="112" spans="1:16" ht="15.75" x14ac:dyDescent="0.25">
      <c r="A112" s="72"/>
      <c r="B112" s="41"/>
      <c r="C112" s="72"/>
      <c r="D112" s="23"/>
      <c r="E112" s="23"/>
      <c r="F112" s="61" t="str">
        <f t="shared" si="6"/>
        <v/>
      </c>
      <c r="G112" s="61" t="str">
        <f t="shared" si="7"/>
        <v/>
      </c>
      <c r="H112" s="23" t="str">
        <f t="shared" si="8"/>
        <v/>
      </c>
      <c r="I112" s="70"/>
      <c r="J112" s="70"/>
      <c r="K112" s="69"/>
      <c r="L112" s="6" t="str">
        <f>IFERROR(VLOOKUP(A112,'Acompanhamento da Licitação'!$F$2:$N$1000,6,FALSE()),"")</f>
        <v/>
      </c>
      <c r="M112" s="6" t="str">
        <f>IFERROR(VLOOKUP(A112,'Acompanhamento da Licitação'!$F$2:$N$1000,7,FALSE()),"")</f>
        <v/>
      </c>
      <c r="N112" s="1" t="str">
        <f>IFERROR(VLOOKUP(A112,'Acompanhamento da Licitação'!$F$2:$N$1000,9,FALSE()),"")</f>
        <v/>
      </c>
      <c r="O112" s="1" t="str">
        <f t="shared" si="9"/>
        <v>Não</v>
      </c>
      <c r="P112" s="6">
        <f t="shared" si="10"/>
        <v>0</v>
      </c>
    </row>
    <row r="113" spans="1:16" ht="15.75" x14ac:dyDescent="0.25">
      <c r="A113" s="72"/>
      <c r="B113" s="41"/>
      <c r="C113" s="72"/>
      <c r="D113" s="23"/>
      <c r="E113" s="23"/>
      <c r="F113" s="61" t="str">
        <f t="shared" si="6"/>
        <v/>
      </c>
      <c r="G113" s="61" t="str">
        <f t="shared" si="7"/>
        <v/>
      </c>
      <c r="H113" s="23" t="str">
        <f t="shared" si="8"/>
        <v/>
      </c>
      <c r="I113" s="70"/>
      <c r="J113" s="70"/>
      <c r="K113" s="69"/>
      <c r="L113" s="6" t="str">
        <f>IFERROR(VLOOKUP(A113,'Acompanhamento da Licitação'!$F$2:$N$1000,6,FALSE()),"")</f>
        <v/>
      </c>
      <c r="M113" s="6" t="str">
        <f>IFERROR(VLOOKUP(A113,'Acompanhamento da Licitação'!$F$2:$N$1000,7,FALSE()),"")</f>
        <v/>
      </c>
      <c r="N113" s="1" t="str">
        <f>IFERROR(VLOOKUP(A113,'Acompanhamento da Licitação'!$F$2:$N$1000,9,FALSE()),"")</f>
        <v/>
      </c>
      <c r="O113" s="1" t="str">
        <f t="shared" si="9"/>
        <v>Não</v>
      </c>
      <c r="P113" s="6">
        <f t="shared" si="10"/>
        <v>0</v>
      </c>
    </row>
    <row r="114" spans="1:16" ht="15.75" x14ac:dyDescent="0.25">
      <c r="A114" s="72"/>
      <c r="B114" s="41"/>
      <c r="C114" s="72"/>
      <c r="D114" s="23"/>
      <c r="E114" s="23"/>
      <c r="F114" s="61" t="str">
        <f t="shared" si="6"/>
        <v/>
      </c>
      <c r="G114" s="61" t="str">
        <f t="shared" si="7"/>
        <v/>
      </c>
      <c r="H114" s="23" t="str">
        <f t="shared" si="8"/>
        <v/>
      </c>
      <c r="I114" s="70"/>
      <c r="J114" s="70"/>
      <c r="K114" s="69"/>
      <c r="L114" s="6" t="str">
        <f>IFERROR(VLOOKUP(A114,'Acompanhamento da Licitação'!$F$2:$N$1000,6,FALSE()),"")</f>
        <v/>
      </c>
      <c r="M114" s="6" t="str">
        <f>IFERROR(VLOOKUP(A114,'Acompanhamento da Licitação'!$F$2:$N$1000,7,FALSE()),"")</f>
        <v/>
      </c>
      <c r="N114" s="1" t="str">
        <f>IFERROR(VLOOKUP(A114,'Acompanhamento da Licitação'!$F$2:$N$1000,9,FALSE()),"")</f>
        <v/>
      </c>
      <c r="O114" s="1" t="str">
        <f t="shared" si="9"/>
        <v>Não</v>
      </c>
      <c r="P114" s="6">
        <f t="shared" si="10"/>
        <v>0</v>
      </c>
    </row>
    <row r="115" spans="1:16" ht="15.75" x14ac:dyDescent="0.25">
      <c r="A115" s="72"/>
      <c r="B115" s="41"/>
      <c r="C115" s="72"/>
      <c r="D115" s="23"/>
      <c r="E115" s="23"/>
      <c r="F115" s="61" t="str">
        <f t="shared" si="6"/>
        <v/>
      </c>
      <c r="G115" s="61" t="str">
        <f t="shared" si="7"/>
        <v/>
      </c>
      <c r="H115" s="23" t="str">
        <f t="shared" si="8"/>
        <v/>
      </c>
      <c r="I115" s="70"/>
      <c r="J115" s="70"/>
      <c r="K115" s="69"/>
      <c r="L115" s="6" t="str">
        <f>IFERROR(VLOOKUP(A115,'Acompanhamento da Licitação'!$F$2:$N$1000,6,FALSE()),"")</f>
        <v/>
      </c>
      <c r="M115" s="6" t="str">
        <f>IFERROR(VLOOKUP(A115,'Acompanhamento da Licitação'!$F$2:$N$1000,7,FALSE()),"")</f>
        <v/>
      </c>
      <c r="N115" s="1" t="str">
        <f>IFERROR(VLOOKUP(A115,'Acompanhamento da Licitação'!$F$2:$N$1000,9,FALSE()),"")</f>
        <v/>
      </c>
      <c r="O115" s="1" t="str">
        <f t="shared" si="9"/>
        <v>Não</v>
      </c>
      <c r="P115" s="6">
        <f t="shared" si="10"/>
        <v>0</v>
      </c>
    </row>
    <row r="116" spans="1:16" ht="15.75" x14ac:dyDescent="0.25">
      <c r="A116" s="72"/>
      <c r="B116" s="41"/>
      <c r="C116" s="72"/>
      <c r="D116" s="23"/>
      <c r="E116" s="23"/>
      <c r="F116" s="61" t="str">
        <f t="shared" si="6"/>
        <v/>
      </c>
      <c r="G116" s="61" t="str">
        <f t="shared" si="7"/>
        <v/>
      </c>
      <c r="H116" s="23" t="str">
        <f t="shared" si="8"/>
        <v/>
      </c>
      <c r="I116" s="70"/>
      <c r="J116" s="70"/>
      <c r="K116" s="69"/>
      <c r="L116" s="6" t="str">
        <f>IFERROR(VLOOKUP(A116,'Acompanhamento da Licitação'!$F$2:$N$1000,6,FALSE()),"")</f>
        <v/>
      </c>
      <c r="M116" s="6" t="str">
        <f>IFERROR(VLOOKUP(A116,'Acompanhamento da Licitação'!$F$2:$N$1000,7,FALSE()),"")</f>
        <v/>
      </c>
      <c r="N116" s="1" t="str">
        <f>IFERROR(VLOOKUP(A116,'Acompanhamento da Licitação'!$F$2:$N$1000,9,FALSE()),"")</f>
        <v/>
      </c>
      <c r="O116" s="1" t="str">
        <f t="shared" si="9"/>
        <v>Não</v>
      </c>
      <c r="P116" s="6">
        <f t="shared" si="10"/>
        <v>0</v>
      </c>
    </row>
    <row r="117" spans="1:16" ht="15.75" x14ac:dyDescent="0.25">
      <c r="A117" s="72"/>
      <c r="B117" s="41"/>
      <c r="C117" s="72"/>
      <c r="D117" s="23"/>
      <c r="E117" s="23"/>
      <c r="F117" s="61" t="str">
        <f t="shared" si="6"/>
        <v/>
      </c>
      <c r="G117" s="61" t="str">
        <f t="shared" si="7"/>
        <v/>
      </c>
      <c r="H117" s="23" t="str">
        <f t="shared" si="8"/>
        <v/>
      </c>
      <c r="I117" s="70"/>
      <c r="J117" s="70"/>
      <c r="K117" s="69"/>
      <c r="L117" s="6" t="str">
        <f>IFERROR(VLOOKUP(A117,'Acompanhamento da Licitação'!$F$2:$N$1000,6,FALSE()),"")</f>
        <v/>
      </c>
      <c r="M117" s="6" t="str">
        <f>IFERROR(VLOOKUP(A117,'Acompanhamento da Licitação'!$F$2:$N$1000,7,FALSE()),"")</f>
        <v/>
      </c>
      <c r="N117" s="1" t="str">
        <f>IFERROR(VLOOKUP(A117,'Acompanhamento da Licitação'!$F$2:$N$1000,9,FALSE()),"")</f>
        <v/>
      </c>
      <c r="O117" s="1" t="str">
        <f t="shared" si="9"/>
        <v>Não</v>
      </c>
      <c r="P117" s="6">
        <f t="shared" si="10"/>
        <v>0</v>
      </c>
    </row>
    <row r="118" spans="1:16" ht="15.75" x14ac:dyDescent="0.25">
      <c r="A118" s="72"/>
      <c r="B118" s="41"/>
      <c r="C118" s="72"/>
      <c r="D118" s="23"/>
      <c r="E118" s="23"/>
      <c r="F118" s="61" t="str">
        <f t="shared" si="6"/>
        <v/>
      </c>
      <c r="G118" s="61" t="str">
        <f t="shared" si="7"/>
        <v/>
      </c>
      <c r="H118" s="23" t="str">
        <f t="shared" si="8"/>
        <v/>
      </c>
      <c r="I118" s="70"/>
      <c r="J118" s="70"/>
      <c r="K118" s="69"/>
      <c r="L118" s="6" t="str">
        <f>IFERROR(VLOOKUP(A118,'Acompanhamento da Licitação'!$F$2:$N$1000,6,FALSE()),"")</f>
        <v/>
      </c>
      <c r="M118" s="6" t="str">
        <f>IFERROR(VLOOKUP(A118,'Acompanhamento da Licitação'!$F$2:$N$1000,7,FALSE()),"")</f>
        <v/>
      </c>
      <c r="N118" s="1" t="str">
        <f>IFERROR(VLOOKUP(A118,'Acompanhamento da Licitação'!$F$2:$N$1000,9,FALSE()),"")</f>
        <v/>
      </c>
      <c r="O118" s="1" t="str">
        <f t="shared" si="9"/>
        <v>Não</v>
      </c>
      <c r="P118" s="6">
        <f t="shared" si="10"/>
        <v>0</v>
      </c>
    </row>
    <row r="119" spans="1:16" ht="15.75" x14ac:dyDescent="0.25">
      <c r="A119" s="72"/>
      <c r="B119" s="41"/>
      <c r="C119" s="72"/>
      <c r="D119" s="23"/>
      <c r="E119" s="23"/>
      <c r="F119" s="61" t="str">
        <f t="shared" si="6"/>
        <v/>
      </c>
      <c r="G119" s="61" t="str">
        <f t="shared" si="7"/>
        <v/>
      </c>
      <c r="H119" s="23" t="str">
        <f t="shared" si="8"/>
        <v/>
      </c>
      <c r="I119" s="70"/>
      <c r="J119" s="70"/>
      <c r="K119" s="69"/>
      <c r="L119" s="6" t="str">
        <f>IFERROR(VLOOKUP(A119,'Acompanhamento da Licitação'!$F$2:$N$1000,6,FALSE()),"")</f>
        <v/>
      </c>
      <c r="M119" s="6" t="str">
        <f>IFERROR(VLOOKUP(A119,'Acompanhamento da Licitação'!$F$2:$N$1000,7,FALSE()),"")</f>
        <v/>
      </c>
      <c r="N119" s="1" t="str">
        <f>IFERROR(VLOOKUP(A119,'Acompanhamento da Licitação'!$F$2:$N$1000,9,FALSE()),"")</f>
        <v/>
      </c>
      <c r="O119" s="1" t="str">
        <f t="shared" si="9"/>
        <v>Não</v>
      </c>
      <c r="P119" s="6">
        <f t="shared" si="10"/>
        <v>0</v>
      </c>
    </row>
    <row r="120" spans="1:16" ht="15.75" x14ac:dyDescent="0.25">
      <c r="A120" s="72"/>
      <c r="B120" s="41"/>
      <c r="C120" s="72"/>
      <c r="D120" s="23"/>
      <c r="E120" s="23"/>
      <c r="F120" s="61" t="str">
        <f t="shared" si="6"/>
        <v/>
      </c>
      <c r="G120" s="61" t="str">
        <f t="shared" si="7"/>
        <v/>
      </c>
      <c r="H120" s="23" t="str">
        <f t="shared" si="8"/>
        <v/>
      </c>
      <c r="I120" s="70"/>
      <c r="J120" s="70"/>
      <c r="K120" s="69"/>
      <c r="L120" s="6" t="str">
        <f>IFERROR(VLOOKUP(A120,'Acompanhamento da Licitação'!$F$2:$N$1000,6,FALSE()),"")</f>
        <v/>
      </c>
      <c r="M120" s="6" t="str">
        <f>IFERROR(VLOOKUP(A120,'Acompanhamento da Licitação'!$F$2:$N$1000,7,FALSE()),"")</f>
        <v/>
      </c>
      <c r="N120" s="1" t="str">
        <f>IFERROR(VLOOKUP(A120,'Acompanhamento da Licitação'!$F$2:$N$1000,9,FALSE()),"")</f>
        <v/>
      </c>
      <c r="O120" s="1" t="str">
        <f t="shared" si="9"/>
        <v>Não</v>
      </c>
      <c r="P120" s="6">
        <f t="shared" si="10"/>
        <v>0</v>
      </c>
    </row>
    <row r="121" spans="1:16" ht="15.75" x14ac:dyDescent="0.25">
      <c r="A121" s="72"/>
      <c r="B121" s="41"/>
      <c r="C121" s="72"/>
      <c r="D121" s="23"/>
      <c r="E121" s="23"/>
      <c r="F121" s="61" t="str">
        <f t="shared" si="6"/>
        <v/>
      </c>
      <c r="G121" s="61" t="str">
        <f t="shared" si="7"/>
        <v/>
      </c>
      <c r="H121" s="23" t="str">
        <f t="shared" si="8"/>
        <v/>
      </c>
      <c r="I121" s="70"/>
      <c r="J121" s="70"/>
      <c r="K121" s="69"/>
      <c r="L121" s="6" t="str">
        <f>IFERROR(VLOOKUP(A121,'Acompanhamento da Licitação'!$F$2:$N$1000,6,FALSE()),"")</f>
        <v/>
      </c>
      <c r="M121" s="6" t="str">
        <f>IFERROR(VLOOKUP(A121,'Acompanhamento da Licitação'!$F$2:$N$1000,7,FALSE()),"")</f>
        <v/>
      </c>
      <c r="N121" s="1" t="str">
        <f>IFERROR(VLOOKUP(A121,'Acompanhamento da Licitação'!$F$2:$N$1000,9,FALSE()),"")</f>
        <v/>
      </c>
      <c r="O121" s="1" t="str">
        <f t="shared" si="9"/>
        <v>Não</v>
      </c>
      <c r="P121" s="6">
        <f t="shared" si="10"/>
        <v>0</v>
      </c>
    </row>
    <row r="122" spans="1:16" ht="15.75" x14ac:dyDescent="0.25">
      <c r="A122" s="72"/>
      <c r="B122" s="41"/>
      <c r="C122" s="72"/>
      <c r="D122" s="23"/>
      <c r="E122" s="23"/>
      <c r="F122" s="61" t="str">
        <f t="shared" si="6"/>
        <v/>
      </c>
      <c r="G122" s="61" t="str">
        <f t="shared" si="7"/>
        <v/>
      </c>
      <c r="H122" s="23" t="str">
        <f t="shared" si="8"/>
        <v/>
      </c>
      <c r="I122" s="70"/>
      <c r="J122" s="70"/>
      <c r="K122" s="69"/>
      <c r="L122" s="6" t="str">
        <f>IFERROR(VLOOKUP(A122,'Acompanhamento da Licitação'!$F$2:$N$1000,6,FALSE()),"")</f>
        <v/>
      </c>
      <c r="M122" s="6" t="str">
        <f>IFERROR(VLOOKUP(A122,'Acompanhamento da Licitação'!$F$2:$N$1000,7,FALSE()),"")</f>
        <v/>
      </c>
      <c r="N122" s="1" t="str">
        <f>IFERROR(VLOOKUP(A122,'Acompanhamento da Licitação'!$F$2:$N$1000,9,FALSE()),"")</f>
        <v/>
      </c>
      <c r="O122" s="1" t="str">
        <f t="shared" si="9"/>
        <v>Não</v>
      </c>
      <c r="P122" s="6">
        <f t="shared" si="10"/>
        <v>0</v>
      </c>
    </row>
    <row r="123" spans="1:16" ht="15.75" x14ac:dyDescent="0.25">
      <c r="A123" s="72"/>
      <c r="B123" s="41"/>
      <c r="C123" s="72"/>
      <c r="D123" s="23"/>
      <c r="E123" s="23"/>
      <c r="F123" s="61" t="str">
        <f t="shared" si="6"/>
        <v/>
      </c>
      <c r="G123" s="61" t="str">
        <f t="shared" si="7"/>
        <v/>
      </c>
      <c r="H123" s="23" t="str">
        <f t="shared" si="8"/>
        <v/>
      </c>
      <c r="I123" s="70"/>
      <c r="J123" s="70"/>
      <c r="K123" s="69"/>
      <c r="L123" s="6" t="str">
        <f>IFERROR(VLOOKUP(A123,'Acompanhamento da Licitação'!$F$2:$N$1000,6,FALSE()),"")</f>
        <v/>
      </c>
      <c r="M123" s="6" t="str">
        <f>IFERROR(VLOOKUP(A123,'Acompanhamento da Licitação'!$F$2:$N$1000,7,FALSE()),"")</f>
        <v/>
      </c>
      <c r="N123" s="1" t="str">
        <f>IFERROR(VLOOKUP(A123,'Acompanhamento da Licitação'!$F$2:$N$1000,9,FALSE()),"")</f>
        <v/>
      </c>
      <c r="O123" s="1" t="str">
        <f t="shared" si="9"/>
        <v>Não</v>
      </c>
      <c r="P123" s="6">
        <f t="shared" si="10"/>
        <v>0</v>
      </c>
    </row>
    <row r="124" spans="1:16" ht="15.75" x14ac:dyDescent="0.25">
      <c r="A124" s="72"/>
      <c r="B124" s="41"/>
      <c r="C124" s="72"/>
      <c r="D124" s="23"/>
      <c r="E124" s="23"/>
      <c r="F124" s="61" t="str">
        <f t="shared" si="6"/>
        <v/>
      </c>
      <c r="G124" s="61" t="str">
        <f t="shared" si="7"/>
        <v/>
      </c>
      <c r="H124" s="23" t="str">
        <f t="shared" si="8"/>
        <v/>
      </c>
      <c r="I124" s="70"/>
      <c r="J124" s="70"/>
      <c r="K124" s="69"/>
      <c r="L124" s="6" t="str">
        <f>IFERROR(VLOOKUP(A124,'Acompanhamento da Licitação'!$F$2:$N$1000,6,FALSE()),"")</f>
        <v/>
      </c>
      <c r="M124" s="6" t="str">
        <f>IFERROR(VLOOKUP(A124,'Acompanhamento da Licitação'!$F$2:$N$1000,7,FALSE()),"")</f>
        <v/>
      </c>
      <c r="N124" s="1" t="str">
        <f>IFERROR(VLOOKUP(A124,'Acompanhamento da Licitação'!$F$2:$N$1000,9,FALSE()),"")</f>
        <v/>
      </c>
      <c r="O124" s="1" t="str">
        <f t="shared" si="9"/>
        <v>Não</v>
      </c>
      <c r="P124" s="6">
        <f t="shared" si="10"/>
        <v>0</v>
      </c>
    </row>
    <row r="125" spans="1:16" ht="15.75" x14ac:dyDescent="0.25">
      <c r="A125" s="72"/>
      <c r="B125" s="41"/>
      <c r="C125" s="72"/>
      <c r="D125" s="23"/>
      <c r="E125" s="23"/>
      <c r="F125" s="61" t="str">
        <f t="shared" si="6"/>
        <v/>
      </c>
      <c r="G125" s="61" t="str">
        <f t="shared" si="7"/>
        <v/>
      </c>
      <c r="H125" s="23" t="str">
        <f t="shared" si="8"/>
        <v/>
      </c>
      <c r="I125" s="70"/>
      <c r="J125" s="70"/>
      <c r="K125" s="69"/>
      <c r="L125" s="6" t="str">
        <f>IFERROR(VLOOKUP(A125,'Acompanhamento da Licitação'!$F$2:$N$1000,6,FALSE()),"")</f>
        <v/>
      </c>
      <c r="M125" s="6" t="str">
        <f>IFERROR(VLOOKUP(A125,'Acompanhamento da Licitação'!$F$2:$N$1000,7,FALSE()),"")</f>
        <v/>
      </c>
      <c r="N125" s="1" t="str">
        <f>IFERROR(VLOOKUP(A125,'Acompanhamento da Licitação'!$F$2:$N$1000,9,FALSE()),"")</f>
        <v/>
      </c>
      <c r="O125" s="1" t="str">
        <f t="shared" si="9"/>
        <v>Não</v>
      </c>
      <c r="P125" s="6">
        <f t="shared" si="10"/>
        <v>0</v>
      </c>
    </row>
    <row r="126" spans="1:16" ht="15.75" x14ac:dyDescent="0.25">
      <c r="A126" s="72"/>
      <c r="B126" s="41"/>
      <c r="C126" s="72"/>
      <c r="D126" s="23"/>
      <c r="E126" s="23"/>
      <c r="F126" s="61" t="str">
        <f t="shared" si="6"/>
        <v/>
      </c>
      <c r="G126" s="61" t="str">
        <f t="shared" si="7"/>
        <v/>
      </c>
      <c r="H126" s="23" t="str">
        <f t="shared" si="8"/>
        <v/>
      </c>
      <c r="I126" s="70"/>
      <c r="J126" s="70"/>
      <c r="K126" s="69"/>
      <c r="L126" s="6" t="str">
        <f>IFERROR(VLOOKUP(A126,'Acompanhamento da Licitação'!$F$2:$N$1000,6,FALSE()),"")</f>
        <v/>
      </c>
      <c r="M126" s="6" t="str">
        <f>IFERROR(VLOOKUP(A126,'Acompanhamento da Licitação'!$F$2:$N$1000,7,FALSE()),"")</f>
        <v/>
      </c>
      <c r="N126" s="1" t="str">
        <f>IFERROR(VLOOKUP(A126,'Acompanhamento da Licitação'!$F$2:$N$1000,9,FALSE()),"")</f>
        <v/>
      </c>
      <c r="O126" s="1" t="str">
        <f t="shared" si="9"/>
        <v>Não</v>
      </c>
      <c r="P126" s="6">
        <f t="shared" si="10"/>
        <v>0</v>
      </c>
    </row>
    <row r="127" spans="1:16" ht="15.75" x14ac:dyDescent="0.25">
      <c r="A127" s="72"/>
      <c r="B127" s="41"/>
      <c r="C127" s="72"/>
      <c r="D127" s="23"/>
      <c r="E127" s="23"/>
      <c r="F127" s="61" t="str">
        <f t="shared" si="6"/>
        <v/>
      </c>
      <c r="G127" s="61" t="str">
        <f t="shared" si="7"/>
        <v/>
      </c>
      <c r="H127" s="23" t="str">
        <f t="shared" si="8"/>
        <v/>
      </c>
      <c r="I127" s="70"/>
      <c r="J127" s="70"/>
      <c r="K127" s="69"/>
      <c r="L127" s="6" t="str">
        <f>IFERROR(VLOOKUP(A127,'Acompanhamento da Licitação'!$F$2:$N$1000,6,FALSE()),"")</f>
        <v/>
      </c>
      <c r="M127" s="6" t="str">
        <f>IFERROR(VLOOKUP(A127,'Acompanhamento da Licitação'!$F$2:$N$1000,7,FALSE()),"")</f>
        <v/>
      </c>
      <c r="N127" s="1" t="str">
        <f>IFERROR(VLOOKUP(A127,'Acompanhamento da Licitação'!$F$2:$N$1000,9,FALSE()),"")</f>
        <v/>
      </c>
      <c r="O127" s="1" t="str">
        <f t="shared" si="9"/>
        <v>Não</v>
      </c>
      <c r="P127" s="6">
        <f t="shared" si="10"/>
        <v>0</v>
      </c>
    </row>
    <row r="128" spans="1:16" ht="15.75" x14ac:dyDescent="0.25">
      <c r="A128" s="72"/>
      <c r="B128" s="41"/>
      <c r="C128" s="72"/>
      <c r="D128" s="23"/>
      <c r="E128" s="23"/>
      <c r="F128" s="61" t="str">
        <f t="shared" si="6"/>
        <v/>
      </c>
      <c r="G128" s="61" t="str">
        <f t="shared" si="7"/>
        <v/>
      </c>
      <c r="H128" s="23" t="str">
        <f t="shared" si="8"/>
        <v/>
      </c>
      <c r="I128" s="70"/>
      <c r="J128" s="70"/>
      <c r="K128" s="69"/>
      <c r="L128" s="6" t="str">
        <f>IFERROR(VLOOKUP(A128,'Acompanhamento da Licitação'!$F$2:$N$1000,6,FALSE()),"")</f>
        <v/>
      </c>
      <c r="M128" s="6" t="str">
        <f>IFERROR(VLOOKUP(A128,'Acompanhamento da Licitação'!$F$2:$N$1000,7,FALSE()),"")</f>
        <v/>
      </c>
      <c r="N128" s="1" t="str">
        <f>IFERROR(VLOOKUP(A128,'Acompanhamento da Licitação'!$F$2:$N$1000,9,FALSE()),"")</f>
        <v/>
      </c>
      <c r="O128" s="1" t="str">
        <f t="shared" si="9"/>
        <v>Não</v>
      </c>
      <c r="P128" s="6">
        <f t="shared" si="10"/>
        <v>0</v>
      </c>
    </row>
    <row r="129" spans="1:16" ht="15.75" x14ac:dyDescent="0.25">
      <c r="A129" s="72"/>
      <c r="B129" s="41"/>
      <c r="C129" s="72"/>
      <c r="D129" s="23"/>
      <c r="E129" s="23"/>
      <c r="F129" s="61" t="str">
        <f t="shared" si="6"/>
        <v/>
      </c>
      <c r="G129" s="61" t="str">
        <f t="shared" si="7"/>
        <v/>
      </c>
      <c r="H129" s="23" t="str">
        <f t="shared" si="8"/>
        <v/>
      </c>
      <c r="I129" s="70"/>
      <c r="J129" s="70"/>
      <c r="K129" s="69"/>
      <c r="L129" s="6" t="str">
        <f>IFERROR(VLOOKUP(A129,'Acompanhamento da Licitação'!$F$2:$N$1000,6,FALSE()),"")</f>
        <v/>
      </c>
      <c r="M129" s="6" t="str">
        <f>IFERROR(VLOOKUP(A129,'Acompanhamento da Licitação'!$F$2:$N$1000,7,FALSE()),"")</f>
        <v/>
      </c>
      <c r="N129" s="1" t="str">
        <f>IFERROR(VLOOKUP(A129,'Acompanhamento da Licitação'!$F$2:$N$1000,9,FALSE()),"")</f>
        <v/>
      </c>
      <c r="O129" s="1" t="str">
        <f t="shared" si="9"/>
        <v>Não</v>
      </c>
      <c r="P129" s="6">
        <f t="shared" si="10"/>
        <v>0</v>
      </c>
    </row>
    <row r="130" spans="1:16" ht="15.75" x14ac:dyDescent="0.25">
      <c r="A130" s="72"/>
      <c r="B130" s="41"/>
      <c r="C130" s="72"/>
      <c r="D130" s="23"/>
      <c r="E130" s="23"/>
      <c r="F130" s="61" t="str">
        <f t="shared" si="6"/>
        <v/>
      </c>
      <c r="G130" s="61" t="str">
        <f t="shared" si="7"/>
        <v/>
      </c>
      <c r="H130" s="23" t="str">
        <f t="shared" si="8"/>
        <v/>
      </c>
      <c r="I130" s="70"/>
      <c r="J130" s="70"/>
      <c r="K130" s="69"/>
      <c r="L130" s="6" t="str">
        <f>IFERROR(VLOOKUP(A130,'Acompanhamento da Licitação'!$F$2:$N$1000,6,FALSE()),"")</f>
        <v/>
      </c>
      <c r="M130" s="6" t="str">
        <f>IFERROR(VLOOKUP(A130,'Acompanhamento da Licitação'!$F$2:$N$1000,7,FALSE()),"")</f>
        <v/>
      </c>
      <c r="N130" s="1" t="str">
        <f>IFERROR(VLOOKUP(A130,'Acompanhamento da Licitação'!$F$2:$N$1000,9,FALSE()),"")</f>
        <v/>
      </c>
      <c r="O130" s="1" t="str">
        <f t="shared" si="9"/>
        <v>Não</v>
      </c>
      <c r="P130" s="6">
        <f t="shared" si="10"/>
        <v>0</v>
      </c>
    </row>
    <row r="131" spans="1:16" ht="15.75" x14ac:dyDescent="0.25">
      <c r="A131" s="72"/>
      <c r="B131" s="41"/>
      <c r="C131" s="72"/>
      <c r="D131" s="23"/>
      <c r="E131" s="23"/>
      <c r="F131" s="61" t="str">
        <f t="shared" ref="F131:F194" si="11">IF(B131&gt;0,(((E131*C131)-(D131*C131)-(P131*C131))/(E131*C131)),"")</f>
        <v/>
      </c>
      <c r="G131" s="61" t="str">
        <f t="shared" ref="G131:G194" si="12">IF(F131="","",IF(F131&lt;0.2,0.05,IF(F131&lt;0.25,0.1,IF(F131&lt;0.3,0.15,IF(F131&lt;0.35,0.2,IF(F131&lt;0.45,0.25,IF(F131&lt;0.5,0.3,IF(F131&lt;0.6,0.35,0.4))))))))</f>
        <v/>
      </c>
      <c r="H131" s="23" t="str">
        <f t="shared" ref="H131:H194" si="13">IFERROR(((E131*C131)-(D131*C131)-(E131*C131*4%))*G131,"")</f>
        <v/>
      </c>
      <c r="I131" s="70"/>
      <c r="J131" s="70"/>
      <c r="K131" s="69"/>
      <c r="L131" s="6" t="str">
        <f>IFERROR(VLOOKUP(A131,'Acompanhamento da Licitação'!$F$2:$N$1000,6,FALSE()),"")</f>
        <v/>
      </c>
      <c r="M131" s="6" t="str">
        <f>IFERROR(VLOOKUP(A131,'Acompanhamento da Licitação'!$F$2:$N$1000,7,FALSE()),"")</f>
        <v/>
      </c>
      <c r="N131" s="1" t="str">
        <f>IFERROR(VLOOKUP(A131,'Acompanhamento da Licitação'!$F$2:$N$1000,9,FALSE()),"")</f>
        <v/>
      </c>
      <c r="O131" s="1" t="str">
        <f t="shared" ref="O131:O194" si="14">IF(AND(D131&gt;0,F131&gt;0.25),"Sim","Não")</f>
        <v>Não</v>
      </c>
      <c r="P131" s="6">
        <f t="shared" ref="P131:P194" si="15">4%*E131</f>
        <v>0</v>
      </c>
    </row>
    <row r="132" spans="1:16" ht="15.75" x14ac:dyDescent="0.25">
      <c r="A132" s="72"/>
      <c r="B132" s="41"/>
      <c r="C132" s="72"/>
      <c r="D132" s="23"/>
      <c r="E132" s="23"/>
      <c r="F132" s="61" t="str">
        <f t="shared" si="11"/>
        <v/>
      </c>
      <c r="G132" s="61" t="str">
        <f t="shared" si="12"/>
        <v/>
      </c>
      <c r="H132" s="23" t="str">
        <f t="shared" si="13"/>
        <v/>
      </c>
      <c r="I132" s="70"/>
      <c r="J132" s="70"/>
      <c r="K132" s="69"/>
      <c r="L132" s="6" t="str">
        <f>IFERROR(VLOOKUP(A132,'Acompanhamento da Licitação'!$F$2:$N$1000,6,FALSE()),"")</f>
        <v/>
      </c>
      <c r="M132" s="6" t="str">
        <f>IFERROR(VLOOKUP(A132,'Acompanhamento da Licitação'!$F$2:$N$1000,7,FALSE()),"")</f>
        <v/>
      </c>
      <c r="N132" s="1" t="str">
        <f>IFERROR(VLOOKUP(A132,'Acompanhamento da Licitação'!$F$2:$N$1000,9,FALSE()),"")</f>
        <v/>
      </c>
      <c r="O132" s="1" t="str">
        <f t="shared" si="14"/>
        <v>Não</v>
      </c>
      <c r="P132" s="6">
        <f t="shared" si="15"/>
        <v>0</v>
      </c>
    </row>
    <row r="133" spans="1:16" ht="15.75" x14ac:dyDescent="0.25">
      <c r="A133" s="72"/>
      <c r="B133" s="41"/>
      <c r="C133" s="72"/>
      <c r="D133" s="23"/>
      <c r="E133" s="23"/>
      <c r="F133" s="61" t="str">
        <f t="shared" si="11"/>
        <v/>
      </c>
      <c r="G133" s="61" t="str">
        <f t="shared" si="12"/>
        <v/>
      </c>
      <c r="H133" s="23" t="str">
        <f t="shared" si="13"/>
        <v/>
      </c>
      <c r="I133" s="70"/>
      <c r="J133" s="70"/>
      <c r="K133" s="69"/>
      <c r="L133" s="6" t="str">
        <f>IFERROR(VLOOKUP(A133,'Acompanhamento da Licitação'!$F$2:$N$1000,6,FALSE()),"")</f>
        <v/>
      </c>
      <c r="M133" s="6" t="str">
        <f>IFERROR(VLOOKUP(A133,'Acompanhamento da Licitação'!$F$2:$N$1000,7,FALSE()),"")</f>
        <v/>
      </c>
      <c r="N133" s="1" t="str">
        <f>IFERROR(VLOOKUP(A133,'Acompanhamento da Licitação'!$F$2:$N$1000,9,FALSE()),"")</f>
        <v/>
      </c>
      <c r="O133" s="1" t="str">
        <f t="shared" si="14"/>
        <v>Não</v>
      </c>
      <c r="P133" s="6">
        <f t="shared" si="15"/>
        <v>0</v>
      </c>
    </row>
    <row r="134" spans="1:16" ht="15.75" x14ac:dyDescent="0.25">
      <c r="A134" s="72"/>
      <c r="B134" s="41"/>
      <c r="C134" s="72"/>
      <c r="D134" s="23"/>
      <c r="E134" s="23"/>
      <c r="F134" s="61" t="str">
        <f t="shared" si="11"/>
        <v/>
      </c>
      <c r="G134" s="61" t="str">
        <f t="shared" si="12"/>
        <v/>
      </c>
      <c r="H134" s="23" t="str">
        <f t="shared" si="13"/>
        <v/>
      </c>
      <c r="I134" s="70"/>
      <c r="J134" s="70"/>
      <c r="K134" s="69"/>
      <c r="L134" s="6" t="str">
        <f>IFERROR(VLOOKUP(A134,'Acompanhamento da Licitação'!$F$2:$N$1000,6,FALSE()),"")</f>
        <v/>
      </c>
      <c r="M134" s="6" t="str">
        <f>IFERROR(VLOOKUP(A134,'Acompanhamento da Licitação'!$F$2:$N$1000,7,FALSE()),"")</f>
        <v/>
      </c>
      <c r="N134" s="1" t="str">
        <f>IFERROR(VLOOKUP(A134,'Acompanhamento da Licitação'!$F$2:$N$1000,9,FALSE()),"")</f>
        <v/>
      </c>
      <c r="O134" s="1" t="str">
        <f t="shared" si="14"/>
        <v>Não</v>
      </c>
      <c r="P134" s="6">
        <f t="shared" si="15"/>
        <v>0</v>
      </c>
    </row>
    <row r="135" spans="1:16" ht="15.75" x14ac:dyDescent="0.25">
      <c r="A135" s="72"/>
      <c r="B135" s="41"/>
      <c r="C135" s="72"/>
      <c r="D135" s="23"/>
      <c r="E135" s="23"/>
      <c r="F135" s="61" t="str">
        <f t="shared" si="11"/>
        <v/>
      </c>
      <c r="G135" s="61" t="str">
        <f t="shared" si="12"/>
        <v/>
      </c>
      <c r="H135" s="23" t="str">
        <f t="shared" si="13"/>
        <v/>
      </c>
      <c r="I135" s="70"/>
      <c r="J135" s="70"/>
      <c r="K135" s="69"/>
      <c r="L135" s="6" t="str">
        <f>IFERROR(VLOOKUP(A135,'Acompanhamento da Licitação'!$F$2:$N$1000,6,FALSE()),"")</f>
        <v/>
      </c>
      <c r="M135" s="6" t="str">
        <f>IFERROR(VLOOKUP(A135,'Acompanhamento da Licitação'!$F$2:$N$1000,7,FALSE()),"")</f>
        <v/>
      </c>
      <c r="N135" s="1" t="str">
        <f>IFERROR(VLOOKUP(A135,'Acompanhamento da Licitação'!$F$2:$N$1000,9,FALSE()),"")</f>
        <v/>
      </c>
      <c r="O135" s="1" t="str">
        <f t="shared" si="14"/>
        <v>Não</v>
      </c>
      <c r="P135" s="6">
        <f t="shared" si="15"/>
        <v>0</v>
      </c>
    </row>
    <row r="136" spans="1:16" ht="15.75" x14ac:dyDescent="0.25">
      <c r="A136" s="72"/>
      <c r="B136" s="41"/>
      <c r="C136" s="72"/>
      <c r="D136" s="23"/>
      <c r="E136" s="23"/>
      <c r="F136" s="61" t="str">
        <f t="shared" si="11"/>
        <v/>
      </c>
      <c r="G136" s="61" t="str">
        <f t="shared" si="12"/>
        <v/>
      </c>
      <c r="H136" s="23" t="str">
        <f t="shared" si="13"/>
        <v/>
      </c>
      <c r="I136" s="70"/>
      <c r="J136" s="70"/>
      <c r="K136" s="69"/>
      <c r="L136" s="6" t="str">
        <f>IFERROR(VLOOKUP(A136,'Acompanhamento da Licitação'!$F$2:$N$1000,6,FALSE()),"")</f>
        <v/>
      </c>
      <c r="M136" s="6" t="str">
        <f>IFERROR(VLOOKUP(A136,'Acompanhamento da Licitação'!$F$2:$N$1000,7,FALSE()),"")</f>
        <v/>
      </c>
      <c r="N136" s="1" t="str">
        <f>IFERROR(VLOOKUP(A136,'Acompanhamento da Licitação'!$F$2:$N$1000,9,FALSE()),"")</f>
        <v/>
      </c>
      <c r="O136" s="1" t="str">
        <f t="shared" si="14"/>
        <v>Não</v>
      </c>
      <c r="P136" s="6">
        <f t="shared" si="15"/>
        <v>0</v>
      </c>
    </row>
    <row r="137" spans="1:16" ht="15.75" x14ac:dyDescent="0.25">
      <c r="A137" s="72"/>
      <c r="B137" s="41"/>
      <c r="C137" s="72"/>
      <c r="D137" s="23"/>
      <c r="E137" s="23"/>
      <c r="F137" s="61" t="str">
        <f t="shared" si="11"/>
        <v/>
      </c>
      <c r="G137" s="61" t="str">
        <f t="shared" si="12"/>
        <v/>
      </c>
      <c r="H137" s="23" t="str">
        <f t="shared" si="13"/>
        <v/>
      </c>
      <c r="I137" s="70"/>
      <c r="J137" s="70"/>
      <c r="K137" s="69"/>
      <c r="L137" s="6" t="str">
        <f>IFERROR(VLOOKUP(A137,'Acompanhamento da Licitação'!$F$2:$N$1000,6,FALSE()),"")</f>
        <v/>
      </c>
      <c r="M137" s="6" t="str">
        <f>IFERROR(VLOOKUP(A137,'Acompanhamento da Licitação'!$F$2:$N$1000,7,FALSE()),"")</f>
        <v/>
      </c>
      <c r="N137" s="1" t="str">
        <f>IFERROR(VLOOKUP(A137,'Acompanhamento da Licitação'!$F$2:$N$1000,9,FALSE()),"")</f>
        <v/>
      </c>
      <c r="O137" s="1" t="str">
        <f t="shared" si="14"/>
        <v>Não</v>
      </c>
      <c r="P137" s="6">
        <f t="shared" si="15"/>
        <v>0</v>
      </c>
    </row>
    <row r="138" spans="1:16" ht="15.75" x14ac:dyDescent="0.25">
      <c r="A138" s="72"/>
      <c r="B138" s="41"/>
      <c r="C138" s="72"/>
      <c r="D138" s="23"/>
      <c r="E138" s="23"/>
      <c r="F138" s="61" t="str">
        <f t="shared" si="11"/>
        <v/>
      </c>
      <c r="G138" s="61" t="str">
        <f t="shared" si="12"/>
        <v/>
      </c>
      <c r="H138" s="23" t="str">
        <f t="shared" si="13"/>
        <v/>
      </c>
      <c r="I138" s="70"/>
      <c r="J138" s="70"/>
      <c r="K138" s="69"/>
      <c r="L138" s="6" t="str">
        <f>IFERROR(VLOOKUP(A138,'Acompanhamento da Licitação'!$F$2:$N$1000,6,FALSE()),"")</f>
        <v/>
      </c>
      <c r="M138" s="6" t="str">
        <f>IFERROR(VLOOKUP(A138,'Acompanhamento da Licitação'!$F$2:$N$1000,7,FALSE()),"")</f>
        <v/>
      </c>
      <c r="N138" s="1" t="str">
        <f>IFERROR(VLOOKUP(A138,'Acompanhamento da Licitação'!$F$2:$N$1000,9,FALSE()),"")</f>
        <v/>
      </c>
      <c r="O138" s="1" t="str">
        <f t="shared" si="14"/>
        <v>Não</v>
      </c>
      <c r="P138" s="6">
        <f t="shared" si="15"/>
        <v>0</v>
      </c>
    </row>
    <row r="139" spans="1:16" ht="15.75" x14ac:dyDescent="0.25">
      <c r="A139" s="72"/>
      <c r="B139" s="41"/>
      <c r="C139" s="72"/>
      <c r="D139" s="23"/>
      <c r="E139" s="23"/>
      <c r="F139" s="61" t="str">
        <f t="shared" si="11"/>
        <v/>
      </c>
      <c r="G139" s="61" t="str">
        <f t="shared" si="12"/>
        <v/>
      </c>
      <c r="H139" s="23" t="str">
        <f t="shared" si="13"/>
        <v/>
      </c>
      <c r="I139" s="70"/>
      <c r="J139" s="70"/>
      <c r="K139" s="69"/>
      <c r="L139" s="6" t="str">
        <f>IFERROR(VLOOKUP(A139,'Acompanhamento da Licitação'!$F$2:$N$1000,6,FALSE()),"")</f>
        <v/>
      </c>
      <c r="M139" s="6" t="str">
        <f>IFERROR(VLOOKUP(A139,'Acompanhamento da Licitação'!$F$2:$N$1000,7,FALSE()),"")</f>
        <v/>
      </c>
      <c r="N139" s="1" t="str">
        <f>IFERROR(VLOOKUP(A139,'Acompanhamento da Licitação'!$F$2:$N$1000,9,FALSE()),"")</f>
        <v/>
      </c>
      <c r="O139" s="1" t="str">
        <f t="shared" si="14"/>
        <v>Não</v>
      </c>
      <c r="P139" s="6">
        <f t="shared" si="15"/>
        <v>0</v>
      </c>
    </row>
    <row r="140" spans="1:16" ht="15.75" x14ac:dyDescent="0.25">
      <c r="A140" s="72"/>
      <c r="B140" s="41"/>
      <c r="C140" s="72"/>
      <c r="D140" s="23"/>
      <c r="E140" s="23"/>
      <c r="F140" s="61" t="str">
        <f t="shared" si="11"/>
        <v/>
      </c>
      <c r="G140" s="61" t="str">
        <f t="shared" si="12"/>
        <v/>
      </c>
      <c r="H140" s="23" t="str">
        <f t="shared" si="13"/>
        <v/>
      </c>
      <c r="I140" s="70"/>
      <c r="J140" s="70"/>
      <c r="K140" s="69"/>
      <c r="L140" s="6" t="str">
        <f>IFERROR(VLOOKUP(A140,'Acompanhamento da Licitação'!$F$2:$N$1000,6,FALSE()),"")</f>
        <v/>
      </c>
      <c r="M140" s="6" t="str">
        <f>IFERROR(VLOOKUP(A140,'Acompanhamento da Licitação'!$F$2:$N$1000,7,FALSE()),"")</f>
        <v/>
      </c>
      <c r="N140" s="1" t="str">
        <f>IFERROR(VLOOKUP(A140,'Acompanhamento da Licitação'!$F$2:$N$1000,9,FALSE()),"")</f>
        <v/>
      </c>
      <c r="O140" s="1" t="str">
        <f t="shared" si="14"/>
        <v>Não</v>
      </c>
      <c r="P140" s="6">
        <f t="shared" si="15"/>
        <v>0</v>
      </c>
    </row>
    <row r="141" spans="1:16" ht="15.75" x14ac:dyDescent="0.25">
      <c r="A141" s="72"/>
      <c r="B141" s="41"/>
      <c r="C141" s="72"/>
      <c r="D141" s="23"/>
      <c r="E141" s="23"/>
      <c r="F141" s="61" t="str">
        <f t="shared" si="11"/>
        <v/>
      </c>
      <c r="G141" s="61" t="str">
        <f t="shared" si="12"/>
        <v/>
      </c>
      <c r="H141" s="23" t="str">
        <f t="shared" si="13"/>
        <v/>
      </c>
      <c r="I141" s="70"/>
      <c r="J141" s="70"/>
      <c r="K141" s="69"/>
      <c r="L141" s="6" t="str">
        <f>IFERROR(VLOOKUP(A141,'Acompanhamento da Licitação'!$F$2:$N$1000,6,FALSE()),"")</f>
        <v/>
      </c>
      <c r="M141" s="6" t="str">
        <f>IFERROR(VLOOKUP(A141,'Acompanhamento da Licitação'!$F$2:$N$1000,7,FALSE()),"")</f>
        <v/>
      </c>
      <c r="N141" s="1" t="str">
        <f>IFERROR(VLOOKUP(A141,'Acompanhamento da Licitação'!$F$2:$N$1000,9,FALSE()),"")</f>
        <v/>
      </c>
      <c r="O141" s="1" t="str">
        <f t="shared" si="14"/>
        <v>Não</v>
      </c>
      <c r="P141" s="6">
        <f t="shared" si="15"/>
        <v>0</v>
      </c>
    </row>
    <row r="142" spans="1:16" ht="15.75" x14ac:dyDescent="0.25">
      <c r="A142" s="72"/>
      <c r="B142" s="41"/>
      <c r="C142" s="72"/>
      <c r="D142" s="23"/>
      <c r="E142" s="23"/>
      <c r="F142" s="61" t="str">
        <f t="shared" si="11"/>
        <v/>
      </c>
      <c r="G142" s="61" t="str">
        <f t="shared" si="12"/>
        <v/>
      </c>
      <c r="H142" s="23" t="str">
        <f t="shared" si="13"/>
        <v/>
      </c>
      <c r="I142" s="70"/>
      <c r="J142" s="70"/>
      <c r="K142" s="69"/>
      <c r="L142" s="6" t="str">
        <f>IFERROR(VLOOKUP(A142,'Acompanhamento da Licitação'!$F$2:$N$1000,6,FALSE()),"")</f>
        <v/>
      </c>
      <c r="M142" s="6" t="str">
        <f>IFERROR(VLOOKUP(A142,'Acompanhamento da Licitação'!$F$2:$N$1000,7,FALSE()),"")</f>
        <v/>
      </c>
      <c r="N142" s="1" t="str">
        <f>IFERROR(VLOOKUP(A142,'Acompanhamento da Licitação'!$F$2:$N$1000,9,FALSE()),"")</f>
        <v/>
      </c>
      <c r="O142" s="1" t="str">
        <f t="shared" si="14"/>
        <v>Não</v>
      </c>
      <c r="P142" s="6">
        <f t="shared" si="15"/>
        <v>0</v>
      </c>
    </row>
    <row r="143" spans="1:16" ht="15.75" x14ac:dyDescent="0.25">
      <c r="A143" s="72"/>
      <c r="B143" s="41"/>
      <c r="C143" s="72"/>
      <c r="D143" s="23"/>
      <c r="E143" s="23"/>
      <c r="F143" s="61" t="str">
        <f t="shared" si="11"/>
        <v/>
      </c>
      <c r="G143" s="61" t="str">
        <f t="shared" si="12"/>
        <v/>
      </c>
      <c r="H143" s="23" t="str">
        <f t="shared" si="13"/>
        <v/>
      </c>
      <c r="I143" s="70"/>
      <c r="J143" s="70"/>
      <c r="K143" s="69"/>
      <c r="L143" s="6" t="str">
        <f>IFERROR(VLOOKUP(A143,'Acompanhamento da Licitação'!$F$2:$N$1000,6,FALSE()),"")</f>
        <v/>
      </c>
      <c r="M143" s="6" t="str">
        <f>IFERROR(VLOOKUP(A143,'Acompanhamento da Licitação'!$F$2:$N$1000,7,FALSE()),"")</f>
        <v/>
      </c>
      <c r="N143" s="1" t="str">
        <f>IFERROR(VLOOKUP(A143,'Acompanhamento da Licitação'!$F$2:$N$1000,9,FALSE()),"")</f>
        <v/>
      </c>
      <c r="O143" s="1" t="str">
        <f t="shared" si="14"/>
        <v>Não</v>
      </c>
      <c r="P143" s="6">
        <f t="shared" si="15"/>
        <v>0</v>
      </c>
    </row>
    <row r="144" spans="1:16" ht="15.75" x14ac:dyDescent="0.25">
      <c r="A144" s="72"/>
      <c r="B144" s="41"/>
      <c r="C144" s="72"/>
      <c r="D144" s="23"/>
      <c r="E144" s="23"/>
      <c r="F144" s="61" t="str">
        <f t="shared" si="11"/>
        <v/>
      </c>
      <c r="G144" s="61" t="str">
        <f t="shared" si="12"/>
        <v/>
      </c>
      <c r="H144" s="23" t="str">
        <f t="shared" si="13"/>
        <v/>
      </c>
      <c r="I144" s="70"/>
      <c r="J144" s="70"/>
      <c r="K144" s="69"/>
      <c r="L144" s="6" t="str">
        <f>IFERROR(VLOOKUP(A144,'Acompanhamento da Licitação'!$F$2:$N$1000,6,FALSE()),"")</f>
        <v/>
      </c>
      <c r="M144" s="6" t="str">
        <f>IFERROR(VLOOKUP(A144,'Acompanhamento da Licitação'!$F$2:$N$1000,7,FALSE()),"")</f>
        <v/>
      </c>
      <c r="N144" s="1" t="str">
        <f>IFERROR(VLOOKUP(A144,'Acompanhamento da Licitação'!$F$2:$N$1000,9,FALSE()),"")</f>
        <v/>
      </c>
      <c r="O144" s="1" t="str">
        <f t="shared" si="14"/>
        <v>Não</v>
      </c>
      <c r="P144" s="6">
        <f t="shared" si="15"/>
        <v>0</v>
      </c>
    </row>
    <row r="145" spans="1:16" ht="15.75" x14ac:dyDescent="0.25">
      <c r="A145" s="72"/>
      <c r="B145" s="41"/>
      <c r="C145" s="72"/>
      <c r="D145" s="23"/>
      <c r="E145" s="23"/>
      <c r="F145" s="61" t="str">
        <f t="shared" si="11"/>
        <v/>
      </c>
      <c r="G145" s="61" t="str">
        <f t="shared" si="12"/>
        <v/>
      </c>
      <c r="H145" s="23" t="str">
        <f t="shared" si="13"/>
        <v/>
      </c>
      <c r="I145" s="70"/>
      <c r="J145" s="70"/>
      <c r="K145" s="69"/>
      <c r="L145" s="6" t="str">
        <f>IFERROR(VLOOKUP(A145,'Acompanhamento da Licitação'!$F$2:$N$1000,6,FALSE()),"")</f>
        <v/>
      </c>
      <c r="M145" s="6" t="str">
        <f>IFERROR(VLOOKUP(A145,'Acompanhamento da Licitação'!$F$2:$N$1000,7,FALSE()),"")</f>
        <v/>
      </c>
      <c r="N145" s="1" t="str">
        <f>IFERROR(VLOOKUP(A145,'Acompanhamento da Licitação'!$F$2:$N$1000,9,FALSE()),"")</f>
        <v/>
      </c>
      <c r="O145" s="1" t="str">
        <f t="shared" si="14"/>
        <v>Não</v>
      </c>
      <c r="P145" s="6">
        <f t="shared" si="15"/>
        <v>0</v>
      </c>
    </row>
    <row r="146" spans="1:16" ht="15.75" x14ac:dyDescent="0.25">
      <c r="A146" s="72"/>
      <c r="B146" s="41"/>
      <c r="C146" s="72"/>
      <c r="D146" s="23"/>
      <c r="E146" s="23"/>
      <c r="F146" s="61" t="str">
        <f t="shared" si="11"/>
        <v/>
      </c>
      <c r="G146" s="61" t="str">
        <f t="shared" si="12"/>
        <v/>
      </c>
      <c r="H146" s="23" t="str">
        <f t="shared" si="13"/>
        <v/>
      </c>
      <c r="I146" s="70"/>
      <c r="J146" s="70"/>
      <c r="K146" s="69"/>
      <c r="L146" s="6" t="str">
        <f>IFERROR(VLOOKUP(A146,'Acompanhamento da Licitação'!$F$2:$N$1000,6,FALSE()),"")</f>
        <v/>
      </c>
      <c r="M146" s="6" t="str">
        <f>IFERROR(VLOOKUP(A146,'Acompanhamento da Licitação'!$F$2:$N$1000,7,FALSE()),"")</f>
        <v/>
      </c>
      <c r="N146" s="1" t="str">
        <f>IFERROR(VLOOKUP(A146,'Acompanhamento da Licitação'!$F$2:$N$1000,9,FALSE()),"")</f>
        <v/>
      </c>
      <c r="O146" s="1" t="str">
        <f t="shared" si="14"/>
        <v>Não</v>
      </c>
      <c r="P146" s="6">
        <f t="shared" si="15"/>
        <v>0</v>
      </c>
    </row>
    <row r="147" spans="1:16" ht="15.75" x14ac:dyDescent="0.25">
      <c r="A147" s="72"/>
      <c r="B147" s="41"/>
      <c r="C147" s="72"/>
      <c r="D147" s="23"/>
      <c r="E147" s="23"/>
      <c r="F147" s="61" t="str">
        <f t="shared" si="11"/>
        <v/>
      </c>
      <c r="G147" s="61" t="str">
        <f t="shared" si="12"/>
        <v/>
      </c>
      <c r="H147" s="23" t="str">
        <f t="shared" si="13"/>
        <v/>
      </c>
      <c r="I147" s="70"/>
      <c r="J147" s="70"/>
      <c r="K147" s="69"/>
      <c r="L147" s="6" t="str">
        <f>IFERROR(VLOOKUP(A147,'Acompanhamento da Licitação'!$F$2:$N$1000,6,FALSE()),"")</f>
        <v/>
      </c>
      <c r="M147" s="6" t="str">
        <f>IFERROR(VLOOKUP(A147,'Acompanhamento da Licitação'!$F$2:$N$1000,7,FALSE()),"")</f>
        <v/>
      </c>
      <c r="N147" s="1" t="str">
        <f>IFERROR(VLOOKUP(A147,'Acompanhamento da Licitação'!$F$2:$N$1000,9,FALSE()),"")</f>
        <v/>
      </c>
      <c r="O147" s="1" t="str">
        <f t="shared" si="14"/>
        <v>Não</v>
      </c>
      <c r="P147" s="6">
        <f t="shared" si="15"/>
        <v>0</v>
      </c>
    </row>
    <row r="148" spans="1:16" ht="15.75" x14ac:dyDescent="0.25">
      <c r="A148" s="72"/>
      <c r="B148" s="41"/>
      <c r="C148" s="72"/>
      <c r="D148" s="23"/>
      <c r="E148" s="23"/>
      <c r="F148" s="61" t="str">
        <f t="shared" si="11"/>
        <v/>
      </c>
      <c r="G148" s="61" t="str">
        <f t="shared" si="12"/>
        <v/>
      </c>
      <c r="H148" s="23" t="str">
        <f t="shared" si="13"/>
        <v/>
      </c>
      <c r="I148" s="70"/>
      <c r="J148" s="70"/>
      <c r="K148" s="69"/>
      <c r="L148" s="6" t="str">
        <f>IFERROR(VLOOKUP(A148,'Acompanhamento da Licitação'!$F$2:$N$1000,6,FALSE()),"")</f>
        <v/>
      </c>
      <c r="M148" s="6" t="str">
        <f>IFERROR(VLOOKUP(A148,'Acompanhamento da Licitação'!$F$2:$N$1000,7,FALSE()),"")</f>
        <v/>
      </c>
      <c r="N148" s="1" t="str">
        <f>IFERROR(VLOOKUP(A148,'Acompanhamento da Licitação'!$F$2:$N$1000,9,FALSE()),"")</f>
        <v/>
      </c>
      <c r="O148" s="1" t="str">
        <f t="shared" si="14"/>
        <v>Não</v>
      </c>
      <c r="P148" s="6">
        <f t="shared" si="15"/>
        <v>0</v>
      </c>
    </row>
    <row r="149" spans="1:16" ht="15.75" x14ac:dyDescent="0.25">
      <c r="A149" s="72"/>
      <c r="B149" s="41"/>
      <c r="C149" s="72"/>
      <c r="D149" s="23"/>
      <c r="E149" s="23"/>
      <c r="F149" s="61" t="str">
        <f t="shared" si="11"/>
        <v/>
      </c>
      <c r="G149" s="61" t="str">
        <f t="shared" si="12"/>
        <v/>
      </c>
      <c r="H149" s="23" t="str">
        <f t="shared" si="13"/>
        <v/>
      </c>
      <c r="I149" s="70"/>
      <c r="J149" s="70"/>
      <c r="K149" s="69"/>
      <c r="L149" s="6" t="str">
        <f>IFERROR(VLOOKUP(A149,'Acompanhamento da Licitação'!$F$2:$N$1000,6,FALSE()),"")</f>
        <v/>
      </c>
      <c r="M149" s="6" t="str">
        <f>IFERROR(VLOOKUP(A149,'Acompanhamento da Licitação'!$F$2:$N$1000,7,FALSE()),"")</f>
        <v/>
      </c>
      <c r="N149" s="1" t="str">
        <f>IFERROR(VLOOKUP(A149,'Acompanhamento da Licitação'!$F$2:$N$1000,9,FALSE()),"")</f>
        <v/>
      </c>
      <c r="O149" s="1" t="str">
        <f t="shared" si="14"/>
        <v>Não</v>
      </c>
      <c r="P149" s="6">
        <f t="shared" si="15"/>
        <v>0</v>
      </c>
    </row>
    <row r="150" spans="1:16" ht="15.75" x14ac:dyDescent="0.25">
      <c r="A150" s="72"/>
      <c r="B150" s="41"/>
      <c r="C150" s="72"/>
      <c r="D150" s="23"/>
      <c r="E150" s="23"/>
      <c r="F150" s="61" t="str">
        <f t="shared" si="11"/>
        <v/>
      </c>
      <c r="G150" s="61" t="str">
        <f t="shared" si="12"/>
        <v/>
      </c>
      <c r="H150" s="23" t="str">
        <f t="shared" si="13"/>
        <v/>
      </c>
      <c r="I150" s="70"/>
      <c r="J150" s="70"/>
      <c r="K150" s="69"/>
      <c r="L150" s="6" t="str">
        <f>IFERROR(VLOOKUP(A150,'Acompanhamento da Licitação'!$F$2:$N$1000,6,FALSE()),"")</f>
        <v/>
      </c>
      <c r="M150" s="6" t="str">
        <f>IFERROR(VLOOKUP(A150,'Acompanhamento da Licitação'!$F$2:$N$1000,7,FALSE()),"")</f>
        <v/>
      </c>
      <c r="N150" s="1" t="str">
        <f>IFERROR(VLOOKUP(A150,'Acompanhamento da Licitação'!$F$2:$N$1000,9,FALSE()),"")</f>
        <v/>
      </c>
      <c r="O150" s="1" t="str">
        <f t="shared" si="14"/>
        <v>Não</v>
      </c>
      <c r="P150" s="6">
        <f t="shared" si="15"/>
        <v>0</v>
      </c>
    </row>
    <row r="151" spans="1:16" ht="15.75" x14ac:dyDescent="0.25">
      <c r="A151" s="72"/>
      <c r="B151" s="41"/>
      <c r="C151" s="72"/>
      <c r="D151" s="23"/>
      <c r="E151" s="23"/>
      <c r="F151" s="61" t="str">
        <f t="shared" si="11"/>
        <v/>
      </c>
      <c r="G151" s="61" t="str">
        <f t="shared" si="12"/>
        <v/>
      </c>
      <c r="H151" s="23" t="str">
        <f t="shared" si="13"/>
        <v/>
      </c>
      <c r="I151" s="70"/>
      <c r="J151" s="70"/>
      <c r="K151" s="69"/>
      <c r="L151" s="6" t="str">
        <f>IFERROR(VLOOKUP(A151,'Acompanhamento da Licitação'!$F$2:$N$1000,6,FALSE()),"")</f>
        <v/>
      </c>
      <c r="M151" s="6" t="str">
        <f>IFERROR(VLOOKUP(A151,'Acompanhamento da Licitação'!$F$2:$N$1000,7,FALSE()),"")</f>
        <v/>
      </c>
      <c r="N151" s="1" t="str">
        <f>IFERROR(VLOOKUP(A151,'Acompanhamento da Licitação'!$F$2:$N$1000,9,FALSE()),"")</f>
        <v/>
      </c>
      <c r="O151" s="1" t="str">
        <f t="shared" si="14"/>
        <v>Não</v>
      </c>
      <c r="P151" s="6">
        <f t="shared" si="15"/>
        <v>0</v>
      </c>
    </row>
    <row r="152" spans="1:16" ht="15.75" x14ac:dyDescent="0.25">
      <c r="A152" s="72"/>
      <c r="B152" s="41"/>
      <c r="C152" s="72"/>
      <c r="D152" s="23"/>
      <c r="E152" s="23"/>
      <c r="F152" s="61" t="str">
        <f t="shared" si="11"/>
        <v/>
      </c>
      <c r="G152" s="61" t="str">
        <f t="shared" si="12"/>
        <v/>
      </c>
      <c r="H152" s="23" t="str">
        <f t="shared" si="13"/>
        <v/>
      </c>
      <c r="I152" s="70"/>
      <c r="J152" s="70"/>
      <c r="K152" s="69"/>
      <c r="L152" s="6" t="str">
        <f>IFERROR(VLOOKUP(A152,'Acompanhamento da Licitação'!$F$2:$N$1000,6,FALSE()),"")</f>
        <v/>
      </c>
      <c r="M152" s="6" t="str">
        <f>IFERROR(VLOOKUP(A152,'Acompanhamento da Licitação'!$F$2:$N$1000,7,FALSE()),"")</f>
        <v/>
      </c>
      <c r="N152" s="1" t="str">
        <f>IFERROR(VLOOKUP(A152,'Acompanhamento da Licitação'!$F$2:$N$1000,9,FALSE()),"")</f>
        <v/>
      </c>
      <c r="O152" s="1" t="str">
        <f t="shared" si="14"/>
        <v>Não</v>
      </c>
      <c r="P152" s="6">
        <f t="shared" si="15"/>
        <v>0</v>
      </c>
    </row>
    <row r="153" spans="1:16" ht="15.75" x14ac:dyDescent="0.25">
      <c r="A153" s="72"/>
      <c r="B153" s="41"/>
      <c r="C153" s="72"/>
      <c r="D153" s="23"/>
      <c r="E153" s="23"/>
      <c r="F153" s="61" t="str">
        <f t="shared" si="11"/>
        <v/>
      </c>
      <c r="G153" s="61" t="str">
        <f t="shared" si="12"/>
        <v/>
      </c>
      <c r="H153" s="23" t="str">
        <f t="shared" si="13"/>
        <v/>
      </c>
      <c r="I153" s="70"/>
      <c r="J153" s="70"/>
      <c r="K153" s="69"/>
      <c r="L153" s="6" t="str">
        <f>IFERROR(VLOOKUP(A153,'Acompanhamento da Licitação'!$F$2:$N$1000,6,FALSE()),"")</f>
        <v/>
      </c>
      <c r="M153" s="6" t="str">
        <f>IFERROR(VLOOKUP(A153,'Acompanhamento da Licitação'!$F$2:$N$1000,7,FALSE()),"")</f>
        <v/>
      </c>
      <c r="N153" s="1" t="str">
        <f>IFERROR(VLOOKUP(A153,'Acompanhamento da Licitação'!$F$2:$N$1000,9,FALSE()),"")</f>
        <v/>
      </c>
      <c r="O153" s="1" t="str">
        <f t="shared" si="14"/>
        <v>Não</v>
      </c>
      <c r="P153" s="6">
        <f t="shared" si="15"/>
        <v>0</v>
      </c>
    </row>
    <row r="154" spans="1:16" ht="15.75" x14ac:dyDescent="0.25">
      <c r="A154" s="72"/>
      <c r="B154" s="41"/>
      <c r="C154" s="72"/>
      <c r="D154" s="23"/>
      <c r="E154" s="23"/>
      <c r="F154" s="61" t="str">
        <f t="shared" si="11"/>
        <v/>
      </c>
      <c r="G154" s="61" t="str">
        <f t="shared" si="12"/>
        <v/>
      </c>
      <c r="H154" s="23" t="str">
        <f t="shared" si="13"/>
        <v/>
      </c>
      <c r="I154" s="70"/>
      <c r="J154" s="70"/>
      <c r="K154" s="69"/>
      <c r="L154" s="6" t="str">
        <f>IFERROR(VLOOKUP(A154,'Acompanhamento da Licitação'!$F$2:$N$1000,6,FALSE()),"")</f>
        <v/>
      </c>
      <c r="M154" s="6" t="str">
        <f>IFERROR(VLOOKUP(A154,'Acompanhamento da Licitação'!$F$2:$N$1000,7,FALSE()),"")</f>
        <v/>
      </c>
      <c r="N154" s="1" t="str">
        <f>IFERROR(VLOOKUP(A154,'Acompanhamento da Licitação'!$F$2:$N$1000,9,FALSE()),"")</f>
        <v/>
      </c>
      <c r="O154" s="1" t="str">
        <f t="shared" si="14"/>
        <v>Não</v>
      </c>
      <c r="P154" s="6">
        <f t="shared" si="15"/>
        <v>0</v>
      </c>
    </row>
    <row r="155" spans="1:16" ht="15.75" x14ac:dyDescent="0.25">
      <c r="A155" s="72"/>
      <c r="B155" s="41"/>
      <c r="C155" s="72"/>
      <c r="D155" s="23"/>
      <c r="E155" s="23"/>
      <c r="F155" s="61" t="str">
        <f t="shared" si="11"/>
        <v/>
      </c>
      <c r="G155" s="61" t="str">
        <f t="shared" si="12"/>
        <v/>
      </c>
      <c r="H155" s="23" t="str">
        <f t="shared" si="13"/>
        <v/>
      </c>
      <c r="I155" s="70"/>
      <c r="J155" s="70"/>
      <c r="K155" s="69"/>
      <c r="L155" s="6" t="str">
        <f>IFERROR(VLOOKUP(A155,'Acompanhamento da Licitação'!$F$2:$N$1000,6,FALSE()),"")</f>
        <v/>
      </c>
      <c r="M155" s="6" t="str">
        <f>IFERROR(VLOOKUP(A155,'Acompanhamento da Licitação'!$F$2:$N$1000,7,FALSE()),"")</f>
        <v/>
      </c>
      <c r="N155" s="1" t="str">
        <f>IFERROR(VLOOKUP(A155,'Acompanhamento da Licitação'!$F$2:$N$1000,9,FALSE()),"")</f>
        <v/>
      </c>
      <c r="O155" s="1" t="str">
        <f t="shared" si="14"/>
        <v>Não</v>
      </c>
      <c r="P155" s="6">
        <f t="shared" si="15"/>
        <v>0</v>
      </c>
    </row>
    <row r="156" spans="1:16" ht="15.75" x14ac:dyDescent="0.25">
      <c r="A156" s="72"/>
      <c r="B156" s="41"/>
      <c r="C156" s="72"/>
      <c r="D156" s="23"/>
      <c r="E156" s="23"/>
      <c r="F156" s="61" t="str">
        <f t="shared" si="11"/>
        <v/>
      </c>
      <c r="G156" s="61" t="str">
        <f t="shared" si="12"/>
        <v/>
      </c>
      <c r="H156" s="23" t="str">
        <f t="shared" si="13"/>
        <v/>
      </c>
      <c r="I156" s="70"/>
      <c r="J156" s="70"/>
      <c r="K156" s="69"/>
      <c r="L156" s="6" t="str">
        <f>IFERROR(VLOOKUP(A156,'Acompanhamento da Licitação'!$F$2:$N$1000,6,FALSE()),"")</f>
        <v/>
      </c>
      <c r="M156" s="6" t="str">
        <f>IFERROR(VLOOKUP(A156,'Acompanhamento da Licitação'!$F$2:$N$1000,7,FALSE()),"")</f>
        <v/>
      </c>
      <c r="N156" s="1" t="str">
        <f>IFERROR(VLOOKUP(A156,'Acompanhamento da Licitação'!$F$2:$N$1000,9,FALSE()),"")</f>
        <v/>
      </c>
      <c r="O156" s="1" t="str">
        <f t="shared" si="14"/>
        <v>Não</v>
      </c>
      <c r="P156" s="6">
        <f t="shared" si="15"/>
        <v>0</v>
      </c>
    </row>
    <row r="157" spans="1:16" ht="15.75" x14ac:dyDescent="0.25">
      <c r="A157" s="72"/>
      <c r="B157" s="41"/>
      <c r="C157" s="72"/>
      <c r="D157" s="23"/>
      <c r="E157" s="23"/>
      <c r="F157" s="61" t="str">
        <f t="shared" si="11"/>
        <v/>
      </c>
      <c r="G157" s="61" t="str">
        <f t="shared" si="12"/>
        <v/>
      </c>
      <c r="H157" s="23" t="str">
        <f t="shared" si="13"/>
        <v/>
      </c>
      <c r="I157" s="70"/>
      <c r="J157" s="70"/>
      <c r="K157" s="69"/>
      <c r="L157" s="6" t="str">
        <f>IFERROR(VLOOKUP(A157,'Acompanhamento da Licitação'!$F$2:$N$1000,6,FALSE()),"")</f>
        <v/>
      </c>
      <c r="M157" s="6" t="str">
        <f>IFERROR(VLOOKUP(A157,'Acompanhamento da Licitação'!$F$2:$N$1000,7,FALSE()),"")</f>
        <v/>
      </c>
      <c r="N157" s="1" t="str">
        <f>IFERROR(VLOOKUP(A157,'Acompanhamento da Licitação'!$F$2:$N$1000,9,FALSE()),"")</f>
        <v/>
      </c>
      <c r="O157" s="1" t="str">
        <f t="shared" si="14"/>
        <v>Não</v>
      </c>
      <c r="P157" s="6">
        <f t="shared" si="15"/>
        <v>0</v>
      </c>
    </row>
    <row r="158" spans="1:16" ht="15.75" x14ac:dyDescent="0.25">
      <c r="A158" s="72"/>
      <c r="B158" s="41"/>
      <c r="C158" s="72"/>
      <c r="D158" s="23"/>
      <c r="E158" s="23"/>
      <c r="F158" s="61" t="str">
        <f t="shared" si="11"/>
        <v/>
      </c>
      <c r="G158" s="61" t="str">
        <f t="shared" si="12"/>
        <v/>
      </c>
      <c r="H158" s="23" t="str">
        <f t="shared" si="13"/>
        <v/>
      </c>
      <c r="I158" s="70"/>
      <c r="J158" s="70"/>
      <c r="K158" s="69"/>
      <c r="L158" s="6" t="str">
        <f>IFERROR(VLOOKUP(A158,'Acompanhamento da Licitação'!$F$2:$N$1000,6,FALSE()),"")</f>
        <v/>
      </c>
      <c r="M158" s="6" t="str">
        <f>IFERROR(VLOOKUP(A158,'Acompanhamento da Licitação'!$F$2:$N$1000,7,FALSE()),"")</f>
        <v/>
      </c>
      <c r="N158" s="1" t="str">
        <f>IFERROR(VLOOKUP(A158,'Acompanhamento da Licitação'!$F$2:$N$1000,9,FALSE()),"")</f>
        <v/>
      </c>
      <c r="O158" s="1" t="str">
        <f t="shared" si="14"/>
        <v>Não</v>
      </c>
      <c r="P158" s="6">
        <f t="shared" si="15"/>
        <v>0</v>
      </c>
    </row>
    <row r="159" spans="1:16" ht="15.75" x14ac:dyDescent="0.25">
      <c r="A159" s="72"/>
      <c r="B159" s="41"/>
      <c r="C159" s="72"/>
      <c r="D159" s="23"/>
      <c r="E159" s="23"/>
      <c r="F159" s="61" t="str">
        <f t="shared" si="11"/>
        <v/>
      </c>
      <c r="G159" s="61" t="str">
        <f t="shared" si="12"/>
        <v/>
      </c>
      <c r="H159" s="23" t="str">
        <f t="shared" si="13"/>
        <v/>
      </c>
      <c r="I159" s="70"/>
      <c r="J159" s="70"/>
      <c r="K159" s="69"/>
      <c r="L159" s="6" t="str">
        <f>IFERROR(VLOOKUP(A159,'Acompanhamento da Licitação'!$F$2:$N$1000,6,FALSE()),"")</f>
        <v/>
      </c>
      <c r="M159" s="6" t="str">
        <f>IFERROR(VLOOKUP(A159,'Acompanhamento da Licitação'!$F$2:$N$1000,7,FALSE()),"")</f>
        <v/>
      </c>
      <c r="N159" s="1" t="str">
        <f>IFERROR(VLOOKUP(A159,'Acompanhamento da Licitação'!$F$2:$N$1000,9,FALSE()),"")</f>
        <v/>
      </c>
      <c r="O159" s="1" t="str">
        <f t="shared" si="14"/>
        <v>Não</v>
      </c>
      <c r="P159" s="6">
        <f t="shared" si="15"/>
        <v>0</v>
      </c>
    </row>
    <row r="160" spans="1:16" ht="15.75" x14ac:dyDescent="0.25">
      <c r="A160" s="72"/>
      <c r="B160" s="41"/>
      <c r="C160" s="72"/>
      <c r="D160" s="23"/>
      <c r="E160" s="23"/>
      <c r="F160" s="61" t="str">
        <f t="shared" si="11"/>
        <v/>
      </c>
      <c r="G160" s="61" t="str">
        <f t="shared" si="12"/>
        <v/>
      </c>
      <c r="H160" s="23" t="str">
        <f t="shared" si="13"/>
        <v/>
      </c>
      <c r="I160" s="70"/>
      <c r="J160" s="70"/>
      <c r="K160" s="69"/>
      <c r="L160" s="6" t="str">
        <f>IFERROR(VLOOKUP(A160,'Acompanhamento da Licitação'!$F$2:$N$1000,6,FALSE()),"")</f>
        <v/>
      </c>
      <c r="M160" s="6" t="str">
        <f>IFERROR(VLOOKUP(A160,'Acompanhamento da Licitação'!$F$2:$N$1000,7,FALSE()),"")</f>
        <v/>
      </c>
      <c r="N160" s="1" t="str">
        <f>IFERROR(VLOOKUP(A160,'Acompanhamento da Licitação'!$F$2:$N$1000,9,FALSE()),"")</f>
        <v/>
      </c>
      <c r="O160" s="1" t="str">
        <f t="shared" si="14"/>
        <v>Não</v>
      </c>
      <c r="P160" s="6">
        <f t="shared" si="15"/>
        <v>0</v>
      </c>
    </row>
    <row r="161" spans="1:16" ht="15.75" x14ac:dyDescent="0.25">
      <c r="A161" s="72"/>
      <c r="B161" s="41"/>
      <c r="C161" s="72"/>
      <c r="D161" s="23"/>
      <c r="E161" s="23"/>
      <c r="F161" s="61" t="str">
        <f t="shared" si="11"/>
        <v/>
      </c>
      <c r="G161" s="61" t="str">
        <f t="shared" si="12"/>
        <v/>
      </c>
      <c r="H161" s="23" t="str">
        <f t="shared" si="13"/>
        <v/>
      </c>
      <c r="I161" s="70"/>
      <c r="J161" s="70"/>
      <c r="K161" s="69"/>
      <c r="L161" s="6" t="str">
        <f>IFERROR(VLOOKUP(A161,'Acompanhamento da Licitação'!$F$2:$N$1000,6,FALSE()),"")</f>
        <v/>
      </c>
      <c r="M161" s="6" t="str">
        <f>IFERROR(VLOOKUP(A161,'Acompanhamento da Licitação'!$F$2:$N$1000,7,FALSE()),"")</f>
        <v/>
      </c>
      <c r="N161" s="1" t="str">
        <f>IFERROR(VLOOKUP(A161,'Acompanhamento da Licitação'!$F$2:$N$1000,9,FALSE()),"")</f>
        <v/>
      </c>
      <c r="O161" s="1" t="str">
        <f t="shared" si="14"/>
        <v>Não</v>
      </c>
      <c r="P161" s="6">
        <f t="shared" si="15"/>
        <v>0</v>
      </c>
    </row>
    <row r="162" spans="1:16" ht="15.75" x14ac:dyDescent="0.25">
      <c r="A162" s="72"/>
      <c r="B162" s="41"/>
      <c r="C162" s="72"/>
      <c r="D162" s="23"/>
      <c r="E162" s="23"/>
      <c r="F162" s="61" t="str">
        <f t="shared" si="11"/>
        <v/>
      </c>
      <c r="G162" s="61" t="str">
        <f t="shared" si="12"/>
        <v/>
      </c>
      <c r="H162" s="23" t="str">
        <f t="shared" si="13"/>
        <v/>
      </c>
      <c r="I162" s="70"/>
      <c r="J162" s="70"/>
      <c r="K162" s="69"/>
      <c r="L162" s="6" t="str">
        <f>IFERROR(VLOOKUP(A162,'Acompanhamento da Licitação'!$F$2:$N$1000,6,FALSE()),"")</f>
        <v/>
      </c>
      <c r="M162" s="6" t="str">
        <f>IFERROR(VLOOKUP(A162,'Acompanhamento da Licitação'!$F$2:$N$1000,7,FALSE()),"")</f>
        <v/>
      </c>
      <c r="N162" s="1" t="str">
        <f>IFERROR(VLOOKUP(A162,'Acompanhamento da Licitação'!$F$2:$N$1000,9,FALSE()),"")</f>
        <v/>
      </c>
      <c r="O162" s="1" t="str">
        <f t="shared" si="14"/>
        <v>Não</v>
      </c>
      <c r="P162" s="6">
        <f t="shared" si="15"/>
        <v>0</v>
      </c>
    </row>
    <row r="163" spans="1:16" ht="15.75" x14ac:dyDescent="0.25">
      <c r="A163" s="72"/>
      <c r="B163" s="41"/>
      <c r="C163" s="72"/>
      <c r="D163" s="23"/>
      <c r="E163" s="23"/>
      <c r="F163" s="61" t="str">
        <f t="shared" si="11"/>
        <v/>
      </c>
      <c r="G163" s="61" t="str">
        <f t="shared" si="12"/>
        <v/>
      </c>
      <c r="H163" s="23" t="str">
        <f t="shared" si="13"/>
        <v/>
      </c>
      <c r="I163" s="70"/>
      <c r="J163" s="70"/>
      <c r="K163" s="69"/>
      <c r="L163" s="6" t="str">
        <f>IFERROR(VLOOKUP(A163,'Acompanhamento da Licitação'!$F$2:$N$1000,6,FALSE()),"")</f>
        <v/>
      </c>
      <c r="M163" s="6" t="str">
        <f>IFERROR(VLOOKUP(A163,'Acompanhamento da Licitação'!$F$2:$N$1000,7,FALSE()),"")</f>
        <v/>
      </c>
      <c r="N163" s="1" t="str">
        <f>IFERROR(VLOOKUP(A163,'Acompanhamento da Licitação'!$F$2:$N$1000,9,FALSE()),"")</f>
        <v/>
      </c>
      <c r="O163" s="1" t="str">
        <f t="shared" si="14"/>
        <v>Não</v>
      </c>
      <c r="P163" s="6">
        <f t="shared" si="15"/>
        <v>0</v>
      </c>
    </row>
    <row r="164" spans="1:16" ht="15.75" x14ac:dyDescent="0.25">
      <c r="A164" s="72"/>
      <c r="B164" s="41"/>
      <c r="C164" s="72"/>
      <c r="D164" s="23"/>
      <c r="E164" s="23"/>
      <c r="F164" s="61" t="str">
        <f t="shared" si="11"/>
        <v/>
      </c>
      <c r="G164" s="61" t="str">
        <f t="shared" si="12"/>
        <v/>
      </c>
      <c r="H164" s="23" t="str">
        <f t="shared" si="13"/>
        <v/>
      </c>
      <c r="I164" s="70"/>
      <c r="J164" s="70"/>
      <c r="K164" s="69"/>
      <c r="L164" s="6" t="str">
        <f>IFERROR(VLOOKUP(A164,'Acompanhamento da Licitação'!$F$2:$N$1000,6,FALSE()),"")</f>
        <v/>
      </c>
      <c r="M164" s="6" t="str">
        <f>IFERROR(VLOOKUP(A164,'Acompanhamento da Licitação'!$F$2:$N$1000,7,FALSE()),"")</f>
        <v/>
      </c>
      <c r="N164" s="1" t="str">
        <f>IFERROR(VLOOKUP(A164,'Acompanhamento da Licitação'!$F$2:$N$1000,9,FALSE()),"")</f>
        <v/>
      </c>
      <c r="O164" s="1" t="str">
        <f t="shared" si="14"/>
        <v>Não</v>
      </c>
      <c r="P164" s="6">
        <f t="shared" si="15"/>
        <v>0</v>
      </c>
    </row>
    <row r="165" spans="1:16" ht="15.75" x14ac:dyDescent="0.25">
      <c r="A165" s="72"/>
      <c r="B165" s="41"/>
      <c r="C165" s="72"/>
      <c r="D165" s="23"/>
      <c r="E165" s="23"/>
      <c r="F165" s="61" t="str">
        <f t="shared" si="11"/>
        <v/>
      </c>
      <c r="G165" s="61" t="str">
        <f t="shared" si="12"/>
        <v/>
      </c>
      <c r="H165" s="23" t="str">
        <f t="shared" si="13"/>
        <v/>
      </c>
      <c r="I165" s="70"/>
      <c r="J165" s="70"/>
      <c r="K165" s="69"/>
      <c r="L165" s="6" t="str">
        <f>IFERROR(VLOOKUP(A165,'Acompanhamento da Licitação'!$F$2:$N$1000,6,FALSE()),"")</f>
        <v/>
      </c>
      <c r="M165" s="6" t="str">
        <f>IFERROR(VLOOKUP(A165,'Acompanhamento da Licitação'!$F$2:$N$1000,7,FALSE()),"")</f>
        <v/>
      </c>
      <c r="N165" s="1" t="str">
        <f>IFERROR(VLOOKUP(A165,'Acompanhamento da Licitação'!$F$2:$N$1000,9,FALSE()),"")</f>
        <v/>
      </c>
      <c r="O165" s="1" t="str">
        <f t="shared" si="14"/>
        <v>Não</v>
      </c>
      <c r="P165" s="6">
        <f t="shared" si="15"/>
        <v>0</v>
      </c>
    </row>
    <row r="166" spans="1:16" ht="15.75" x14ac:dyDescent="0.25">
      <c r="A166" s="72"/>
      <c r="B166" s="41"/>
      <c r="C166" s="72"/>
      <c r="D166" s="23"/>
      <c r="E166" s="23"/>
      <c r="F166" s="61" t="str">
        <f t="shared" si="11"/>
        <v/>
      </c>
      <c r="G166" s="61" t="str">
        <f t="shared" si="12"/>
        <v/>
      </c>
      <c r="H166" s="23" t="str">
        <f t="shared" si="13"/>
        <v/>
      </c>
      <c r="I166" s="70"/>
      <c r="J166" s="70"/>
      <c r="K166" s="69"/>
      <c r="L166" s="6" t="str">
        <f>IFERROR(VLOOKUP(A166,'Acompanhamento da Licitação'!$F$2:$N$1000,6,FALSE()),"")</f>
        <v/>
      </c>
      <c r="M166" s="6" t="str">
        <f>IFERROR(VLOOKUP(A166,'Acompanhamento da Licitação'!$F$2:$N$1000,7,FALSE()),"")</f>
        <v/>
      </c>
      <c r="N166" s="1" t="str">
        <f>IFERROR(VLOOKUP(A166,'Acompanhamento da Licitação'!$F$2:$N$1000,9,FALSE()),"")</f>
        <v/>
      </c>
      <c r="O166" s="1" t="str">
        <f t="shared" si="14"/>
        <v>Não</v>
      </c>
      <c r="P166" s="6">
        <f t="shared" si="15"/>
        <v>0</v>
      </c>
    </row>
    <row r="167" spans="1:16" ht="15.75" x14ac:dyDescent="0.25">
      <c r="A167" s="72"/>
      <c r="B167" s="41"/>
      <c r="C167" s="72"/>
      <c r="D167" s="23"/>
      <c r="E167" s="23"/>
      <c r="F167" s="61" t="str">
        <f t="shared" si="11"/>
        <v/>
      </c>
      <c r="G167" s="61" t="str">
        <f t="shared" si="12"/>
        <v/>
      </c>
      <c r="H167" s="23" t="str">
        <f t="shared" si="13"/>
        <v/>
      </c>
      <c r="I167" s="70"/>
      <c r="J167" s="70"/>
      <c r="K167" s="69"/>
      <c r="L167" s="6" t="str">
        <f>IFERROR(VLOOKUP(A167,'Acompanhamento da Licitação'!$F$2:$N$1000,6,FALSE()),"")</f>
        <v/>
      </c>
      <c r="M167" s="6" t="str">
        <f>IFERROR(VLOOKUP(A167,'Acompanhamento da Licitação'!$F$2:$N$1000,7,FALSE()),"")</f>
        <v/>
      </c>
      <c r="N167" s="1" t="str">
        <f>IFERROR(VLOOKUP(A167,'Acompanhamento da Licitação'!$F$2:$N$1000,9,FALSE()),"")</f>
        <v/>
      </c>
      <c r="O167" s="1" t="str">
        <f t="shared" si="14"/>
        <v>Não</v>
      </c>
      <c r="P167" s="6">
        <f t="shared" si="15"/>
        <v>0</v>
      </c>
    </row>
    <row r="168" spans="1:16" ht="15.75" x14ac:dyDescent="0.25">
      <c r="A168" s="72"/>
      <c r="B168" s="41"/>
      <c r="C168" s="72"/>
      <c r="D168" s="23"/>
      <c r="E168" s="23"/>
      <c r="F168" s="61" t="str">
        <f t="shared" si="11"/>
        <v/>
      </c>
      <c r="G168" s="61" t="str">
        <f t="shared" si="12"/>
        <v/>
      </c>
      <c r="H168" s="23" t="str">
        <f t="shared" si="13"/>
        <v/>
      </c>
      <c r="I168" s="70"/>
      <c r="J168" s="70"/>
      <c r="K168" s="69"/>
      <c r="L168" s="6" t="str">
        <f>IFERROR(VLOOKUP(A168,'Acompanhamento da Licitação'!$F$2:$N$1000,6,FALSE()),"")</f>
        <v/>
      </c>
      <c r="M168" s="6" t="str">
        <f>IFERROR(VLOOKUP(A168,'Acompanhamento da Licitação'!$F$2:$N$1000,7,FALSE()),"")</f>
        <v/>
      </c>
      <c r="N168" s="1" t="str">
        <f>IFERROR(VLOOKUP(A168,'Acompanhamento da Licitação'!$F$2:$N$1000,9,FALSE()),"")</f>
        <v/>
      </c>
      <c r="O168" s="1" t="str">
        <f t="shared" si="14"/>
        <v>Não</v>
      </c>
      <c r="P168" s="6">
        <f t="shared" si="15"/>
        <v>0</v>
      </c>
    </row>
    <row r="169" spans="1:16" ht="15.75" x14ac:dyDescent="0.25">
      <c r="A169" s="72"/>
      <c r="B169" s="41"/>
      <c r="C169" s="72"/>
      <c r="D169" s="23"/>
      <c r="E169" s="23"/>
      <c r="F169" s="61" t="str">
        <f t="shared" si="11"/>
        <v/>
      </c>
      <c r="G169" s="61" t="str">
        <f t="shared" si="12"/>
        <v/>
      </c>
      <c r="H169" s="23" t="str">
        <f t="shared" si="13"/>
        <v/>
      </c>
      <c r="I169" s="70"/>
      <c r="J169" s="70"/>
      <c r="K169" s="69"/>
      <c r="L169" s="6" t="str">
        <f>IFERROR(VLOOKUP(A169,'Acompanhamento da Licitação'!$F$2:$N$1000,6,FALSE()),"")</f>
        <v/>
      </c>
      <c r="M169" s="6" t="str">
        <f>IFERROR(VLOOKUP(A169,'Acompanhamento da Licitação'!$F$2:$N$1000,7,FALSE()),"")</f>
        <v/>
      </c>
      <c r="N169" s="1" t="str">
        <f>IFERROR(VLOOKUP(A169,'Acompanhamento da Licitação'!$F$2:$N$1000,9,FALSE()),"")</f>
        <v/>
      </c>
      <c r="O169" s="1" t="str">
        <f t="shared" si="14"/>
        <v>Não</v>
      </c>
      <c r="P169" s="6">
        <f t="shared" si="15"/>
        <v>0</v>
      </c>
    </row>
    <row r="170" spans="1:16" ht="15.75" x14ac:dyDescent="0.25">
      <c r="A170" s="72"/>
      <c r="B170" s="41"/>
      <c r="C170" s="72"/>
      <c r="D170" s="23"/>
      <c r="E170" s="23"/>
      <c r="F170" s="61" t="str">
        <f t="shared" si="11"/>
        <v/>
      </c>
      <c r="G170" s="61" t="str">
        <f t="shared" si="12"/>
        <v/>
      </c>
      <c r="H170" s="23" t="str">
        <f t="shared" si="13"/>
        <v/>
      </c>
      <c r="I170" s="70"/>
      <c r="J170" s="70"/>
      <c r="K170" s="69"/>
      <c r="L170" s="6" t="str">
        <f>IFERROR(VLOOKUP(A170,'Acompanhamento da Licitação'!$F$2:$N$1000,6,FALSE()),"")</f>
        <v/>
      </c>
      <c r="M170" s="6" t="str">
        <f>IFERROR(VLOOKUP(A170,'Acompanhamento da Licitação'!$F$2:$N$1000,7,FALSE()),"")</f>
        <v/>
      </c>
      <c r="N170" s="1" t="str">
        <f>IFERROR(VLOOKUP(A170,'Acompanhamento da Licitação'!$F$2:$N$1000,9,FALSE()),"")</f>
        <v/>
      </c>
      <c r="O170" s="1" t="str">
        <f t="shared" si="14"/>
        <v>Não</v>
      </c>
      <c r="P170" s="6">
        <f t="shared" si="15"/>
        <v>0</v>
      </c>
    </row>
    <row r="171" spans="1:16" ht="15.75" x14ac:dyDescent="0.25">
      <c r="A171" s="72"/>
      <c r="B171" s="41"/>
      <c r="C171" s="72"/>
      <c r="D171" s="23"/>
      <c r="E171" s="23"/>
      <c r="F171" s="61" t="str">
        <f t="shared" si="11"/>
        <v/>
      </c>
      <c r="G171" s="61" t="str">
        <f t="shared" si="12"/>
        <v/>
      </c>
      <c r="H171" s="23" t="str">
        <f t="shared" si="13"/>
        <v/>
      </c>
      <c r="I171" s="70"/>
      <c r="J171" s="70"/>
      <c r="K171" s="69"/>
      <c r="L171" s="6" t="str">
        <f>IFERROR(VLOOKUP(A171,'Acompanhamento da Licitação'!$F$2:$N$1000,6,FALSE()),"")</f>
        <v/>
      </c>
      <c r="M171" s="6" t="str">
        <f>IFERROR(VLOOKUP(A171,'Acompanhamento da Licitação'!$F$2:$N$1000,7,FALSE()),"")</f>
        <v/>
      </c>
      <c r="N171" s="1" t="str">
        <f>IFERROR(VLOOKUP(A171,'Acompanhamento da Licitação'!$F$2:$N$1000,9,FALSE()),"")</f>
        <v/>
      </c>
      <c r="O171" s="1" t="str">
        <f t="shared" si="14"/>
        <v>Não</v>
      </c>
      <c r="P171" s="6">
        <f t="shared" si="15"/>
        <v>0</v>
      </c>
    </row>
    <row r="172" spans="1:16" ht="15.75" x14ac:dyDescent="0.25">
      <c r="A172" s="72"/>
      <c r="B172" s="41"/>
      <c r="C172" s="72"/>
      <c r="D172" s="23"/>
      <c r="E172" s="23"/>
      <c r="F172" s="61" t="str">
        <f t="shared" si="11"/>
        <v/>
      </c>
      <c r="G172" s="61" t="str">
        <f t="shared" si="12"/>
        <v/>
      </c>
      <c r="H172" s="23" t="str">
        <f t="shared" si="13"/>
        <v/>
      </c>
      <c r="I172" s="70"/>
      <c r="J172" s="70"/>
      <c r="K172" s="69"/>
      <c r="L172" s="6" t="str">
        <f>IFERROR(VLOOKUP(A172,'Acompanhamento da Licitação'!$F$2:$N$1000,6,FALSE()),"")</f>
        <v/>
      </c>
      <c r="M172" s="6" t="str">
        <f>IFERROR(VLOOKUP(A172,'Acompanhamento da Licitação'!$F$2:$N$1000,7,FALSE()),"")</f>
        <v/>
      </c>
      <c r="N172" s="1" t="str">
        <f>IFERROR(VLOOKUP(A172,'Acompanhamento da Licitação'!$F$2:$N$1000,9,FALSE()),"")</f>
        <v/>
      </c>
      <c r="O172" s="1" t="str">
        <f t="shared" si="14"/>
        <v>Não</v>
      </c>
      <c r="P172" s="6">
        <f t="shared" si="15"/>
        <v>0</v>
      </c>
    </row>
    <row r="173" spans="1:16" ht="15.75" x14ac:dyDescent="0.25">
      <c r="A173" s="72"/>
      <c r="B173" s="41"/>
      <c r="C173" s="72"/>
      <c r="D173" s="23"/>
      <c r="E173" s="23"/>
      <c r="F173" s="61" t="str">
        <f t="shared" si="11"/>
        <v/>
      </c>
      <c r="G173" s="61" t="str">
        <f t="shared" si="12"/>
        <v/>
      </c>
      <c r="H173" s="23" t="str">
        <f t="shared" si="13"/>
        <v/>
      </c>
      <c r="I173" s="70"/>
      <c r="J173" s="70"/>
      <c r="K173" s="69"/>
      <c r="L173" s="6" t="str">
        <f>IFERROR(VLOOKUP(A173,'Acompanhamento da Licitação'!$F$2:$N$1000,6,FALSE()),"")</f>
        <v/>
      </c>
      <c r="M173" s="6" t="str">
        <f>IFERROR(VLOOKUP(A173,'Acompanhamento da Licitação'!$F$2:$N$1000,7,FALSE()),"")</f>
        <v/>
      </c>
      <c r="N173" s="1" t="str">
        <f>IFERROR(VLOOKUP(A173,'Acompanhamento da Licitação'!$F$2:$N$1000,9,FALSE()),"")</f>
        <v/>
      </c>
      <c r="O173" s="1" t="str">
        <f t="shared" si="14"/>
        <v>Não</v>
      </c>
      <c r="P173" s="6">
        <f t="shared" si="15"/>
        <v>0</v>
      </c>
    </row>
    <row r="174" spans="1:16" ht="15.75" x14ac:dyDescent="0.25">
      <c r="A174" s="72"/>
      <c r="B174" s="41"/>
      <c r="C174" s="72"/>
      <c r="D174" s="23"/>
      <c r="E174" s="23"/>
      <c r="F174" s="61" t="str">
        <f t="shared" si="11"/>
        <v/>
      </c>
      <c r="G174" s="61" t="str">
        <f t="shared" si="12"/>
        <v/>
      </c>
      <c r="H174" s="23" t="str">
        <f t="shared" si="13"/>
        <v/>
      </c>
      <c r="I174" s="70"/>
      <c r="J174" s="70"/>
      <c r="K174" s="69"/>
      <c r="L174" s="6" t="str">
        <f>IFERROR(VLOOKUP(A174,'Acompanhamento da Licitação'!$F$2:$N$1000,6,FALSE()),"")</f>
        <v/>
      </c>
      <c r="M174" s="6" t="str">
        <f>IFERROR(VLOOKUP(A174,'Acompanhamento da Licitação'!$F$2:$N$1000,7,FALSE()),"")</f>
        <v/>
      </c>
      <c r="N174" s="1" t="str">
        <f>IFERROR(VLOOKUP(A174,'Acompanhamento da Licitação'!$F$2:$N$1000,9,FALSE()),"")</f>
        <v/>
      </c>
      <c r="O174" s="1" t="str">
        <f t="shared" si="14"/>
        <v>Não</v>
      </c>
      <c r="P174" s="6">
        <f t="shared" si="15"/>
        <v>0</v>
      </c>
    </row>
    <row r="175" spans="1:16" ht="15.75" x14ac:dyDescent="0.25">
      <c r="A175" s="72"/>
      <c r="B175" s="41"/>
      <c r="C175" s="72"/>
      <c r="D175" s="23"/>
      <c r="E175" s="23"/>
      <c r="F175" s="61" t="str">
        <f t="shared" si="11"/>
        <v/>
      </c>
      <c r="G175" s="61" t="str">
        <f t="shared" si="12"/>
        <v/>
      </c>
      <c r="H175" s="23" t="str">
        <f t="shared" si="13"/>
        <v/>
      </c>
      <c r="I175" s="70"/>
      <c r="J175" s="70"/>
      <c r="K175" s="69"/>
      <c r="L175" s="6" t="str">
        <f>IFERROR(VLOOKUP(A175,'Acompanhamento da Licitação'!$F$2:$N$1000,6,FALSE()),"")</f>
        <v/>
      </c>
      <c r="M175" s="6" t="str">
        <f>IFERROR(VLOOKUP(A175,'Acompanhamento da Licitação'!$F$2:$N$1000,7,FALSE()),"")</f>
        <v/>
      </c>
      <c r="N175" s="1" t="str">
        <f>IFERROR(VLOOKUP(A175,'Acompanhamento da Licitação'!$F$2:$N$1000,9,FALSE()),"")</f>
        <v/>
      </c>
      <c r="O175" s="1" t="str">
        <f t="shared" si="14"/>
        <v>Não</v>
      </c>
      <c r="P175" s="6">
        <f t="shared" si="15"/>
        <v>0</v>
      </c>
    </row>
    <row r="176" spans="1:16" ht="15.75" x14ac:dyDescent="0.25">
      <c r="A176" s="72"/>
      <c r="B176" s="41"/>
      <c r="C176" s="72"/>
      <c r="D176" s="23"/>
      <c r="E176" s="23"/>
      <c r="F176" s="61" t="str">
        <f t="shared" si="11"/>
        <v/>
      </c>
      <c r="G176" s="61" t="str">
        <f t="shared" si="12"/>
        <v/>
      </c>
      <c r="H176" s="23" t="str">
        <f t="shared" si="13"/>
        <v/>
      </c>
      <c r="I176" s="70"/>
      <c r="J176" s="70"/>
      <c r="K176" s="69"/>
      <c r="L176" s="6" t="str">
        <f>IFERROR(VLOOKUP(A176,'Acompanhamento da Licitação'!$F$2:$N$1000,6,FALSE()),"")</f>
        <v/>
      </c>
      <c r="M176" s="6" t="str">
        <f>IFERROR(VLOOKUP(A176,'Acompanhamento da Licitação'!$F$2:$N$1000,7,FALSE()),"")</f>
        <v/>
      </c>
      <c r="N176" s="1" t="str">
        <f>IFERROR(VLOOKUP(A176,'Acompanhamento da Licitação'!$F$2:$N$1000,9,FALSE()),"")</f>
        <v/>
      </c>
      <c r="O176" s="1" t="str">
        <f t="shared" si="14"/>
        <v>Não</v>
      </c>
      <c r="P176" s="6">
        <f t="shared" si="15"/>
        <v>0</v>
      </c>
    </row>
    <row r="177" spans="1:16" ht="15.75" x14ac:dyDescent="0.25">
      <c r="A177" s="72"/>
      <c r="B177" s="41"/>
      <c r="C177" s="72"/>
      <c r="D177" s="23"/>
      <c r="E177" s="23"/>
      <c r="F177" s="61" t="str">
        <f t="shared" si="11"/>
        <v/>
      </c>
      <c r="G177" s="61" t="str">
        <f t="shared" si="12"/>
        <v/>
      </c>
      <c r="H177" s="23" t="str">
        <f t="shared" si="13"/>
        <v/>
      </c>
      <c r="I177" s="70"/>
      <c r="J177" s="70"/>
      <c r="K177" s="69"/>
      <c r="L177" s="6" t="str">
        <f>IFERROR(VLOOKUP(A177,'Acompanhamento da Licitação'!$F$2:$N$1000,6,FALSE()),"")</f>
        <v/>
      </c>
      <c r="M177" s="6" t="str">
        <f>IFERROR(VLOOKUP(A177,'Acompanhamento da Licitação'!$F$2:$N$1000,7,FALSE()),"")</f>
        <v/>
      </c>
      <c r="N177" s="1" t="str">
        <f>IFERROR(VLOOKUP(A177,'Acompanhamento da Licitação'!$F$2:$N$1000,9,FALSE()),"")</f>
        <v/>
      </c>
      <c r="O177" s="1" t="str">
        <f t="shared" si="14"/>
        <v>Não</v>
      </c>
      <c r="P177" s="6">
        <f t="shared" si="15"/>
        <v>0</v>
      </c>
    </row>
    <row r="178" spans="1:16" ht="15.75" x14ac:dyDescent="0.25">
      <c r="A178" s="72"/>
      <c r="B178" s="41"/>
      <c r="C178" s="72"/>
      <c r="D178" s="23"/>
      <c r="E178" s="23"/>
      <c r="F178" s="61" t="str">
        <f t="shared" si="11"/>
        <v/>
      </c>
      <c r="G178" s="61" t="str">
        <f t="shared" si="12"/>
        <v/>
      </c>
      <c r="H178" s="23" t="str">
        <f t="shared" si="13"/>
        <v/>
      </c>
      <c r="I178" s="70"/>
      <c r="J178" s="70"/>
      <c r="K178" s="69"/>
      <c r="L178" s="6" t="str">
        <f>IFERROR(VLOOKUP(A178,'Acompanhamento da Licitação'!$F$2:$N$1000,6,FALSE()),"")</f>
        <v/>
      </c>
      <c r="M178" s="6" t="str">
        <f>IFERROR(VLOOKUP(A178,'Acompanhamento da Licitação'!$F$2:$N$1000,7,FALSE()),"")</f>
        <v/>
      </c>
      <c r="N178" s="1" t="str">
        <f>IFERROR(VLOOKUP(A178,'Acompanhamento da Licitação'!$F$2:$N$1000,9,FALSE()),"")</f>
        <v/>
      </c>
      <c r="O178" s="1" t="str">
        <f t="shared" si="14"/>
        <v>Não</v>
      </c>
      <c r="P178" s="6">
        <f t="shared" si="15"/>
        <v>0</v>
      </c>
    </row>
    <row r="179" spans="1:16" ht="15.75" x14ac:dyDescent="0.25">
      <c r="A179" s="72"/>
      <c r="B179" s="41"/>
      <c r="C179" s="72"/>
      <c r="D179" s="23"/>
      <c r="E179" s="23"/>
      <c r="F179" s="61" t="str">
        <f t="shared" si="11"/>
        <v/>
      </c>
      <c r="G179" s="61" t="str">
        <f t="shared" si="12"/>
        <v/>
      </c>
      <c r="H179" s="23" t="str">
        <f t="shared" si="13"/>
        <v/>
      </c>
      <c r="I179" s="70"/>
      <c r="J179" s="70"/>
      <c r="K179" s="69"/>
      <c r="L179" s="6" t="str">
        <f>IFERROR(VLOOKUP(A179,'Acompanhamento da Licitação'!$F$2:$N$1000,6,FALSE()),"")</f>
        <v/>
      </c>
      <c r="M179" s="6" t="str">
        <f>IFERROR(VLOOKUP(A179,'Acompanhamento da Licitação'!$F$2:$N$1000,7,FALSE()),"")</f>
        <v/>
      </c>
      <c r="N179" s="1" t="str">
        <f>IFERROR(VLOOKUP(A179,'Acompanhamento da Licitação'!$F$2:$N$1000,9,FALSE()),"")</f>
        <v/>
      </c>
      <c r="O179" s="1" t="str">
        <f t="shared" si="14"/>
        <v>Não</v>
      </c>
      <c r="P179" s="6">
        <f t="shared" si="15"/>
        <v>0</v>
      </c>
    </row>
    <row r="180" spans="1:16" ht="15.75" x14ac:dyDescent="0.25">
      <c r="A180" s="72"/>
      <c r="B180" s="41"/>
      <c r="C180" s="72"/>
      <c r="D180" s="23"/>
      <c r="E180" s="23"/>
      <c r="F180" s="61" t="str">
        <f t="shared" si="11"/>
        <v/>
      </c>
      <c r="G180" s="61" t="str">
        <f t="shared" si="12"/>
        <v/>
      </c>
      <c r="H180" s="23" t="str">
        <f t="shared" si="13"/>
        <v/>
      </c>
      <c r="I180" s="70"/>
      <c r="J180" s="70"/>
      <c r="K180" s="69"/>
      <c r="L180" s="6" t="str">
        <f>IFERROR(VLOOKUP(A180,'Acompanhamento da Licitação'!$F$2:$N$1000,6,FALSE()),"")</f>
        <v/>
      </c>
      <c r="M180" s="6" t="str">
        <f>IFERROR(VLOOKUP(A180,'Acompanhamento da Licitação'!$F$2:$N$1000,7,FALSE()),"")</f>
        <v/>
      </c>
      <c r="N180" s="1" t="str">
        <f>IFERROR(VLOOKUP(A180,'Acompanhamento da Licitação'!$F$2:$N$1000,9,FALSE()),"")</f>
        <v/>
      </c>
      <c r="O180" s="1" t="str">
        <f t="shared" si="14"/>
        <v>Não</v>
      </c>
      <c r="P180" s="6">
        <f t="shared" si="15"/>
        <v>0</v>
      </c>
    </row>
    <row r="181" spans="1:16" ht="15.75" x14ac:dyDescent="0.25">
      <c r="A181" s="72"/>
      <c r="B181" s="41"/>
      <c r="C181" s="72"/>
      <c r="D181" s="23"/>
      <c r="E181" s="23"/>
      <c r="F181" s="61" t="str">
        <f t="shared" si="11"/>
        <v/>
      </c>
      <c r="G181" s="61" t="str">
        <f t="shared" si="12"/>
        <v/>
      </c>
      <c r="H181" s="23" t="str">
        <f t="shared" si="13"/>
        <v/>
      </c>
      <c r="I181" s="70"/>
      <c r="J181" s="70"/>
      <c r="K181" s="69"/>
      <c r="L181" s="6" t="str">
        <f>IFERROR(VLOOKUP(A181,'Acompanhamento da Licitação'!$F$2:$N$1000,6,FALSE()),"")</f>
        <v/>
      </c>
      <c r="M181" s="6" t="str">
        <f>IFERROR(VLOOKUP(A181,'Acompanhamento da Licitação'!$F$2:$N$1000,7,FALSE()),"")</f>
        <v/>
      </c>
      <c r="N181" s="1" t="str">
        <f>IFERROR(VLOOKUP(A181,'Acompanhamento da Licitação'!$F$2:$N$1000,9,FALSE()),"")</f>
        <v/>
      </c>
      <c r="O181" s="1" t="str">
        <f t="shared" si="14"/>
        <v>Não</v>
      </c>
      <c r="P181" s="6">
        <f t="shared" si="15"/>
        <v>0</v>
      </c>
    </row>
    <row r="182" spans="1:16" ht="15.75" x14ac:dyDescent="0.25">
      <c r="A182" s="72"/>
      <c r="B182" s="41"/>
      <c r="C182" s="72"/>
      <c r="D182" s="23"/>
      <c r="E182" s="23"/>
      <c r="F182" s="61" t="str">
        <f t="shared" si="11"/>
        <v/>
      </c>
      <c r="G182" s="61" t="str">
        <f t="shared" si="12"/>
        <v/>
      </c>
      <c r="H182" s="23" t="str">
        <f t="shared" si="13"/>
        <v/>
      </c>
      <c r="I182" s="70"/>
      <c r="J182" s="70"/>
      <c r="K182" s="69"/>
      <c r="L182" s="6" t="str">
        <f>IFERROR(VLOOKUP(A182,'Acompanhamento da Licitação'!$F$2:$N$1000,6,FALSE()),"")</f>
        <v/>
      </c>
      <c r="M182" s="6" t="str">
        <f>IFERROR(VLOOKUP(A182,'Acompanhamento da Licitação'!$F$2:$N$1000,7,FALSE()),"")</f>
        <v/>
      </c>
      <c r="N182" s="1" t="str">
        <f>IFERROR(VLOOKUP(A182,'Acompanhamento da Licitação'!$F$2:$N$1000,9,FALSE()),"")</f>
        <v/>
      </c>
      <c r="O182" s="1" t="str">
        <f t="shared" si="14"/>
        <v>Não</v>
      </c>
      <c r="P182" s="6">
        <f t="shared" si="15"/>
        <v>0</v>
      </c>
    </row>
    <row r="183" spans="1:16" ht="15.75" x14ac:dyDescent="0.25">
      <c r="A183" s="72"/>
      <c r="B183" s="41"/>
      <c r="C183" s="72"/>
      <c r="D183" s="23"/>
      <c r="E183" s="23"/>
      <c r="F183" s="61" t="str">
        <f t="shared" si="11"/>
        <v/>
      </c>
      <c r="G183" s="61" t="str">
        <f t="shared" si="12"/>
        <v/>
      </c>
      <c r="H183" s="23" t="str">
        <f t="shared" si="13"/>
        <v/>
      </c>
      <c r="I183" s="70"/>
      <c r="J183" s="70"/>
      <c r="K183" s="69"/>
      <c r="L183" s="6" t="str">
        <f>IFERROR(VLOOKUP(A183,'Acompanhamento da Licitação'!$F$2:$N$1000,6,FALSE()),"")</f>
        <v/>
      </c>
      <c r="M183" s="6" t="str">
        <f>IFERROR(VLOOKUP(A183,'Acompanhamento da Licitação'!$F$2:$N$1000,7,FALSE()),"")</f>
        <v/>
      </c>
      <c r="N183" s="1" t="str">
        <f>IFERROR(VLOOKUP(A183,'Acompanhamento da Licitação'!$F$2:$N$1000,9,FALSE()),"")</f>
        <v/>
      </c>
      <c r="O183" s="1" t="str">
        <f t="shared" si="14"/>
        <v>Não</v>
      </c>
      <c r="P183" s="6">
        <f t="shared" si="15"/>
        <v>0</v>
      </c>
    </row>
    <row r="184" spans="1:16" ht="15.75" x14ac:dyDescent="0.25">
      <c r="A184" s="72"/>
      <c r="B184" s="41"/>
      <c r="C184" s="72"/>
      <c r="D184" s="23"/>
      <c r="E184" s="23"/>
      <c r="F184" s="61" t="str">
        <f t="shared" si="11"/>
        <v/>
      </c>
      <c r="G184" s="61" t="str">
        <f t="shared" si="12"/>
        <v/>
      </c>
      <c r="H184" s="23" t="str">
        <f t="shared" si="13"/>
        <v/>
      </c>
      <c r="I184" s="70"/>
      <c r="J184" s="70"/>
      <c r="K184" s="69"/>
      <c r="L184" s="6" t="str">
        <f>IFERROR(VLOOKUP(A184,'Acompanhamento da Licitação'!$F$2:$N$1000,6,FALSE()),"")</f>
        <v/>
      </c>
      <c r="M184" s="6" t="str">
        <f>IFERROR(VLOOKUP(A184,'Acompanhamento da Licitação'!$F$2:$N$1000,7,FALSE()),"")</f>
        <v/>
      </c>
      <c r="N184" s="1" t="str">
        <f>IFERROR(VLOOKUP(A184,'Acompanhamento da Licitação'!$F$2:$N$1000,9,FALSE()),"")</f>
        <v/>
      </c>
      <c r="O184" s="1" t="str">
        <f t="shared" si="14"/>
        <v>Não</v>
      </c>
      <c r="P184" s="6">
        <f t="shared" si="15"/>
        <v>0</v>
      </c>
    </row>
    <row r="185" spans="1:16" ht="15.75" x14ac:dyDescent="0.25">
      <c r="A185" s="72"/>
      <c r="B185" s="41"/>
      <c r="C185" s="72"/>
      <c r="D185" s="23"/>
      <c r="E185" s="23"/>
      <c r="F185" s="61" t="str">
        <f t="shared" si="11"/>
        <v/>
      </c>
      <c r="G185" s="61" t="str">
        <f t="shared" si="12"/>
        <v/>
      </c>
      <c r="H185" s="23" t="str">
        <f t="shared" si="13"/>
        <v/>
      </c>
      <c r="I185" s="70"/>
      <c r="J185" s="70"/>
      <c r="K185" s="69"/>
      <c r="L185" s="6" t="str">
        <f>IFERROR(VLOOKUP(A185,'Acompanhamento da Licitação'!$F$2:$N$1000,6,FALSE()),"")</f>
        <v/>
      </c>
      <c r="M185" s="6" t="str">
        <f>IFERROR(VLOOKUP(A185,'Acompanhamento da Licitação'!$F$2:$N$1000,7,FALSE()),"")</f>
        <v/>
      </c>
      <c r="N185" s="1" t="str">
        <f>IFERROR(VLOOKUP(A185,'Acompanhamento da Licitação'!$F$2:$N$1000,9,FALSE()),"")</f>
        <v/>
      </c>
      <c r="O185" s="1" t="str">
        <f t="shared" si="14"/>
        <v>Não</v>
      </c>
      <c r="P185" s="6">
        <f t="shared" si="15"/>
        <v>0</v>
      </c>
    </row>
    <row r="186" spans="1:16" ht="15.75" x14ac:dyDescent="0.25">
      <c r="A186" s="72"/>
      <c r="B186" s="41"/>
      <c r="C186" s="72"/>
      <c r="D186" s="23"/>
      <c r="E186" s="23"/>
      <c r="F186" s="61" t="str">
        <f t="shared" si="11"/>
        <v/>
      </c>
      <c r="G186" s="61" t="str">
        <f t="shared" si="12"/>
        <v/>
      </c>
      <c r="H186" s="23" t="str">
        <f t="shared" si="13"/>
        <v/>
      </c>
      <c r="I186" s="70"/>
      <c r="J186" s="70"/>
      <c r="K186" s="69"/>
      <c r="L186" s="6" t="str">
        <f>IFERROR(VLOOKUP(A186,'Acompanhamento da Licitação'!$F$2:$N$1000,6,FALSE()),"")</f>
        <v/>
      </c>
      <c r="M186" s="6" t="str">
        <f>IFERROR(VLOOKUP(A186,'Acompanhamento da Licitação'!$F$2:$N$1000,7,FALSE()),"")</f>
        <v/>
      </c>
      <c r="N186" s="1" t="str">
        <f>IFERROR(VLOOKUP(A186,'Acompanhamento da Licitação'!$F$2:$N$1000,9,FALSE()),"")</f>
        <v/>
      </c>
      <c r="O186" s="1" t="str">
        <f t="shared" si="14"/>
        <v>Não</v>
      </c>
      <c r="P186" s="6">
        <f t="shared" si="15"/>
        <v>0</v>
      </c>
    </row>
    <row r="187" spans="1:16" ht="15.75" x14ac:dyDescent="0.25">
      <c r="A187" s="72"/>
      <c r="B187" s="41"/>
      <c r="C187" s="72"/>
      <c r="D187" s="23"/>
      <c r="E187" s="23"/>
      <c r="F187" s="61" t="str">
        <f t="shared" si="11"/>
        <v/>
      </c>
      <c r="G187" s="61" t="str">
        <f t="shared" si="12"/>
        <v/>
      </c>
      <c r="H187" s="23" t="str">
        <f t="shared" si="13"/>
        <v/>
      </c>
      <c r="I187" s="70"/>
      <c r="J187" s="70"/>
      <c r="K187" s="69"/>
      <c r="L187" s="6" t="str">
        <f>IFERROR(VLOOKUP(A187,'Acompanhamento da Licitação'!$F$2:$N$1000,6,FALSE()),"")</f>
        <v/>
      </c>
      <c r="M187" s="6" t="str">
        <f>IFERROR(VLOOKUP(A187,'Acompanhamento da Licitação'!$F$2:$N$1000,7,FALSE()),"")</f>
        <v/>
      </c>
      <c r="N187" s="1" t="str">
        <f>IFERROR(VLOOKUP(A187,'Acompanhamento da Licitação'!$F$2:$N$1000,9,FALSE()),"")</f>
        <v/>
      </c>
      <c r="O187" s="1" t="str">
        <f t="shared" si="14"/>
        <v>Não</v>
      </c>
      <c r="P187" s="6">
        <f t="shared" si="15"/>
        <v>0</v>
      </c>
    </row>
    <row r="188" spans="1:16" ht="15.75" x14ac:dyDescent="0.25">
      <c r="A188" s="72"/>
      <c r="B188" s="41"/>
      <c r="C188" s="72"/>
      <c r="D188" s="23"/>
      <c r="E188" s="23"/>
      <c r="F188" s="61" t="str">
        <f t="shared" si="11"/>
        <v/>
      </c>
      <c r="G188" s="61" t="str">
        <f t="shared" si="12"/>
        <v/>
      </c>
      <c r="H188" s="23" t="str">
        <f t="shared" si="13"/>
        <v/>
      </c>
      <c r="I188" s="70"/>
      <c r="J188" s="70"/>
      <c r="K188" s="69"/>
      <c r="L188" s="6" t="str">
        <f>IFERROR(VLOOKUP(A188,'Acompanhamento da Licitação'!$F$2:$N$1000,6,FALSE()),"")</f>
        <v/>
      </c>
      <c r="M188" s="6" t="str">
        <f>IFERROR(VLOOKUP(A188,'Acompanhamento da Licitação'!$F$2:$N$1000,7,FALSE()),"")</f>
        <v/>
      </c>
      <c r="N188" s="1" t="str">
        <f>IFERROR(VLOOKUP(A188,'Acompanhamento da Licitação'!$F$2:$N$1000,9,FALSE()),"")</f>
        <v/>
      </c>
      <c r="O188" s="1" t="str">
        <f t="shared" si="14"/>
        <v>Não</v>
      </c>
      <c r="P188" s="6">
        <f t="shared" si="15"/>
        <v>0</v>
      </c>
    </row>
    <row r="189" spans="1:16" ht="15.75" x14ac:dyDescent="0.25">
      <c r="A189" s="72"/>
      <c r="B189" s="41"/>
      <c r="C189" s="72"/>
      <c r="D189" s="23"/>
      <c r="E189" s="23"/>
      <c r="F189" s="61" t="str">
        <f t="shared" si="11"/>
        <v/>
      </c>
      <c r="G189" s="61" t="str">
        <f t="shared" si="12"/>
        <v/>
      </c>
      <c r="H189" s="23" t="str">
        <f t="shared" si="13"/>
        <v/>
      </c>
      <c r="I189" s="70"/>
      <c r="J189" s="70"/>
      <c r="K189" s="69"/>
      <c r="L189" s="6" t="str">
        <f>IFERROR(VLOOKUP(A189,'Acompanhamento da Licitação'!$F$2:$N$1000,6,FALSE()),"")</f>
        <v/>
      </c>
      <c r="M189" s="6" t="str">
        <f>IFERROR(VLOOKUP(A189,'Acompanhamento da Licitação'!$F$2:$N$1000,7,FALSE()),"")</f>
        <v/>
      </c>
      <c r="N189" s="1" t="str">
        <f>IFERROR(VLOOKUP(A189,'Acompanhamento da Licitação'!$F$2:$N$1000,9,FALSE()),"")</f>
        <v/>
      </c>
      <c r="O189" s="1" t="str">
        <f t="shared" si="14"/>
        <v>Não</v>
      </c>
      <c r="P189" s="6">
        <f t="shared" si="15"/>
        <v>0</v>
      </c>
    </row>
    <row r="190" spans="1:16" ht="15.75" x14ac:dyDescent="0.25">
      <c r="A190" s="72"/>
      <c r="B190" s="41"/>
      <c r="C190" s="72"/>
      <c r="D190" s="23"/>
      <c r="E190" s="23"/>
      <c r="F190" s="61" t="str">
        <f t="shared" si="11"/>
        <v/>
      </c>
      <c r="G190" s="61" t="str">
        <f t="shared" si="12"/>
        <v/>
      </c>
      <c r="H190" s="23" t="str">
        <f t="shared" si="13"/>
        <v/>
      </c>
      <c r="I190" s="70"/>
      <c r="J190" s="70"/>
      <c r="K190" s="69"/>
      <c r="L190" s="6" t="str">
        <f>IFERROR(VLOOKUP(A190,'Acompanhamento da Licitação'!$F$2:$N$1000,6,FALSE()),"")</f>
        <v/>
      </c>
      <c r="M190" s="6" t="str">
        <f>IFERROR(VLOOKUP(A190,'Acompanhamento da Licitação'!$F$2:$N$1000,7,FALSE()),"")</f>
        <v/>
      </c>
      <c r="N190" s="1" t="str">
        <f>IFERROR(VLOOKUP(A190,'Acompanhamento da Licitação'!$F$2:$N$1000,9,FALSE()),"")</f>
        <v/>
      </c>
      <c r="O190" s="1" t="str">
        <f t="shared" si="14"/>
        <v>Não</v>
      </c>
      <c r="P190" s="6">
        <f t="shared" si="15"/>
        <v>0</v>
      </c>
    </row>
    <row r="191" spans="1:16" ht="15.75" x14ac:dyDescent="0.25">
      <c r="A191" s="72"/>
      <c r="B191" s="41"/>
      <c r="C191" s="72"/>
      <c r="D191" s="23"/>
      <c r="E191" s="23"/>
      <c r="F191" s="61" t="str">
        <f t="shared" si="11"/>
        <v/>
      </c>
      <c r="G191" s="61" t="str">
        <f t="shared" si="12"/>
        <v/>
      </c>
      <c r="H191" s="23" t="str">
        <f t="shared" si="13"/>
        <v/>
      </c>
      <c r="I191" s="70"/>
      <c r="J191" s="70"/>
      <c r="K191" s="69"/>
      <c r="L191" s="6" t="str">
        <f>IFERROR(VLOOKUP(A191,'Acompanhamento da Licitação'!$F$2:$N$1000,6,FALSE()),"")</f>
        <v/>
      </c>
      <c r="M191" s="6" t="str">
        <f>IFERROR(VLOOKUP(A191,'Acompanhamento da Licitação'!$F$2:$N$1000,7,FALSE()),"")</f>
        <v/>
      </c>
      <c r="N191" s="1" t="str">
        <f>IFERROR(VLOOKUP(A191,'Acompanhamento da Licitação'!$F$2:$N$1000,9,FALSE()),"")</f>
        <v/>
      </c>
      <c r="O191" s="1" t="str">
        <f t="shared" si="14"/>
        <v>Não</v>
      </c>
      <c r="P191" s="6">
        <f t="shared" si="15"/>
        <v>0</v>
      </c>
    </row>
    <row r="192" spans="1:16" ht="15.75" x14ac:dyDescent="0.25">
      <c r="A192" s="72"/>
      <c r="B192" s="41"/>
      <c r="C192" s="72"/>
      <c r="D192" s="23"/>
      <c r="E192" s="23"/>
      <c r="F192" s="61" t="str">
        <f t="shared" si="11"/>
        <v/>
      </c>
      <c r="G192" s="61" t="str">
        <f t="shared" si="12"/>
        <v/>
      </c>
      <c r="H192" s="23" t="str">
        <f t="shared" si="13"/>
        <v/>
      </c>
      <c r="I192" s="70"/>
      <c r="J192" s="70"/>
      <c r="K192" s="69"/>
      <c r="L192" s="6" t="str">
        <f>IFERROR(VLOOKUP(A192,'Acompanhamento da Licitação'!$F$2:$N$1000,6,FALSE()),"")</f>
        <v/>
      </c>
      <c r="M192" s="6" t="str">
        <f>IFERROR(VLOOKUP(A192,'Acompanhamento da Licitação'!$F$2:$N$1000,7,FALSE()),"")</f>
        <v/>
      </c>
      <c r="N192" s="1" t="str">
        <f>IFERROR(VLOOKUP(A192,'Acompanhamento da Licitação'!$F$2:$N$1000,9,FALSE()),"")</f>
        <v/>
      </c>
      <c r="O192" s="1" t="str">
        <f t="shared" si="14"/>
        <v>Não</v>
      </c>
      <c r="P192" s="6">
        <f t="shared" si="15"/>
        <v>0</v>
      </c>
    </row>
    <row r="193" spans="1:16" ht="15.75" x14ac:dyDescent="0.25">
      <c r="A193" s="72"/>
      <c r="B193" s="41"/>
      <c r="C193" s="72"/>
      <c r="D193" s="23"/>
      <c r="E193" s="23"/>
      <c r="F193" s="61" t="str">
        <f t="shared" si="11"/>
        <v/>
      </c>
      <c r="G193" s="61" t="str">
        <f t="shared" si="12"/>
        <v/>
      </c>
      <c r="H193" s="23" t="str">
        <f t="shared" si="13"/>
        <v/>
      </c>
      <c r="I193" s="70"/>
      <c r="J193" s="70"/>
      <c r="K193" s="69"/>
      <c r="L193" s="6" t="str">
        <f>IFERROR(VLOOKUP(A193,'Acompanhamento da Licitação'!$F$2:$N$1000,6,FALSE()),"")</f>
        <v/>
      </c>
      <c r="M193" s="6" t="str">
        <f>IFERROR(VLOOKUP(A193,'Acompanhamento da Licitação'!$F$2:$N$1000,7,FALSE()),"")</f>
        <v/>
      </c>
      <c r="N193" s="1" t="str">
        <f>IFERROR(VLOOKUP(A193,'Acompanhamento da Licitação'!$F$2:$N$1000,9,FALSE()),"")</f>
        <v/>
      </c>
      <c r="O193" s="1" t="str">
        <f t="shared" si="14"/>
        <v>Não</v>
      </c>
      <c r="P193" s="6">
        <f t="shared" si="15"/>
        <v>0</v>
      </c>
    </row>
    <row r="194" spans="1:16" ht="15.75" x14ac:dyDescent="0.25">
      <c r="A194" s="72"/>
      <c r="B194" s="41"/>
      <c r="C194" s="72"/>
      <c r="D194" s="23"/>
      <c r="E194" s="23"/>
      <c r="F194" s="61" t="str">
        <f t="shared" si="11"/>
        <v/>
      </c>
      <c r="G194" s="61" t="str">
        <f t="shared" si="12"/>
        <v/>
      </c>
      <c r="H194" s="23" t="str">
        <f t="shared" si="13"/>
        <v/>
      </c>
      <c r="I194" s="70"/>
      <c r="J194" s="70"/>
      <c r="K194" s="69"/>
      <c r="L194" s="6" t="str">
        <f>IFERROR(VLOOKUP(A194,'Acompanhamento da Licitação'!$F$2:$N$1000,6,FALSE()),"")</f>
        <v/>
      </c>
      <c r="M194" s="6" t="str">
        <f>IFERROR(VLOOKUP(A194,'Acompanhamento da Licitação'!$F$2:$N$1000,7,FALSE()),"")</f>
        <v/>
      </c>
      <c r="N194" s="1" t="str">
        <f>IFERROR(VLOOKUP(A194,'Acompanhamento da Licitação'!$F$2:$N$1000,9,FALSE()),"")</f>
        <v/>
      </c>
      <c r="O194" s="1" t="str">
        <f t="shared" si="14"/>
        <v>Não</v>
      </c>
      <c r="P194" s="6">
        <f t="shared" si="15"/>
        <v>0</v>
      </c>
    </row>
    <row r="195" spans="1:16" ht="15.75" x14ac:dyDescent="0.25">
      <c r="A195" s="72"/>
      <c r="B195" s="41"/>
      <c r="C195" s="72"/>
      <c r="D195" s="23"/>
      <c r="E195" s="23"/>
      <c r="F195" s="61" t="str">
        <f t="shared" ref="F195:F258" si="16">IF(B195&gt;0,(((E195*C195)-(D195*C195)-(P195*C195))/(E195*C195)),"")</f>
        <v/>
      </c>
      <c r="G195" s="61" t="str">
        <f t="shared" ref="G195:G258" si="17">IF(F195="","",IF(F195&lt;0.2,0.05,IF(F195&lt;0.25,0.1,IF(F195&lt;0.3,0.15,IF(F195&lt;0.35,0.2,IF(F195&lt;0.45,0.25,IF(F195&lt;0.5,0.3,IF(F195&lt;0.6,0.35,0.4))))))))</f>
        <v/>
      </c>
      <c r="H195" s="23" t="str">
        <f t="shared" ref="H195:H258" si="18">IFERROR(((E195*C195)-(D195*C195)-(E195*C195*4%))*G195,"")</f>
        <v/>
      </c>
      <c r="I195" s="70"/>
      <c r="J195" s="70"/>
      <c r="K195" s="69"/>
      <c r="L195" s="6" t="str">
        <f>IFERROR(VLOOKUP(A195,'Acompanhamento da Licitação'!$F$2:$N$1000,6,FALSE()),"")</f>
        <v/>
      </c>
      <c r="M195" s="6" t="str">
        <f>IFERROR(VLOOKUP(A195,'Acompanhamento da Licitação'!$F$2:$N$1000,7,FALSE()),"")</f>
        <v/>
      </c>
      <c r="N195" s="1" t="str">
        <f>IFERROR(VLOOKUP(A195,'Acompanhamento da Licitação'!$F$2:$N$1000,9,FALSE()),"")</f>
        <v/>
      </c>
      <c r="O195" s="1" t="str">
        <f t="shared" ref="O195:O258" si="19">IF(AND(D195&gt;0,F195&gt;0.25),"Sim","Não")</f>
        <v>Não</v>
      </c>
      <c r="P195" s="6">
        <f t="shared" ref="P195:P258" si="20">4%*E195</f>
        <v>0</v>
      </c>
    </row>
    <row r="196" spans="1:16" ht="15.75" x14ac:dyDescent="0.25">
      <c r="A196" s="72"/>
      <c r="B196" s="41"/>
      <c r="C196" s="72"/>
      <c r="D196" s="23"/>
      <c r="E196" s="23"/>
      <c r="F196" s="61" t="str">
        <f t="shared" si="16"/>
        <v/>
      </c>
      <c r="G196" s="61" t="str">
        <f t="shared" si="17"/>
        <v/>
      </c>
      <c r="H196" s="23" t="str">
        <f t="shared" si="18"/>
        <v/>
      </c>
      <c r="I196" s="70"/>
      <c r="J196" s="70"/>
      <c r="K196" s="69"/>
      <c r="L196" s="6" t="str">
        <f>IFERROR(VLOOKUP(A196,'Acompanhamento da Licitação'!$F$2:$N$1000,6,FALSE()),"")</f>
        <v/>
      </c>
      <c r="M196" s="6" t="str">
        <f>IFERROR(VLOOKUP(A196,'Acompanhamento da Licitação'!$F$2:$N$1000,7,FALSE()),"")</f>
        <v/>
      </c>
      <c r="N196" s="1" t="str">
        <f>IFERROR(VLOOKUP(A196,'Acompanhamento da Licitação'!$F$2:$N$1000,9,FALSE()),"")</f>
        <v/>
      </c>
      <c r="O196" s="1" t="str">
        <f t="shared" si="19"/>
        <v>Não</v>
      </c>
      <c r="P196" s="6">
        <f t="shared" si="20"/>
        <v>0</v>
      </c>
    </row>
    <row r="197" spans="1:16" ht="15.75" x14ac:dyDescent="0.25">
      <c r="A197" s="72"/>
      <c r="B197" s="41"/>
      <c r="C197" s="72"/>
      <c r="D197" s="23"/>
      <c r="E197" s="23"/>
      <c r="F197" s="61" t="str">
        <f t="shared" si="16"/>
        <v/>
      </c>
      <c r="G197" s="61" t="str">
        <f t="shared" si="17"/>
        <v/>
      </c>
      <c r="H197" s="23" t="str">
        <f t="shared" si="18"/>
        <v/>
      </c>
      <c r="I197" s="70"/>
      <c r="J197" s="70"/>
      <c r="K197" s="69"/>
      <c r="L197" s="6" t="str">
        <f>IFERROR(VLOOKUP(A197,'Acompanhamento da Licitação'!$F$2:$N$1000,6,FALSE()),"")</f>
        <v/>
      </c>
      <c r="M197" s="6" t="str">
        <f>IFERROR(VLOOKUP(A197,'Acompanhamento da Licitação'!$F$2:$N$1000,7,FALSE()),"")</f>
        <v/>
      </c>
      <c r="N197" s="1" t="str">
        <f>IFERROR(VLOOKUP(A197,'Acompanhamento da Licitação'!$F$2:$N$1000,9,FALSE()),"")</f>
        <v/>
      </c>
      <c r="O197" s="1" t="str">
        <f t="shared" si="19"/>
        <v>Não</v>
      </c>
      <c r="P197" s="6">
        <f t="shared" si="20"/>
        <v>0</v>
      </c>
    </row>
    <row r="198" spans="1:16" ht="15.75" x14ac:dyDescent="0.25">
      <c r="A198" s="72"/>
      <c r="B198" s="41"/>
      <c r="C198" s="72"/>
      <c r="D198" s="23"/>
      <c r="E198" s="23"/>
      <c r="F198" s="61" t="str">
        <f t="shared" si="16"/>
        <v/>
      </c>
      <c r="G198" s="61" t="str">
        <f t="shared" si="17"/>
        <v/>
      </c>
      <c r="H198" s="23" t="str">
        <f t="shared" si="18"/>
        <v/>
      </c>
      <c r="I198" s="70"/>
      <c r="J198" s="70"/>
      <c r="K198" s="69"/>
      <c r="L198" s="6" t="str">
        <f>IFERROR(VLOOKUP(A198,'Acompanhamento da Licitação'!$F$2:$N$1000,6,FALSE()),"")</f>
        <v/>
      </c>
      <c r="M198" s="6" t="str">
        <f>IFERROR(VLOOKUP(A198,'Acompanhamento da Licitação'!$F$2:$N$1000,7,FALSE()),"")</f>
        <v/>
      </c>
      <c r="N198" s="1" t="str">
        <f>IFERROR(VLOOKUP(A198,'Acompanhamento da Licitação'!$F$2:$N$1000,9,FALSE()),"")</f>
        <v/>
      </c>
      <c r="O198" s="1" t="str">
        <f t="shared" si="19"/>
        <v>Não</v>
      </c>
      <c r="P198" s="6">
        <f t="shared" si="20"/>
        <v>0</v>
      </c>
    </row>
    <row r="199" spans="1:16" ht="15.75" x14ac:dyDescent="0.25">
      <c r="A199" s="72"/>
      <c r="B199" s="41"/>
      <c r="C199" s="72"/>
      <c r="D199" s="23"/>
      <c r="E199" s="23"/>
      <c r="F199" s="61" t="str">
        <f t="shared" si="16"/>
        <v/>
      </c>
      <c r="G199" s="61" t="str">
        <f t="shared" si="17"/>
        <v/>
      </c>
      <c r="H199" s="23" t="str">
        <f t="shared" si="18"/>
        <v/>
      </c>
      <c r="I199" s="70"/>
      <c r="J199" s="70"/>
      <c r="K199" s="69"/>
      <c r="L199" s="6" t="str">
        <f>IFERROR(VLOOKUP(A199,'Acompanhamento da Licitação'!$F$2:$N$1000,6,FALSE()),"")</f>
        <v/>
      </c>
      <c r="M199" s="6" t="str">
        <f>IFERROR(VLOOKUP(A199,'Acompanhamento da Licitação'!$F$2:$N$1000,7,FALSE()),"")</f>
        <v/>
      </c>
      <c r="N199" s="1" t="str">
        <f>IFERROR(VLOOKUP(A199,'Acompanhamento da Licitação'!$F$2:$N$1000,9,FALSE()),"")</f>
        <v/>
      </c>
      <c r="O199" s="1" t="str">
        <f t="shared" si="19"/>
        <v>Não</v>
      </c>
      <c r="P199" s="6">
        <f t="shared" si="20"/>
        <v>0</v>
      </c>
    </row>
    <row r="200" spans="1:16" ht="15.75" x14ac:dyDescent="0.25">
      <c r="A200" s="72"/>
      <c r="B200" s="41"/>
      <c r="C200" s="72"/>
      <c r="D200" s="23"/>
      <c r="E200" s="23"/>
      <c r="F200" s="61" t="str">
        <f t="shared" si="16"/>
        <v/>
      </c>
      <c r="G200" s="61" t="str">
        <f t="shared" si="17"/>
        <v/>
      </c>
      <c r="H200" s="23" t="str">
        <f t="shared" si="18"/>
        <v/>
      </c>
      <c r="I200" s="70"/>
      <c r="J200" s="70"/>
      <c r="K200" s="69"/>
      <c r="L200" s="6" t="str">
        <f>IFERROR(VLOOKUP(A200,'Acompanhamento da Licitação'!$F$2:$N$1000,6,FALSE()),"")</f>
        <v/>
      </c>
      <c r="M200" s="6" t="str">
        <f>IFERROR(VLOOKUP(A200,'Acompanhamento da Licitação'!$F$2:$N$1000,7,FALSE()),"")</f>
        <v/>
      </c>
      <c r="N200" s="1" t="str">
        <f>IFERROR(VLOOKUP(A200,'Acompanhamento da Licitação'!$F$2:$N$1000,9,FALSE()),"")</f>
        <v/>
      </c>
      <c r="O200" s="1" t="str">
        <f t="shared" si="19"/>
        <v>Não</v>
      </c>
      <c r="P200" s="6">
        <f t="shared" si="20"/>
        <v>0</v>
      </c>
    </row>
    <row r="201" spans="1:16" ht="15.75" x14ac:dyDescent="0.25">
      <c r="A201" s="72"/>
      <c r="B201" s="41"/>
      <c r="C201" s="72"/>
      <c r="D201" s="23"/>
      <c r="E201" s="23"/>
      <c r="F201" s="61" t="str">
        <f t="shared" si="16"/>
        <v/>
      </c>
      <c r="G201" s="61" t="str">
        <f t="shared" si="17"/>
        <v/>
      </c>
      <c r="H201" s="23" t="str">
        <f t="shared" si="18"/>
        <v/>
      </c>
      <c r="I201" s="70"/>
      <c r="J201" s="70"/>
      <c r="K201" s="69"/>
      <c r="L201" s="6" t="str">
        <f>IFERROR(VLOOKUP(A201,'Acompanhamento da Licitação'!$F$2:$N$1000,6,FALSE()),"")</f>
        <v/>
      </c>
      <c r="M201" s="6" t="str">
        <f>IFERROR(VLOOKUP(A201,'Acompanhamento da Licitação'!$F$2:$N$1000,7,FALSE()),"")</f>
        <v/>
      </c>
      <c r="N201" s="1" t="str">
        <f>IFERROR(VLOOKUP(A201,'Acompanhamento da Licitação'!$F$2:$N$1000,9,FALSE()),"")</f>
        <v/>
      </c>
      <c r="O201" s="1" t="str">
        <f t="shared" si="19"/>
        <v>Não</v>
      </c>
      <c r="P201" s="6">
        <f t="shared" si="20"/>
        <v>0</v>
      </c>
    </row>
    <row r="202" spans="1:16" ht="15.75" x14ac:dyDescent="0.25">
      <c r="A202" s="72"/>
      <c r="B202" s="41"/>
      <c r="C202" s="72"/>
      <c r="D202" s="23"/>
      <c r="E202" s="23"/>
      <c r="F202" s="61" t="str">
        <f t="shared" si="16"/>
        <v/>
      </c>
      <c r="G202" s="61" t="str">
        <f t="shared" si="17"/>
        <v/>
      </c>
      <c r="H202" s="23" t="str">
        <f t="shared" si="18"/>
        <v/>
      </c>
      <c r="I202" s="70"/>
      <c r="J202" s="70"/>
      <c r="K202" s="69"/>
      <c r="L202" s="6" t="str">
        <f>IFERROR(VLOOKUP(A202,'Acompanhamento da Licitação'!$F$2:$N$1000,6,FALSE()),"")</f>
        <v/>
      </c>
      <c r="M202" s="6" t="str">
        <f>IFERROR(VLOOKUP(A202,'Acompanhamento da Licitação'!$F$2:$N$1000,7,FALSE()),"")</f>
        <v/>
      </c>
      <c r="N202" s="1" t="str">
        <f>IFERROR(VLOOKUP(A202,'Acompanhamento da Licitação'!$F$2:$N$1000,9,FALSE()),"")</f>
        <v/>
      </c>
      <c r="O202" s="1" t="str">
        <f t="shared" si="19"/>
        <v>Não</v>
      </c>
      <c r="P202" s="6">
        <f t="shared" si="20"/>
        <v>0</v>
      </c>
    </row>
    <row r="203" spans="1:16" ht="15.75" x14ac:dyDescent="0.25">
      <c r="A203" s="72"/>
      <c r="B203" s="41"/>
      <c r="C203" s="72"/>
      <c r="D203" s="23"/>
      <c r="E203" s="23"/>
      <c r="F203" s="61" t="str">
        <f t="shared" si="16"/>
        <v/>
      </c>
      <c r="G203" s="61" t="str">
        <f t="shared" si="17"/>
        <v/>
      </c>
      <c r="H203" s="23" t="str">
        <f t="shared" si="18"/>
        <v/>
      </c>
      <c r="I203" s="70"/>
      <c r="J203" s="70"/>
      <c r="K203" s="69"/>
      <c r="L203" s="6" t="str">
        <f>IFERROR(VLOOKUP(A203,'Acompanhamento da Licitação'!$F$2:$N$1000,6,FALSE()),"")</f>
        <v/>
      </c>
      <c r="M203" s="6" t="str">
        <f>IFERROR(VLOOKUP(A203,'Acompanhamento da Licitação'!$F$2:$N$1000,7,FALSE()),"")</f>
        <v/>
      </c>
      <c r="N203" s="1" t="str">
        <f>IFERROR(VLOOKUP(A203,'Acompanhamento da Licitação'!$F$2:$N$1000,9,FALSE()),"")</f>
        <v/>
      </c>
      <c r="O203" s="1" t="str">
        <f t="shared" si="19"/>
        <v>Não</v>
      </c>
      <c r="P203" s="6">
        <f t="shared" si="20"/>
        <v>0</v>
      </c>
    </row>
    <row r="204" spans="1:16" ht="15.75" x14ac:dyDescent="0.25">
      <c r="A204" s="72"/>
      <c r="B204" s="41"/>
      <c r="C204" s="72"/>
      <c r="D204" s="23"/>
      <c r="E204" s="23"/>
      <c r="F204" s="61" t="str">
        <f t="shared" si="16"/>
        <v/>
      </c>
      <c r="G204" s="61" t="str">
        <f t="shared" si="17"/>
        <v/>
      </c>
      <c r="H204" s="23" t="str">
        <f t="shared" si="18"/>
        <v/>
      </c>
      <c r="I204" s="70"/>
      <c r="J204" s="70"/>
      <c r="K204" s="69"/>
      <c r="L204" s="6" t="str">
        <f>IFERROR(VLOOKUP(A204,'Acompanhamento da Licitação'!$F$2:$N$1000,6,FALSE()),"")</f>
        <v/>
      </c>
      <c r="M204" s="6" t="str">
        <f>IFERROR(VLOOKUP(A204,'Acompanhamento da Licitação'!$F$2:$N$1000,7,FALSE()),"")</f>
        <v/>
      </c>
      <c r="N204" s="1" t="str">
        <f>IFERROR(VLOOKUP(A204,'Acompanhamento da Licitação'!$F$2:$N$1000,9,FALSE()),"")</f>
        <v/>
      </c>
      <c r="O204" s="1" t="str">
        <f t="shared" si="19"/>
        <v>Não</v>
      </c>
      <c r="P204" s="6">
        <f t="shared" si="20"/>
        <v>0</v>
      </c>
    </row>
    <row r="205" spans="1:16" ht="15.75" x14ac:dyDescent="0.25">
      <c r="A205" s="72"/>
      <c r="B205" s="41"/>
      <c r="C205" s="72"/>
      <c r="D205" s="23"/>
      <c r="E205" s="23"/>
      <c r="F205" s="61" t="str">
        <f t="shared" si="16"/>
        <v/>
      </c>
      <c r="G205" s="61" t="str">
        <f t="shared" si="17"/>
        <v/>
      </c>
      <c r="H205" s="23" t="str">
        <f t="shared" si="18"/>
        <v/>
      </c>
      <c r="I205" s="70"/>
      <c r="J205" s="70"/>
      <c r="K205" s="69"/>
      <c r="L205" s="6" t="str">
        <f>IFERROR(VLOOKUP(A205,'Acompanhamento da Licitação'!$F$2:$N$1000,6,FALSE()),"")</f>
        <v/>
      </c>
      <c r="M205" s="6" t="str">
        <f>IFERROR(VLOOKUP(A205,'Acompanhamento da Licitação'!$F$2:$N$1000,7,FALSE()),"")</f>
        <v/>
      </c>
      <c r="N205" s="1" t="str">
        <f>IFERROR(VLOOKUP(A205,'Acompanhamento da Licitação'!$F$2:$N$1000,9,FALSE()),"")</f>
        <v/>
      </c>
      <c r="O205" s="1" t="str">
        <f t="shared" si="19"/>
        <v>Não</v>
      </c>
      <c r="P205" s="6">
        <f t="shared" si="20"/>
        <v>0</v>
      </c>
    </row>
    <row r="206" spans="1:16" ht="15.75" x14ac:dyDescent="0.25">
      <c r="A206" s="72"/>
      <c r="B206" s="41"/>
      <c r="C206" s="72"/>
      <c r="D206" s="23"/>
      <c r="E206" s="23"/>
      <c r="F206" s="61" t="str">
        <f t="shared" si="16"/>
        <v/>
      </c>
      <c r="G206" s="61" t="str">
        <f t="shared" si="17"/>
        <v/>
      </c>
      <c r="H206" s="23" t="str">
        <f t="shared" si="18"/>
        <v/>
      </c>
      <c r="I206" s="70"/>
      <c r="J206" s="70"/>
      <c r="K206" s="69"/>
      <c r="L206" s="6" t="str">
        <f>IFERROR(VLOOKUP(A206,'Acompanhamento da Licitação'!$F$2:$N$1000,6,FALSE()),"")</f>
        <v/>
      </c>
      <c r="M206" s="6" t="str">
        <f>IFERROR(VLOOKUP(A206,'Acompanhamento da Licitação'!$F$2:$N$1000,7,FALSE()),"")</f>
        <v/>
      </c>
      <c r="N206" s="1" t="str">
        <f>IFERROR(VLOOKUP(A206,'Acompanhamento da Licitação'!$F$2:$N$1000,9,FALSE()),"")</f>
        <v/>
      </c>
      <c r="O206" s="1" t="str">
        <f t="shared" si="19"/>
        <v>Não</v>
      </c>
      <c r="P206" s="6">
        <f t="shared" si="20"/>
        <v>0</v>
      </c>
    </row>
    <row r="207" spans="1:16" ht="15.75" x14ac:dyDescent="0.25">
      <c r="A207" s="72"/>
      <c r="B207" s="41"/>
      <c r="C207" s="72"/>
      <c r="D207" s="23"/>
      <c r="E207" s="23"/>
      <c r="F207" s="61" t="str">
        <f t="shared" si="16"/>
        <v/>
      </c>
      <c r="G207" s="61" t="str">
        <f t="shared" si="17"/>
        <v/>
      </c>
      <c r="H207" s="23" t="str">
        <f t="shared" si="18"/>
        <v/>
      </c>
      <c r="I207" s="70"/>
      <c r="J207" s="70"/>
      <c r="K207" s="69"/>
      <c r="L207" s="6" t="str">
        <f>IFERROR(VLOOKUP(A207,'Acompanhamento da Licitação'!$F$2:$N$1000,6,FALSE()),"")</f>
        <v/>
      </c>
      <c r="M207" s="6" t="str">
        <f>IFERROR(VLOOKUP(A207,'Acompanhamento da Licitação'!$F$2:$N$1000,7,FALSE()),"")</f>
        <v/>
      </c>
      <c r="N207" s="1" t="str">
        <f>IFERROR(VLOOKUP(A207,'Acompanhamento da Licitação'!$F$2:$N$1000,9,FALSE()),"")</f>
        <v/>
      </c>
      <c r="O207" s="1" t="str">
        <f t="shared" si="19"/>
        <v>Não</v>
      </c>
      <c r="P207" s="6">
        <f t="shared" si="20"/>
        <v>0</v>
      </c>
    </row>
    <row r="208" spans="1:16" ht="15.75" x14ac:dyDescent="0.25">
      <c r="A208" s="72"/>
      <c r="B208" s="41"/>
      <c r="C208" s="72"/>
      <c r="D208" s="23"/>
      <c r="E208" s="23"/>
      <c r="F208" s="61" t="str">
        <f t="shared" si="16"/>
        <v/>
      </c>
      <c r="G208" s="61" t="str">
        <f t="shared" si="17"/>
        <v/>
      </c>
      <c r="H208" s="23" t="str">
        <f t="shared" si="18"/>
        <v/>
      </c>
      <c r="I208" s="70"/>
      <c r="J208" s="70"/>
      <c r="K208" s="69"/>
      <c r="L208" s="6" t="str">
        <f>IFERROR(VLOOKUP(A208,'Acompanhamento da Licitação'!$F$2:$N$1000,6,FALSE()),"")</f>
        <v/>
      </c>
      <c r="M208" s="6" t="str">
        <f>IFERROR(VLOOKUP(A208,'Acompanhamento da Licitação'!$F$2:$N$1000,7,FALSE()),"")</f>
        <v/>
      </c>
      <c r="N208" s="1" t="str">
        <f>IFERROR(VLOOKUP(A208,'Acompanhamento da Licitação'!$F$2:$N$1000,9,FALSE()),"")</f>
        <v/>
      </c>
      <c r="O208" s="1" t="str">
        <f t="shared" si="19"/>
        <v>Não</v>
      </c>
      <c r="P208" s="6">
        <f t="shared" si="20"/>
        <v>0</v>
      </c>
    </row>
    <row r="209" spans="1:16" ht="15.75" x14ac:dyDescent="0.25">
      <c r="A209" s="72"/>
      <c r="B209" s="41"/>
      <c r="C209" s="72"/>
      <c r="D209" s="23"/>
      <c r="E209" s="23"/>
      <c r="F209" s="61" t="str">
        <f t="shared" si="16"/>
        <v/>
      </c>
      <c r="G209" s="61" t="str">
        <f t="shared" si="17"/>
        <v/>
      </c>
      <c r="H209" s="23" t="str">
        <f t="shared" si="18"/>
        <v/>
      </c>
      <c r="I209" s="70"/>
      <c r="J209" s="70"/>
      <c r="K209" s="69"/>
      <c r="L209" s="6" t="str">
        <f>IFERROR(VLOOKUP(A209,'Acompanhamento da Licitação'!$F$2:$N$1000,6,FALSE()),"")</f>
        <v/>
      </c>
      <c r="M209" s="6" t="str">
        <f>IFERROR(VLOOKUP(A209,'Acompanhamento da Licitação'!$F$2:$N$1000,7,FALSE()),"")</f>
        <v/>
      </c>
      <c r="N209" s="1" t="str">
        <f>IFERROR(VLOOKUP(A209,'Acompanhamento da Licitação'!$F$2:$N$1000,9,FALSE()),"")</f>
        <v/>
      </c>
      <c r="O209" s="1" t="str">
        <f t="shared" si="19"/>
        <v>Não</v>
      </c>
      <c r="P209" s="6">
        <f t="shared" si="20"/>
        <v>0</v>
      </c>
    </row>
    <row r="210" spans="1:16" ht="15.75" x14ac:dyDescent="0.25">
      <c r="A210" s="72"/>
      <c r="B210" s="41"/>
      <c r="C210" s="72"/>
      <c r="D210" s="23"/>
      <c r="E210" s="23"/>
      <c r="F210" s="61" t="str">
        <f t="shared" si="16"/>
        <v/>
      </c>
      <c r="G210" s="61" t="str">
        <f t="shared" si="17"/>
        <v/>
      </c>
      <c r="H210" s="23" t="str">
        <f t="shared" si="18"/>
        <v/>
      </c>
      <c r="I210" s="70"/>
      <c r="J210" s="70"/>
      <c r="K210" s="69"/>
      <c r="L210" s="6" t="str">
        <f>IFERROR(VLOOKUP(A210,'Acompanhamento da Licitação'!$F$2:$N$1000,6,FALSE()),"")</f>
        <v/>
      </c>
      <c r="M210" s="6" t="str">
        <f>IFERROR(VLOOKUP(A210,'Acompanhamento da Licitação'!$F$2:$N$1000,7,FALSE()),"")</f>
        <v/>
      </c>
      <c r="N210" s="1" t="str">
        <f>IFERROR(VLOOKUP(A210,'Acompanhamento da Licitação'!$F$2:$N$1000,9,FALSE()),"")</f>
        <v/>
      </c>
      <c r="O210" s="1" t="str">
        <f t="shared" si="19"/>
        <v>Não</v>
      </c>
      <c r="P210" s="6">
        <f t="shared" si="20"/>
        <v>0</v>
      </c>
    </row>
    <row r="211" spans="1:16" ht="15.75" x14ac:dyDescent="0.25">
      <c r="A211" s="72"/>
      <c r="B211" s="41"/>
      <c r="C211" s="72"/>
      <c r="D211" s="23"/>
      <c r="E211" s="23"/>
      <c r="F211" s="61" t="str">
        <f t="shared" si="16"/>
        <v/>
      </c>
      <c r="G211" s="61" t="str">
        <f t="shared" si="17"/>
        <v/>
      </c>
      <c r="H211" s="23" t="str">
        <f t="shared" si="18"/>
        <v/>
      </c>
      <c r="I211" s="70"/>
      <c r="J211" s="70"/>
      <c r="K211" s="69"/>
      <c r="L211" s="6" t="str">
        <f>IFERROR(VLOOKUP(A211,'Acompanhamento da Licitação'!$F$2:$N$1000,6,FALSE()),"")</f>
        <v/>
      </c>
      <c r="M211" s="6" t="str">
        <f>IFERROR(VLOOKUP(A211,'Acompanhamento da Licitação'!$F$2:$N$1000,7,FALSE()),"")</f>
        <v/>
      </c>
      <c r="N211" s="1" t="str">
        <f>IFERROR(VLOOKUP(A211,'Acompanhamento da Licitação'!$F$2:$N$1000,9,FALSE()),"")</f>
        <v/>
      </c>
      <c r="O211" s="1" t="str">
        <f t="shared" si="19"/>
        <v>Não</v>
      </c>
      <c r="P211" s="6">
        <f t="shared" si="20"/>
        <v>0</v>
      </c>
    </row>
    <row r="212" spans="1:16" ht="15.75" x14ac:dyDescent="0.25">
      <c r="A212" s="72"/>
      <c r="B212" s="41"/>
      <c r="C212" s="72"/>
      <c r="D212" s="23"/>
      <c r="E212" s="23"/>
      <c r="F212" s="61" t="str">
        <f t="shared" si="16"/>
        <v/>
      </c>
      <c r="G212" s="61" t="str">
        <f t="shared" si="17"/>
        <v/>
      </c>
      <c r="H212" s="23" t="str">
        <f t="shared" si="18"/>
        <v/>
      </c>
      <c r="I212" s="70"/>
      <c r="J212" s="70"/>
      <c r="K212" s="69"/>
      <c r="L212" s="6" t="str">
        <f>IFERROR(VLOOKUP(A212,'Acompanhamento da Licitação'!$F$2:$N$1000,6,FALSE()),"")</f>
        <v/>
      </c>
      <c r="M212" s="6" t="str">
        <f>IFERROR(VLOOKUP(A212,'Acompanhamento da Licitação'!$F$2:$N$1000,7,FALSE()),"")</f>
        <v/>
      </c>
      <c r="N212" s="1" t="str">
        <f>IFERROR(VLOOKUP(A212,'Acompanhamento da Licitação'!$F$2:$N$1000,9,FALSE()),"")</f>
        <v/>
      </c>
      <c r="O212" s="1" t="str">
        <f t="shared" si="19"/>
        <v>Não</v>
      </c>
      <c r="P212" s="6">
        <f t="shared" si="20"/>
        <v>0</v>
      </c>
    </row>
    <row r="213" spans="1:16" ht="15.75" x14ac:dyDescent="0.25">
      <c r="A213" s="72"/>
      <c r="B213" s="41"/>
      <c r="C213" s="72"/>
      <c r="D213" s="23"/>
      <c r="E213" s="23"/>
      <c r="F213" s="61" t="str">
        <f t="shared" si="16"/>
        <v/>
      </c>
      <c r="G213" s="61" t="str">
        <f t="shared" si="17"/>
        <v/>
      </c>
      <c r="H213" s="23" t="str">
        <f t="shared" si="18"/>
        <v/>
      </c>
      <c r="I213" s="70"/>
      <c r="J213" s="70"/>
      <c r="K213" s="69"/>
      <c r="L213" s="6" t="str">
        <f>IFERROR(VLOOKUP(A213,'Acompanhamento da Licitação'!$F$2:$N$1000,6,FALSE()),"")</f>
        <v/>
      </c>
      <c r="M213" s="6" t="str">
        <f>IFERROR(VLOOKUP(A213,'Acompanhamento da Licitação'!$F$2:$N$1000,7,FALSE()),"")</f>
        <v/>
      </c>
      <c r="N213" s="1" t="str">
        <f>IFERROR(VLOOKUP(A213,'Acompanhamento da Licitação'!$F$2:$N$1000,9,FALSE()),"")</f>
        <v/>
      </c>
      <c r="O213" s="1" t="str">
        <f t="shared" si="19"/>
        <v>Não</v>
      </c>
      <c r="P213" s="6">
        <f t="shared" si="20"/>
        <v>0</v>
      </c>
    </row>
    <row r="214" spans="1:16" ht="15.75" x14ac:dyDescent="0.25">
      <c r="A214" s="72"/>
      <c r="B214" s="41"/>
      <c r="C214" s="72"/>
      <c r="D214" s="23"/>
      <c r="E214" s="23"/>
      <c r="F214" s="61" t="str">
        <f t="shared" si="16"/>
        <v/>
      </c>
      <c r="G214" s="61" t="str">
        <f t="shared" si="17"/>
        <v/>
      </c>
      <c r="H214" s="23" t="str">
        <f t="shared" si="18"/>
        <v/>
      </c>
      <c r="I214" s="70"/>
      <c r="J214" s="70"/>
      <c r="K214" s="69"/>
      <c r="L214" s="6" t="str">
        <f>IFERROR(VLOOKUP(A214,'Acompanhamento da Licitação'!$F$2:$N$1000,6,FALSE()),"")</f>
        <v/>
      </c>
      <c r="M214" s="6" t="str">
        <f>IFERROR(VLOOKUP(A214,'Acompanhamento da Licitação'!$F$2:$N$1000,7,FALSE()),"")</f>
        <v/>
      </c>
      <c r="N214" s="1" t="str">
        <f>IFERROR(VLOOKUP(A214,'Acompanhamento da Licitação'!$F$2:$N$1000,9,FALSE()),"")</f>
        <v/>
      </c>
      <c r="O214" s="1" t="str">
        <f t="shared" si="19"/>
        <v>Não</v>
      </c>
      <c r="P214" s="6">
        <f t="shared" si="20"/>
        <v>0</v>
      </c>
    </row>
    <row r="215" spans="1:16" ht="15.75" x14ac:dyDescent="0.25">
      <c r="A215" s="72"/>
      <c r="B215" s="41"/>
      <c r="C215" s="72"/>
      <c r="D215" s="23"/>
      <c r="E215" s="23"/>
      <c r="F215" s="61" t="str">
        <f t="shared" si="16"/>
        <v/>
      </c>
      <c r="G215" s="61" t="str">
        <f t="shared" si="17"/>
        <v/>
      </c>
      <c r="H215" s="23" t="str">
        <f t="shared" si="18"/>
        <v/>
      </c>
      <c r="I215" s="70"/>
      <c r="J215" s="70"/>
      <c r="K215" s="69"/>
      <c r="L215" s="6" t="str">
        <f>IFERROR(VLOOKUP(A215,'Acompanhamento da Licitação'!$F$2:$N$1000,6,FALSE()),"")</f>
        <v/>
      </c>
      <c r="M215" s="6" t="str">
        <f>IFERROR(VLOOKUP(A215,'Acompanhamento da Licitação'!$F$2:$N$1000,7,FALSE()),"")</f>
        <v/>
      </c>
      <c r="N215" s="1" t="str">
        <f>IFERROR(VLOOKUP(A215,'Acompanhamento da Licitação'!$F$2:$N$1000,9,FALSE()),"")</f>
        <v/>
      </c>
      <c r="O215" s="1" t="str">
        <f t="shared" si="19"/>
        <v>Não</v>
      </c>
      <c r="P215" s="6">
        <f t="shared" si="20"/>
        <v>0</v>
      </c>
    </row>
    <row r="216" spans="1:16" ht="15.75" x14ac:dyDescent="0.25">
      <c r="A216" s="72"/>
      <c r="B216" s="41"/>
      <c r="C216" s="72"/>
      <c r="D216" s="23"/>
      <c r="E216" s="23"/>
      <c r="F216" s="61" t="str">
        <f t="shared" si="16"/>
        <v/>
      </c>
      <c r="G216" s="61" t="str">
        <f t="shared" si="17"/>
        <v/>
      </c>
      <c r="H216" s="23" t="str">
        <f t="shared" si="18"/>
        <v/>
      </c>
      <c r="I216" s="70"/>
      <c r="J216" s="70"/>
      <c r="K216" s="69"/>
      <c r="L216" s="6" t="str">
        <f>IFERROR(VLOOKUP(A216,'Acompanhamento da Licitação'!$F$2:$N$1000,6,FALSE()),"")</f>
        <v/>
      </c>
      <c r="M216" s="6" t="str">
        <f>IFERROR(VLOOKUP(A216,'Acompanhamento da Licitação'!$F$2:$N$1000,7,FALSE()),"")</f>
        <v/>
      </c>
      <c r="N216" s="1" t="str">
        <f>IFERROR(VLOOKUP(A216,'Acompanhamento da Licitação'!$F$2:$N$1000,9,FALSE()),"")</f>
        <v/>
      </c>
      <c r="O216" s="1" t="str">
        <f t="shared" si="19"/>
        <v>Não</v>
      </c>
      <c r="P216" s="6">
        <f t="shared" si="20"/>
        <v>0</v>
      </c>
    </row>
    <row r="217" spans="1:16" ht="15.75" x14ac:dyDescent="0.25">
      <c r="A217" s="72"/>
      <c r="B217" s="41"/>
      <c r="C217" s="72"/>
      <c r="D217" s="23"/>
      <c r="E217" s="23"/>
      <c r="F217" s="61" t="str">
        <f t="shared" si="16"/>
        <v/>
      </c>
      <c r="G217" s="61" t="str">
        <f t="shared" si="17"/>
        <v/>
      </c>
      <c r="H217" s="23" t="str">
        <f t="shared" si="18"/>
        <v/>
      </c>
      <c r="I217" s="70"/>
      <c r="J217" s="70"/>
      <c r="K217" s="69"/>
      <c r="L217" s="6" t="str">
        <f>IFERROR(VLOOKUP(A217,'Acompanhamento da Licitação'!$F$2:$N$1000,6,FALSE()),"")</f>
        <v/>
      </c>
      <c r="M217" s="6" t="str">
        <f>IFERROR(VLOOKUP(A217,'Acompanhamento da Licitação'!$F$2:$N$1000,7,FALSE()),"")</f>
        <v/>
      </c>
      <c r="N217" s="1" t="str">
        <f>IFERROR(VLOOKUP(A217,'Acompanhamento da Licitação'!$F$2:$N$1000,9,FALSE()),"")</f>
        <v/>
      </c>
      <c r="O217" s="1" t="str">
        <f t="shared" si="19"/>
        <v>Não</v>
      </c>
      <c r="P217" s="6">
        <f t="shared" si="20"/>
        <v>0</v>
      </c>
    </row>
    <row r="218" spans="1:16" ht="15.75" x14ac:dyDescent="0.25">
      <c r="A218" s="72"/>
      <c r="B218" s="41"/>
      <c r="C218" s="72"/>
      <c r="D218" s="23"/>
      <c r="E218" s="23"/>
      <c r="F218" s="61" t="str">
        <f t="shared" si="16"/>
        <v/>
      </c>
      <c r="G218" s="61" t="str">
        <f t="shared" si="17"/>
        <v/>
      </c>
      <c r="H218" s="23" t="str">
        <f t="shared" si="18"/>
        <v/>
      </c>
      <c r="I218" s="70"/>
      <c r="J218" s="70"/>
      <c r="K218" s="69"/>
      <c r="L218" s="6" t="str">
        <f>IFERROR(VLOOKUP(A218,'Acompanhamento da Licitação'!$F$2:$N$1000,6,FALSE()),"")</f>
        <v/>
      </c>
      <c r="M218" s="6" t="str">
        <f>IFERROR(VLOOKUP(A218,'Acompanhamento da Licitação'!$F$2:$N$1000,7,FALSE()),"")</f>
        <v/>
      </c>
      <c r="N218" s="1" t="str">
        <f>IFERROR(VLOOKUP(A218,'Acompanhamento da Licitação'!$F$2:$N$1000,9,FALSE()),"")</f>
        <v/>
      </c>
      <c r="O218" s="1" t="str">
        <f t="shared" si="19"/>
        <v>Não</v>
      </c>
      <c r="P218" s="6">
        <f t="shared" si="20"/>
        <v>0</v>
      </c>
    </row>
    <row r="219" spans="1:16" ht="15.75" x14ac:dyDescent="0.25">
      <c r="A219" s="72"/>
      <c r="B219" s="41"/>
      <c r="C219" s="72"/>
      <c r="D219" s="23"/>
      <c r="E219" s="23"/>
      <c r="F219" s="61" t="str">
        <f t="shared" si="16"/>
        <v/>
      </c>
      <c r="G219" s="61" t="str">
        <f t="shared" si="17"/>
        <v/>
      </c>
      <c r="H219" s="23" t="str">
        <f t="shared" si="18"/>
        <v/>
      </c>
      <c r="I219" s="70"/>
      <c r="J219" s="70"/>
      <c r="K219" s="69"/>
      <c r="L219" s="6" t="str">
        <f>IFERROR(VLOOKUP(A219,'Acompanhamento da Licitação'!$F$2:$N$1000,6,FALSE()),"")</f>
        <v/>
      </c>
      <c r="M219" s="6" t="str">
        <f>IFERROR(VLOOKUP(A219,'Acompanhamento da Licitação'!$F$2:$N$1000,7,FALSE()),"")</f>
        <v/>
      </c>
      <c r="N219" s="1" t="str">
        <f>IFERROR(VLOOKUP(A219,'Acompanhamento da Licitação'!$F$2:$N$1000,9,FALSE()),"")</f>
        <v/>
      </c>
      <c r="O219" s="1" t="str">
        <f t="shared" si="19"/>
        <v>Não</v>
      </c>
      <c r="P219" s="6">
        <f t="shared" si="20"/>
        <v>0</v>
      </c>
    </row>
    <row r="220" spans="1:16" ht="15.75" x14ac:dyDescent="0.25">
      <c r="A220" s="72"/>
      <c r="B220" s="41"/>
      <c r="C220" s="72"/>
      <c r="D220" s="23"/>
      <c r="E220" s="23"/>
      <c r="F220" s="61" t="str">
        <f t="shared" si="16"/>
        <v/>
      </c>
      <c r="G220" s="61" t="str">
        <f t="shared" si="17"/>
        <v/>
      </c>
      <c r="H220" s="23" t="str">
        <f t="shared" si="18"/>
        <v/>
      </c>
      <c r="I220" s="70"/>
      <c r="J220" s="70"/>
      <c r="K220" s="69"/>
      <c r="L220" s="6" t="str">
        <f>IFERROR(VLOOKUP(A220,'Acompanhamento da Licitação'!$F$2:$N$1000,6,FALSE()),"")</f>
        <v/>
      </c>
      <c r="M220" s="6" t="str">
        <f>IFERROR(VLOOKUP(A220,'Acompanhamento da Licitação'!$F$2:$N$1000,7,FALSE()),"")</f>
        <v/>
      </c>
      <c r="N220" s="1" t="str">
        <f>IFERROR(VLOOKUP(A220,'Acompanhamento da Licitação'!$F$2:$N$1000,9,FALSE()),"")</f>
        <v/>
      </c>
      <c r="O220" s="1" t="str">
        <f t="shared" si="19"/>
        <v>Não</v>
      </c>
      <c r="P220" s="6">
        <f t="shared" si="20"/>
        <v>0</v>
      </c>
    </row>
    <row r="221" spans="1:16" ht="15.75" x14ac:dyDescent="0.25">
      <c r="A221" s="72"/>
      <c r="B221" s="41"/>
      <c r="C221" s="72"/>
      <c r="D221" s="23"/>
      <c r="E221" s="23"/>
      <c r="F221" s="61" t="str">
        <f t="shared" si="16"/>
        <v/>
      </c>
      <c r="G221" s="61" t="str">
        <f t="shared" si="17"/>
        <v/>
      </c>
      <c r="H221" s="23" t="str">
        <f t="shared" si="18"/>
        <v/>
      </c>
      <c r="I221" s="70"/>
      <c r="J221" s="70"/>
      <c r="K221" s="69"/>
      <c r="L221" s="6" t="str">
        <f>IFERROR(VLOOKUP(A221,'Acompanhamento da Licitação'!$F$2:$N$1000,6,FALSE()),"")</f>
        <v/>
      </c>
      <c r="M221" s="6" t="str">
        <f>IFERROR(VLOOKUP(A221,'Acompanhamento da Licitação'!$F$2:$N$1000,7,FALSE()),"")</f>
        <v/>
      </c>
      <c r="N221" s="1" t="str">
        <f>IFERROR(VLOOKUP(A221,'Acompanhamento da Licitação'!$F$2:$N$1000,9,FALSE()),"")</f>
        <v/>
      </c>
      <c r="O221" s="1" t="str">
        <f t="shared" si="19"/>
        <v>Não</v>
      </c>
      <c r="P221" s="6">
        <f t="shared" si="20"/>
        <v>0</v>
      </c>
    </row>
    <row r="222" spans="1:16" ht="15.75" x14ac:dyDescent="0.25">
      <c r="A222" s="72"/>
      <c r="B222" s="41"/>
      <c r="C222" s="72"/>
      <c r="D222" s="23"/>
      <c r="E222" s="23"/>
      <c r="F222" s="61" t="str">
        <f t="shared" si="16"/>
        <v/>
      </c>
      <c r="G222" s="61" t="str">
        <f t="shared" si="17"/>
        <v/>
      </c>
      <c r="H222" s="23" t="str">
        <f t="shared" si="18"/>
        <v/>
      </c>
      <c r="I222" s="70"/>
      <c r="J222" s="70"/>
      <c r="K222" s="69"/>
      <c r="L222" s="6" t="str">
        <f>IFERROR(VLOOKUP(A222,'Acompanhamento da Licitação'!$F$2:$N$1000,6,FALSE()),"")</f>
        <v/>
      </c>
      <c r="M222" s="6" t="str">
        <f>IFERROR(VLOOKUP(A222,'Acompanhamento da Licitação'!$F$2:$N$1000,7,FALSE()),"")</f>
        <v/>
      </c>
      <c r="N222" s="1" t="str">
        <f>IFERROR(VLOOKUP(A222,'Acompanhamento da Licitação'!$F$2:$N$1000,9,FALSE()),"")</f>
        <v/>
      </c>
      <c r="O222" s="1" t="str">
        <f t="shared" si="19"/>
        <v>Não</v>
      </c>
      <c r="P222" s="6">
        <f t="shared" si="20"/>
        <v>0</v>
      </c>
    </row>
    <row r="223" spans="1:16" ht="15.75" x14ac:dyDescent="0.25">
      <c r="A223" s="72"/>
      <c r="B223" s="41"/>
      <c r="C223" s="72"/>
      <c r="D223" s="23"/>
      <c r="E223" s="23"/>
      <c r="F223" s="61" t="str">
        <f t="shared" si="16"/>
        <v/>
      </c>
      <c r="G223" s="61" t="str">
        <f t="shared" si="17"/>
        <v/>
      </c>
      <c r="H223" s="23" t="str">
        <f t="shared" si="18"/>
        <v/>
      </c>
      <c r="I223" s="70"/>
      <c r="J223" s="70"/>
      <c r="K223" s="69"/>
      <c r="L223" s="6" t="str">
        <f>IFERROR(VLOOKUP(A223,'Acompanhamento da Licitação'!$F$2:$N$1000,6,FALSE()),"")</f>
        <v/>
      </c>
      <c r="M223" s="6" t="str">
        <f>IFERROR(VLOOKUP(A223,'Acompanhamento da Licitação'!$F$2:$N$1000,7,FALSE()),"")</f>
        <v/>
      </c>
      <c r="N223" s="1" t="str">
        <f>IFERROR(VLOOKUP(A223,'Acompanhamento da Licitação'!$F$2:$N$1000,9,FALSE()),"")</f>
        <v/>
      </c>
      <c r="O223" s="1" t="str">
        <f t="shared" si="19"/>
        <v>Não</v>
      </c>
      <c r="P223" s="6">
        <f t="shared" si="20"/>
        <v>0</v>
      </c>
    </row>
    <row r="224" spans="1:16" ht="15.75" x14ac:dyDescent="0.25">
      <c r="A224" s="72"/>
      <c r="B224" s="41"/>
      <c r="C224" s="72"/>
      <c r="D224" s="23"/>
      <c r="E224" s="23"/>
      <c r="F224" s="61" t="str">
        <f t="shared" si="16"/>
        <v/>
      </c>
      <c r="G224" s="61" t="str">
        <f t="shared" si="17"/>
        <v/>
      </c>
      <c r="H224" s="23" t="str">
        <f t="shared" si="18"/>
        <v/>
      </c>
      <c r="I224" s="70"/>
      <c r="J224" s="70"/>
      <c r="K224" s="69"/>
      <c r="L224" s="6" t="str">
        <f>IFERROR(VLOOKUP(A224,'Acompanhamento da Licitação'!$F$2:$N$1000,6,FALSE()),"")</f>
        <v/>
      </c>
      <c r="M224" s="6" t="str">
        <f>IFERROR(VLOOKUP(A224,'Acompanhamento da Licitação'!$F$2:$N$1000,7,FALSE()),"")</f>
        <v/>
      </c>
      <c r="N224" s="1" t="str">
        <f>IFERROR(VLOOKUP(A224,'Acompanhamento da Licitação'!$F$2:$N$1000,9,FALSE()),"")</f>
        <v/>
      </c>
      <c r="O224" s="1" t="str">
        <f t="shared" si="19"/>
        <v>Não</v>
      </c>
      <c r="P224" s="6">
        <f t="shared" si="20"/>
        <v>0</v>
      </c>
    </row>
    <row r="225" spans="1:16" ht="15.75" x14ac:dyDescent="0.25">
      <c r="A225" s="72"/>
      <c r="B225" s="41"/>
      <c r="C225" s="72"/>
      <c r="D225" s="23"/>
      <c r="E225" s="23"/>
      <c r="F225" s="61" t="str">
        <f t="shared" si="16"/>
        <v/>
      </c>
      <c r="G225" s="61" t="str">
        <f t="shared" si="17"/>
        <v/>
      </c>
      <c r="H225" s="23" t="str">
        <f t="shared" si="18"/>
        <v/>
      </c>
      <c r="I225" s="70"/>
      <c r="J225" s="70"/>
      <c r="K225" s="69"/>
      <c r="L225" s="6" t="str">
        <f>IFERROR(VLOOKUP(A225,'Acompanhamento da Licitação'!$F$2:$N$1000,6,FALSE()),"")</f>
        <v/>
      </c>
      <c r="M225" s="6" t="str">
        <f>IFERROR(VLOOKUP(A225,'Acompanhamento da Licitação'!$F$2:$N$1000,7,FALSE()),"")</f>
        <v/>
      </c>
      <c r="N225" s="1" t="str">
        <f>IFERROR(VLOOKUP(A225,'Acompanhamento da Licitação'!$F$2:$N$1000,9,FALSE()),"")</f>
        <v/>
      </c>
      <c r="O225" s="1" t="str">
        <f t="shared" si="19"/>
        <v>Não</v>
      </c>
      <c r="P225" s="6">
        <f t="shared" si="20"/>
        <v>0</v>
      </c>
    </row>
    <row r="226" spans="1:16" ht="15.75" x14ac:dyDescent="0.25">
      <c r="A226" s="72"/>
      <c r="B226" s="41"/>
      <c r="C226" s="72"/>
      <c r="D226" s="23"/>
      <c r="E226" s="23"/>
      <c r="F226" s="61" t="str">
        <f t="shared" si="16"/>
        <v/>
      </c>
      <c r="G226" s="61" t="str">
        <f t="shared" si="17"/>
        <v/>
      </c>
      <c r="H226" s="23" t="str">
        <f t="shared" si="18"/>
        <v/>
      </c>
      <c r="I226" s="70"/>
      <c r="J226" s="70"/>
      <c r="K226" s="69"/>
      <c r="L226" s="6" t="str">
        <f>IFERROR(VLOOKUP(A226,'Acompanhamento da Licitação'!$F$2:$N$1000,6,FALSE()),"")</f>
        <v/>
      </c>
      <c r="M226" s="6" t="str">
        <f>IFERROR(VLOOKUP(A226,'Acompanhamento da Licitação'!$F$2:$N$1000,7,FALSE()),"")</f>
        <v/>
      </c>
      <c r="N226" s="1" t="str">
        <f>IFERROR(VLOOKUP(A226,'Acompanhamento da Licitação'!$F$2:$N$1000,9,FALSE()),"")</f>
        <v/>
      </c>
      <c r="O226" s="1" t="str">
        <f t="shared" si="19"/>
        <v>Não</v>
      </c>
      <c r="P226" s="6">
        <f t="shared" si="20"/>
        <v>0</v>
      </c>
    </row>
    <row r="227" spans="1:16" ht="15.75" x14ac:dyDescent="0.25">
      <c r="A227" s="72"/>
      <c r="B227" s="41"/>
      <c r="C227" s="72"/>
      <c r="D227" s="23"/>
      <c r="E227" s="23"/>
      <c r="F227" s="61" t="str">
        <f t="shared" si="16"/>
        <v/>
      </c>
      <c r="G227" s="61" t="str">
        <f t="shared" si="17"/>
        <v/>
      </c>
      <c r="H227" s="23" t="str">
        <f t="shared" si="18"/>
        <v/>
      </c>
      <c r="I227" s="70"/>
      <c r="J227" s="70"/>
      <c r="K227" s="69"/>
      <c r="L227" s="6" t="str">
        <f>IFERROR(VLOOKUP(A227,'Acompanhamento da Licitação'!$F$2:$N$1000,6,FALSE()),"")</f>
        <v/>
      </c>
      <c r="M227" s="6" t="str">
        <f>IFERROR(VLOOKUP(A227,'Acompanhamento da Licitação'!$F$2:$N$1000,7,FALSE()),"")</f>
        <v/>
      </c>
      <c r="N227" s="1" t="str">
        <f>IFERROR(VLOOKUP(A227,'Acompanhamento da Licitação'!$F$2:$N$1000,9,FALSE()),"")</f>
        <v/>
      </c>
      <c r="O227" s="1" t="str">
        <f t="shared" si="19"/>
        <v>Não</v>
      </c>
      <c r="P227" s="6">
        <f t="shared" si="20"/>
        <v>0</v>
      </c>
    </row>
    <row r="228" spans="1:16" ht="15.75" x14ac:dyDescent="0.25">
      <c r="A228" s="72"/>
      <c r="B228" s="41"/>
      <c r="C228" s="72"/>
      <c r="D228" s="23"/>
      <c r="E228" s="23"/>
      <c r="F228" s="61" t="str">
        <f t="shared" si="16"/>
        <v/>
      </c>
      <c r="G228" s="61" t="str">
        <f t="shared" si="17"/>
        <v/>
      </c>
      <c r="H228" s="23" t="str">
        <f t="shared" si="18"/>
        <v/>
      </c>
      <c r="I228" s="70"/>
      <c r="J228" s="70"/>
      <c r="K228" s="69"/>
      <c r="L228" s="6" t="str">
        <f>IFERROR(VLOOKUP(A228,'Acompanhamento da Licitação'!$F$2:$N$1000,6,FALSE()),"")</f>
        <v/>
      </c>
      <c r="M228" s="6" t="str">
        <f>IFERROR(VLOOKUP(A228,'Acompanhamento da Licitação'!$F$2:$N$1000,7,FALSE()),"")</f>
        <v/>
      </c>
      <c r="N228" s="1" t="str">
        <f>IFERROR(VLOOKUP(A228,'Acompanhamento da Licitação'!$F$2:$N$1000,9,FALSE()),"")</f>
        <v/>
      </c>
      <c r="O228" s="1" t="str">
        <f t="shared" si="19"/>
        <v>Não</v>
      </c>
      <c r="P228" s="6">
        <f t="shared" si="20"/>
        <v>0</v>
      </c>
    </row>
    <row r="229" spans="1:16" ht="15.75" x14ac:dyDescent="0.25">
      <c r="A229" s="72"/>
      <c r="B229" s="41"/>
      <c r="C229" s="72"/>
      <c r="D229" s="23"/>
      <c r="E229" s="23"/>
      <c r="F229" s="61" t="str">
        <f t="shared" si="16"/>
        <v/>
      </c>
      <c r="G229" s="61" t="str">
        <f t="shared" si="17"/>
        <v/>
      </c>
      <c r="H229" s="23" t="str">
        <f t="shared" si="18"/>
        <v/>
      </c>
      <c r="I229" s="70"/>
      <c r="J229" s="70"/>
      <c r="K229" s="69"/>
      <c r="L229" s="6" t="str">
        <f>IFERROR(VLOOKUP(A229,'Acompanhamento da Licitação'!$F$2:$N$1000,6,FALSE()),"")</f>
        <v/>
      </c>
      <c r="M229" s="6" t="str">
        <f>IFERROR(VLOOKUP(A229,'Acompanhamento da Licitação'!$F$2:$N$1000,7,FALSE()),"")</f>
        <v/>
      </c>
      <c r="N229" s="1" t="str">
        <f>IFERROR(VLOOKUP(A229,'Acompanhamento da Licitação'!$F$2:$N$1000,9,FALSE()),"")</f>
        <v/>
      </c>
      <c r="O229" s="1" t="str">
        <f t="shared" si="19"/>
        <v>Não</v>
      </c>
      <c r="P229" s="6">
        <f t="shared" si="20"/>
        <v>0</v>
      </c>
    </row>
    <row r="230" spans="1:16" ht="15.75" x14ac:dyDescent="0.25">
      <c r="A230" s="72"/>
      <c r="B230" s="41"/>
      <c r="C230" s="72"/>
      <c r="D230" s="23"/>
      <c r="E230" s="23"/>
      <c r="F230" s="61" t="str">
        <f t="shared" si="16"/>
        <v/>
      </c>
      <c r="G230" s="61" t="str">
        <f t="shared" si="17"/>
        <v/>
      </c>
      <c r="H230" s="23" t="str">
        <f t="shared" si="18"/>
        <v/>
      </c>
      <c r="I230" s="70"/>
      <c r="J230" s="70"/>
      <c r="K230" s="69"/>
      <c r="L230" s="6" t="str">
        <f>IFERROR(VLOOKUP(A230,'Acompanhamento da Licitação'!$F$2:$N$1000,6,FALSE()),"")</f>
        <v/>
      </c>
      <c r="M230" s="6" t="str">
        <f>IFERROR(VLOOKUP(A230,'Acompanhamento da Licitação'!$F$2:$N$1000,7,FALSE()),"")</f>
        <v/>
      </c>
      <c r="N230" s="1" t="str">
        <f>IFERROR(VLOOKUP(A230,'Acompanhamento da Licitação'!$F$2:$N$1000,9,FALSE()),"")</f>
        <v/>
      </c>
      <c r="O230" s="1" t="str">
        <f t="shared" si="19"/>
        <v>Não</v>
      </c>
      <c r="P230" s="6">
        <f t="shared" si="20"/>
        <v>0</v>
      </c>
    </row>
    <row r="231" spans="1:16" ht="15.75" x14ac:dyDescent="0.25">
      <c r="A231" s="72"/>
      <c r="B231" s="41"/>
      <c r="C231" s="72"/>
      <c r="D231" s="23"/>
      <c r="E231" s="23"/>
      <c r="F231" s="61" t="str">
        <f t="shared" si="16"/>
        <v/>
      </c>
      <c r="G231" s="61" t="str">
        <f t="shared" si="17"/>
        <v/>
      </c>
      <c r="H231" s="23" t="str">
        <f t="shared" si="18"/>
        <v/>
      </c>
      <c r="I231" s="70"/>
      <c r="J231" s="70"/>
      <c r="K231" s="69"/>
      <c r="L231" s="6" t="str">
        <f>IFERROR(VLOOKUP(A231,'Acompanhamento da Licitação'!$F$2:$N$1000,6,FALSE()),"")</f>
        <v/>
      </c>
      <c r="M231" s="6" t="str">
        <f>IFERROR(VLOOKUP(A231,'Acompanhamento da Licitação'!$F$2:$N$1000,7,FALSE()),"")</f>
        <v/>
      </c>
      <c r="N231" s="1" t="str">
        <f>IFERROR(VLOOKUP(A231,'Acompanhamento da Licitação'!$F$2:$N$1000,9,FALSE()),"")</f>
        <v/>
      </c>
      <c r="O231" s="1" t="str">
        <f t="shared" si="19"/>
        <v>Não</v>
      </c>
      <c r="P231" s="6">
        <f t="shared" si="20"/>
        <v>0</v>
      </c>
    </row>
    <row r="232" spans="1:16" ht="15.75" x14ac:dyDescent="0.25">
      <c r="A232" s="72"/>
      <c r="B232" s="41"/>
      <c r="C232" s="72"/>
      <c r="D232" s="23"/>
      <c r="E232" s="23"/>
      <c r="F232" s="61" t="str">
        <f t="shared" si="16"/>
        <v/>
      </c>
      <c r="G232" s="61" t="str">
        <f t="shared" si="17"/>
        <v/>
      </c>
      <c r="H232" s="23" t="str">
        <f t="shared" si="18"/>
        <v/>
      </c>
      <c r="I232" s="70"/>
      <c r="J232" s="70"/>
      <c r="K232" s="69"/>
      <c r="L232" s="6" t="str">
        <f>IFERROR(VLOOKUP(A232,'Acompanhamento da Licitação'!$F$2:$N$1000,6,FALSE()),"")</f>
        <v/>
      </c>
      <c r="M232" s="6" t="str">
        <f>IFERROR(VLOOKUP(A232,'Acompanhamento da Licitação'!$F$2:$N$1000,7,FALSE()),"")</f>
        <v/>
      </c>
      <c r="N232" s="1" t="str">
        <f>IFERROR(VLOOKUP(A232,'Acompanhamento da Licitação'!$F$2:$N$1000,9,FALSE()),"")</f>
        <v/>
      </c>
      <c r="O232" s="1" t="str">
        <f t="shared" si="19"/>
        <v>Não</v>
      </c>
      <c r="P232" s="6">
        <f t="shared" si="20"/>
        <v>0</v>
      </c>
    </row>
    <row r="233" spans="1:16" ht="15.75" x14ac:dyDescent="0.25">
      <c r="A233" s="72"/>
      <c r="B233" s="41"/>
      <c r="C233" s="72"/>
      <c r="D233" s="23"/>
      <c r="E233" s="23"/>
      <c r="F233" s="61" t="str">
        <f t="shared" si="16"/>
        <v/>
      </c>
      <c r="G233" s="61" t="str">
        <f t="shared" si="17"/>
        <v/>
      </c>
      <c r="H233" s="23" t="str">
        <f t="shared" si="18"/>
        <v/>
      </c>
      <c r="I233" s="70"/>
      <c r="J233" s="70"/>
      <c r="K233" s="69"/>
      <c r="L233" s="6" t="str">
        <f>IFERROR(VLOOKUP(A233,'Acompanhamento da Licitação'!$F$2:$N$1000,6,FALSE()),"")</f>
        <v/>
      </c>
      <c r="M233" s="6" t="str">
        <f>IFERROR(VLOOKUP(A233,'Acompanhamento da Licitação'!$F$2:$N$1000,7,FALSE()),"")</f>
        <v/>
      </c>
      <c r="N233" s="1" t="str">
        <f>IFERROR(VLOOKUP(A233,'Acompanhamento da Licitação'!$F$2:$N$1000,9,FALSE()),"")</f>
        <v/>
      </c>
      <c r="O233" s="1" t="str">
        <f t="shared" si="19"/>
        <v>Não</v>
      </c>
      <c r="P233" s="6">
        <f t="shared" si="20"/>
        <v>0</v>
      </c>
    </row>
    <row r="234" spans="1:16" ht="15.75" x14ac:dyDescent="0.25">
      <c r="A234" s="72"/>
      <c r="B234" s="41"/>
      <c r="C234" s="72"/>
      <c r="D234" s="23"/>
      <c r="E234" s="23"/>
      <c r="F234" s="61" t="str">
        <f t="shared" si="16"/>
        <v/>
      </c>
      <c r="G234" s="61" t="str">
        <f t="shared" si="17"/>
        <v/>
      </c>
      <c r="H234" s="23" t="str">
        <f t="shared" si="18"/>
        <v/>
      </c>
      <c r="I234" s="70"/>
      <c r="J234" s="70"/>
      <c r="K234" s="69"/>
      <c r="L234" s="6" t="str">
        <f>IFERROR(VLOOKUP(A234,'Acompanhamento da Licitação'!$F$2:$N$1000,6,FALSE()),"")</f>
        <v/>
      </c>
      <c r="M234" s="6" t="str">
        <f>IFERROR(VLOOKUP(A234,'Acompanhamento da Licitação'!$F$2:$N$1000,7,FALSE()),"")</f>
        <v/>
      </c>
      <c r="N234" s="1" t="str">
        <f>IFERROR(VLOOKUP(A234,'Acompanhamento da Licitação'!$F$2:$N$1000,9,FALSE()),"")</f>
        <v/>
      </c>
      <c r="O234" s="1" t="str">
        <f t="shared" si="19"/>
        <v>Não</v>
      </c>
      <c r="P234" s="6">
        <f t="shared" si="20"/>
        <v>0</v>
      </c>
    </row>
    <row r="235" spans="1:16" ht="15.75" x14ac:dyDescent="0.25">
      <c r="A235" s="72"/>
      <c r="B235" s="41"/>
      <c r="C235" s="72"/>
      <c r="D235" s="23"/>
      <c r="E235" s="23"/>
      <c r="F235" s="61" t="str">
        <f t="shared" si="16"/>
        <v/>
      </c>
      <c r="G235" s="61" t="str">
        <f t="shared" si="17"/>
        <v/>
      </c>
      <c r="H235" s="23" t="str">
        <f t="shared" si="18"/>
        <v/>
      </c>
      <c r="I235" s="70"/>
      <c r="J235" s="70"/>
      <c r="K235" s="69"/>
      <c r="L235" s="6" t="str">
        <f>IFERROR(VLOOKUP(A235,'Acompanhamento da Licitação'!$F$2:$N$1000,6,FALSE()),"")</f>
        <v/>
      </c>
      <c r="M235" s="6" t="str">
        <f>IFERROR(VLOOKUP(A235,'Acompanhamento da Licitação'!$F$2:$N$1000,7,FALSE()),"")</f>
        <v/>
      </c>
      <c r="N235" s="1" t="str">
        <f>IFERROR(VLOOKUP(A235,'Acompanhamento da Licitação'!$F$2:$N$1000,9,FALSE()),"")</f>
        <v/>
      </c>
      <c r="O235" s="1" t="str">
        <f t="shared" si="19"/>
        <v>Não</v>
      </c>
      <c r="P235" s="6">
        <f t="shared" si="20"/>
        <v>0</v>
      </c>
    </row>
    <row r="236" spans="1:16" ht="15.75" x14ac:dyDescent="0.25">
      <c r="A236" s="72"/>
      <c r="B236" s="41"/>
      <c r="C236" s="72"/>
      <c r="D236" s="23"/>
      <c r="E236" s="23"/>
      <c r="F236" s="61" t="str">
        <f t="shared" si="16"/>
        <v/>
      </c>
      <c r="G236" s="61" t="str">
        <f t="shared" si="17"/>
        <v/>
      </c>
      <c r="H236" s="23" t="str">
        <f t="shared" si="18"/>
        <v/>
      </c>
      <c r="I236" s="70"/>
      <c r="J236" s="70"/>
      <c r="K236" s="69"/>
      <c r="L236" s="6" t="str">
        <f>IFERROR(VLOOKUP(A236,'Acompanhamento da Licitação'!$F$2:$N$1000,6,FALSE()),"")</f>
        <v/>
      </c>
      <c r="M236" s="6" t="str">
        <f>IFERROR(VLOOKUP(A236,'Acompanhamento da Licitação'!$F$2:$N$1000,7,FALSE()),"")</f>
        <v/>
      </c>
      <c r="N236" s="1" t="str">
        <f>IFERROR(VLOOKUP(A236,'Acompanhamento da Licitação'!$F$2:$N$1000,9,FALSE()),"")</f>
        <v/>
      </c>
      <c r="O236" s="1" t="str">
        <f t="shared" si="19"/>
        <v>Não</v>
      </c>
      <c r="P236" s="6">
        <f t="shared" si="20"/>
        <v>0</v>
      </c>
    </row>
    <row r="237" spans="1:16" ht="15.75" x14ac:dyDescent="0.25">
      <c r="A237" s="72"/>
      <c r="B237" s="41"/>
      <c r="C237" s="72"/>
      <c r="D237" s="23"/>
      <c r="E237" s="23"/>
      <c r="F237" s="61" t="str">
        <f t="shared" si="16"/>
        <v/>
      </c>
      <c r="G237" s="61" t="str">
        <f t="shared" si="17"/>
        <v/>
      </c>
      <c r="H237" s="23" t="str">
        <f t="shared" si="18"/>
        <v/>
      </c>
      <c r="I237" s="70"/>
      <c r="J237" s="70"/>
      <c r="K237" s="69"/>
      <c r="L237" s="6" t="str">
        <f>IFERROR(VLOOKUP(A237,'Acompanhamento da Licitação'!$F$2:$N$1000,6,FALSE()),"")</f>
        <v/>
      </c>
      <c r="M237" s="6" t="str">
        <f>IFERROR(VLOOKUP(A237,'Acompanhamento da Licitação'!$F$2:$N$1000,7,FALSE()),"")</f>
        <v/>
      </c>
      <c r="N237" s="1" t="str">
        <f>IFERROR(VLOOKUP(A237,'Acompanhamento da Licitação'!$F$2:$N$1000,9,FALSE()),"")</f>
        <v/>
      </c>
      <c r="O237" s="1" t="str">
        <f t="shared" si="19"/>
        <v>Não</v>
      </c>
      <c r="P237" s="6">
        <f t="shared" si="20"/>
        <v>0</v>
      </c>
    </row>
    <row r="238" spans="1:16" ht="15.75" x14ac:dyDescent="0.25">
      <c r="A238" s="72"/>
      <c r="B238" s="41"/>
      <c r="C238" s="72"/>
      <c r="D238" s="23"/>
      <c r="E238" s="23"/>
      <c r="F238" s="61" t="str">
        <f t="shared" si="16"/>
        <v/>
      </c>
      <c r="G238" s="61" t="str">
        <f t="shared" si="17"/>
        <v/>
      </c>
      <c r="H238" s="23" t="str">
        <f t="shared" si="18"/>
        <v/>
      </c>
      <c r="I238" s="70"/>
      <c r="J238" s="70"/>
      <c r="K238" s="69"/>
      <c r="L238" s="6" t="str">
        <f>IFERROR(VLOOKUP(A238,'Acompanhamento da Licitação'!$F$2:$N$1000,6,FALSE()),"")</f>
        <v/>
      </c>
      <c r="M238" s="6" t="str">
        <f>IFERROR(VLOOKUP(A238,'Acompanhamento da Licitação'!$F$2:$N$1000,7,FALSE()),"")</f>
        <v/>
      </c>
      <c r="N238" s="1" t="str">
        <f>IFERROR(VLOOKUP(A238,'Acompanhamento da Licitação'!$F$2:$N$1000,9,FALSE()),"")</f>
        <v/>
      </c>
      <c r="O238" s="1" t="str">
        <f t="shared" si="19"/>
        <v>Não</v>
      </c>
      <c r="P238" s="6">
        <f t="shared" si="20"/>
        <v>0</v>
      </c>
    </row>
    <row r="239" spans="1:16" ht="15.75" x14ac:dyDescent="0.25">
      <c r="A239" s="72"/>
      <c r="B239" s="41"/>
      <c r="C239" s="72"/>
      <c r="D239" s="23"/>
      <c r="E239" s="23"/>
      <c r="F239" s="61" t="str">
        <f t="shared" si="16"/>
        <v/>
      </c>
      <c r="G239" s="61" t="str">
        <f t="shared" si="17"/>
        <v/>
      </c>
      <c r="H239" s="23" t="str">
        <f t="shared" si="18"/>
        <v/>
      </c>
      <c r="I239" s="70"/>
      <c r="J239" s="70"/>
      <c r="K239" s="69"/>
      <c r="L239" s="6" t="str">
        <f>IFERROR(VLOOKUP(A239,'Acompanhamento da Licitação'!$F$2:$N$1000,6,FALSE()),"")</f>
        <v/>
      </c>
      <c r="M239" s="6" t="str">
        <f>IFERROR(VLOOKUP(A239,'Acompanhamento da Licitação'!$F$2:$N$1000,7,FALSE()),"")</f>
        <v/>
      </c>
      <c r="N239" s="1" t="str">
        <f>IFERROR(VLOOKUP(A239,'Acompanhamento da Licitação'!$F$2:$N$1000,9,FALSE()),"")</f>
        <v/>
      </c>
      <c r="O239" s="1" t="str">
        <f t="shared" si="19"/>
        <v>Não</v>
      </c>
      <c r="P239" s="6">
        <f t="shared" si="20"/>
        <v>0</v>
      </c>
    </row>
    <row r="240" spans="1:16" ht="15.75" x14ac:dyDescent="0.25">
      <c r="A240" s="72"/>
      <c r="B240" s="41"/>
      <c r="C240" s="72"/>
      <c r="D240" s="23"/>
      <c r="E240" s="23"/>
      <c r="F240" s="61" t="str">
        <f t="shared" si="16"/>
        <v/>
      </c>
      <c r="G240" s="61" t="str">
        <f t="shared" si="17"/>
        <v/>
      </c>
      <c r="H240" s="23" t="str">
        <f t="shared" si="18"/>
        <v/>
      </c>
      <c r="I240" s="70"/>
      <c r="J240" s="70"/>
      <c r="K240" s="69"/>
      <c r="L240" s="6" t="str">
        <f>IFERROR(VLOOKUP(A240,'Acompanhamento da Licitação'!$F$2:$N$1000,6,FALSE()),"")</f>
        <v/>
      </c>
      <c r="M240" s="6" t="str">
        <f>IFERROR(VLOOKUP(A240,'Acompanhamento da Licitação'!$F$2:$N$1000,7,FALSE()),"")</f>
        <v/>
      </c>
      <c r="N240" s="1" t="str">
        <f>IFERROR(VLOOKUP(A240,'Acompanhamento da Licitação'!$F$2:$N$1000,9,FALSE()),"")</f>
        <v/>
      </c>
      <c r="O240" s="1" t="str">
        <f t="shared" si="19"/>
        <v>Não</v>
      </c>
      <c r="P240" s="6">
        <f t="shared" si="20"/>
        <v>0</v>
      </c>
    </row>
    <row r="241" spans="1:16" ht="15.75" x14ac:dyDescent="0.25">
      <c r="A241" s="72"/>
      <c r="B241" s="41"/>
      <c r="C241" s="72"/>
      <c r="D241" s="23"/>
      <c r="E241" s="23"/>
      <c r="F241" s="61" t="str">
        <f t="shared" si="16"/>
        <v/>
      </c>
      <c r="G241" s="61" t="str">
        <f t="shared" si="17"/>
        <v/>
      </c>
      <c r="H241" s="23" t="str">
        <f t="shared" si="18"/>
        <v/>
      </c>
      <c r="I241" s="70"/>
      <c r="J241" s="70"/>
      <c r="K241" s="69"/>
      <c r="L241" s="6" t="str">
        <f>IFERROR(VLOOKUP(A241,'Acompanhamento da Licitação'!$F$2:$N$1000,6,FALSE()),"")</f>
        <v/>
      </c>
      <c r="M241" s="6" t="str">
        <f>IFERROR(VLOOKUP(A241,'Acompanhamento da Licitação'!$F$2:$N$1000,7,FALSE()),"")</f>
        <v/>
      </c>
      <c r="N241" s="1" t="str">
        <f>IFERROR(VLOOKUP(A241,'Acompanhamento da Licitação'!$F$2:$N$1000,9,FALSE()),"")</f>
        <v/>
      </c>
      <c r="O241" s="1" t="str">
        <f t="shared" si="19"/>
        <v>Não</v>
      </c>
      <c r="P241" s="6">
        <f t="shared" si="20"/>
        <v>0</v>
      </c>
    </row>
    <row r="242" spans="1:16" ht="15.75" x14ac:dyDescent="0.25">
      <c r="A242" s="72"/>
      <c r="B242" s="41"/>
      <c r="C242" s="72"/>
      <c r="D242" s="23"/>
      <c r="E242" s="23"/>
      <c r="F242" s="61" t="str">
        <f t="shared" si="16"/>
        <v/>
      </c>
      <c r="G242" s="61" t="str">
        <f t="shared" si="17"/>
        <v/>
      </c>
      <c r="H242" s="23" t="str">
        <f t="shared" si="18"/>
        <v/>
      </c>
      <c r="I242" s="70"/>
      <c r="J242" s="70"/>
      <c r="K242" s="69"/>
      <c r="L242" s="6" t="str">
        <f>IFERROR(VLOOKUP(A242,'Acompanhamento da Licitação'!$F$2:$N$1000,6,FALSE()),"")</f>
        <v/>
      </c>
      <c r="M242" s="6" t="str">
        <f>IFERROR(VLOOKUP(A242,'Acompanhamento da Licitação'!$F$2:$N$1000,7,FALSE()),"")</f>
        <v/>
      </c>
      <c r="N242" s="1" t="str">
        <f>IFERROR(VLOOKUP(A242,'Acompanhamento da Licitação'!$F$2:$N$1000,9,FALSE()),"")</f>
        <v/>
      </c>
      <c r="O242" s="1" t="str">
        <f t="shared" si="19"/>
        <v>Não</v>
      </c>
      <c r="P242" s="6">
        <f t="shared" si="20"/>
        <v>0</v>
      </c>
    </row>
    <row r="243" spans="1:16" ht="15.75" x14ac:dyDescent="0.25">
      <c r="A243" s="72"/>
      <c r="B243" s="41"/>
      <c r="C243" s="72"/>
      <c r="D243" s="23"/>
      <c r="E243" s="23"/>
      <c r="F243" s="61" t="str">
        <f t="shared" si="16"/>
        <v/>
      </c>
      <c r="G243" s="61" t="str">
        <f t="shared" si="17"/>
        <v/>
      </c>
      <c r="H243" s="23" t="str">
        <f t="shared" si="18"/>
        <v/>
      </c>
      <c r="I243" s="70"/>
      <c r="J243" s="70"/>
      <c r="K243" s="69"/>
      <c r="L243" s="6" t="str">
        <f>IFERROR(VLOOKUP(A243,'Acompanhamento da Licitação'!$F$2:$N$1000,6,FALSE()),"")</f>
        <v/>
      </c>
      <c r="M243" s="6" t="str">
        <f>IFERROR(VLOOKUP(A243,'Acompanhamento da Licitação'!$F$2:$N$1000,7,FALSE()),"")</f>
        <v/>
      </c>
      <c r="N243" s="1" t="str">
        <f>IFERROR(VLOOKUP(A243,'Acompanhamento da Licitação'!$F$2:$N$1000,9,FALSE()),"")</f>
        <v/>
      </c>
      <c r="O243" s="1" t="str">
        <f t="shared" si="19"/>
        <v>Não</v>
      </c>
      <c r="P243" s="6">
        <f t="shared" si="20"/>
        <v>0</v>
      </c>
    </row>
    <row r="244" spans="1:16" ht="15.75" x14ac:dyDescent="0.25">
      <c r="A244" s="72"/>
      <c r="B244" s="41"/>
      <c r="C244" s="72"/>
      <c r="D244" s="23"/>
      <c r="E244" s="23"/>
      <c r="F244" s="61" t="str">
        <f t="shared" si="16"/>
        <v/>
      </c>
      <c r="G244" s="61" t="str">
        <f t="shared" si="17"/>
        <v/>
      </c>
      <c r="H244" s="23" t="str">
        <f t="shared" si="18"/>
        <v/>
      </c>
      <c r="I244" s="70"/>
      <c r="J244" s="70"/>
      <c r="K244" s="69"/>
      <c r="L244" s="6" t="str">
        <f>IFERROR(VLOOKUP(A244,'Acompanhamento da Licitação'!$F$2:$N$1000,6,FALSE()),"")</f>
        <v/>
      </c>
      <c r="M244" s="6" t="str">
        <f>IFERROR(VLOOKUP(A244,'Acompanhamento da Licitação'!$F$2:$N$1000,7,FALSE()),"")</f>
        <v/>
      </c>
      <c r="N244" s="1" t="str">
        <f>IFERROR(VLOOKUP(A244,'Acompanhamento da Licitação'!$F$2:$N$1000,9,FALSE()),"")</f>
        <v/>
      </c>
      <c r="O244" s="1" t="str">
        <f t="shared" si="19"/>
        <v>Não</v>
      </c>
      <c r="P244" s="6">
        <f t="shared" si="20"/>
        <v>0</v>
      </c>
    </row>
    <row r="245" spans="1:16" ht="15.75" x14ac:dyDescent="0.25">
      <c r="A245" s="72"/>
      <c r="B245" s="41"/>
      <c r="C245" s="72"/>
      <c r="D245" s="23"/>
      <c r="E245" s="23"/>
      <c r="F245" s="61" t="str">
        <f t="shared" si="16"/>
        <v/>
      </c>
      <c r="G245" s="61" t="str">
        <f t="shared" si="17"/>
        <v/>
      </c>
      <c r="H245" s="23" t="str">
        <f t="shared" si="18"/>
        <v/>
      </c>
      <c r="I245" s="70"/>
      <c r="J245" s="70"/>
      <c r="K245" s="69"/>
      <c r="L245" s="6" t="str">
        <f>IFERROR(VLOOKUP(A245,'Acompanhamento da Licitação'!$F$2:$N$1000,6,FALSE()),"")</f>
        <v/>
      </c>
      <c r="M245" s="6" t="str">
        <f>IFERROR(VLOOKUP(A245,'Acompanhamento da Licitação'!$F$2:$N$1000,7,FALSE()),"")</f>
        <v/>
      </c>
      <c r="N245" s="1" t="str">
        <f>IFERROR(VLOOKUP(A245,'Acompanhamento da Licitação'!$F$2:$N$1000,9,FALSE()),"")</f>
        <v/>
      </c>
      <c r="O245" s="1" t="str">
        <f t="shared" si="19"/>
        <v>Não</v>
      </c>
      <c r="P245" s="6">
        <f t="shared" si="20"/>
        <v>0</v>
      </c>
    </row>
    <row r="246" spans="1:16" ht="15.75" x14ac:dyDescent="0.25">
      <c r="A246" s="72"/>
      <c r="B246" s="41"/>
      <c r="C246" s="72"/>
      <c r="D246" s="23"/>
      <c r="E246" s="23"/>
      <c r="F246" s="61" t="str">
        <f t="shared" si="16"/>
        <v/>
      </c>
      <c r="G246" s="61" t="str">
        <f t="shared" si="17"/>
        <v/>
      </c>
      <c r="H246" s="23" t="str">
        <f t="shared" si="18"/>
        <v/>
      </c>
      <c r="I246" s="70"/>
      <c r="J246" s="70"/>
      <c r="K246" s="69"/>
      <c r="L246" s="6" t="str">
        <f>IFERROR(VLOOKUP(A246,'Acompanhamento da Licitação'!$F$2:$N$1000,6,FALSE()),"")</f>
        <v/>
      </c>
      <c r="M246" s="6" t="str">
        <f>IFERROR(VLOOKUP(A246,'Acompanhamento da Licitação'!$F$2:$N$1000,7,FALSE()),"")</f>
        <v/>
      </c>
      <c r="N246" s="1" t="str">
        <f>IFERROR(VLOOKUP(A246,'Acompanhamento da Licitação'!$F$2:$N$1000,9,FALSE()),"")</f>
        <v/>
      </c>
      <c r="O246" s="1" t="str">
        <f t="shared" si="19"/>
        <v>Não</v>
      </c>
      <c r="P246" s="6">
        <f t="shared" si="20"/>
        <v>0</v>
      </c>
    </row>
    <row r="247" spans="1:16" ht="15.75" x14ac:dyDescent="0.25">
      <c r="A247" s="72"/>
      <c r="B247" s="41"/>
      <c r="C247" s="72"/>
      <c r="D247" s="23"/>
      <c r="E247" s="23"/>
      <c r="F247" s="61" t="str">
        <f t="shared" si="16"/>
        <v/>
      </c>
      <c r="G247" s="61" t="str">
        <f t="shared" si="17"/>
        <v/>
      </c>
      <c r="H247" s="23" t="str">
        <f t="shared" si="18"/>
        <v/>
      </c>
      <c r="I247" s="70"/>
      <c r="J247" s="70"/>
      <c r="K247" s="69"/>
      <c r="L247" s="6" t="str">
        <f>IFERROR(VLOOKUP(A247,'Acompanhamento da Licitação'!$F$2:$N$1000,6,FALSE()),"")</f>
        <v/>
      </c>
      <c r="M247" s="6" t="str">
        <f>IFERROR(VLOOKUP(A247,'Acompanhamento da Licitação'!$F$2:$N$1000,7,FALSE()),"")</f>
        <v/>
      </c>
      <c r="N247" s="1" t="str">
        <f>IFERROR(VLOOKUP(A247,'Acompanhamento da Licitação'!$F$2:$N$1000,9,FALSE()),"")</f>
        <v/>
      </c>
      <c r="O247" s="1" t="str">
        <f t="shared" si="19"/>
        <v>Não</v>
      </c>
      <c r="P247" s="6">
        <f t="shared" si="20"/>
        <v>0</v>
      </c>
    </row>
    <row r="248" spans="1:16" ht="15.75" x14ac:dyDescent="0.25">
      <c r="A248" s="72"/>
      <c r="B248" s="41"/>
      <c r="C248" s="72"/>
      <c r="D248" s="23"/>
      <c r="E248" s="23"/>
      <c r="F248" s="61" t="str">
        <f t="shared" si="16"/>
        <v/>
      </c>
      <c r="G248" s="61" t="str">
        <f t="shared" si="17"/>
        <v/>
      </c>
      <c r="H248" s="23" t="str">
        <f t="shared" si="18"/>
        <v/>
      </c>
      <c r="I248" s="70"/>
      <c r="J248" s="70"/>
      <c r="K248" s="69"/>
      <c r="L248" s="6" t="str">
        <f>IFERROR(VLOOKUP(A248,'Acompanhamento da Licitação'!$F$2:$N$1000,6,FALSE()),"")</f>
        <v/>
      </c>
      <c r="M248" s="6" t="str">
        <f>IFERROR(VLOOKUP(A248,'Acompanhamento da Licitação'!$F$2:$N$1000,7,FALSE()),"")</f>
        <v/>
      </c>
      <c r="N248" s="1" t="str">
        <f>IFERROR(VLOOKUP(A248,'Acompanhamento da Licitação'!$F$2:$N$1000,9,FALSE()),"")</f>
        <v/>
      </c>
      <c r="O248" s="1" t="str">
        <f t="shared" si="19"/>
        <v>Não</v>
      </c>
      <c r="P248" s="6">
        <f t="shared" si="20"/>
        <v>0</v>
      </c>
    </row>
    <row r="249" spans="1:16" ht="15.75" x14ac:dyDescent="0.25">
      <c r="A249" s="72"/>
      <c r="B249" s="41"/>
      <c r="C249" s="72"/>
      <c r="D249" s="23"/>
      <c r="E249" s="23"/>
      <c r="F249" s="61" t="str">
        <f t="shared" si="16"/>
        <v/>
      </c>
      <c r="G249" s="61" t="str">
        <f t="shared" si="17"/>
        <v/>
      </c>
      <c r="H249" s="23" t="str">
        <f t="shared" si="18"/>
        <v/>
      </c>
      <c r="I249" s="70"/>
      <c r="J249" s="70"/>
      <c r="K249" s="69"/>
      <c r="L249" s="6" t="str">
        <f>IFERROR(VLOOKUP(A249,'Acompanhamento da Licitação'!$F$2:$N$1000,6,FALSE()),"")</f>
        <v/>
      </c>
      <c r="M249" s="6" t="str">
        <f>IFERROR(VLOOKUP(A249,'Acompanhamento da Licitação'!$F$2:$N$1000,7,FALSE()),"")</f>
        <v/>
      </c>
      <c r="N249" s="1" t="str">
        <f>IFERROR(VLOOKUP(A249,'Acompanhamento da Licitação'!$F$2:$N$1000,9,FALSE()),"")</f>
        <v/>
      </c>
      <c r="O249" s="1" t="str">
        <f t="shared" si="19"/>
        <v>Não</v>
      </c>
      <c r="P249" s="6">
        <f t="shared" si="20"/>
        <v>0</v>
      </c>
    </row>
    <row r="250" spans="1:16" ht="15.75" x14ac:dyDescent="0.25">
      <c r="A250" s="72"/>
      <c r="B250" s="41"/>
      <c r="C250" s="72"/>
      <c r="D250" s="23"/>
      <c r="E250" s="23"/>
      <c r="F250" s="61" t="str">
        <f t="shared" si="16"/>
        <v/>
      </c>
      <c r="G250" s="61" t="str">
        <f t="shared" si="17"/>
        <v/>
      </c>
      <c r="H250" s="23" t="str">
        <f t="shared" si="18"/>
        <v/>
      </c>
      <c r="I250" s="70"/>
      <c r="J250" s="70"/>
      <c r="K250" s="69"/>
      <c r="L250" s="6" t="str">
        <f>IFERROR(VLOOKUP(A250,'Acompanhamento da Licitação'!$F$2:$N$1000,6,FALSE()),"")</f>
        <v/>
      </c>
      <c r="M250" s="6" t="str">
        <f>IFERROR(VLOOKUP(A250,'Acompanhamento da Licitação'!$F$2:$N$1000,7,FALSE()),"")</f>
        <v/>
      </c>
      <c r="N250" s="1" t="str">
        <f>IFERROR(VLOOKUP(A250,'Acompanhamento da Licitação'!$F$2:$N$1000,9,FALSE()),"")</f>
        <v/>
      </c>
      <c r="O250" s="1" t="str">
        <f t="shared" si="19"/>
        <v>Não</v>
      </c>
      <c r="P250" s="6">
        <f t="shared" si="20"/>
        <v>0</v>
      </c>
    </row>
    <row r="251" spans="1:16" ht="15.75" x14ac:dyDescent="0.25">
      <c r="A251" s="72"/>
      <c r="B251" s="41"/>
      <c r="C251" s="72"/>
      <c r="D251" s="23"/>
      <c r="E251" s="23"/>
      <c r="F251" s="61" t="str">
        <f t="shared" si="16"/>
        <v/>
      </c>
      <c r="G251" s="61" t="str">
        <f t="shared" si="17"/>
        <v/>
      </c>
      <c r="H251" s="23" t="str">
        <f t="shared" si="18"/>
        <v/>
      </c>
      <c r="I251" s="70"/>
      <c r="J251" s="70"/>
      <c r="K251" s="69"/>
      <c r="L251" s="6" t="str">
        <f>IFERROR(VLOOKUP(A251,'Acompanhamento da Licitação'!$F$2:$N$1000,6,FALSE()),"")</f>
        <v/>
      </c>
      <c r="M251" s="6" t="str">
        <f>IFERROR(VLOOKUP(A251,'Acompanhamento da Licitação'!$F$2:$N$1000,7,FALSE()),"")</f>
        <v/>
      </c>
      <c r="N251" s="1" t="str">
        <f>IFERROR(VLOOKUP(A251,'Acompanhamento da Licitação'!$F$2:$N$1000,9,FALSE()),"")</f>
        <v/>
      </c>
      <c r="O251" s="1" t="str">
        <f t="shared" si="19"/>
        <v>Não</v>
      </c>
      <c r="P251" s="6">
        <f t="shared" si="20"/>
        <v>0</v>
      </c>
    </row>
    <row r="252" spans="1:16" ht="15.75" x14ac:dyDescent="0.25">
      <c r="A252" s="72"/>
      <c r="B252" s="41"/>
      <c r="C252" s="72"/>
      <c r="D252" s="23"/>
      <c r="E252" s="23"/>
      <c r="F252" s="61" t="str">
        <f t="shared" si="16"/>
        <v/>
      </c>
      <c r="G252" s="61" t="str">
        <f t="shared" si="17"/>
        <v/>
      </c>
      <c r="H252" s="23" t="str">
        <f t="shared" si="18"/>
        <v/>
      </c>
      <c r="I252" s="70"/>
      <c r="J252" s="70"/>
      <c r="K252" s="69"/>
      <c r="L252" s="6" t="str">
        <f>IFERROR(VLOOKUP(A252,'Acompanhamento da Licitação'!$F$2:$N$1000,6,FALSE()),"")</f>
        <v/>
      </c>
      <c r="M252" s="6" t="str">
        <f>IFERROR(VLOOKUP(A252,'Acompanhamento da Licitação'!$F$2:$N$1000,7,FALSE()),"")</f>
        <v/>
      </c>
      <c r="N252" s="1" t="str">
        <f>IFERROR(VLOOKUP(A252,'Acompanhamento da Licitação'!$F$2:$N$1000,9,FALSE()),"")</f>
        <v/>
      </c>
      <c r="O252" s="1" t="str">
        <f t="shared" si="19"/>
        <v>Não</v>
      </c>
      <c r="P252" s="6">
        <f t="shared" si="20"/>
        <v>0</v>
      </c>
    </row>
    <row r="253" spans="1:16" ht="15.75" x14ac:dyDescent="0.25">
      <c r="A253" s="72"/>
      <c r="B253" s="41"/>
      <c r="C253" s="72"/>
      <c r="D253" s="23"/>
      <c r="E253" s="23"/>
      <c r="F253" s="61" t="str">
        <f t="shared" si="16"/>
        <v/>
      </c>
      <c r="G253" s="61" t="str">
        <f t="shared" si="17"/>
        <v/>
      </c>
      <c r="H253" s="23" t="str">
        <f t="shared" si="18"/>
        <v/>
      </c>
      <c r="I253" s="70"/>
      <c r="J253" s="70"/>
      <c r="K253" s="69"/>
      <c r="L253" s="6" t="str">
        <f>IFERROR(VLOOKUP(A253,'Acompanhamento da Licitação'!$F$2:$N$1000,6,FALSE()),"")</f>
        <v/>
      </c>
      <c r="M253" s="6" t="str">
        <f>IFERROR(VLOOKUP(A253,'Acompanhamento da Licitação'!$F$2:$N$1000,7,FALSE()),"")</f>
        <v/>
      </c>
      <c r="N253" s="1" t="str">
        <f>IFERROR(VLOOKUP(A253,'Acompanhamento da Licitação'!$F$2:$N$1000,9,FALSE()),"")</f>
        <v/>
      </c>
      <c r="O253" s="1" t="str">
        <f t="shared" si="19"/>
        <v>Não</v>
      </c>
      <c r="P253" s="6">
        <f t="shared" si="20"/>
        <v>0</v>
      </c>
    </row>
    <row r="254" spans="1:16" ht="15.75" x14ac:dyDescent="0.25">
      <c r="A254" s="72"/>
      <c r="B254" s="41"/>
      <c r="C254" s="72"/>
      <c r="D254" s="23"/>
      <c r="E254" s="23"/>
      <c r="F254" s="61" t="str">
        <f t="shared" si="16"/>
        <v/>
      </c>
      <c r="G254" s="61" t="str">
        <f t="shared" si="17"/>
        <v/>
      </c>
      <c r="H254" s="23" t="str">
        <f t="shared" si="18"/>
        <v/>
      </c>
      <c r="I254" s="70"/>
      <c r="J254" s="70"/>
      <c r="K254" s="69"/>
      <c r="L254" s="6" t="str">
        <f>IFERROR(VLOOKUP(A254,'Acompanhamento da Licitação'!$F$2:$N$1000,6,FALSE()),"")</f>
        <v/>
      </c>
      <c r="M254" s="6" t="str">
        <f>IFERROR(VLOOKUP(A254,'Acompanhamento da Licitação'!$F$2:$N$1000,7,FALSE()),"")</f>
        <v/>
      </c>
      <c r="N254" s="1" t="str">
        <f>IFERROR(VLOOKUP(A254,'Acompanhamento da Licitação'!$F$2:$N$1000,9,FALSE()),"")</f>
        <v/>
      </c>
      <c r="O254" s="1" t="str">
        <f t="shared" si="19"/>
        <v>Não</v>
      </c>
      <c r="P254" s="6">
        <f t="shared" si="20"/>
        <v>0</v>
      </c>
    </row>
    <row r="255" spans="1:16" ht="15.75" x14ac:dyDescent="0.25">
      <c r="A255" s="72"/>
      <c r="B255" s="41"/>
      <c r="C255" s="72"/>
      <c r="D255" s="23"/>
      <c r="E255" s="23"/>
      <c r="F255" s="61" t="str">
        <f t="shared" si="16"/>
        <v/>
      </c>
      <c r="G255" s="61" t="str">
        <f t="shared" si="17"/>
        <v/>
      </c>
      <c r="H255" s="23" t="str">
        <f t="shared" si="18"/>
        <v/>
      </c>
      <c r="I255" s="70"/>
      <c r="J255" s="70"/>
      <c r="K255" s="69"/>
      <c r="L255" s="6" t="str">
        <f>IFERROR(VLOOKUP(A255,'Acompanhamento da Licitação'!$F$2:$N$1000,6,FALSE()),"")</f>
        <v/>
      </c>
      <c r="M255" s="6" t="str">
        <f>IFERROR(VLOOKUP(A255,'Acompanhamento da Licitação'!$F$2:$N$1000,7,FALSE()),"")</f>
        <v/>
      </c>
      <c r="N255" s="1" t="str">
        <f>IFERROR(VLOOKUP(A255,'Acompanhamento da Licitação'!$F$2:$N$1000,9,FALSE()),"")</f>
        <v/>
      </c>
      <c r="O255" s="1" t="str">
        <f t="shared" si="19"/>
        <v>Não</v>
      </c>
      <c r="P255" s="6">
        <f t="shared" si="20"/>
        <v>0</v>
      </c>
    </row>
    <row r="256" spans="1:16" ht="15.75" x14ac:dyDescent="0.25">
      <c r="A256" s="72"/>
      <c r="B256" s="41"/>
      <c r="C256" s="72"/>
      <c r="D256" s="23"/>
      <c r="E256" s="23"/>
      <c r="F256" s="61" t="str">
        <f t="shared" si="16"/>
        <v/>
      </c>
      <c r="G256" s="61" t="str">
        <f t="shared" si="17"/>
        <v/>
      </c>
      <c r="H256" s="23" t="str">
        <f t="shared" si="18"/>
        <v/>
      </c>
      <c r="I256" s="70"/>
      <c r="J256" s="70"/>
      <c r="K256" s="69"/>
      <c r="L256" s="6" t="str">
        <f>IFERROR(VLOOKUP(A256,'Acompanhamento da Licitação'!$F$2:$N$1000,6,FALSE()),"")</f>
        <v/>
      </c>
      <c r="M256" s="6" t="str">
        <f>IFERROR(VLOOKUP(A256,'Acompanhamento da Licitação'!$F$2:$N$1000,7,FALSE()),"")</f>
        <v/>
      </c>
      <c r="N256" s="1" t="str">
        <f>IFERROR(VLOOKUP(A256,'Acompanhamento da Licitação'!$F$2:$N$1000,9,FALSE()),"")</f>
        <v/>
      </c>
      <c r="O256" s="1" t="str">
        <f t="shared" si="19"/>
        <v>Não</v>
      </c>
      <c r="P256" s="6">
        <f t="shared" si="20"/>
        <v>0</v>
      </c>
    </row>
    <row r="257" spans="1:16" ht="15.75" x14ac:dyDescent="0.25">
      <c r="A257" s="72"/>
      <c r="B257" s="41"/>
      <c r="C257" s="72"/>
      <c r="D257" s="23"/>
      <c r="E257" s="23"/>
      <c r="F257" s="61" t="str">
        <f t="shared" si="16"/>
        <v/>
      </c>
      <c r="G257" s="61" t="str">
        <f t="shared" si="17"/>
        <v/>
      </c>
      <c r="H257" s="23" t="str">
        <f t="shared" si="18"/>
        <v/>
      </c>
      <c r="I257" s="70"/>
      <c r="J257" s="70"/>
      <c r="K257" s="69"/>
      <c r="L257" s="6" t="str">
        <f>IFERROR(VLOOKUP(A257,'Acompanhamento da Licitação'!$F$2:$N$1000,6,FALSE()),"")</f>
        <v/>
      </c>
      <c r="M257" s="6" t="str">
        <f>IFERROR(VLOOKUP(A257,'Acompanhamento da Licitação'!$F$2:$N$1000,7,FALSE()),"")</f>
        <v/>
      </c>
      <c r="N257" s="1" t="str">
        <f>IFERROR(VLOOKUP(A257,'Acompanhamento da Licitação'!$F$2:$N$1000,9,FALSE()),"")</f>
        <v/>
      </c>
      <c r="O257" s="1" t="str">
        <f t="shared" si="19"/>
        <v>Não</v>
      </c>
      <c r="P257" s="6">
        <f t="shared" si="20"/>
        <v>0</v>
      </c>
    </row>
    <row r="258" spans="1:16" ht="15.75" x14ac:dyDescent="0.25">
      <c r="A258" s="72"/>
      <c r="B258" s="41"/>
      <c r="C258" s="72"/>
      <c r="D258" s="23"/>
      <c r="E258" s="23"/>
      <c r="F258" s="61" t="str">
        <f t="shared" si="16"/>
        <v/>
      </c>
      <c r="G258" s="61" t="str">
        <f t="shared" si="17"/>
        <v/>
      </c>
      <c r="H258" s="23" t="str">
        <f t="shared" si="18"/>
        <v/>
      </c>
      <c r="I258" s="70"/>
      <c r="J258" s="70"/>
      <c r="K258" s="69"/>
      <c r="L258" s="6" t="str">
        <f>IFERROR(VLOOKUP(A258,'Acompanhamento da Licitação'!$F$2:$N$1000,6,FALSE()),"")</f>
        <v/>
      </c>
      <c r="M258" s="6" t="str">
        <f>IFERROR(VLOOKUP(A258,'Acompanhamento da Licitação'!$F$2:$N$1000,7,FALSE()),"")</f>
        <v/>
      </c>
      <c r="N258" s="1" t="str">
        <f>IFERROR(VLOOKUP(A258,'Acompanhamento da Licitação'!$F$2:$N$1000,9,FALSE()),"")</f>
        <v/>
      </c>
      <c r="O258" s="1" t="str">
        <f t="shared" si="19"/>
        <v>Não</v>
      </c>
      <c r="P258" s="6">
        <f t="shared" si="20"/>
        <v>0</v>
      </c>
    </row>
    <row r="259" spans="1:16" ht="15.75" x14ac:dyDescent="0.25">
      <c r="A259" s="72"/>
      <c r="B259" s="41"/>
      <c r="C259" s="72"/>
      <c r="D259" s="23"/>
      <c r="E259" s="23"/>
      <c r="F259" s="61" t="str">
        <f t="shared" ref="F259:F322" si="21">IF(B259&gt;0,(((E259*C259)-(D259*C259)-(P259*C259))/(E259*C259)),"")</f>
        <v/>
      </c>
      <c r="G259" s="61" t="str">
        <f t="shared" ref="G259:G322" si="22">IF(F259="","",IF(F259&lt;0.2,0.05,IF(F259&lt;0.25,0.1,IF(F259&lt;0.3,0.15,IF(F259&lt;0.35,0.2,IF(F259&lt;0.45,0.25,IF(F259&lt;0.5,0.3,IF(F259&lt;0.6,0.35,0.4))))))))</f>
        <v/>
      </c>
      <c r="H259" s="23" t="str">
        <f t="shared" ref="H259:H322" si="23">IFERROR(((E259*C259)-(D259*C259)-(E259*C259*4%))*G259,"")</f>
        <v/>
      </c>
      <c r="I259" s="70"/>
      <c r="J259" s="70"/>
      <c r="K259" s="69"/>
      <c r="L259" s="6" t="str">
        <f>IFERROR(VLOOKUP(A259,'Acompanhamento da Licitação'!$F$2:$N$1000,6,FALSE()),"")</f>
        <v/>
      </c>
      <c r="M259" s="6" t="str">
        <f>IFERROR(VLOOKUP(A259,'Acompanhamento da Licitação'!$F$2:$N$1000,7,FALSE()),"")</f>
        <v/>
      </c>
      <c r="N259" s="1" t="str">
        <f>IFERROR(VLOOKUP(A259,'Acompanhamento da Licitação'!$F$2:$N$1000,9,FALSE()),"")</f>
        <v/>
      </c>
      <c r="O259" s="1" t="str">
        <f t="shared" ref="O259:O322" si="24">IF(AND(D259&gt;0,F259&gt;0.25),"Sim","Não")</f>
        <v>Não</v>
      </c>
      <c r="P259" s="6">
        <f t="shared" ref="P259:P322" si="25">4%*E259</f>
        <v>0</v>
      </c>
    </row>
    <row r="260" spans="1:16" ht="15.75" x14ac:dyDescent="0.25">
      <c r="A260" s="72"/>
      <c r="B260" s="41"/>
      <c r="C260" s="72"/>
      <c r="D260" s="23"/>
      <c r="E260" s="23"/>
      <c r="F260" s="61" t="str">
        <f t="shared" si="21"/>
        <v/>
      </c>
      <c r="G260" s="61" t="str">
        <f t="shared" si="22"/>
        <v/>
      </c>
      <c r="H260" s="23" t="str">
        <f t="shared" si="23"/>
        <v/>
      </c>
      <c r="I260" s="70"/>
      <c r="J260" s="70"/>
      <c r="K260" s="69"/>
      <c r="L260" s="6" t="str">
        <f>IFERROR(VLOOKUP(A260,'Acompanhamento da Licitação'!$F$2:$N$1000,6,FALSE()),"")</f>
        <v/>
      </c>
      <c r="M260" s="6" t="str">
        <f>IFERROR(VLOOKUP(A260,'Acompanhamento da Licitação'!$F$2:$N$1000,7,FALSE()),"")</f>
        <v/>
      </c>
      <c r="N260" s="1" t="str">
        <f>IFERROR(VLOOKUP(A260,'Acompanhamento da Licitação'!$F$2:$N$1000,9,FALSE()),"")</f>
        <v/>
      </c>
      <c r="O260" s="1" t="str">
        <f t="shared" si="24"/>
        <v>Não</v>
      </c>
      <c r="P260" s="6">
        <f t="shared" si="25"/>
        <v>0</v>
      </c>
    </row>
    <row r="261" spans="1:16" ht="15.75" x14ac:dyDescent="0.25">
      <c r="A261" s="72"/>
      <c r="B261" s="41"/>
      <c r="C261" s="72"/>
      <c r="D261" s="23"/>
      <c r="E261" s="23"/>
      <c r="F261" s="61" t="str">
        <f t="shared" si="21"/>
        <v/>
      </c>
      <c r="G261" s="61" t="str">
        <f t="shared" si="22"/>
        <v/>
      </c>
      <c r="H261" s="23" t="str">
        <f t="shared" si="23"/>
        <v/>
      </c>
      <c r="I261" s="70"/>
      <c r="J261" s="70"/>
      <c r="K261" s="69"/>
      <c r="L261" s="6" t="str">
        <f>IFERROR(VLOOKUP(A261,'Acompanhamento da Licitação'!$F$2:$N$1000,6,FALSE()),"")</f>
        <v/>
      </c>
      <c r="M261" s="6" t="str">
        <f>IFERROR(VLOOKUP(A261,'Acompanhamento da Licitação'!$F$2:$N$1000,7,FALSE()),"")</f>
        <v/>
      </c>
      <c r="N261" s="1" t="str">
        <f>IFERROR(VLOOKUP(A261,'Acompanhamento da Licitação'!$F$2:$N$1000,9,FALSE()),"")</f>
        <v/>
      </c>
      <c r="O261" s="1" t="str">
        <f t="shared" si="24"/>
        <v>Não</v>
      </c>
      <c r="P261" s="6">
        <f t="shared" si="25"/>
        <v>0</v>
      </c>
    </row>
    <row r="262" spans="1:16" ht="15.75" x14ac:dyDescent="0.25">
      <c r="A262" s="72"/>
      <c r="B262" s="41"/>
      <c r="C262" s="72"/>
      <c r="D262" s="23"/>
      <c r="E262" s="23"/>
      <c r="F262" s="61" t="str">
        <f t="shared" si="21"/>
        <v/>
      </c>
      <c r="G262" s="61" t="str">
        <f t="shared" si="22"/>
        <v/>
      </c>
      <c r="H262" s="23" t="str">
        <f t="shared" si="23"/>
        <v/>
      </c>
      <c r="I262" s="70"/>
      <c r="J262" s="70"/>
      <c r="K262" s="69"/>
      <c r="L262" s="6" t="str">
        <f>IFERROR(VLOOKUP(A262,'Acompanhamento da Licitação'!$F$2:$N$1000,6,FALSE()),"")</f>
        <v/>
      </c>
      <c r="M262" s="6" t="str">
        <f>IFERROR(VLOOKUP(A262,'Acompanhamento da Licitação'!$F$2:$N$1000,7,FALSE()),"")</f>
        <v/>
      </c>
      <c r="N262" s="1" t="str">
        <f>IFERROR(VLOOKUP(A262,'Acompanhamento da Licitação'!$F$2:$N$1000,9,FALSE()),"")</f>
        <v/>
      </c>
      <c r="O262" s="1" t="str">
        <f t="shared" si="24"/>
        <v>Não</v>
      </c>
      <c r="P262" s="6">
        <f t="shared" si="25"/>
        <v>0</v>
      </c>
    </row>
    <row r="263" spans="1:16" ht="15.75" x14ac:dyDescent="0.25">
      <c r="A263" s="72"/>
      <c r="B263" s="41"/>
      <c r="C263" s="72"/>
      <c r="D263" s="23"/>
      <c r="E263" s="23"/>
      <c r="F263" s="61" t="str">
        <f t="shared" si="21"/>
        <v/>
      </c>
      <c r="G263" s="61" t="str">
        <f t="shared" si="22"/>
        <v/>
      </c>
      <c r="H263" s="23" t="str">
        <f t="shared" si="23"/>
        <v/>
      </c>
      <c r="I263" s="70"/>
      <c r="J263" s="70"/>
      <c r="K263" s="69"/>
      <c r="L263" s="6" t="str">
        <f>IFERROR(VLOOKUP(A263,'Acompanhamento da Licitação'!$F$2:$N$1000,6,FALSE()),"")</f>
        <v/>
      </c>
      <c r="M263" s="6" t="str">
        <f>IFERROR(VLOOKUP(A263,'Acompanhamento da Licitação'!$F$2:$N$1000,7,FALSE()),"")</f>
        <v/>
      </c>
      <c r="N263" s="1" t="str">
        <f>IFERROR(VLOOKUP(A263,'Acompanhamento da Licitação'!$F$2:$N$1000,9,FALSE()),"")</f>
        <v/>
      </c>
      <c r="O263" s="1" t="str">
        <f t="shared" si="24"/>
        <v>Não</v>
      </c>
      <c r="P263" s="6">
        <f t="shared" si="25"/>
        <v>0</v>
      </c>
    </row>
    <row r="264" spans="1:16" ht="15.75" x14ac:dyDescent="0.25">
      <c r="A264" s="72"/>
      <c r="B264" s="41"/>
      <c r="C264" s="72"/>
      <c r="D264" s="23"/>
      <c r="E264" s="23"/>
      <c r="F264" s="61" t="str">
        <f t="shared" si="21"/>
        <v/>
      </c>
      <c r="G264" s="61" t="str">
        <f t="shared" si="22"/>
        <v/>
      </c>
      <c r="H264" s="23" t="str">
        <f t="shared" si="23"/>
        <v/>
      </c>
      <c r="I264" s="70"/>
      <c r="J264" s="70"/>
      <c r="K264" s="69"/>
      <c r="L264" s="6" t="str">
        <f>IFERROR(VLOOKUP(A264,'Acompanhamento da Licitação'!$F$2:$N$1000,6,FALSE()),"")</f>
        <v/>
      </c>
      <c r="M264" s="6" t="str">
        <f>IFERROR(VLOOKUP(A264,'Acompanhamento da Licitação'!$F$2:$N$1000,7,FALSE()),"")</f>
        <v/>
      </c>
      <c r="N264" s="1" t="str">
        <f>IFERROR(VLOOKUP(A264,'Acompanhamento da Licitação'!$F$2:$N$1000,9,FALSE()),"")</f>
        <v/>
      </c>
      <c r="O264" s="1" t="str">
        <f t="shared" si="24"/>
        <v>Não</v>
      </c>
      <c r="P264" s="6">
        <f t="shared" si="25"/>
        <v>0</v>
      </c>
    </row>
    <row r="265" spans="1:16" ht="15.75" x14ac:dyDescent="0.25">
      <c r="A265" s="72"/>
      <c r="B265" s="41"/>
      <c r="C265" s="72"/>
      <c r="D265" s="23"/>
      <c r="E265" s="23"/>
      <c r="F265" s="61" t="str">
        <f t="shared" si="21"/>
        <v/>
      </c>
      <c r="G265" s="61" t="str">
        <f t="shared" si="22"/>
        <v/>
      </c>
      <c r="H265" s="23" t="str">
        <f t="shared" si="23"/>
        <v/>
      </c>
      <c r="I265" s="70"/>
      <c r="J265" s="70"/>
      <c r="K265" s="69"/>
      <c r="L265" s="6" t="str">
        <f>IFERROR(VLOOKUP(A265,'Acompanhamento da Licitação'!$F$2:$N$1000,6,FALSE()),"")</f>
        <v/>
      </c>
      <c r="M265" s="6" t="str">
        <f>IFERROR(VLOOKUP(A265,'Acompanhamento da Licitação'!$F$2:$N$1000,7,FALSE()),"")</f>
        <v/>
      </c>
      <c r="N265" s="1" t="str">
        <f>IFERROR(VLOOKUP(A265,'Acompanhamento da Licitação'!$F$2:$N$1000,9,FALSE()),"")</f>
        <v/>
      </c>
      <c r="O265" s="1" t="str">
        <f t="shared" si="24"/>
        <v>Não</v>
      </c>
      <c r="P265" s="6">
        <f t="shared" si="25"/>
        <v>0</v>
      </c>
    </row>
    <row r="266" spans="1:16" ht="15.75" x14ac:dyDescent="0.25">
      <c r="A266" s="72"/>
      <c r="B266" s="41"/>
      <c r="C266" s="72"/>
      <c r="D266" s="23"/>
      <c r="E266" s="23"/>
      <c r="F266" s="61" t="str">
        <f t="shared" si="21"/>
        <v/>
      </c>
      <c r="G266" s="61" t="str">
        <f t="shared" si="22"/>
        <v/>
      </c>
      <c r="H266" s="23" t="str">
        <f t="shared" si="23"/>
        <v/>
      </c>
      <c r="I266" s="70"/>
      <c r="J266" s="70"/>
      <c r="K266" s="69"/>
      <c r="L266" s="6" t="str">
        <f>IFERROR(VLOOKUP(A266,'Acompanhamento da Licitação'!$F$2:$N$1000,6,FALSE()),"")</f>
        <v/>
      </c>
      <c r="M266" s="6" t="str">
        <f>IFERROR(VLOOKUP(A266,'Acompanhamento da Licitação'!$F$2:$N$1000,7,FALSE()),"")</f>
        <v/>
      </c>
      <c r="N266" s="1" t="str">
        <f>IFERROR(VLOOKUP(A266,'Acompanhamento da Licitação'!$F$2:$N$1000,9,FALSE()),"")</f>
        <v/>
      </c>
      <c r="O266" s="1" t="str">
        <f t="shared" si="24"/>
        <v>Não</v>
      </c>
      <c r="P266" s="6">
        <f t="shared" si="25"/>
        <v>0</v>
      </c>
    </row>
    <row r="267" spans="1:16" ht="15.75" x14ac:dyDescent="0.25">
      <c r="A267" s="72"/>
      <c r="B267" s="41"/>
      <c r="C267" s="72"/>
      <c r="D267" s="23"/>
      <c r="E267" s="23"/>
      <c r="F267" s="61" t="str">
        <f t="shared" si="21"/>
        <v/>
      </c>
      <c r="G267" s="61" t="str">
        <f t="shared" si="22"/>
        <v/>
      </c>
      <c r="H267" s="23" t="str">
        <f t="shared" si="23"/>
        <v/>
      </c>
      <c r="I267" s="70"/>
      <c r="J267" s="70"/>
      <c r="K267" s="69"/>
      <c r="L267" s="6" t="str">
        <f>IFERROR(VLOOKUP(A267,'Acompanhamento da Licitação'!$F$2:$N$1000,6,FALSE()),"")</f>
        <v/>
      </c>
      <c r="M267" s="6" t="str">
        <f>IFERROR(VLOOKUP(A267,'Acompanhamento da Licitação'!$F$2:$N$1000,7,FALSE()),"")</f>
        <v/>
      </c>
      <c r="N267" s="1" t="str">
        <f>IFERROR(VLOOKUP(A267,'Acompanhamento da Licitação'!$F$2:$N$1000,9,FALSE()),"")</f>
        <v/>
      </c>
      <c r="O267" s="1" t="str">
        <f t="shared" si="24"/>
        <v>Não</v>
      </c>
      <c r="P267" s="6">
        <f t="shared" si="25"/>
        <v>0</v>
      </c>
    </row>
    <row r="268" spans="1:16" ht="15.75" x14ac:dyDescent="0.25">
      <c r="A268" s="72"/>
      <c r="B268" s="41"/>
      <c r="C268" s="72"/>
      <c r="D268" s="23"/>
      <c r="E268" s="23"/>
      <c r="F268" s="61" t="str">
        <f t="shared" si="21"/>
        <v/>
      </c>
      <c r="G268" s="61" t="str">
        <f t="shared" si="22"/>
        <v/>
      </c>
      <c r="H268" s="23" t="str">
        <f t="shared" si="23"/>
        <v/>
      </c>
      <c r="I268" s="70"/>
      <c r="J268" s="70"/>
      <c r="K268" s="69"/>
      <c r="L268" s="6" t="str">
        <f>IFERROR(VLOOKUP(A268,'Acompanhamento da Licitação'!$F$2:$N$1000,6,FALSE()),"")</f>
        <v/>
      </c>
      <c r="M268" s="6" t="str">
        <f>IFERROR(VLOOKUP(A268,'Acompanhamento da Licitação'!$F$2:$N$1000,7,FALSE()),"")</f>
        <v/>
      </c>
      <c r="N268" s="1" t="str">
        <f>IFERROR(VLOOKUP(A268,'Acompanhamento da Licitação'!$F$2:$N$1000,9,FALSE()),"")</f>
        <v/>
      </c>
      <c r="O268" s="1" t="str">
        <f t="shared" si="24"/>
        <v>Não</v>
      </c>
      <c r="P268" s="6">
        <f t="shared" si="25"/>
        <v>0</v>
      </c>
    </row>
    <row r="269" spans="1:16" ht="15.75" x14ac:dyDescent="0.25">
      <c r="A269" s="72"/>
      <c r="B269" s="41"/>
      <c r="C269" s="72"/>
      <c r="D269" s="23"/>
      <c r="E269" s="23"/>
      <c r="F269" s="61" t="str">
        <f t="shared" si="21"/>
        <v/>
      </c>
      <c r="G269" s="61" t="str">
        <f t="shared" si="22"/>
        <v/>
      </c>
      <c r="H269" s="23" t="str">
        <f t="shared" si="23"/>
        <v/>
      </c>
      <c r="I269" s="70"/>
      <c r="J269" s="70"/>
      <c r="K269" s="69"/>
      <c r="L269" s="6" t="str">
        <f>IFERROR(VLOOKUP(A269,'Acompanhamento da Licitação'!$F$2:$N$1000,6,FALSE()),"")</f>
        <v/>
      </c>
      <c r="M269" s="6" t="str">
        <f>IFERROR(VLOOKUP(A269,'Acompanhamento da Licitação'!$F$2:$N$1000,7,FALSE()),"")</f>
        <v/>
      </c>
      <c r="N269" s="1" t="str">
        <f>IFERROR(VLOOKUP(A269,'Acompanhamento da Licitação'!$F$2:$N$1000,9,FALSE()),"")</f>
        <v/>
      </c>
      <c r="O269" s="1" t="str">
        <f t="shared" si="24"/>
        <v>Não</v>
      </c>
      <c r="P269" s="6">
        <f t="shared" si="25"/>
        <v>0</v>
      </c>
    </row>
    <row r="270" spans="1:16" ht="15.75" x14ac:dyDescent="0.25">
      <c r="A270" s="72"/>
      <c r="B270" s="41"/>
      <c r="C270" s="72"/>
      <c r="D270" s="23"/>
      <c r="E270" s="23"/>
      <c r="F270" s="61" t="str">
        <f t="shared" si="21"/>
        <v/>
      </c>
      <c r="G270" s="61" t="str">
        <f t="shared" si="22"/>
        <v/>
      </c>
      <c r="H270" s="23" t="str">
        <f t="shared" si="23"/>
        <v/>
      </c>
      <c r="I270" s="70"/>
      <c r="J270" s="70"/>
      <c r="K270" s="69"/>
      <c r="L270" s="6" t="str">
        <f>IFERROR(VLOOKUP(A270,'Acompanhamento da Licitação'!$F$2:$N$1000,6,FALSE()),"")</f>
        <v/>
      </c>
      <c r="M270" s="6" t="str">
        <f>IFERROR(VLOOKUP(A270,'Acompanhamento da Licitação'!$F$2:$N$1000,7,FALSE()),"")</f>
        <v/>
      </c>
      <c r="N270" s="1" t="str">
        <f>IFERROR(VLOOKUP(A270,'Acompanhamento da Licitação'!$F$2:$N$1000,9,FALSE()),"")</f>
        <v/>
      </c>
      <c r="O270" s="1" t="str">
        <f t="shared" si="24"/>
        <v>Não</v>
      </c>
      <c r="P270" s="6">
        <f t="shared" si="25"/>
        <v>0</v>
      </c>
    </row>
    <row r="271" spans="1:16" ht="15.75" x14ac:dyDescent="0.25">
      <c r="A271" s="72"/>
      <c r="B271" s="41"/>
      <c r="C271" s="72"/>
      <c r="D271" s="23"/>
      <c r="E271" s="23"/>
      <c r="F271" s="61" t="str">
        <f t="shared" si="21"/>
        <v/>
      </c>
      <c r="G271" s="61" t="str">
        <f t="shared" si="22"/>
        <v/>
      </c>
      <c r="H271" s="23" t="str">
        <f t="shared" si="23"/>
        <v/>
      </c>
      <c r="I271" s="70"/>
      <c r="J271" s="70"/>
      <c r="K271" s="69"/>
      <c r="L271" s="6" t="str">
        <f>IFERROR(VLOOKUP(A271,'Acompanhamento da Licitação'!$F$2:$N$1000,6,FALSE()),"")</f>
        <v/>
      </c>
      <c r="M271" s="6" t="str">
        <f>IFERROR(VLOOKUP(A271,'Acompanhamento da Licitação'!$F$2:$N$1000,7,FALSE()),"")</f>
        <v/>
      </c>
      <c r="N271" s="1" t="str">
        <f>IFERROR(VLOOKUP(A271,'Acompanhamento da Licitação'!$F$2:$N$1000,9,FALSE()),"")</f>
        <v/>
      </c>
      <c r="O271" s="1" t="str">
        <f t="shared" si="24"/>
        <v>Não</v>
      </c>
      <c r="P271" s="6">
        <f t="shared" si="25"/>
        <v>0</v>
      </c>
    </row>
    <row r="272" spans="1:16" ht="15.75" x14ac:dyDescent="0.25">
      <c r="A272" s="72"/>
      <c r="B272" s="41"/>
      <c r="C272" s="72"/>
      <c r="D272" s="23"/>
      <c r="E272" s="23"/>
      <c r="F272" s="61" t="str">
        <f t="shared" si="21"/>
        <v/>
      </c>
      <c r="G272" s="61" t="str">
        <f t="shared" si="22"/>
        <v/>
      </c>
      <c r="H272" s="23" t="str">
        <f t="shared" si="23"/>
        <v/>
      </c>
      <c r="I272" s="70"/>
      <c r="J272" s="70"/>
      <c r="K272" s="69"/>
      <c r="L272" s="6" t="str">
        <f>IFERROR(VLOOKUP(A272,'Acompanhamento da Licitação'!$F$2:$N$1000,6,FALSE()),"")</f>
        <v/>
      </c>
      <c r="M272" s="6" t="str">
        <f>IFERROR(VLOOKUP(A272,'Acompanhamento da Licitação'!$F$2:$N$1000,7,FALSE()),"")</f>
        <v/>
      </c>
      <c r="N272" s="1" t="str">
        <f>IFERROR(VLOOKUP(A272,'Acompanhamento da Licitação'!$F$2:$N$1000,9,FALSE()),"")</f>
        <v/>
      </c>
      <c r="O272" s="1" t="str">
        <f t="shared" si="24"/>
        <v>Não</v>
      </c>
      <c r="P272" s="6">
        <f t="shared" si="25"/>
        <v>0</v>
      </c>
    </row>
    <row r="273" spans="1:16" ht="15.75" x14ac:dyDescent="0.25">
      <c r="A273" s="72"/>
      <c r="B273" s="41"/>
      <c r="C273" s="72"/>
      <c r="D273" s="23"/>
      <c r="E273" s="23"/>
      <c r="F273" s="61" t="str">
        <f t="shared" si="21"/>
        <v/>
      </c>
      <c r="G273" s="61" t="str">
        <f t="shared" si="22"/>
        <v/>
      </c>
      <c r="H273" s="23" t="str">
        <f t="shared" si="23"/>
        <v/>
      </c>
      <c r="I273" s="70"/>
      <c r="J273" s="70"/>
      <c r="K273" s="69"/>
      <c r="L273" s="6" t="str">
        <f>IFERROR(VLOOKUP(A273,'Acompanhamento da Licitação'!$F$2:$N$1000,6,FALSE()),"")</f>
        <v/>
      </c>
      <c r="M273" s="6" t="str">
        <f>IFERROR(VLOOKUP(A273,'Acompanhamento da Licitação'!$F$2:$N$1000,7,FALSE()),"")</f>
        <v/>
      </c>
      <c r="N273" s="1" t="str">
        <f>IFERROR(VLOOKUP(A273,'Acompanhamento da Licitação'!$F$2:$N$1000,9,FALSE()),"")</f>
        <v/>
      </c>
      <c r="O273" s="1" t="str">
        <f t="shared" si="24"/>
        <v>Não</v>
      </c>
      <c r="P273" s="6">
        <f t="shared" si="25"/>
        <v>0</v>
      </c>
    </row>
    <row r="274" spans="1:16" ht="15.75" x14ac:dyDescent="0.25">
      <c r="A274" s="72"/>
      <c r="B274" s="41"/>
      <c r="C274" s="72"/>
      <c r="D274" s="23"/>
      <c r="E274" s="23"/>
      <c r="F274" s="61" t="str">
        <f t="shared" si="21"/>
        <v/>
      </c>
      <c r="G274" s="61" t="str">
        <f t="shared" si="22"/>
        <v/>
      </c>
      <c r="H274" s="23" t="str">
        <f t="shared" si="23"/>
        <v/>
      </c>
      <c r="I274" s="70"/>
      <c r="J274" s="70"/>
      <c r="K274" s="69"/>
      <c r="L274" s="6" t="str">
        <f>IFERROR(VLOOKUP(A274,'Acompanhamento da Licitação'!$F$2:$N$1000,6,FALSE()),"")</f>
        <v/>
      </c>
      <c r="M274" s="6" t="str">
        <f>IFERROR(VLOOKUP(A274,'Acompanhamento da Licitação'!$F$2:$N$1000,7,FALSE()),"")</f>
        <v/>
      </c>
      <c r="N274" s="1" t="str">
        <f>IFERROR(VLOOKUP(A274,'Acompanhamento da Licitação'!$F$2:$N$1000,9,FALSE()),"")</f>
        <v/>
      </c>
      <c r="O274" s="1" t="str">
        <f t="shared" si="24"/>
        <v>Não</v>
      </c>
      <c r="P274" s="6">
        <f t="shared" si="25"/>
        <v>0</v>
      </c>
    </row>
    <row r="275" spans="1:16" ht="15.75" x14ac:dyDescent="0.25">
      <c r="A275" s="72"/>
      <c r="B275" s="41"/>
      <c r="C275" s="72"/>
      <c r="D275" s="23"/>
      <c r="E275" s="23"/>
      <c r="F275" s="61" t="str">
        <f t="shared" si="21"/>
        <v/>
      </c>
      <c r="G275" s="61" t="str">
        <f t="shared" si="22"/>
        <v/>
      </c>
      <c r="H275" s="23" t="str">
        <f t="shared" si="23"/>
        <v/>
      </c>
      <c r="I275" s="70"/>
      <c r="J275" s="70"/>
      <c r="K275" s="69"/>
      <c r="L275" s="6" t="str">
        <f>IFERROR(VLOOKUP(A275,'Acompanhamento da Licitação'!$F$2:$N$1000,6,FALSE()),"")</f>
        <v/>
      </c>
      <c r="M275" s="6" t="str">
        <f>IFERROR(VLOOKUP(A275,'Acompanhamento da Licitação'!$F$2:$N$1000,7,FALSE()),"")</f>
        <v/>
      </c>
      <c r="N275" s="1" t="str">
        <f>IFERROR(VLOOKUP(A275,'Acompanhamento da Licitação'!$F$2:$N$1000,9,FALSE()),"")</f>
        <v/>
      </c>
      <c r="O275" s="1" t="str">
        <f t="shared" si="24"/>
        <v>Não</v>
      </c>
      <c r="P275" s="6">
        <f t="shared" si="25"/>
        <v>0</v>
      </c>
    </row>
    <row r="276" spans="1:16" ht="15.75" x14ac:dyDescent="0.25">
      <c r="A276" s="72"/>
      <c r="B276" s="41"/>
      <c r="C276" s="72"/>
      <c r="D276" s="23"/>
      <c r="E276" s="23"/>
      <c r="F276" s="61" t="str">
        <f t="shared" si="21"/>
        <v/>
      </c>
      <c r="G276" s="61" t="str">
        <f t="shared" si="22"/>
        <v/>
      </c>
      <c r="H276" s="23" t="str">
        <f t="shared" si="23"/>
        <v/>
      </c>
      <c r="I276" s="70"/>
      <c r="J276" s="70"/>
      <c r="K276" s="69"/>
      <c r="L276" s="6" t="str">
        <f>IFERROR(VLOOKUP(A276,'Acompanhamento da Licitação'!$F$2:$N$1000,6,FALSE()),"")</f>
        <v/>
      </c>
      <c r="M276" s="6" t="str">
        <f>IFERROR(VLOOKUP(A276,'Acompanhamento da Licitação'!$F$2:$N$1000,7,FALSE()),"")</f>
        <v/>
      </c>
      <c r="N276" s="1" t="str">
        <f>IFERROR(VLOOKUP(A276,'Acompanhamento da Licitação'!$F$2:$N$1000,9,FALSE()),"")</f>
        <v/>
      </c>
      <c r="O276" s="1" t="str">
        <f t="shared" si="24"/>
        <v>Não</v>
      </c>
      <c r="P276" s="6">
        <f t="shared" si="25"/>
        <v>0</v>
      </c>
    </row>
    <row r="277" spans="1:16" ht="15.75" x14ac:dyDescent="0.25">
      <c r="A277" s="72"/>
      <c r="B277" s="41"/>
      <c r="C277" s="72"/>
      <c r="D277" s="23"/>
      <c r="E277" s="23"/>
      <c r="F277" s="61" t="str">
        <f t="shared" si="21"/>
        <v/>
      </c>
      <c r="G277" s="61" t="str">
        <f t="shared" si="22"/>
        <v/>
      </c>
      <c r="H277" s="23" t="str">
        <f t="shared" si="23"/>
        <v/>
      </c>
      <c r="I277" s="70"/>
      <c r="J277" s="70"/>
      <c r="K277" s="69"/>
      <c r="L277" s="6" t="str">
        <f>IFERROR(VLOOKUP(A277,'Acompanhamento da Licitação'!$F$2:$N$1000,6,FALSE()),"")</f>
        <v/>
      </c>
      <c r="M277" s="6" t="str">
        <f>IFERROR(VLOOKUP(A277,'Acompanhamento da Licitação'!$F$2:$N$1000,7,FALSE()),"")</f>
        <v/>
      </c>
      <c r="N277" s="1" t="str">
        <f>IFERROR(VLOOKUP(A277,'Acompanhamento da Licitação'!$F$2:$N$1000,9,FALSE()),"")</f>
        <v/>
      </c>
      <c r="O277" s="1" t="str">
        <f t="shared" si="24"/>
        <v>Não</v>
      </c>
      <c r="P277" s="6">
        <f t="shared" si="25"/>
        <v>0</v>
      </c>
    </row>
    <row r="278" spans="1:16" ht="15.75" x14ac:dyDescent="0.25">
      <c r="A278" s="72"/>
      <c r="B278" s="41"/>
      <c r="C278" s="72"/>
      <c r="D278" s="23"/>
      <c r="E278" s="23"/>
      <c r="F278" s="61" t="str">
        <f t="shared" si="21"/>
        <v/>
      </c>
      <c r="G278" s="61" t="str">
        <f t="shared" si="22"/>
        <v/>
      </c>
      <c r="H278" s="23" t="str">
        <f t="shared" si="23"/>
        <v/>
      </c>
      <c r="I278" s="70"/>
      <c r="J278" s="70"/>
      <c r="K278" s="69"/>
      <c r="L278" s="6" t="str">
        <f>IFERROR(VLOOKUP(A278,'Acompanhamento da Licitação'!$F$2:$N$1000,6,FALSE()),"")</f>
        <v/>
      </c>
      <c r="M278" s="6" t="str">
        <f>IFERROR(VLOOKUP(A278,'Acompanhamento da Licitação'!$F$2:$N$1000,7,FALSE()),"")</f>
        <v/>
      </c>
      <c r="N278" s="1" t="str">
        <f>IFERROR(VLOOKUP(A278,'Acompanhamento da Licitação'!$F$2:$N$1000,9,FALSE()),"")</f>
        <v/>
      </c>
      <c r="O278" s="1" t="str">
        <f t="shared" si="24"/>
        <v>Não</v>
      </c>
      <c r="P278" s="6">
        <f t="shared" si="25"/>
        <v>0</v>
      </c>
    </row>
    <row r="279" spans="1:16" ht="15.75" x14ac:dyDescent="0.25">
      <c r="A279" s="72"/>
      <c r="B279" s="41"/>
      <c r="C279" s="72"/>
      <c r="D279" s="23"/>
      <c r="E279" s="23"/>
      <c r="F279" s="61" t="str">
        <f t="shared" si="21"/>
        <v/>
      </c>
      <c r="G279" s="61" t="str">
        <f t="shared" si="22"/>
        <v/>
      </c>
      <c r="H279" s="23" t="str">
        <f t="shared" si="23"/>
        <v/>
      </c>
      <c r="I279" s="70"/>
      <c r="J279" s="70"/>
      <c r="K279" s="69"/>
      <c r="L279" s="6" t="str">
        <f>IFERROR(VLOOKUP(A279,'Acompanhamento da Licitação'!$F$2:$N$1000,6,FALSE()),"")</f>
        <v/>
      </c>
      <c r="M279" s="6" t="str">
        <f>IFERROR(VLOOKUP(A279,'Acompanhamento da Licitação'!$F$2:$N$1000,7,FALSE()),"")</f>
        <v/>
      </c>
      <c r="N279" s="1" t="str">
        <f>IFERROR(VLOOKUP(A279,'Acompanhamento da Licitação'!$F$2:$N$1000,9,FALSE()),"")</f>
        <v/>
      </c>
      <c r="O279" s="1" t="str">
        <f t="shared" si="24"/>
        <v>Não</v>
      </c>
      <c r="P279" s="6">
        <f t="shared" si="25"/>
        <v>0</v>
      </c>
    </row>
    <row r="280" spans="1:16" ht="15.75" x14ac:dyDescent="0.25">
      <c r="A280" s="72"/>
      <c r="B280" s="41"/>
      <c r="C280" s="72"/>
      <c r="D280" s="23"/>
      <c r="E280" s="23"/>
      <c r="F280" s="61" t="str">
        <f t="shared" si="21"/>
        <v/>
      </c>
      <c r="G280" s="61" t="str">
        <f t="shared" si="22"/>
        <v/>
      </c>
      <c r="H280" s="23" t="str">
        <f t="shared" si="23"/>
        <v/>
      </c>
      <c r="I280" s="70"/>
      <c r="J280" s="70"/>
      <c r="K280" s="69"/>
      <c r="L280" s="6" t="str">
        <f>IFERROR(VLOOKUP(A280,'Acompanhamento da Licitação'!$F$2:$N$1000,6,FALSE()),"")</f>
        <v/>
      </c>
      <c r="M280" s="6" t="str">
        <f>IFERROR(VLOOKUP(A280,'Acompanhamento da Licitação'!$F$2:$N$1000,7,FALSE()),"")</f>
        <v/>
      </c>
      <c r="N280" s="1" t="str">
        <f>IFERROR(VLOOKUP(A280,'Acompanhamento da Licitação'!$F$2:$N$1000,9,FALSE()),"")</f>
        <v/>
      </c>
      <c r="O280" s="1" t="str">
        <f t="shared" si="24"/>
        <v>Não</v>
      </c>
      <c r="P280" s="6">
        <f t="shared" si="25"/>
        <v>0</v>
      </c>
    </row>
    <row r="281" spans="1:16" ht="15.75" x14ac:dyDescent="0.25">
      <c r="A281" s="72"/>
      <c r="B281" s="41"/>
      <c r="C281" s="72"/>
      <c r="D281" s="23"/>
      <c r="E281" s="23"/>
      <c r="F281" s="61" t="str">
        <f t="shared" si="21"/>
        <v/>
      </c>
      <c r="G281" s="61" t="str">
        <f t="shared" si="22"/>
        <v/>
      </c>
      <c r="H281" s="23" t="str">
        <f t="shared" si="23"/>
        <v/>
      </c>
      <c r="I281" s="70"/>
      <c r="J281" s="70"/>
      <c r="K281" s="69"/>
      <c r="L281" s="6" t="str">
        <f>IFERROR(VLOOKUP(A281,'Acompanhamento da Licitação'!$F$2:$N$1000,6,FALSE()),"")</f>
        <v/>
      </c>
      <c r="M281" s="6" t="str">
        <f>IFERROR(VLOOKUP(A281,'Acompanhamento da Licitação'!$F$2:$N$1000,7,FALSE()),"")</f>
        <v/>
      </c>
      <c r="N281" s="1" t="str">
        <f>IFERROR(VLOOKUP(A281,'Acompanhamento da Licitação'!$F$2:$N$1000,9,FALSE()),"")</f>
        <v/>
      </c>
      <c r="O281" s="1" t="str">
        <f t="shared" si="24"/>
        <v>Não</v>
      </c>
      <c r="P281" s="6">
        <f t="shared" si="25"/>
        <v>0</v>
      </c>
    </row>
    <row r="282" spans="1:16" ht="15.75" x14ac:dyDescent="0.25">
      <c r="A282" s="72"/>
      <c r="B282" s="41"/>
      <c r="C282" s="72"/>
      <c r="D282" s="23"/>
      <c r="E282" s="23"/>
      <c r="F282" s="61" t="str">
        <f t="shared" si="21"/>
        <v/>
      </c>
      <c r="G282" s="61" t="str">
        <f t="shared" si="22"/>
        <v/>
      </c>
      <c r="H282" s="23" t="str">
        <f t="shared" si="23"/>
        <v/>
      </c>
      <c r="I282" s="70"/>
      <c r="J282" s="70"/>
      <c r="K282" s="69"/>
      <c r="L282" s="6" t="str">
        <f>IFERROR(VLOOKUP(A282,'Acompanhamento da Licitação'!$F$2:$N$1000,6,FALSE()),"")</f>
        <v/>
      </c>
      <c r="M282" s="6" t="str">
        <f>IFERROR(VLOOKUP(A282,'Acompanhamento da Licitação'!$F$2:$N$1000,7,FALSE()),"")</f>
        <v/>
      </c>
      <c r="N282" s="1" t="str">
        <f>IFERROR(VLOOKUP(A282,'Acompanhamento da Licitação'!$F$2:$N$1000,9,FALSE()),"")</f>
        <v/>
      </c>
      <c r="O282" s="1" t="str">
        <f t="shared" si="24"/>
        <v>Não</v>
      </c>
      <c r="P282" s="6">
        <f t="shared" si="25"/>
        <v>0</v>
      </c>
    </row>
    <row r="283" spans="1:16" ht="15.75" x14ac:dyDescent="0.25">
      <c r="A283" s="72"/>
      <c r="B283" s="41"/>
      <c r="C283" s="72"/>
      <c r="D283" s="23"/>
      <c r="E283" s="23"/>
      <c r="F283" s="61" t="str">
        <f t="shared" si="21"/>
        <v/>
      </c>
      <c r="G283" s="61" t="str">
        <f t="shared" si="22"/>
        <v/>
      </c>
      <c r="H283" s="23" t="str">
        <f t="shared" si="23"/>
        <v/>
      </c>
      <c r="I283" s="70"/>
      <c r="J283" s="70"/>
      <c r="K283" s="69"/>
      <c r="L283" s="6" t="str">
        <f>IFERROR(VLOOKUP(A283,'Acompanhamento da Licitação'!$F$2:$N$1000,6,FALSE()),"")</f>
        <v/>
      </c>
      <c r="M283" s="6" t="str">
        <f>IFERROR(VLOOKUP(A283,'Acompanhamento da Licitação'!$F$2:$N$1000,7,FALSE()),"")</f>
        <v/>
      </c>
      <c r="N283" s="1" t="str">
        <f>IFERROR(VLOOKUP(A283,'Acompanhamento da Licitação'!$F$2:$N$1000,9,FALSE()),"")</f>
        <v/>
      </c>
      <c r="O283" s="1" t="str">
        <f t="shared" si="24"/>
        <v>Não</v>
      </c>
      <c r="P283" s="6">
        <f t="shared" si="25"/>
        <v>0</v>
      </c>
    </row>
    <row r="284" spans="1:16" ht="15.75" x14ac:dyDescent="0.25">
      <c r="A284" s="72"/>
      <c r="B284" s="41"/>
      <c r="C284" s="72"/>
      <c r="D284" s="23"/>
      <c r="E284" s="23"/>
      <c r="F284" s="61" t="str">
        <f t="shared" si="21"/>
        <v/>
      </c>
      <c r="G284" s="61" t="str">
        <f t="shared" si="22"/>
        <v/>
      </c>
      <c r="H284" s="23" t="str">
        <f t="shared" si="23"/>
        <v/>
      </c>
      <c r="I284" s="70"/>
      <c r="J284" s="70"/>
      <c r="K284" s="69"/>
      <c r="L284" s="6" t="str">
        <f>IFERROR(VLOOKUP(A284,'Acompanhamento da Licitação'!$F$2:$N$1000,6,FALSE()),"")</f>
        <v/>
      </c>
      <c r="M284" s="6" t="str">
        <f>IFERROR(VLOOKUP(A284,'Acompanhamento da Licitação'!$F$2:$N$1000,7,FALSE()),"")</f>
        <v/>
      </c>
      <c r="N284" s="1" t="str">
        <f>IFERROR(VLOOKUP(A284,'Acompanhamento da Licitação'!$F$2:$N$1000,9,FALSE()),"")</f>
        <v/>
      </c>
      <c r="O284" s="1" t="str">
        <f t="shared" si="24"/>
        <v>Não</v>
      </c>
      <c r="P284" s="6">
        <f t="shared" si="25"/>
        <v>0</v>
      </c>
    </row>
    <row r="285" spans="1:16" ht="15.75" x14ac:dyDescent="0.25">
      <c r="A285" s="72"/>
      <c r="B285" s="41"/>
      <c r="C285" s="72"/>
      <c r="D285" s="23"/>
      <c r="E285" s="23"/>
      <c r="F285" s="61" t="str">
        <f t="shared" si="21"/>
        <v/>
      </c>
      <c r="G285" s="61" t="str">
        <f t="shared" si="22"/>
        <v/>
      </c>
      <c r="H285" s="23" t="str">
        <f t="shared" si="23"/>
        <v/>
      </c>
      <c r="I285" s="70"/>
      <c r="J285" s="70"/>
      <c r="K285" s="69"/>
      <c r="L285" s="6" t="str">
        <f>IFERROR(VLOOKUP(A285,'Acompanhamento da Licitação'!$F$2:$N$1000,6,FALSE()),"")</f>
        <v/>
      </c>
      <c r="M285" s="6" t="str">
        <f>IFERROR(VLOOKUP(A285,'Acompanhamento da Licitação'!$F$2:$N$1000,7,FALSE()),"")</f>
        <v/>
      </c>
      <c r="N285" s="1" t="str">
        <f>IFERROR(VLOOKUP(A285,'Acompanhamento da Licitação'!$F$2:$N$1000,9,FALSE()),"")</f>
        <v/>
      </c>
      <c r="O285" s="1" t="str">
        <f t="shared" si="24"/>
        <v>Não</v>
      </c>
      <c r="P285" s="6">
        <f t="shared" si="25"/>
        <v>0</v>
      </c>
    </row>
    <row r="286" spans="1:16" ht="15.75" x14ac:dyDescent="0.25">
      <c r="A286" s="72"/>
      <c r="B286" s="41"/>
      <c r="C286" s="72"/>
      <c r="D286" s="23"/>
      <c r="E286" s="23"/>
      <c r="F286" s="61" t="str">
        <f t="shared" si="21"/>
        <v/>
      </c>
      <c r="G286" s="61" t="str">
        <f t="shared" si="22"/>
        <v/>
      </c>
      <c r="H286" s="23" t="str">
        <f t="shared" si="23"/>
        <v/>
      </c>
      <c r="I286" s="70"/>
      <c r="J286" s="70"/>
      <c r="K286" s="69"/>
      <c r="L286" s="6" t="str">
        <f>IFERROR(VLOOKUP(A286,'Acompanhamento da Licitação'!$F$2:$N$1000,6,FALSE()),"")</f>
        <v/>
      </c>
      <c r="M286" s="6" t="str">
        <f>IFERROR(VLOOKUP(A286,'Acompanhamento da Licitação'!$F$2:$N$1000,7,FALSE()),"")</f>
        <v/>
      </c>
      <c r="N286" s="1" t="str">
        <f>IFERROR(VLOOKUP(A286,'Acompanhamento da Licitação'!$F$2:$N$1000,9,FALSE()),"")</f>
        <v/>
      </c>
      <c r="O286" s="1" t="str">
        <f t="shared" si="24"/>
        <v>Não</v>
      </c>
      <c r="P286" s="6">
        <f t="shared" si="25"/>
        <v>0</v>
      </c>
    </row>
    <row r="287" spans="1:16" ht="15.75" x14ac:dyDescent="0.25">
      <c r="A287" s="72"/>
      <c r="B287" s="41"/>
      <c r="C287" s="72"/>
      <c r="D287" s="23"/>
      <c r="E287" s="23"/>
      <c r="F287" s="61" t="str">
        <f t="shared" si="21"/>
        <v/>
      </c>
      <c r="G287" s="61" t="str">
        <f t="shared" si="22"/>
        <v/>
      </c>
      <c r="H287" s="23" t="str">
        <f t="shared" si="23"/>
        <v/>
      </c>
      <c r="I287" s="70"/>
      <c r="J287" s="70"/>
      <c r="K287" s="69"/>
      <c r="L287" s="6" t="str">
        <f>IFERROR(VLOOKUP(A287,'Acompanhamento da Licitação'!$F$2:$N$1000,6,FALSE()),"")</f>
        <v/>
      </c>
      <c r="M287" s="6" t="str">
        <f>IFERROR(VLOOKUP(A287,'Acompanhamento da Licitação'!$F$2:$N$1000,7,FALSE()),"")</f>
        <v/>
      </c>
      <c r="N287" s="1" t="str">
        <f>IFERROR(VLOOKUP(A287,'Acompanhamento da Licitação'!$F$2:$N$1000,9,FALSE()),"")</f>
        <v/>
      </c>
      <c r="O287" s="1" t="str">
        <f t="shared" si="24"/>
        <v>Não</v>
      </c>
      <c r="P287" s="6">
        <f t="shared" si="25"/>
        <v>0</v>
      </c>
    </row>
    <row r="288" spans="1:16" ht="15.75" x14ac:dyDescent="0.25">
      <c r="A288" s="72"/>
      <c r="B288" s="41"/>
      <c r="C288" s="72"/>
      <c r="D288" s="23"/>
      <c r="E288" s="23"/>
      <c r="F288" s="61" t="str">
        <f t="shared" si="21"/>
        <v/>
      </c>
      <c r="G288" s="61" t="str">
        <f t="shared" si="22"/>
        <v/>
      </c>
      <c r="H288" s="23" t="str">
        <f t="shared" si="23"/>
        <v/>
      </c>
      <c r="I288" s="70"/>
      <c r="J288" s="70"/>
      <c r="K288" s="69"/>
      <c r="L288" s="6" t="str">
        <f>IFERROR(VLOOKUP(A288,'Acompanhamento da Licitação'!$F$2:$N$1000,6,FALSE()),"")</f>
        <v/>
      </c>
      <c r="M288" s="6" t="str">
        <f>IFERROR(VLOOKUP(A288,'Acompanhamento da Licitação'!$F$2:$N$1000,7,FALSE()),"")</f>
        <v/>
      </c>
      <c r="N288" s="1" t="str">
        <f>IFERROR(VLOOKUP(A288,'Acompanhamento da Licitação'!$F$2:$N$1000,9,FALSE()),"")</f>
        <v/>
      </c>
      <c r="O288" s="1" t="str">
        <f t="shared" si="24"/>
        <v>Não</v>
      </c>
      <c r="P288" s="6">
        <f t="shared" si="25"/>
        <v>0</v>
      </c>
    </row>
    <row r="289" spans="1:16" ht="15.75" x14ac:dyDescent="0.25">
      <c r="A289" s="72"/>
      <c r="B289" s="41"/>
      <c r="C289" s="72"/>
      <c r="D289" s="23"/>
      <c r="E289" s="23"/>
      <c r="F289" s="61" t="str">
        <f t="shared" si="21"/>
        <v/>
      </c>
      <c r="G289" s="61" t="str">
        <f t="shared" si="22"/>
        <v/>
      </c>
      <c r="H289" s="23" t="str">
        <f t="shared" si="23"/>
        <v/>
      </c>
      <c r="I289" s="70"/>
      <c r="J289" s="70"/>
      <c r="K289" s="69"/>
      <c r="L289" s="6" t="str">
        <f>IFERROR(VLOOKUP(A289,'Acompanhamento da Licitação'!$F$2:$N$1000,6,FALSE()),"")</f>
        <v/>
      </c>
      <c r="M289" s="6" t="str">
        <f>IFERROR(VLOOKUP(A289,'Acompanhamento da Licitação'!$F$2:$N$1000,7,FALSE()),"")</f>
        <v/>
      </c>
      <c r="N289" s="1" t="str">
        <f>IFERROR(VLOOKUP(A289,'Acompanhamento da Licitação'!$F$2:$N$1000,9,FALSE()),"")</f>
        <v/>
      </c>
      <c r="O289" s="1" t="str">
        <f t="shared" si="24"/>
        <v>Não</v>
      </c>
      <c r="P289" s="6">
        <f t="shared" si="25"/>
        <v>0</v>
      </c>
    </row>
    <row r="290" spans="1:16" ht="15.75" x14ac:dyDescent="0.25">
      <c r="A290" s="72"/>
      <c r="B290" s="41"/>
      <c r="C290" s="72"/>
      <c r="D290" s="23"/>
      <c r="E290" s="23"/>
      <c r="F290" s="61" t="str">
        <f t="shared" si="21"/>
        <v/>
      </c>
      <c r="G290" s="61" t="str">
        <f t="shared" si="22"/>
        <v/>
      </c>
      <c r="H290" s="23" t="str">
        <f t="shared" si="23"/>
        <v/>
      </c>
      <c r="I290" s="70"/>
      <c r="J290" s="70"/>
      <c r="K290" s="69"/>
      <c r="L290" s="6" t="str">
        <f>IFERROR(VLOOKUP(A290,'Acompanhamento da Licitação'!$F$2:$N$1000,6,FALSE()),"")</f>
        <v/>
      </c>
      <c r="M290" s="6" t="str">
        <f>IFERROR(VLOOKUP(A290,'Acompanhamento da Licitação'!$F$2:$N$1000,7,FALSE()),"")</f>
        <v/>
      </c>
      <c r="N290" s="1" t="str">
        <f>IFERROR(VLOOKUP(A290,'Acompanhamento da Licitação'!$F$2:$N$1000,9,FALSE()),"")</f>
        <v/>
      </c>
      <c r="O290" s="1" t="str">
        <f t="shared" si="24"/>
        <v>Não</v>
      </c>
      <c r="P290" s="6">
        <f t="shared" si="25"/>
        <v>0</v>
      </c>
    </row>
    <row r="291" spans="1:16" ht="15.75" x14ac:dyDescent="0.25">
      <c r="A291" s="72"/>
      <c r="B291" s="41"/>
      <c r="C291" s="72"/>
      <c r="D291" s="23"/>
      <c r="E291" s="23"/>
      <c r="F291" s="61" t="str">
        <f t="shared" si="21"/>
        <v/>
      </c>
      <c r="G291" s="61" t="str">
        <f t="shared" si="22"/>
        <v/>
      </c>
      <c r="H291" s="23" t="str">
        <f t="shared" si="23"/>
        <v/>
      </c>
      <c r="I291" s="70"/>
      <c r="J291" s="70"/>
      <c r="K291" s="69"/>
      <c r="L291" s="6" t="str">
        <f>IFERROR(VLOOKUP(A291,'Acompanhamento da Licitação'!$F$2:$N$1000,6,FALSE()),"")</f>
        <v/>
      </c>
      <c r="M291" s="6" t="str">
        <f>IFERROR(VLOOKUP(A291,'Acompanhamento da Licitação'!$F$2:$N$1000,7,FALSE()),"")</f>
        <v/>
      </c>
      <c r="N291" s="1" t="str">
        <f>IFERROR(VLOOKUP(A291,'Acompanhamento da Licitação'!$F$2:$N$1000,9,FALSE()),"")</f>
        <v/>
      </c>
      <c r="O291" s="1" t="str">
        <f t="shared" si="24"/>
        <v>Não</v>
      </c>
      <c r="P291" s="6">
        <f t="shared" si="25"/>
        <v>0</v>
      </c>
    </row>
    <row r="292" spans="1:16" ht="15.75" x14ac:dyDescent="0.25">
      <c r="A292" s="72"/>
      <c r="B292" s="41"/>
      <c r="C292" s="72"/>
      <c r="D292" s="23"/>
      <c r="E292" s="23"/>
      <c r="F292" s="61" t="str">
        <f t="shared" si="21"/>
        <v/>
      </c>
      <c r="G292" s="61" t="str">
        <f t="shared" si="22"/>
        <v/>
      </c>
      <c r="H292" s="23" t="str">
        <f t="shared" si="23"/>
        <v/>
      </c>
      <c r="I292" s="70"/>
      <c r="J292" s="70"/>
      <c r="K292" s="69"/>
      <c r="L292" s="6" t="str">
        <f>IFERROR(VLOOKUP(A292,'Acompanhamento da Licitação'!$F$2:$N$1000,6,FALSE()),"")</f>
        <v/>
      </c>
      <c r="M292" s="6" t="str">
        <f>IFERROR(VLOOKUP(A292,'Acompanhamento da Licitação'!$F$2:$N$1000,7,FALSE()),"")</f>
        <v/>
      </c>
      <c r="N292" s="1" t="str">
        <f>IFERROR(VLOOKUP(A292,'Acompanhamento da Licitação'!$F$2:$N$1000,9,FALSE()),"")</f>
        <v/>
      </c>
      <c r="O292" s="1" t="str">
        <f t="shared" si="24"/>
        <v>Não</v>
      </c>
      <c r="P292" s="6">
        <f t="shared" si="25"/>
        <v>0</v>
      </c>
    </row>
    <row r="293" spans="1:16" ht="15.75" x14ac:dyDescent="0.25">
      <c r="A293" s="72"/>
      <c r="B293" s="41"/>
      <c r="C293" s="72"/>
      <c r="D293" s="23"/>
      <c r="E293" s="23"/>
      <c r="F293" s="61" t="str">
        <f t="shared" si="21"/>
        <v/>
      </c>
      <c r="G293" s="61" t="str">
        <f t="shared" si="22"/>
        <v/>
      </c>
      <c r="H293" s="23" t="str">
        <f t="shared" si="23"/>
        <v/>
      </c>
      <c r="I293" s="70"/>
      <c r="J293" s="70"/>
      <c r="K293" s="69"/>
      <c r="L293" s="6" t="str">
        <f>IFERROR(VLOOKUP(A293,'Acompanhamento da Licitação'!$F$2:$N$1000,6,FALSE()),"")</f>
        <v/>
      </c>
      <c r="M293" s="6" t="str">
        <f>IFERROR(VLOOKUP(A293,'Acompanhamento da Licitação'!$F$2:$N$1000,7,FALSE()),"")</f>
        <v/>
      </c>
      <c r="N293" s="1" t="str">
        <f>IFERROR(VLOOKUP(A293,'Acompanhamento da Licitação'!$F$2:$N$1000,9,FALSE()),"")</f>
        <v/>
      </c>
      <c r="O293" s="1" t="str">
        <f t="shared" si="24"/>
        <v>Não</v>
      </c>
      <c r="P293" s="6">
        <f t="shared" si="25"/>
        <v>0</v>
      </c>
    </row>
    <row r="294" spans="1:16" ht="15.75" x14ac:dyDescent="0.25">
      <c r="A294" s="72"/>
      <c r="B294" s="41"/>
      <c r="C294" s="72"/>
      <c r="D294" s="23"/>
      <c r="E294" s="23"/>
      <c r="F294" s="61" t="str">
        <f t="shared" si="21"/>
        <v/>
      </c>
      <c r="G294" s="61" t="str">
        <f t="shared" si="22"/>
        <v/>
      </c>
      <c r="H294" s="23" t="str">
        <f t="shared" si="23"/>
        <v/>
      </c>
      <c r="I294" s="70"/>
      <c r="J294" s="70"/>
      <c r="K294" s="69"/>
      <c r="L294" s="6" t="str">
        <f>IFERROR(VLOOKUP(A294,'Acompanhamento da Licitação'!$F$2:$N$1000,6,FALSE()),"")</f>
        <v/>
      </c>
      <c r="M294" s="6" t="str">
        <f>IFERROR(VLOOKUP(A294,'Acompanhamento da Licitação'!$F$2:$N$1000,7,FALSE()),"")</f>
        <v/>
      </c>
      <c r="N294" s="1" t="str">
        <f>IFERROR(VLOOKUP(A294,'Acompanhamento da Licitação'!$F$2:$N$1000,9,FALSE()),"")</f>
        <v/>
      </c>
      <c r="O294" s="1" t="str">
        <f t="shared" si="24"/>
        <v>Não</v>
      </c>
      <c r="P294" s="6">
        <f t="shared" si="25"/>
        <v>0</v>
      </c>
    </row>
    <row r="295" spans="1:16" ht="15.75" x14ac:dyDescent="0.25">
      <c r="A295" s="72"/>
      <c r="B295" s="41"/>
      <c r="C295" s="72"/>
      <c r="D295" s="23"/>
      <c r="E295" s="23"/>
      <c r="F295" s="61" t="str">
        <f t="shared" si="21"/>
        <v/>
      </c>
      <c r="G295" s="61" t="str">
        <f t="shared" si="22"/>
        <v/>
      </c>
      <c r="H295" s="23" t="str">
        <f t="shared" si="23"/>
        <v/>
      </c>
      <c r="I295" s="70"/>
      <c r="J295" s="70"/>
      <c r="K295" s="69"/>
      <c r="L295" s="6" t="str">
        <f>IFERROR(VLOOKUP(A295,'Acompanhamento da Licitação'!$F$2:$N$1000,6,FALSE()),"")</f>
        <v/>
      </c>
      <c r="M295" s="6" t="str">
        <f>IFERROR(VLOOKUP(A295,'Acompanhamento da Licitação'!$F$2:$N$1000,7,FALSE()),"")</f>
        <v/>
      </c>
      <c r="N295" s="1" t="str">
        <f>IFERROR(VLOOKUP(A295,'Acompanhamento da Licitação'!$F$2:$N$1000,9,FALSE()),"")</f>
        <v/>
      </c>
      <c r="O295" s="1" t="str">
        <f t="shared" si="24"/>
        <v>Não</v>
      </c>
      <c r="P295" s="6">
        <f t="shared" si="25"/>
        <v>0</v>
      </c>
    </row>
    <row r="296" spans="1:16" ht="15.75" x14ac:dyDescent="0.25">
      <c r="A296" s="72"/>
      <c r="B296" s="41"/>
      <c r="C296" s="72"/>
      <c r="D296" s="23"/>
      <c r="E296" s="23"/>
      <c r="F296" s="61" t="str">
        <f t="shared" si="21"/>
        <v/>
      </c>
      <c r="G296" s="61" t="str">
        <f t="shared" si="22"/>
        <v/>
      </c>
      <c r="H296" s="23" t="str">
        <f t="shared" si="23"/>
        <v/>
      </c>
      <c r="I296" s="70"/>
      <c r="J296" s="70"/>
      <c r="K296" s="69"/>
      <c r="L296" s="6" t="str">
        <f>IFERROR(VLOOKUP(A296,'Acompanhamento da Licitação'!$F$2:$N$1000,6,FALSE()),"")</f>
        <v/>
      </c>
      <c r="M296" s="6" t="str">
        <f>IFERROR(VLOOKUP(A296,'Acompanhamento da Licitação'!$F$2:$N$1000,7,FALSE()),"")</f>
        <v/>
      </c>
      <c r="N296" s="1" t="str">
        <f>IFERROR(VLOOKUP(A296,'Acompanhamento da Licitação'!$F$2:$N$1000,9,FALSE()),"")</f>
        <v/>
      </c>
      <c r="O296" s="1" t="str">
        <f t="shared" si="24"/>
        <v>Não</v>
      </c>
      <c r="P296" s="6">
        <f t="shared" si="25"/>
        <v>0</v>
      </c>
    </row>
    <row r="297" spans="1:16" ht="15.75" x14ac:dyDescent="0.25">
      <c r="A297" s="72"/>
      <c r="B297" s="41"/>
      <c r="C297" s="72"/>
      <c r="D297" s="23"/>
      <c r="E297" s="23"/>
      <c r="F297" s="61" t="str">
        <f t="shared" si="21"/>
        <v/>
      </c>
      <c r="G297" s="61" t="str">
        <f t="shared" si="22"/>
        <v/>
      </c>
      <c r="H297" s="23" t="str">
        <f t="shared" si="23"/>
        <v/>
      </c>
      <c r="I297" s="70"/>
      <c r="J297" s="70"/>
      <c r="K297" s="69"/>
      <c r="L297" s="6" t="str">
        <f>IFERROR(VLOOKUP(A297,'Acompanhamento da Licitação'!$F$2:$N$1000,6,FALSE()),"")</f>
        <v/>
      </c>
      <c r="M297" s="6" t="str">
        <f>IFERROR(VLOOKUP(A297,'Acompanhamento da Licitação'!$F$2:$N$1000,7,FALSE()),"")</f>
        <v/>
      </c>
      <c r="N297" s="1" t="str">
        <f>IFERROR(VLOOKUP(A297,'Acompanhamento da Licitação'!$F$2:$N$1000,9,FALSE()),"")</f>
        <v/>
      </c>
      <c r="O297" s="1" t="str">
        <f t="shared" si="24"/>
        <v>Não</v>
      </c>
      <c r="P297" s="6">
        <f t="shared" si="25"/>
        <v>0</v>
      </c>
    </row>
    <row r="298" spans="1:16" ht="15.75" x14ac:dyDescent="0.25">
      <c r="A298" s="72"/>
      <c r="B298" s="41"/>
      <c r="C298" s="72"/>
      <c r="D298" s="23"/>
      <c r="E298" s="23"/>
      <c r="F298" s="61" t="str">
        <f t="shared" si="21"/>
        <v/>
      </c>
      <c r="G298" s="61" t="str">
        <f t="shared" si="22"/>
        <v/>
      </c>
      <c r="H298" s="23" t="str">
        <f t="shared" si="23"/>
        <v/>
      </c>
      <c r="I298" s="70"/>
      <c r="J298" s="70"/>
      <c r="K298" s="69"/>
      <c r="L298" s="6" t="str">
        <f>IFERROR(VLOOKUP(A298,'Acompanhamento da Licitação'!$F$2:$N$1000,6,FALSE()),"")</f>
        <v/>
      </c>
      <c r="M298" s="6" t="str">
        <f>IFERROR(VLOOKUP(A298,'Acompanhamento da Licitação'!$F$2:$N$1000,7,FALSE()),"")</f>
        <v/>
      </c>
      <c r="N298" s="1" t="str">
        <f>IFERROR(VLOOKUP(A298,'Acompanhamento da Licitação'!$F$2:$N$1000,9,FALSE()),"")</f>
        <v/>
      </c>
      <c r="O298" s="1" t="str">
        <f t="shared" si="24"/>
        <v>Não</v>
      </c>
      <c r="P298" s="6">
        <f t="shared" si="25"/>
        <v>0</v>
      </c>
    </row>
    <row r="299" spans="1:16" ht="15.75" x14ac:dyDescent="0.25">
      <c r="A299" s="72"/>
      <c r="B299" s="41"/>
      <c r="C299" s="72"/>
      <c r="D299" s="23"/>
      <c r="E299" s="23"/>
      <c r="F299" s="61" t="str">
        <f t="shared" si="21"/>
        <v/>
      </c>
      <c r="G299" s="61" t="str">
        <f t="shared" si="22"/>
        <v/>
      </c>
      <c r="H299" s="23" t="str">
        <f t="shared" si="23"/>
        <v/>
      </c>
      <c r="I299" s="70"/>
      <c r="J299" s="70"/>
      <c r="K299" s="69"/>
      <c r="L299" s="6" t="str">
        <f>IFERROR(VLOOKUP(A299,'Acompanhamento da Licitação'!$F$2:$N$1000,6,FALSE()),"")</f>
        <v/>
      </c>
      <c r="M299" s="6" t="str">
        <f>IFERROR(VLOOKUP(A299,'Acompanhamento da Licitação'!$F$2:$N$1000,7,FALSE()),"")</f>
        <v/>
      </c>
      <c r="N299" s="1" t="str">
        <f>IFERROR(VLOOKUP(A299,'Acompanhamento da Licitação'!$F$2:$N$1000,9,FALSE()),"")</f>
        <v/>
      </c>
      <c r="O299" s="1" t="str">
        <f t="shared" si="24"/>
        <v>Não</v>
      </c>
      <c r="P299" s="6">
        <f t="shared" si="25"/>
        <v>0</v>
      </c>
    </row>
    <row r="300" spans="1:16" ht="15.75" x14ac:dyDescent="0.25">
      <c r="A300" s="72"/>
      <c r="B300" s="41"/>
      <c r="C300" s="72"/>
      <c r="D300" s="23"/>
      <c r="E300" s="23"/>
      <c r="F300" s="61" t="str">
        <f t="shared" si="21"/>
        <v/>
      </c>
      <c r="G300" s="61" t="str">
        <f t="shared" si="22"/>
        <v/>
      </c>
      <c r="H300" s="23" t="str">
        <f t="shared" si="23"/>
        <v/>
      </c>
      <c r="I300" s="70"/>
      <c r="J300" s="70"/>
      <c r="K300" s="69"/>
      <c r="L300" s="6" t="str">
        <f>IFERROR(VLOOKUP(A300,'Acompanhamento da Licitação'!$F$2:$N$1000,6,FALSE()),"")</f>
        <v/>
      </c>
      <c r="M300" s="6" t="str">
        <f>IFERROR(VLOOKUP(A300,'Acompanhamento da Licitação'!$F$2:$N$1000,7,FALSE()),"")</f>
        <v/>
      </c>
      <c r="N300" s="1" t="str">
        <f>IFERROR(VLOOKUP(A300,'Acompanhamento da Licitação'!$F$2:$N$1000,9,FALSE()),"")</f>
        <v/>
      </c>
      <c r="O300" s="1" t="str">
        <f t="shared" si="24"/>
        <v>Não</v>
      </c>
      <c r="P300" s="6">
        <f t="shared" si="25"/>
        <v>0</v>
      </c>
    </row>
    <row r="301" spans="1:16" ht="15.75" x14ac:dyDescent="0.25">
      <c r="A301" s="72"/>
      <c r="B301" s="41"/>
      <c r="C301" s="72"/>
      <c r="D301" s="23"/>
      <c r="E301" s="23"/>
      <c r="F301" s="61" t="str">
        <f t="shared" si="21"/>
        <v/>
      </c>
      <c r="G301" s="61" t="str">
        <f t="shared" si="22"/>
        <v/>
      </c>
      <c r="H301" s="23" t="str">
        <f t="shared" si="23"/>
        <v/>
      </c>
      <c r="I301" s="70"/>
      <c r="J301" s="70"/>
      <c r="K301" s="69"/>
      <c r="L301" s="6" t="str">
        <f>IFERROR(VLOOKUP(A301,'Acompanhamento da Licitação'!$F$2:$N$1000,6,FALSE()),"")</f>
        <v/>
      </c>
      <c r="M301" s="6" t="str">
        <f>IFERROR(VLOOKUP(A301,'Acompanhamento da Licitação'!$F$2:$N$1000,7,FALSE()),"")</f>
        <v/>
      </c>
      <c r="N301" s="1" t="str">
        <f>IFERROR(VLOOKUP(A301,'Acompanhamento da Licitação'!$F$2:$N$1000,9,FALSE()),"")</f>
        <v/>
      </c>
      <c r="O301" s="1" t="str">
        <f t="shared" si="24"/>
        <v>Não</v>
      </c>
      <c r="P301" s="6">
        <f t="shared" si="25"/>
        <v>0</v>
      </c>
    </row>
    <row r="302" spans="1:16" ht="15.75" x14ac:dyDescent="0.25">
      <c r="A302" s="72"/>
      <c r="B302" s="41"/>
      <c r="C302" s="72"/>
      <c r="D302" s="23"/>
      <c r="E302" s="23"/>
      <c r="F302" s="61" t="str">
        <f t="shared" si="21"/>
        <v/>
      </c>
      <c r="G302" s="61" t="str">
        <f t="shared" si="22"/>
        <v/>
      </c>
      <c r="H302" s="23" t="str">
        <f t="shared" si="23"/>
        <v/>
      </c>
      <c r="I302" s="70"/>
      <c r="J302" s="70"/>
      <c r="K302" s="69"/>
      <c r="L302" s="6" t="str">
        <f>IFERROR(VLOOKUP(A302,'Acompanhamento da Licitação'!$F$2:$N$1000,6,FALSE()),"")</f>
        <v/>
      </c>
      <c r="M302" s="6" t="str">
        <f>IFERROR(VLOOKUP(A302,'Acompanhamento da Licitação'!$F$2:$N$1000,7,FALSE()),"")</f>
        <v/>
      </c>
      <c r="N302" s="1" t="str">
        <f>IFERROR(VLOOKUP(A302,'Acompanhamento da Licitação'!$F$2:$N$1000,9,FALSE()),"")</f>
        <v/>
      </c>
      <c r="O302" s="1" t="str">
        <f t="shared" si="24"/>
        <v>Não</v>
      </c>
      <c r="P302" s="6">
        <f t="shared" si="25"/>
        <v>0</v>
      </c>
    </row>
    <row r="303" spans="1:16" ht="15.75" x14ac:dyDescent="0.25">
      <c r="A303" s="72"/>
      <c r="B303" s="41"/>
      <c r="C303" s="72"/>
      <c r="D303" s="23"/>
      <c r="E303" s="23"/>
      <c r="F303" s="61" t="str">
        <f t="shared" si="21"/>
        <v/>
      </c>
      <c r="G303" s="61" t="str">
        <f t="shared" si="22"/>
        <v/>
      </c>
      <c r="H303" s="23" t="str">
        <f t="shared" si="23"/>
        <v/>
      </c>
      <c r="I303" s="70"/>
      <c r="J303" s="70"/>
      <c r="K303" s="69"/>
      <c r="L303" s="6" t="str">
        <f>IFERROR(VLOOKUP(A303,'Acompanhamento da Licitação'!$F$2:$N$1000,6,FALSE()),"")</f>
        <v/>
      </c>
      <c r="M303" s="6" t="str">
        <f>IFERROR(VLOOKUP(A303,'Acompanhamento da Licitação'!$F$2:$N$1000,7,FALSE()),"")</f>
        <v/>
      </c>
      <c r="N303" s="1" t="str">
        <f>IFERROR(VLOOKUP(A303,'Acompanhamento da Licitação'!$F$2:$N$1000,9,FALSE()),"")</f>
        <v/>
      </c>
      <c r="O303" s="1" t="str">
        <f t="shared" si="24"/>
        <v>Não</v>
      </c>
      <c r="P303" s="6">
        <f t="shared" si="25"/>
        <v>0</v>
      </c>
    </row>
    <row r="304" spans="1:16" ht="15.75" x14ac:dyDescent="0.25">
      <c r="A304" s="72"/>
      <c r="B304" s="41"/>
      <c r="C304" s="72"/>
      <c r="D304" s="23"/>
      <c r="E304" s="23"/>
      <c r="F304" s="61" t="str">
        <f t="shared" si="21"/>
        <v/>
      </c>
      <c r="G304" s="61" t="str">
        <f t="shared" si="22"/>
        <v/>
      </c>
      <c r="H304" s="23" t="str">
        <f t="shared" si="23"/>
        <v/>
      </c>
      <c r="I304" s="70"/>
      <c r="J304" s="70"/>
      <c r="K304" s="69"/>
      <c r="L304" s="6" t="str">
        <f>IFERROR(VLOOKUP(A304,'Acompanhamento da Licitação'!$F$2:$N$1000,6,FALSE()),"")</f>
        <v/>
      </c>
      <c r="M304" s="6" t="str">
        <f>IFERROR(VLOOKUP(A304,'Acompanhamento da Licitação'!$F$2:$N$1000,7,FALSE()),"")</f>
        <v/>
      </c>
      <c r="N304" s="1" t="str">
        <f>IFERROR(VLOOKUP(A304,'Acompanhamento da Licitação'!$F$2:$N$1000,9,FALSE()),"")</f>
        <v/>
      </c>
      <c r="O304" s="1" t="str">
        <f t="shared" si="24"/>
        <v>Não</v>
      </c>
      <c r="P304" s="6">
        <f t="shared" si="25"/>
        <v>0</v>
      </c>
    </row>
    <row r="305" spans="1:16" ht="15.75" x14ac:dyDescent="0.25">
      <c r="A305" s="72"/>
      <c r="B305" s="41"/>
      <c r="C305" s="72"/>
      <c r="D305" s="23"/>
      <c r="E305" s="23"/>
      <c r="F305" s="61" t="str">
        <f t="shared" si="21"/>
        <v/>
      </c>
      <c r="G305" s="61" t="str">
        <f t="shared" si="22"/>
        <v/>
      </c>
      <c r="H305" s="23" t="str">
        <f t="shared" si="23"/>
        <v/>
      </c>
      <c r="I305" s="70"/>
      <c r="J305" s="70"/>
      <c r="K305" s="69"/>
      <c r="L305" s="6" t="str">
        <f>IFERROR(VLOOKUP(A305,'Acompanhamento da Licitação'!$F$2:$N$1000,6,FALSE()),"")</f>
        <v/>
      </c>
      <c r="M305" s="6" t="str">
        <f>IFERROR(VLOOKUP(A305,'Acompanhamento da Licitação'!$F$2:$N$1000,7,FALSE()),"")</f>
        <v/>
      </c>
      <c r="N305" s="1" t="str">
        <f>IFERROR(VLOOKUP(A305,'Acompanhamento da Licitação'!$F$2:$N$1000,9,FALSE()),"")</f>
        <v/>
      </c>
      <c r="O305" s="1" t="str">
        <f t="shared" si="24"/>
        <v>Não</v>
      </c>
      <c r="P305" s="6">
        <f t="shared" si="25"/>
        <v>0</v>
      </c>
    </row>
    <row r="306" spans="1:16" ht="15.75" x14ac:dyDescent="0.25">
      <c r="A306" s="72"/>
      <c r="B306" s="41"/>
      <c r="C306" s="72"/>
      <c r="D306" s="23"/>
      <c r="E306" s="23"/>
      <c r="F306" s="61" t="str">
        <f t="shared" si="21"/>
        <v/>
      </c>
      <c r="G306" s="61" t="str">
        <f t="shared" si="22"/>
        <v/>
      </c>
      <c r="H306" s="23" t="str">
        <f t="shared" si="23"/>
        <v/>
      </c>
      <c r="I306" s="70"/>
      <c r="J306" s="70"/>
      <c r="K306" s="69"/>
      <c r="L306" s="6" t="str">
        <f>IFERROR(VLOOKUP(A306,'Acompanhamento da Licitação'!$F$2:$N$1000,6,FALSE()),"")</f>
        <v/>
      </c>
      <c r="M306" s="6" t="str">
        <f>IFERROR(VLOOKUP(A306,'Acompanhamento da Licitação'!$F$2:$N$1000,7,FALSE()),"")</f>
        <v/>
      </c>
      <c r="N306" s="1" t="str">
        <f>IFERROR(VLOOKUP(A306,'Acompanhamento da Licitação'!$F$2:$N$1000,9,FALSE()),"")</f>
        <v/>
      </c>
      <c r="O306" s="1" t="str">
        <f t="shared" si="24"/>
        <v>Não</v>
      </c>
      <c r="P306" s="6">
        <f t="shared" si="25"/>
        <v>0</v>
      </c>
    </row>
    <row r="307" spans="1:16" ht="15.75" x14ac:dyDescent="0.25">
      <c r="A307" s="72"/>
      <c r="B307" s="41"/>
      <c r="C307" s="72"/>
      <c r="D307" s="23"/>
      <c r="E307" s="23"/>
      <c r="F307" s="61" t="str">
        <f t="shared" si="21"/>
        <v/>
      </c>
      <c r="G307" s="61" t="str">
        <f t="shared" si="22"/>
        <v/>
      </c>
      <c r="H307" s="23" t="str">
        <f t="shared" si="23"/>
        <v/>
      </c>
      <c r="I307" s="70"/>
      <c r="J307" s="70"/>
      <c r="K307" s="69"/>
      <c r="L307" s="6" t="str">
        <f>IFERROR(VLOOKUP(A307,'Acompanhamento da Licitação'!$F$2:$N$1000,6,FALSE()),"")</f>
        <v/>
      </c>
      <c r="M307" s="6" t="str">
        <f>IFERROR(VLOOKUP(A307,'Acompanhamento da Licitação'!$F$2:$N$1000,7,FALSE()),"")</f>
        <v/>
      </c>
      <c r="N307" s="1" t="str">
        <f>IFERROR(VLOOKUP(A307,'Acompanhamento da Licitação'!$F$2:$N$1000,9,FALSE()),"")</f>
        <v/>
      </c>
      <c r="O307" s="1" t="str">
        <f t="shared" si="24"/>
        <v>Não</v>
      </c>
      <c r="P307" s="6">
        <f t="shared" si="25"/>
        <v>0</v>
      </c>
    </row>
    <row r="308" spans="1:16" ht="15.75" x14ac:dyDescent="0.25">
      <c r="A308" s="72"/>
      <c r="B308" s="41"/>
      <c r="C308" s="72"/>
      <c r="D308" s="23"/>
      <c r="E308" s="23"/>
      <c r="F308" s="61" t="str">
        <f t="shared" si="21"/>
        <v/>
      </c>
      <c r="G308" s="61" t="str">
        <f t="shared" si="22"/>
        <v/>
      </c>
      <c r="H308" s="23" t="str">
        <f t="shared" si="23"/>
        <v/>
      </c>
      <c r="I308" s="70"/>
      <c r="J308" s="70"/>
      <c r="K308" s="69"/>
      <c r="L308" s="6" t="str">
        <f>IFERROR(VLOOKUP(A308,'Acompanhamento da Licitação'!$F$2:$N$1000,6,FALSE()),"")</f>
        <v/>
      </c>
      <c r="M308" s="6" t="str">
        <f>IFERROR(VLOOKUP(A308,'Acompanhamento da Licitação'!$F$2:$N$1000,7,FALSE()),"")</f>
        <v/>
      </c>
      <c r="N308" s="1" t="str">
        <f>IFERROR(VLOOKUP(A308,'Acompanhamento da Licitação'!$F$2:$N$1000,9,FALSE()),"")</f>
        <v/>
      </c>
      <c r="O308" s="1" t="str">
        <f t="shared" si="24"/>
        <v>Não</v>
      </c>
      <c r="P308" s="6">
        <f t="shared" si="25"/>
        <v>0</v>
      </c>
    </row>
    <row r="309" spans="1:16" ht="15.75" x14ac:dyDescent="0.25">
      <c r="A309" s="72"/>
      <c r="B309" s="41"/>
      <c r="C309" s="72"/>
      <c r="D309" s="23"/>
      <c r="E309" s="23"/>
      <c r="F309" s="61" t="str">
        <f t="shared" si="21"/>
        <v/>
      </c>
      <c r="G309" s="61" t="str">
        <f t="shared" si="22"/>
        <v/>
      </c>
      <c r="H309" s="23" t="str">
        <f t="shared" si="23"/>
        <v/>
      </c>
      <c r="I309" s="70"/>
      <c r="J309" s="70"/>
      <c r="K309" s="69"/>
      <c r="L309" s="6" t="str">
        <f>IFERROR(VLOOKUP(A309,'Acompanhamento da Licitação'!$F$2:$N$1000,6,FALSE()),"")</f>
        <v/>
      </c>
      <c r="M309" s="6" t="str">
        <f>IFERROR(VLOOKUP(A309,'Acompanhamento da Licitação'!$F$2:$N$1000,7,FALSE()),"")</f>
        <v/>
      </c>
      <c r="N309" s="1" t="str">
        <f>IFERROR(VLOOKUP(A309,'Acompanhamento da Licitação'!$F$2:$N$1000,9,FALSE()),"")</f>
        <v/>
      </c>
      <c r="O309" s="1" t="str">
        <f t="shared" si="24"/>
        <v>Não</v>
      </c>
      <c r="P309" s="6">
        <f t="shared" si="25"/>
        <v>0</v>
      </c>
    </row>
    <row r="310" spans="1:16" ht="15.75" x14ac:dyDescent="0.25">
      <c r="A310" s="72"/>
      <c r="B310" s="41"/>
      <c r="C310" s="72"/>
      <c r="D310" s="23"/>
      <c r="E310" s="23"/>
      <c r="F310" s="61" t="str">
        <f t="shared" si="21"/>
        <v/>
      </c>
      <c r="G310" s="61" t="str">
        <f t="shared" si="22"/>
        <v/>
      </c>
      <c r="H310" s="23" t="str">
        <f t="shared" si="23"/>
        <v/>
      </c>
      <c r="I310" s="70"/>
      <c r="J310" s="70"/>
      <c r="K310" s="69"/>
      <c r="L310" s="6" t="str">
        <f>IFERROR(VLOOKUP(A310,'Acompanhamento da Licitação'!$F$2:$N$1000,6,FALSE()),"")</f>
        <v/>
      </c>
      <c r="M310" s="6" t="str">
        <f>IFERROR(VLOOKUP(A310,'Acompanhamento da Licitação'!$F$2:$N$1000,7,FALSE()),"")</f>
        <v/>
      </c>
      <c r="N310" s="1" t="str">
        <f>IFERROR(VLOOKUP(A310,'Acompanhamento da Licitação'!$F$2:$N$1000,9,FALSE()),"")</f>
        <v/>
      </c>
      <c r="O310" s="1" t="str">
        <f t="shared" si="24"/>
        <v>Não</v>
      </c>
      <c r="P310" s="6">
        <f t="shared" si="25"/>
        <v>0</v>
      </c>
    </row>
    <row r="311" spans="1:16" ht="15.75" x14ac:dyDescent="0.25">
      <c r="A311" s="72"/>
      <c r="B311" s="41"/>
      <c r="C311" s="72"/>
      <c r="D311" s="23"/>
      <c r="E311" s="23"/>
      <c r="F311" s="61" t="str">
        <f t="shared" si="21"/>
        <v/>
      </c>
      <c r="G311" s="61" t="str">
        <f t="shared" si="22"/>
        <v/>
      </c>
      <c r="H311" s="23" t="str">
        <f t="shared" si="23"/>
        <v/>
      </c>
      <c r="I311" s="70"/>
      <c r="J311" s="70"/>
      <c r="K311" s="69"/>
      <c r="L311" s="6" t="str">
        <f>IFERROR(VLOOKUP(A311,'Acompanhamento da Licitação'!$F$2:$N$1000,6,FALSE()),"")</f>
        <v/>
      </c>
      <c r="M311" s="6" t="str">
        <f>IFERROR(VLOOKUP(A311,'Acompanhamento da Licitação'!$F$2:$N$1000,7,FALSE()),"")</f>
        <v/>
      </c>
      <c r="N311" s="1" t="str">
        <f>IFERROR(VLOOKUP(A311,'Acompanhamento da Licitação'!$F$2:$N$1000,9,FALSE()),"")</f>
        <v/>
      </c>
      <c r="O311" s="1" t="str">
        <f t="shared" si="24"/>
        <v>Não</v>
      </c>
      <c r="P311" s="6">
        <f t="shared" si="25"/>
        <v>0</v>
      </c>
    </row>
    <row r="312" spans="1:16" ht="15.75" x14ac:dyDescent="0.25">
      <c r="A312" s="72"/>
      <c r="B312" s="41"/>
      <c r="C312" s="72"/>
      <c r="D312" s="23"/>
      <c r="E312" s="23"/>
      <c r="F312" s="61" t="str">
        <f t="shared" si="21"/>
        <v/>
      </c>
      <c r="G312" s="61" t="str">
        <f t="shared" si="22"/>
        <v/>
      </c>
      <c r="H312" s="23" t="str">
        <f t="shared" si="23"/>
        <v/>
      </c>
      <c r="I312" s="70"/>
      <c r="J312" s="70"/>
      <c r="K312" s="69"/>
      <c r="L312" s="6" t="str">
        <f>IFERROR(VLOOKUP(A312,'Acompanhamento da Licitação'!$F$2:$N$1000,6,FALSE()),"")</f>
        <v/>
      </c>
      <c r="M312" s="6" t="str">
        <f>IFERROR(VLOOKUP(A312,'Acompanhamento da Licitação'!$F$2:$N$1000,7,FALSE()),"")</f>
        <v/>
      </c>
      <c r="N312" s="1" t="str">
        <f>IFERROR(VLOOKUP(A312,'Acompanhamento da Licitação'!$F$2:$N$1000,9,FALSE()),"")</f>
        <v/>
      </c>
      <c r="O312" s="1" t="str">
        <f t="shared" si="24"/>
        <v>Não</v>
      </c>
      <c r="P312" s="6">
        <f t="shared" si="25"/>
        <v>0</v>
      </c>
    </row>
    <row r="313" spans="1:16" ht="15.75" x14ac:dyDescent="0.25">
      <c r="A313" s="72"/>
      <c r="B313" s="41"/>
      <c r="C313" s="72"/>
      <c r="D313" s="23"/>
      <c r="E313" s="23"/>
      <c r="F313" s="61" t="str">
        <f t="shared" si="21"/>
        <v/>
      </c>
      <c r="G313" s="61" t="str">
        <f t="shared" si="22"/>
        <v/>
      </c>
      <c r="H313" s="23" t="str">
        <f t="shared" si="23"/>
        <v/>
      </c>
      <c r="I313" s="70"/>
      <c r="J313" s="70"/>
      <c r="K313" s="69"/>
      <c r="L313" s="6" t="str">
        <f>IFERROR(VLOOKUP(A313,'Acompanhamento da Licitação'!$F$2:$N$1000,6,FALSE()),"")</f>
        <v/>
      </c>
      <c r="M313" s="6" t="str">
        <f>IFERROR(VLOOKUP(A313,'Acompanhamento da Licitação'!$F$2:$N$1000,7,FALSE()),"")</f>
        <v/>
      </c>
      <c r="N313" s="1" t="str">
        <f>IFERROR(VLOOKUP(A313,'Acompanhamento da Licitação'!$F$2:$N$1000,9,FALSE()),"")</f>
        <v/>
      </c>
      <c r="O313" s="1" t="str">
        <f t="shared" si="24"/>
        <v>Não</v>
      </c>
      <c r="P313" s="6">
        <f t="shared" si="25"/>
        <v>0</v>
      </c>
    </row>
    <row r="314" spans="1:16" ht="15.75" x14ac:dyDescent="0.25">
      <c r="A314" s="72"/>
      <c r="B314" s="41"/>
      <c r="C314" s="72"/>
      <c r="D314" s="23"/>
      <c r="E314" s="23"/>
      <c r="F314" s="61" t="str">
        <f t="shared" si="21"/>
        <v/>
      </c>
      <c r="G314" s="61" t="str">
        <f t="shared" si="22"/>
        <v/>
      </c>
      <c r="H314" s="23" t="str">
        <f t="shared" si="23"/>
        <v/>
      </c>
      <c r="I314" s="70"/>
      <c r="J314" s="70"/>
      <c r="K314" s="69"/>
      <c r="L314" s="6" t="str">
        <f>IFERROR(VLOOKUP(A314,'Acompanhamento da Licitação'!$F$2:$N$1000,6,FALSE()),"")</f>
        <v/>
      </c>
      <c r="M314" s="6" t="str">
        <f>IFERROR(VLOOKUP(A314,'Acompanhamento da Licitação'!$F$2:$N$1000,7,FALSE()),"")</f>
        <v/>
      </c>
      <c r="N314" s="1" t="str">
        <f>IFERROR(VLOOKUP(A314,'Acompanhamento da Licitação'!$F$2:$N$1000,9,FALSE()),"")</f>
        <v/>
      </c>
      <c r="O314" s="1" t="str">
        <f t="shared" si="24"/>
        <v>Não</v>
      </c>
      <c r="P314" s="6">
        <f t="shared" si="25"/>
        <v>0</v>
      </c>
    </row>
    <row r="315" spans="1:16" ht="15.75" x14ac:dyDescent="0.25">
      <c r="A315" s="72"/>
      <c r="B315" s="41"/>
      <c r="C315" s="72"/>
      <c r="D315" s="23"/>
      <c r="E315" s="23"/>
      <c r="F315" s="61" t="str">
        <f t="shared" si="21"/>
        <v/>
      </c>
      <c r="G315" s="61" t="str">
        <f t="shared" si="22"/>
        <v/>
      </c>
      <c r="H315" s="23" t="str">
        <f t="shared" si="23"/>
        <v/>
      </c>
      <c r="I315" s="70"/>
      <c r="J315" s="70"/>
      <c r="K315" s="69"/>
      <c r="L315" s="6" t="str">
        <f>IFERROR(VLOOKUP(A315,'Acompanhamento da Licitação'!$F$2:$N$1000,6,FALSE()),"")</f>
        <v/>
      </c>
      <c r="M315" s="6" t="str">
        <f>IFERROR(VLOOKUP(A315,'Acompanhamento da Licitação'!$F$2:$N$1000,7,FALSE()),"")</f>
        <v/>
      </c>
      <c r="N315" s="1" t="str">
        <f>IFERROR(VLOOKUP(A315,'Acompanhamento da Licitação'!$F$2:$N$1000,9,FALSE()),"")</f>
        <v/>
      </c>
      <c r="O315" s="1" t="str">
        <f t="shared" si="24"/>
        <v>Não</v>
      </c>
      <c r="P315" s="6">
        <f t="shared" si="25"/>
        <v>0</v>
      </c>
    </row>
    <row r="316" spans="1:16" ht="15.75" x14ac:dyDescent="0.25">
      <c r="A316" s="72"/>
      <c r="B316" s="41"/>
      <c r="C316" s="72"/>
      <c r="D316" s="23"/>
      <c r="E316" s="23"/>
      <c r="F316" s="61" t="str">
        <f t="shared" si="21"/>
        <v/>
      </c>
      <c r="G316" s="61" t="str">
        <f t="shared" si="22"/>
        <v/>
      </c>
      <c r="H316" s="23" t="str">
        <f t="shared" si="23"/>
        <v/>
      </c>
      <c r="I316" s="70"/>
      <c r="J316" s="70"/>
      <c r="K316" s="69"/>
      <c r="L316" s="6" t="str">
        <f>IFERROR(VLOOKUP(A316,'Acompanhamento da Licitação'!$F$2:$N$1000,6,FALSE()),"")</f>
        <v/>
      </c>
      <c r="M316" s="6" t="str">
        <f>IFERROR(VLOOKUP(A316,'Acompanhamento da Licitação'!$F$2:$N$1000,7,FALSE()),"")</f>
        <v/>
      </c>
      <c r="N316" s="1" t="str">
        <f>IFERROR(VLOOKUP(A316,'Acompanhamento da Licitação'!$F$2:$N$1000,9,FALSE()),"")</f>
        <v/>
      </c>
      <c r="O316" s="1" t="str">
        <f t="shared" si="24"/>
        <v>Não</v>
      </c>
      <c r="P316" s="6">
        <f t="shared" si="25"/>
        <v>0</v>
      </c>
    </row>
    <row r="317" spans="1:16" ht="15.75" x14ac:dyDescent="0.25">
      <c r="A317" s="72"/>
      <c r="B317" s="41"/>
      <c r="C317" s="72"/>
      <c r="D317" s="23"/>
      <c r="E317" s="23"/>
      <c r="F317" s="61" t="str">
        <f t="shared" si="21"/>
        <v/>
      </c>
      <c r="G317" s="61" t="str">
        <f t="shared" si="22"/>
        <v/>
      </c>
      <c r="H317" s="23" t="str">
        <f t="shared" si="23"/>
        <v/>
      </c>
      <c r="I317" s="70"/>
      <c r="J317" s="70"/>
      <c r="K317" s="69"/>
      <c r="L317" s="6" t="str">
        <f>IFERROR(VLOOKUP(A317,'Acompanhamento da Licitação'!$F$2:$N$1000,6,FALSE()),"")</f>
        <v/>
      </c>
      <c r="M317" s="6" t="str">
        <f>IFERROR(VLOOKUP(A317,'Acompanhamento da Licitação'!$F$2:$N$1000,7,FALSE()),"")</f>
        <v/>
      </c>
      <c r="N317" s="1" t="str">
        <f>IFERROR(VLOOKUP(A317,'Acompanhamento da Licitação'!$F$2:$N$1000,9,FALSE()),"")</f>
        <v/>
      </c>
      <c r="O317" s="1" t="str">
        <f t="shared" si="24"/>
        <v>Não</v>
      </c>
      <c r="P317" s="6">
        <f t="shared" si="25"/>
        <v>0</v>
      </c>
    </row>
    <row r="318" spans="1:16" ht="15.75" x14ac:dyDescent="0.25">
      <c r="A318" s="72"/>
      <c r="B318" s="41"/>
      <c r="C318" s="72"/>
      <c r="D318" s="23"/>
      <c r="E318" s="23"/>
      <c r="F318" s="61" t="str">
        <f t="shared" si="21"/>
        <v/>
      </c>
      <c r="G318" s="61" t="str">
        <f t="shared" si="22"/>
        <v/>
      </c>
      <c r="H318" s="23" t="str">
        <f t="shared" si="23"/>
        <v/>
      </c>
      <c r="I318" s="70"/>
      <c r="J318" s="70"/>
      <c r="K318" s="69"/>
      <c r="L318" s="6" t="str">
        <f>IFERROR(VLOOKUP(A318,'Acompanhamento da Licitação'!$F$2:$N$1000,6,FALSE()),"")</f>
        <v/>
      </c>
      <c r="M318" s="6" t="str">
        <f>IFERROR(VLOOKUP(A318,'Acompanhamento da Licitação'!$F$2:$N$1000,7,FALSE()),"")</f>
        <v/>
      </c>
      <c r="N318" s="1" t="str">
        <f>IFERROR(VLOOKUP(A318,'Acompanhamento da Licitação'!$F$2:$N$1000,9,FALSE()),"")</f>
        <v/>
      </c>
      <c r="O318" s="1" t="str">
        <f t="shared" si="24"/>
        <v>Não</v>
      </c>
      <c r="P318" s="6">
        <f t="shared" si="25"/>
        <v>0</v>
      </c>
    </row>
    <row r="319" spans="1:16" ht="15.75" x14ac:dyDescent="0.25">
      <c r="A319" s="72"/>
      <c r="B319" s="41"/>
      <c r="C319" s="72"/>
      <c r="D319" s="23"/>
      <c r="E319" s="23"/>
      <c r="F319" s="61" t="str">
        <f t="shared" si="21"/>
        <v/>
      </c>
      <c r="G319" s="61" t="str">
        <f t="shared" si="22"/>
        <v/>
      </c>
      <c r="H319" s="23" t="str">
        <f t="shared" si="23"/>
        <v/>
      </c>
      <c r="I319" s="70"/>
      <c r="J319" s="70"/>
      <c r="K319" s="69"/>
      <c r="L319" s="6" t="str">
        <f>IFERROR(VLOOKUP(A319,'Acompanhamento da Licitação'!$F$2:$N$1000,6,FALSE()),"")</f>
        <v/>
      </c>
      <c r="M319" s="6" t="str">
        <f>IFERROR(VLOOKUP(A319,'Acompanhamento da Licitação'!$F$2:$N$1000,7,FALSE()),"")</f>
        <v/>
      </c>
      <c r="N319" s="1" t="str">
        <f>IFERROR(VLOOKUP(A319,'Acompanhamento da Licitação'!$F$2:$N$1000,9,FALSE()),"")</f>
        <v/>
      </c>
      <c r="O319" s="1" t="str">
        <f t="shared" si="24"/>
        <v>Não</v>
      </c>
      <c r="P319" s="6">
        <f t="shared" si="25"/>
        <v>0</v>
      </c>
    </row>
    <row r="320" spans="1:16" ht="15.75" x14ac:dyDescent="0.25">
      <c r="A320" s="72"/>
      <c r="B320" s="41"/>
      <c r="C320" s="72"/>
      <c r="D320" s="23"/>
      <c r="E320" s="23"/>
      <c r="F320" s="61" t="str">
        <f t="shared" si="21"/>
        <v/>
      </c>
      <c r="G320" s="61" t="str">
        <f t="shared" si="22"/>
        <v/>
      </c>
      <c r="H320" s="23" t="str">
        <f t="shared" si="23"/>
        <v/>
      </c>
      <c r="I320" s="70"/>
      <c r="J320" s="70"/>
      <c r="K320" s="69"/>
      <c r="L320" s="6" t="str">
        <f>IFERROR(VLOOKUP(A320,'Acompanhamento da Licitação'!$F$2:$N$1000,6,FALSE()),"")</f>
        <v/>
      </c>
      <c r="M320" s="6" t="str">
        <f>IFERROR(VLOOKUP(A320,'Acompanhamento da Licitação'!$F$2:$N$1000,7,FALSE()),"")</f>
        <v/>
      </c>
      <c r="N320" s="1" t="str">
        <f>IFERROR(VLOOKUP(A320,'Acompanhamento da Licitação'!$F$2:$N$1000,9,FALSE()),"")</f>
        <v/>
      </c>
      <c r="O320" s="1" t="str">
        <f t="shared" si="24"/>
        <v>Não</v>
      </c>
      <c r="P320" s="6">
        <f t="shared" si="25"/>
        <v>0</v>
      </c>
    </row>
    <row r="321" spans="1:16" ht="15.75" x14ac:dyDescent="0.25">
      <c r="A321" s="72"/>
      <c r="B321" s="41"/>
      <c r="C321" s="72"/>
      <c r="D321" s="23"/>
      <c r="E321" s="23"/>
      <c r="F321" s="61" t="str">
        <f t="shared" si="21"/>
        <v/>
      </c>
      <c r="G321" s="61" t="str">
        <f t="shared" si="22"/>
        <v/>
      </c>
      <c r="H321" s="23" t="str">
        <f t="shared" si="23"/>
        <v/>
      </c>
      <c r="I321" s="70"/>
      <c r="J321" s="70"/>
      <c r="K321" s="69"/>
      <c r="L321" s="6" t="str">
        <f>IFERROR(VLOOKUP(A321,'Acompanhamento da Licitação'!$F$2:$N$1000,6,FALSE()),"")</f>
        <v/>
      </c>
      <c r="M321" s="6" t="str">
        <f>IFERROR(VLOOKUP(A321,'Acompanhamento da Licitação'!$F$2:$N$1000,7,FALSE()),"")</f>
        <v/>
      </c>
      <c r="N321" s="1" t="str">
        <f>IFERROR(VLOOKUP(A321,'Acompanhamento da Licitação'!$F$2:$N$1000,9,FALSE()),"")</f>
        <v/>
      </c>
      <c r="O321" s="1" t="str">
        <f t="shared" si="24"/>
        <v>Não</v>
      </c>
      <c r="P321" s="6">
        <f t="shared" si="25"/>
        <v>0</v>
      </c>
    </row>
    <row r="322" spans="1:16" ht="15.75" x14ac:dyDescent="0.25">
      <c r="A322" s="72"/>
      <c r="B322" s="41"/>
      <c r="C322" s="72"/>
      <c r="D322" s="23"/>
      <c r="E322" s="23"/>
      <c r="F322" s="61" t="str">
        <f t="shared" si="21"/>
        <v/>
      </c>
      <c r="G322" s="61" t="str">
        <f t="shared" si="22"/>
        <v/>
      </c>
      <c r="H322" s="23" t="str">
        <f t="shared" si="23"/>
        <v/>
      </c>
      <c r="I322" s="70"/>
      <c r="J322" s="70"/>
      <c r="K322" s="69"/>
      <c r="L322" s="6" t="str">
        <f>IFERROR(VLOOKUP(A322,'Acompanhamento da Licitação'!$F$2:$N$1000,6,FALSE()),"")</f>
        <v/>
      </c>
      <c r="M322" s="6" t="str">
        <f>IFERROR(VLOOKUP(A322,'Acompanhamento da Licitação'!$F$2:$N$1000,7,FALSE()),"")</f>
        <v/>
      </c>
      <c r="N322" s="1" t="str">
        <f>IFERROR(VLOOKUP(A322,'Acompanhamento da Licitação'!$F$2:$N$1000,9,FALSE()),"")</f>
        <v/>
      </c>
      <c r="O322" s="1" t="str">
        <f t="shared" si="24"/>
        <v>Não</v>
      </c>
      <c r="P322" s="6">
        <f t="shared" si="25"/>
        <v>0</v>
      </c>
    </row>
    <row r="323" spans="1:16" ht="15.75" x14ac:dyDescent="0.25">
      <c r="A323" s="72"/>
      <c r="B323" s="41"/>
      <c r="C323" s="72"/>
      <c r="D323" s="23"/>
      <c r="E323" s="23"/>
      <c r="F323" s="61" t="str">
        <f t="shared" ref="F323:F386" si="26">IF(B323&gt;0,(((E323*C323)-(D323*C323)-(P323*C323))/(E323*C323)),"")</f>
        <v/>
      </c>
      <c r="G323" s="61" t="str">
        <f t="shared" ref="G323:G386" si="27">IF(F323="","",IF(F323&lt;0.2,0.05,IF(F323&lt;0.25,0.1,IF(F323&lt;0.3,0.15,IF(F323&lt;0.35,0.2,IF(F323&lt;0.45,0.25,IF(F323&lt;0.5,0.3,IF(F323&lt;0.6,0.35,0.4))))))))</f>
        <v/>
      </c>
      <c r="H323" s="23" t="str">
        <f t="shared" ref="H323:H386" si="28">IFERROR(((E323*C323)-(D323*C323)-(E323*C323*4%))*G323,"")</f>
        <v/>
      </c>
      <c r="I323" s="70"/>
      <c r="J323" s="70"/>
      <c r="K323" s="69"/>
      <c r="L323" s="6" t="str">
        <f>IFERROR(VLOOKUP(A323,'Acompanhamento da Licitação'!$F$2:$N$1000,6,FALSE()),"")</f>
        <v/>
      </c>
      <c r="M323" s="6" t="str">
        <f>IFERROR(VLOOKUP(A323,'Acompanhamento da Licitação'!$F$2:$N$1000,7,FALSE()),"")</f>
        <v/>
      </c>
      <c r="N323" s="1" t="str">
        <f>IFERROR(VLOOKUP(A323,'Acompanhamento da Licitação'!$F$2:$N$1000,9,FALSE()),"")</f>
        <v/>
      </c>
      <c r="O323" s="1" t="str">
        <f t="shared" ref="O323:O386" si="29">IF(AND(D323&gt;0,F323&gt;0.25),"Sim","Não")</f>
        <v>Não</v>
      </c>
      <c r="P323" s="6">
        <f t="shared" ref="P323:P386" si="30">4%*E323</f>
        <v>0</v>
      </c>
    </row>
    <row r="324" spans="1:16" ht="15.75" x14ac:dyDescent="0.25">
      <c r="A324" s="72"/>
      <c r="B324" s="41"/>
      <c r="C324" s="72"/>
      <c r="D324" s="23"/>
      <c r="E324" s="23"/>
      <c r="F324" s="61" t="str">
        <f t="shared" si="26"/>
        <v/>
      </c>
      <c r="G324" s="61" t="str">
        <f t="shared" si="27"/>
        <v/>
      </c>
      <c r="H324" s="23" t="str">
        <f t="shared" si="28"/>
        <v/>
      </c>
      <c r="I324" s="70"/>
      <c r="J324" s="70"/>
      <c r="K324" s="69"/>
      <c r="L324" s="6" t="str">
        <f>IFERROR(VLOOKUP(A324,'Acompanhamento da Licitação'!$F$2:$N$1000,6,FALSE()),"")</f>
        <v/>
      </c>
      <c r="M324" s="6" t="str">
        <f>IFERROR(VLOOKUP(A324,'Acompanhamento da Licitação'!$F$2:$N$1000,7,FALSE()),"")</f>
        <v/>
      </c>
      <c r="N324" s="1" t="str">
        <f>IFERROR(VLOOKUP(A324,'Acompanhamento da Licitação'!$F$2:$N$1000,9,FALSE()),"")</f>
        <v/>
      </c>
      <c r="O324" s="1" t="str">
        <f t="shared" si="29"/>
        <v>Não</v>
      </c>
      <c r="P324" s="6">
        <f t="shared" si="30"/>
        <v>0</v>
      </c>
    </row>
    <row r="325" spans="1:16" ht="15.75" x14ac:dyDescent="0.25">
      <c r="A325" s="72"/>
      <c r="B325" s="41"/>
      <c r="C325" s="72"/>
      <c r="D325" s="23"/>
      <c r="E325" s="23"/>
      <c r="F325" s="61" t="str">
        <f t="shared" si="26"/>
        <v/>
      </c>
      <c r="G325" s="61" t="str">
        <f t="shared" si="27"/>
        <v/>
      </c>
      <c r="H325" s="23" t="str">
        <f t="shared" si="28"/>
        <v/>
      </c>
      <c r="I325" s="70"/>
      <c r="J325" s="70"/>
      <c r="K325" s="69"/>
      <c r="L325" s="6" t="str">
        <f>IFERROR(VLOOKUP(A325,'Acompanhamento da Licitação'!$F$2:$N$1000,6,FALSE()),"")</f>
        <v/>
      </c>
      <c r="M325" s="6" t="str">
        <f>IFERROR(VLOOKUP(A325,'Acompanhamento da Licitação'!$F$2:$N$1000,7,FALSE()),"")</f>
        <v/>
      </c>
      <c r="N325" s="1" t="str">
        <f>IFERROR(VLOOKUP(A325,'Acompanhamento da Licitação'!$F$2:$N$1000,9,FALSE()),"")</f>
        <v/>
      </c>
      <c r="O325" s="1" t="str">
        <f t="shared" si="29"/>
        <v>Não</v>
      </c>
      <c r="P325" s="6">
        <f t="shared" si="30"/>
        <v>0</v>
      </c>
    </row>
    <row r="326" spans="1:16" ht="15.75" x14ac:dyDescent="0.25">
      <c r="A326" s="72"/>
      <c r="B326" s="41"/>
      <c r="C326" s="72"/>
      <c r="D326" s="23"/>
      <c r="E326" s="23"/>
      <c r="F326" s="61" t="str">
        <f t="shared" si="26"/>
        <v/>
      </c>
      <c r="G326" s="61" t="str">
        <f t="shared" si="27"/>
        <v/>
      </c>
      <c r="H326" s="23" t="str">
        <f t="shared" si="28"/>
        <v/>
      </c>
      <c r="I326" s="70"/>
      <c r="J326" s="70"/>
      <c r="K326" s="69"/>
      <c r="L326" s="6" t="str">
        <f>IFERROR(VLOOKUP(A326,'Acompanhamento da Licitação'!$F$2:$N$1000,6,FALSE()),"")</f>
        <v/>
      </c>
      <c r="M326" s="6" t="str">
        <f>IFERROR(VLOOKUP(A326,'Acompanhamento da Licitação'!$F$2:$N$1000,7,FALSE()),"")</f>
        <v/>
      </c>
      <c r="N326" s="1" t="str">
        <f>IFERROR(VLOOKUP(A326,'Acompanhamento da Licitação'!$F$2:$N$1000,9,FALSE()),"")</f>
        <v/>
      </c>
      <c r="O326" s="1" t="str">
        <f t="shared" si="29"/>
        <v>Não</v>
      </c>
      <c r="P326" s="6">
        <f t="shared" si="30"/>
        <v>0</v>
      </c>
    </row>
    <row r="327" spans="1:16" ht="15.75" x14ac:dyDescent="0.25">
      <c r="A327" s="72"/>
      <c r="B327" s="41"/>
      <c r="C327" s="72"/>
      <c r="D327" s="23"/>
      <c r="E327" s="23"/>
      <c r="F327" s="61" t="str">
        <f t="shared" si="26"/>
        <v/>
      </c>
      <c r="G327" s="61" t="str">
        <f t="shared" si="27"/>
        <v/>
      </c>
      <c r="H327" s="23" t="str">
        <f t="shared" si="28"/>
        <v/>
      </c>
      <c r="I327" s="70"/>
      <c r="J327" s="70"/>
      <c r="K327" s="69"/>
      <c r="L327" s="6" t="str">
        <f>IFERROR(VLOOKUP(A327,'Acompanhamento da Licitação'!$F$2:$N$1000,6,FALSE()),"")</f>
        <v/>
      </c>
      <c r="M327" s="6" t="str">
        <f>IFERROR(VLOOKUP(A327,'Acompanhamento da Licitação'!$F$2:$N$1000,7,FALSE()),"")</f>
        <v/>
      </c>
      <c r="N327" s="1" t="str">
        <f>IFERROR(VLOOKUP(A327,'Acompanhamento da Licitação'!$F$2:$N$1000,9,FALSE()),"")</f>
        <v/>
      </c>
      <c r="O327" s="1" t="str">
        <f t="shared" si="29"/>
        <v>Não</v>
      </c>
      <c r="P327" s="6">
        <f t="shared" si="30"/>
        <v>0</v>
      </c>
    </row>
    <row r="328" spans="1:16" ht="15.75" x14ac:dyDescent="0.25">
      <c r="A328" s="72"/>
      <c r="B328" s="41"/>
      <c r="C328" s="72"/>
      <c r="D328" s="23"/>
      <c r="E328" s="23"/>
      <c r="F328" s="61" t="str">
        <f t="shared" si="26"/>
        <v/>
      </c>
      <c r="G328" s="61" t="str">
        <f t="shared" si="27"/>
        <v/>
      </c>
      <c r="H328" s="23" t="str">
        <f t="shared" si="28"/>
        <v/>
      </c>
      <c r="I328" s="70"/>
      <c r="J328" s="70"/>
      <c r="K328" s="69"/>
      <c r="L328" s="6" t="str">
        <f>IFERROR(VLOOKUP(A328,'Acompanhamento da Licitação'!$F$2:$N$1000,6,FALSE()),"")</f>
        <v/>
      </c>
      <c r="M328" s="6" t="str">
        <f>IFERROR(VLOOKUP(A328,'Acompanhamento da Licitação'!$F$2:$N$1000,7,FALSE()),"")</f>
        <v/>
      </c>
      <c r="N328" s="1" t="str">
        <f>IFERROR(VLOOKUP(A328,'Acompanhamento da Licitação'!$F$2:$N$1000,9,FALSE()),"")</f>
        <v/>
      </c>
      <c r="O328" s="1" t="str">
        <f t="shared" si="29"/>
        <v>Não</v>
      </c>
      <c r="P328" s="6">
        <f t="shared" si="30"/>
        <v>0</v>
      </c>
    </row>
    <row r="329" spans="1:16" ht="15.75" x14ac:dyDescent="0.25">
      <c r="A329" s="72"/>
      <c r="B329" s="41"/>
      <c r="C329" s="72"/>
      <c r="D329" s="23"/>
      <c r="E329" s="23"/>
      <c r="F329" s="61" t="str">
        <f t="shared" si="26"/>
        <v/>
      </c>
      <c r="G329" s="61" t="str">
        <f t="shared" si="27"/>
        <v/>
      </c>
      <c r="H329" s="23" t="str">
        <f t="shared" si="28"/>
        <v/>
      </c>
      <c r="I329" s="70"/>
      <c r="J329" s="70"/>
      <c r="K329" s="69"/>
      <c r="L329" s="6" t="str">
        <f>IFERROR(VLOOKUP(A329,'Acompanhamento da Licitação'!$F$2:$N$1000,6,FALSE()),"")</f>
        <v/>
      </c>
      <c r="M329" s="6" t="str">
        <f>IFERROR(VLOOKUP(A329,'Acompanhamento da Licitação'!$F$2:$N$1000,7,FALSE()),"")</f>
        <v/>
      </c>
      <c r="N329" s="1" t="str">
        <f>IFERROR(VLOOKUP(A329,'Acompanhamento da Licitação'!$F$2:$N$1000,9,FALSE()),"")</f>
        <v/>
      </c>
      <c r="O329" s="1" t="str">
        <f t="shared" si="29"/>
        <v>Não</v>
      </c>
      <c r="P329" s="6">
        <f t="shared" si="30"/>
        <v>0</v>
      </c>
    </row>
    <row r="330" spans="1:16" ht="15.75" x14ac:dyDescent="0.25">
      <c r="A330" s="72"/>
      <c r="B330" s="41"/>
      <c r="C330" s="72"/>
      <c r="D330" s="23"/>
      <c r="E330" s="23"/>
      <c r="F330" s="61" t="str">
        <f t="shared" si="26"/>
        <v/>
      </c>
      <c r="G330" s="61" t="str">
        <f t="shared" si="27"/>
        <v/>
      </c>
      <c r="H330" s="23" t="str">
        <f t="shared" si="28"/>
        <v/>
      </c>
      <c r="I330" s="70"/>
      <c r="J330" s="70"/>
      <c r="K330" s="69"/>
      <c r="L330" s="6" t="str">
        <f>IFERROR(VLOOKUP(A330,'Acompanhamento da Licitação'!$F$2:$N$1000,6,FALSE()),"")</f>
        <v/>
      </c>
      <c r="M330" s="6" t="str">
        <f>IFERROR(VLOOKUP(A330,'Acompanhamento da Licitação'!$F$2:$N$1000,7,FALSE()),"")</f>
        <v/>
      </c>
      <c r="N330" s="1" t="str">
        <f>IFERROR(VLOOKUP(A330,'Acompanhamento da Licitação'!$F$2:$N$1000,9,FALSE()),"")</f>
        <v/>
      </c>
      <c r="O330" s="1" t="str">
        <f t="shared" si="29"/>
        <v>Não</v>
      </c>
      <c r="P330" s="6">
        <f t="shared" si="30"/>
        <v>0</v>
      </c>
    </row>
    <row r="331" spans="1:16" ht="15.75" x14ac:dyDescent="0.25">
      <c r="A331" s="72"/>
      <c r="B331" s="41"/>
      <c r="C331" s="72"/>
      <c r="D331" s="23"/>
      <c r="E331" s="23"/>
      <c r="F331" s="61" t="str">
        <f t="shared" si="26"/>
        <v/>
      </c>
      <c r="G331" s="61" t="str">
        <f t="shared" si="27"/>
        <v/>
      </c>
      <c r="H331" s="23" t="str">
        <f t="shared" si="28"/>
        <v/>
      </c>
      <c r="I331" s="70"/>
      <c r="J331" s="70"/>
      <c r="K331" s="69"/>
      <c r="L331" s="6" t="str">
        <f>IFERROR(VLOOKUP(A331,'Acompanhamento da Licitação'!$F$2:$N$1000,6,FALSE()),"")</f>
        <v/>
      </c>
      <c r="M331" s="6" t="str">
        <f>IFERROR(VLOOKUP(A331,'Acompanhamento da Licitação'!$F$2:$N$1000,7,FALSE()),"")</f>
        <v/>
      </c>
      <c r="N331" s="1" t="str">
        <f>IFERROR(VLOOKUP(A331,'Acompanhamento da Licitação'!$F$2:$N$1000,9,FALSE()),"")</f>
        <v/>
      </c>
      <c r="O331" s="1" t="str">
        <f t="shared" si="29"/>
        <v>Não</v>
      </c>
      <c r="P331" s="6">
        <f t="shared" si="30"/>
        <v>0</v>
      </c>
    </row>
    <row r="332" spans="1:16" ht="15.75" x14ac:dyDescent="0.25">
      <c r="A332" s="72"/>
      <c r="B332" s="41"/>
      <c r="C332" s="72"/>
      <c r="D332" s="23"/>
      <c r="E332" s="23"/>
      <c r="F332" s="61" t="str">
        <f t="shared" si="26"/>
        <v/>
      </c>
      <c r="G332" s="61" t="str">
        <f t="shared" si="27"/>
        <v/>
      </c>
      <c r="H332" s="23" t="str">
        <f t="shared" si="28"/>
        <v/>
      </c>
      <c r="I332" s="70"/>
      <c r="J332" s="70"/>
      <c r="K332" s="69"/>
      <c r="L332" s="6" t="str">
        <f>IFERROR(VLOOKUP(A332,'Acompanhamento da Licitação'!$F$2:$N$1000,6,FALSE()),"")</f>
        <v/>
      </c>
      <c r="M332" s="6" t="str">
        <f>IFERROR(VLOOKUP(A332,'Acompanhamento da Licitação'!$F$2:$N$1000,7,FALSE()),"")</f>
        <v/>
      </c>
      <c r="N332" s="1" t="str">
        <f>IFERROR(VLOOKUP(A332,'Acompanhamento da Licitação'!$F$2:$N$1000,9,FALSE()),"")</f>
        <v/>
      </c>
      <c r="O332" s="1" t="str">
        <f t="shared" si="29"/>
        <v>Não</v>
      </c>
      <c r="P332" s="6">
        <f t="shared" si="30"/>
        <v>0</v>
      </c>
    </row>
    <row r="333" spans="1:16" ht="15.75" x14ac:dyDescent="0.25">
      <c r="A333" s="72"/>
      <c r="B333" s="41"/>
      <c r="C333" s="72"/>
      <c r="D333" s="23"/>
      <c r="E333" s="23"/>
      <c r="F333" s="61" t="str">
        <f t="shared" si="26"/>
        <v/>
      </c>
      <c r="G333" s="61" t="str">
        <f t="shared" si="27"/>
        <v/>
      </c>
      <c r="H333" s="23" t="str">
        <f t="shared" si="28"/>
        <v/>
      </c>
      <c r="I333" s="70"/>
      <c r="J333" s="70"/>
      <c r="K333" s="69"/>
      <c r="L333" s="6" t="str">
        <f>IFERROR(VLOOKUP(A333,'Acompanhamento da Licitação'!$F$2:$N$1000,6,FALSE()),"")</f>
        <v/>
      </c>
      <c r="M333" s="6" t="str">
        <f>IFERROR(VLOOKUP(A333,'Acompanhamento da Licitação'!$F$2:$N$1000,7,FALSE()),"")</f>
        <v/>
      </c>
      <c r="N333" s="1" t="str">
        <f>IFERROR(VLOOKUP(A333,'Acompanhamento da Licitação'!$F$2:$N$1000,9,FALSE()),"")</f>
        <v/>
      </c>
      <c r="O333" s="1" t="str">
        <f t="shared" si="29"/>
        <v>Não</v>
      </c>
      <c r="P333" s="6">
        <f t="shared" si="30"/>
        <v>0</v>
      </c>
    </row>
    <row r="334" spans="1:16" ht="15.75" x14ac:dyDescent="0.25">
      <c r="A334" s="72"/>
      <c r="B334" s="41"/>
      <c r="C334" s="72"/>
      <c r="D334" s="23"/>
      <c r="E334" s="23"/>
      <c r="F334" s="61" t="str">
        <f t="shared" si="26"/>
        <v/>
      </c>
      <c r="G334" s="61" t="str">
        <f t="shared" si="27"/>
        <v/>
      </c>
      <c r="H334" s="23" t="str">
        <f t="shared" si="28"/>
        <v/>
      </c>
      <c r="I334" s="70"/>
      <c r="J334" s="70"/>
      <c r="K334" s="69"/>
      <c r="L334" s="6" t="str">
        <f>IFERROR(VLOOKUP(A334,'Acompanhamento da Licitação'!$F$2:$N$1000,6,FALSE()),"")</f>
        <v/>
      </c>
      <c r="M334" s="6" t="str">
        <f>IFERROR(VLOOKUP(A334,'Acompanhamento da Licitação'!$F$2:$N$1000,7,FALSE()),"")</f>
        <v/>
      </c>
      <c r="N334" s="1" t="str">
        <f>IFERROR(VLOOKUP(A334,'Acompanhamento da Licitação'!$F$2:$N$1000,9,FALSE()),"")</f>
        <v/>
      </c>
      <c r="O334" s="1" t="str">
        <f t="shared" si="29"/>
        <v>Não</v>
      </c>
      <c r="P334" s="6">
        <f t="shared" si="30"/>
        <v>0</v>
      </c>
    </row>
    <row r="335" spans="1:16" ht="15.75" x14ac:dyDescent="0.25">
      <c r="A335" s="72"/>
      <c r="B335" s="41"/>
      <c r="C335" s="72"/>
      <c r="D335" s="23"/>
      <c r="E335" s="23"/>
      <c r="F335" s="61" t="str">
        <f t="shared" si="26"/>
        <v/>
      </c>
      <c r="G335" s="61" t="str">
        <f t="shared" si="27"/>
        <v/>
      </c>
      <c r="H335" s="23" t="str">
        <f t="shared" si="28"/>
        <v/>
      </c>
      <c r="I335" s="70"/>
      <c r="J335" s="70"/>
      <c r="K335" s="69"/>
      <c r="L335" s="6" t="str">
        <f>IFERROR(VLOOKUP(A335,'Acompanhamento da Licitação'!$F$2:$N$1000,6,FALSE()),"")</f>
        <v/>
      </c>
      <c r="M335" s="6" t="str">
        <f>IFERROR(VLOOKUP(A335,'Acompanhamento da Licitação'!$F$2:$N$1000,7,FALSE()),"")</f>
        <v/>
      </c>
      <c r="N335" s="1" t="str">
        <f>IFERROR(VLOOKUP(A335,'Acompanhamento da Licitação'!$F$2:$N$1000,9,FALSE()),"")</f>
        <v/>
      </c>
      <c r="O335" s="1" t="str">
        <f t="shared" si="29"/>
        <v>Não</v>
      </c>
      <c r="P335" s="6">
        <f t="shared" si="30"/>
        <v>0</v>
      </c>
    </row>
    <row r="336" spans="1:16" ht="15.75" x14ac:dyDescent="0.25">
      <c r="A336" s="72"/>
      <c r="B336" s="41"/>
      <c r="C336" s="72"/>
      <c r="D336" s="23"/>
      <c r="E336" s="23"/>
      <c r="F336" s="61" t="str">
        <f t="shared" si="26"/>
        <v/>
      </c>
      <c r="G336" s="61" t="str">
        <f t="shared" si="27"/>
        <v/>
      </c>
      <c r="H336" s="23" t="str">
        <f t="shared" si="28"/>
        <v/>
      </c>
      <c r="I336" s="70"/>
      <c r="J336" s="70"/>
      <c r="K336" s="69"/>
      <c r="L336" s="6" t="str">
        <f>IFERROR(VLOOKUP(A336,'Acompanhamento da Licitação'!$F$2:$N$1000,6,FALSE()),"")</f>
        <v/>
      </c>
      <c r="M336" s="6" t="str">
        <f>IFERROR(VLOOKUP(A336,'Acompanhamento da Licitação'!$F$2:$N$1000,7,FALSE()),"")</f>
        <v/>
      </c>
      <c r="N336" s="1" t="str">
        <f>IFERROR(VLOOKUP(A336,'Acompanhamento da Licitação'!$F$2:$N$1000,9,FALSE()),"")</f>
        <v/>
      </c>
      <c r="O336" s="1" t="str">
        <f t="shared" si="29"/>
        <v>Não</v>
      </c>
      <c r="P336" s="6">
        <f t="shared" si="30"/>
        <v>0</v>
      </c>
    </row>
    <row r="337" spans="1:16" ht="15.75" x14ac:dyDescent="0.25">
      <c r="A337" s="72"/>
      <c r="B337" s="41"/>
      <c r="C337" s="72"/>
      <c r="D337" s="23"/>
      <c r="E337" s="23"/>
      <c r="F337" s="61" t="str">
        <f t="shared" si="26"/>
        <v/>
      </c>
      <c r="G337" s="61" t="str">
        <f t="shared" si="27"/>
        <v/>
      </c>
      <c r="H337" s="23" t="str">
        <f t="shared" si="28"/>
        <v/>
      </c>
      <c r="I337" s="70"/>
      <c r="J337" s="70"/>
      <c r="K337" s="69"/>
      <c r="L337" s="6" t="str">
        <f>IFERROR(VLOOKUP(A337,'Acompanhamento da Licitação'!$F$2:$N$1000,6,FALSE()),"")</f>
        <v/>
      </c>
      <c r="M337" s="6" t="str">
        <f>IFERROR(VLOOKUP(A337,'Acompanhamento da Licitação'!$F$2:$N$1000,7,FALSE()),"")</f>
        <v/>
      </c>
      <c r="N337" s="1" t="str">
        <f>IFERROR(VLOOKUP(A337,'Acompanhamento da Licitação'!$F$2:$N$1000,9,FALSE()),"")</f>
        <v/>
      </c>
      <c r="O337" s="1" t="str">
        <f t="shared" si="29"/>
        <v>Não</v>
      </c>
      <c r="P337" s="6">
        <f t="shared" si="30"/>
        <v>0</v>
      </c>
    </row>
    <row r="338" spans="1:16" ht="15.75" x14ac:dyDescent="0.25">
      <c r="A338" s="72"/>
      <c r="B338" s="41"/>
      <c r="C338" s="72"/>
      <c r="D338" s="23"/>
      <c r="E338" s="23"/>
      <c r="F338" s="61" t="str">
        <f t="shared" si="26"/>
        <v/>
      </c>
      <c r="G338" s="61" t="str">
        <f t="shared" si="27"/>
        <v/>
      </c>
      <c r="H338" s="23" t="str">
        <f t="shared" si="28"/>
        <v/>
      </c>
      <c r="I338" s="70"/>
      <c r="J338" s="70"/>
      <c r="K338" s="69"/>
      <c r="L338" s="6" t="str">
        <f>IFERROR(VLOOKUP(A338,'Acompanhamento da Licitação'!$F$2:$N$1000,6,FALSE()),"")</f>
        <v/>
      </c>
      <c r="M338" s="6" t="str">
        <f>IFERROR(VLOOKUP(A338,'Acompanhamento da Licitação'!$F$2:$N$1000,7,FALSE()),"")</f>
        <v/>
      </c>
      <c r="N338" s="1" t="str">
        <f>IFERROR(VLOOKUP(A338,'Acompanhamento da Licitação'!$F$2:$N$1000,9,FALSE()),"")</f>
        <v/>
      </c>
      <c r="O338" s="1" t="str">
        <f t="shared" si="29"/>
        <v>Não</v>
      </c>
      <c r="P338" s="6">
        <f t="shared" si="30"/>
        <v>0</v>
      </c>
    </row>
    <row r="339" spans="1:16" ht="15.75" x14ac:dyDescent="0.25">
      <c r="A339" s="72"/>
      <c r="B339" s="41"/>
      <c r="C339" s="72"/>
      <c r="D339" s="23"/>
      <c r="E339" s="23"/>
      <c r="F339" s="61" t="str">
        <f t="shared" si="26"/>
        <v/>
      </c>
      <c r="G339" s="61" t="str">
        <f t="shared" si="27"/>
        <v/>
      </c>
      <c r="H339" s="23" t="str">
        <f t="shared" si="28"/>
        <v/>
      </c>
      <c r="I339" s="70"/>
      <c r="J339" s="70"/>
      <c r="K339" s="69"/>
      <c r="L339" s="6" t="str">
        <f>IFERROR(VLOOKUP(A339,'Acompanhamento da Licitação'!$F$2:$N$1000,6,FALSE()),"")</f>
        <v/>
      </c>
      <c r="M339" s="6" t="str">
        <f>IFERROR(VLOOKUP(A339,'Acompanhamento da Licitação'!$F$2:$N$1000,7,FALSE()),"")</f>
        <v/>
      </c>
      <c r="N339" s="1" t="str">
        <f>IFERROR(VLOOKUP(A339,'Acompanhamento da Licitação'!$F$2:$N$1000,9,FALSE()),"")</f>
        <v/>
      </c>
      <c r="O339" s="1" t="str">
        <f t="shared" si="29"/>
        <v>Não</v>
      </c>
      <c r="P339" s="6">
        <f t="shared" si="30"/>
        <v>0</v>
      </c>
    </row>
    <row r="340" spans="1:16" ht="15.75" x14ac:dyDescent="0.25">
      <c r="A340" s="72"/>
      <c r="B340" s="41"/>
      <c r="C340" s="72"/>
      <c r="D340" s="23"/>
      <c r="E340" s="23"/>
      <c r="F340" s="61" t="str">
        <f t="shared" si="26"/>
        <v/>
      </c>
      <c r="G340" s="61" t="str">
        <f t="shared" si="27"/>
        <v/>
      </c>
      <c r="H340" s="23" t="str">
        <f t="shared" si="28"/>
        <v/>
      </c>
      <c r="I340" s="70"/>
      <c r="J340" s="70"/>
      <c r="K340" s="69"/>
      <c r="L340" s="6" t="str">
        <f>IFERROR(VLOOKUP(A340,'Acompanhamento da Licitação'!$F$2:$N$1000,6,FALSE()),"")</f>
        <v/>
      </c>
      <c r="M340" s="6" t="str">
        <f>IFERROR(VLOOKUP(A340,'Acompanhamento da Licitação'!$F$2:$N$1000,7,FALSE()),"")</f>
        <v/>
      </c>
      <c r="N340" s="1" t="str">
        <f>IFERROR(VLOOKUP(A340,'Acompanhamento da Licitação'!$F$2:$N$1000,9,FALSE()),"")</f>
        <v/>
      </c>
      <c r="O340" s="1" t="str">
        <f t="shared" si="29"/>
        <v>Não</v>
      </c>
      <c r="P340" s="6">
        <f t="shared" si="30"/>
        <v>0</v>
      </c>
    </row>
    <row r="341" spans="1:16" ht="15.75" x14ac:dyDescent="0.25">
      <c r="A341" s="72"/>
      <c r="B341" s="41"/>
      <c r="C341" s="72"/>
      <c r="D341" s="23"/>
      <c r="E341" s="23"/>
      <c r="F341" s="61" t="str">
        <f t="shared" si="26"/>
        <v/>
      </c>
      <c r="G341" s="61" t="str">
        <f t="shared" si="27"/>
        <v/>
      </c>
      <c r="H341" s="23" t="str">
        <f t="shared" si="28"/>
        <v/>
      </c>
      <c r="I341" s="70"/>
      <c r="J341" s="70"/>
      <c r="K341" s="69"/>
      <c r="L341" s="6" t="str">
        <f>IFERROR(VLOOKUP(A341,'Acompanhamento da Licitação'!$F$2:$N$1000,6,FALSE()),"")</f>
        <v/>
      </c>
      <c r="M341" s="6" t="str">
        <f>IFERROR(VLOOKUP(A341,'Acompanhamento da Licitação'!$F$2:$N$1000,7,FALSE()),"")</f>
        <v/>
      </c>
      <c r="N341" s="1" t="str">
        <f>IFERROR(VLOOKUP(A341,'Acompanhamento da Licitação'!$F$2:$N$1000,9,FALSE()),"")</f>
        <v/>
      </c>
      <c r="O341" s="1" t="str">
        <f t="shared" si="29"/>
        <v>Não</v>
      </c>
      <c r="P341" s="6">
        <f t="shared" si="30"/>
        <v>0</v>
      </c>
    </row>
    <row r="342" spans="1:16" ht="15.75" x14ac:dyDescent="0.25">
      <c r="A342" s="72"/>
      <c r="B342" s="41"/>
      <c r="C342" s="72"/>
      <c r="D342" s="23"/>
      <c r="E342" s="23"/>
      <c r="F342" s="61" t="str">
        <f t="shared" si="26"/>
        <v/>
      </c>
      <c r="G342" s="61" t="str">
        <f t="shared" si="27"/>
        <v/>
      </c>
      <c r="H342" s="23" t="str">
        <f t="shared" si="28"/>
        <v/>
      </c>
      <c r="I342" s="70"/>
      <c r="J342" s="70"/>
      <c r="K342" s="69"/>
      <c r="L342" s="6" t="str">
        <f>IFERROR(VLOOKUP(A342,'Acompanhamento da Licitação'!$F$2:$N$1000,6,FALSE()),"")</f>
        <v/>
      </c>
      <c r="M342" s="6" t="str">
        <f>IFERROR(VLOOKUP(A342,'Acompanhamento da Licitação'!$F$2:$N$1000,7,FALSE()),"")</f>
        <v/>
      </c>
      <c r="N342" s="1" t="str">
        <f>IFERROR(VLOOKUP(A342,'Acompanhamento da Licitação'!$F$2:$N$1000,9,FALSE()),"")</f>
        <v/>
      </c>
      <c r="O342" s="1" t="str">
        <f t="shared" si="29"/>
        <v>Não</v>
      </c>
      <c r="P342" s="6">
        <f t="shared" si="30"/>
        <v>0</v>
      </c>
    </row>
    <row r="343" spans="1:16" ht="15.75" x14ac:dyDescent="0.25">
      <c r="A343" s="72"/>
      <c r="B343" s="41"/>
      <c r="C343" s="72"/>
      <c r="D343" s="23"/>
      <c r="E343" s="23"/>
      <c r="F343" s="61" t="str">
        <f t="shared" si="26"/>
        <v/>
      </c>
      <c r="G343" s="61" t="str">
        <f t="shared" si="27"/>
        <v/>
      </c>
      <c r="H343" s="23" t="str">
        <f t="shared" si="28"/>
        <v/>
      </c>
      <c r="I343" s="70"/>
      <c r="J343" s="70"/>
      <c r="K343" s="69"/>
      <c r="L343" s="6" t="str">
        <f>IFERROR(VLOOKUP(A343,'Acompanhamento da Licitação'!$F$2:$N$1000,6,FALSE()),"")</f>
        <v/>
      </c>
      <c r="M343" s="6" t="str">
        <f>IFERROR(VLOOKUP(A343,'Acompanhamento da Licitação'!$F$2:$N$1000,7,FALSE()),"")</f>
        <v/>
      </c>
      <c r="N343" s="1" t="str">
        <f>IFERROR(VLOOKUP(A343,'Acompanhamento da Licitação'!$F$2:$N$1000,9,FALSE()),"")</f>
        <v/>
      </c>
      <c r="O343" s="1" t="str">
        <f t="shared" si="29"/>
        <v>Não</v>
      </c>
      <c r="P343" s="6">
        <f t="shared" si="30"/>
        <v>0</v>
      </c>
    </row>
    <row r="344" spans="1:16" ht="15.75" x14ac:dyDescent="0.25">
      <c r="A344" s="72"/>
      <c r="B344" s="41"/>
      <c r="C344" s="72"/>
      <c r="D344" s="23"/>
      <c r="E344" s="23"/>
      <c r="F344" s="61" t="str">
        <f t="shared" si="26"/>
        <v/>
      </c>
      <c r="G344" s="61" t="str">
        <f t="shared" si="27"/>
        <v/>
      </c>
      <c r="H344" s="23" t="str">
        <f t="shared" si="28"/>
        <v/>
      </c>
      <c r="I344" s="70"/>
      <c r="J344" s="70"/>
      <c r="K344" s="69"/>
      <c r="L344" s="6" t="str">
        <f>IFERROR(VLOOKUP(A344,'Acompanhamento da Licitação'!$F$2:$N$1000,6,FALSE()),"")</f>
        <v/>
      </c>
      <c r="M344" s="6" t="str">
        <f>IFERROR(VLOOKUP(A344,'Acompanhamento da Licitação'!$F$2:$N$1000,7,FALSE()),"")</f>
        <v/>
      </c>
      <c r="N344" s="1" t="str">
        <f>IFERROR(VLOOKUP(A344,'Acompanhamento da Licitação'!$F$2:$N$1000,9,FALSE()),"")</f>
        <v/>
      </c>
      <c r="O344" s="1" t="str">
        <f t="shared" si="29"/>
        <v>Não</v>
      </c>
      <c r="P344" s="6">
        <f t="shared" si="30"/>
        <v>0</v>
      </c>
    </row>
    <row r="345" spans="1:16" ht="15.75" x14ac:dyDescent="0.25">
      <c r="A345" s="72"/>
      <c r="B345" s="41"/>
      <c r="C345" s="72"/>
      <c r="D345" s="23"/>
      <c r="E345" s="23"/>
      <c r="F345" s="61" t="str">
        <f t="shared" si="26"/>
        <v/>
      </c>
      <c r="G345" s="61" t="str">
        <f t="shared" si="27"/>
        <v/>
      </c>
      <c r="H345" s="23" t="str">
        <f t="shared" si="28"/>
        <v/>
      </c>
      <c r="I345" s="70"/>
      <c r="J345" s="70"/>
      <c r="K345" s="69"/>
      <c r="L345" s="6" t="str">
        <f>IFERROR(VLOOKUP(A345,'Acompanhamento da Licitação'!$F$2:$N$1000,6,FALSE()),"")</f>
        <v/>
      </c>
      <c r="M345" s="6" t="str">
        <f>IFERROR(VLOOKUP(A345,'Acompanhamento da Licitação'!$F$2:$N$1000,7,FALSE()),"")</f>
        <v/>
      </c>
      <c r="N345" s="1" t="str">
        <f>IFERROR(VLOOKUP(A345,'Acompanhamento da Licitação'!$F$2:$N$1000,9,FALSE()),"")</f>
        <v/>
      </c>
      <c r="O345" s="1" t="str">
        <f t="shared" si="29"/>
        <v>Não</v>
      </c>
      <c r="P345" s="6">
        <f t="shared" si="30"/>
        <v>0</v>
      </c>
    </row>
    <row r="346" spans="1:16" ht="15.75" x14ac:dyDescent="0.25">
      <c r="A346" s="72"/>
      <c r="B346" s="41"/>
      <c r="C346" s="72"/>
      <c r="D346" s="23"/>
      <c r="E346" s="23"/>
      <c r="F346" s="61" t="str">
        <f t="shared" si="26"/>
        <v/>
      </c>
      <c r="G346" s="61" t="str">
        <f t="shared" si="27"/>
        <v/>
      </c>
      <c r="H346" s="23" t="str">
        <f t="shared" si="28"/>
        <v/>
      </c>
      <c r="I346" s="70"/>
      <c r="J346" s="70"/>
      <c r="K346" s="69"/>
      <c r="L346" s="6" t="str">
        <f>IFERROR(VLOOKUP(A346,'Acompanhamento da Licitação'!$F$2:$N$1000,6,FALSE()),"")</f>
        <v/>
      </c>
      <c r="M346" s="6" t="str">
        <f>IFERROR(VLOOKUP(A346,'Acompanhamento da Licitação'!$F$2:$N$1000,7,FALSE()),"")</f>
        <v/>
      </c>
      <c r="N346" s="1" t="str">
        <f>IFERROR(VLOOKUP(A346,'Acompanhamento da Licitação'!$F$2:$N$1000,9,FALSE()),"")</f>
        <v/>
      </c>
      <c r="O346" s="1" t="str">
        <f t="shared" si="29"/>
        <v>Não</v>
      </c>
      <c r="P346" s="6">
        <f t="shared" si="30"/>
        <v>0</v>
      </c>
    </row>
    <row r="347" spans="1:16" ht="15.75" x14ac:dyDescent="0.25">
      <c r="A347" s="72"/>
      <c r="B347" s="41"/>
      <c r="C347" s="72"/>
      <c r="D347" s="23"/>
      <c r="E347" s="23"/>
      <c r="F347" s="61" t="str">
        <f t="shared" si="26"/>
        <v/>
      </c>
      <c r="G347" s="61" t="str">
        <f t="shared" si="27"/>
        <v/>
      </c>
      <c r="H347" s="23" t="str">
        <f t="shared" si="28"/>
        <v/>
      </c>
      <c r="I347" s="70"/>
      <c r="J347" s="70"/>
      <c r="K347" s="69"/>
      <c r="L347" s="6" t="str">
        <f>IFERROR(VLOOKUP(A347,'Acompanhamento da Licitação'!$F$2:$N$1000,6,FALSE()),"")</f>
        <v/>
      </c>
      <c r="M347" s="6" t="str">
        <f>IFERROR(VLOOKUP(A347,'Acompanhamento da Licitação'!$F$2:$N$1000,7,FALSE()),"")</f>
        <v/>
      </c>
      <c r="N347" s="1" t="str">
        <f>IFERROR(VLOOKUP(A347,'Acompanhamento da Licitação'!$F$2:$N$1000,9,FALSE()),"")</f>
        <v/>
      </c>
      <c r="O347" s="1" t="str">
        <f t="shared" si="29"/>
        <v>Não</v>
      </c>
      <c r="P347" s="6">
        <f t="shared" si="30"/>
        <v>0</v>
      </c>
    </row>
    <row r="348" spans="1:16" ht="15.75" x14ac:dyDescent="0.25">
      <c r="A348" s="72"/>
      <c r="B348" s="41"/>
      <c r="C348" s="72"/>
      <c r="D348" s="23"/>
      <c r="E348" s="23"/>
      <c r="F348" s="61" t="str">
        <f t="shared" si="26"/>
        <v/>
      </c>
      <c r="G348" s="61" t="str">
        <f t="shared" si="27"/>
        <v/>
      </c>
      <c r="H348" s="23" t="str">
        <f t="shared" si="28"/>
        <v/>
      </c>
      <c r="I348" s="70"/>
      <c r="J348" s="70"/>
      <c r="K348" s="69"/>
      <c r="L348" s="6" t="str">
        <f>IFERROR(VLOOKUP(A348,'Acompanhamento da Licitação'!$F$2:$N$1000,6,FALSE()),"")</f>
        <v/>
      </c>
      <c r="M348" s="6" t="str">
        <f>IFERROR(VLOOKUP(A348,'Acompanhamento da Licitação'!$F$2:$N$1000,7,FALSE()),"")</f>
        <v/>
      </c>
      <c r="N348" s="1" t="str">
        <f>IFERROR(VLOOKUP(A348,'Acompanhamento da Licitação'!$F$2:$N$1000,9,FALSE()),"")</f>
        <v/>
      </c>
      <c r="O348" s="1" t="str">
        <f t="shared" si="29"/>
        <v>Não</v>
      </c>
      <c r="P348" s="6">
        <f t="shared" si="30"/>
        <v>0</v>
      </c>
    </row>
    <row r="349" spans="1:16" ht="15.75" x14ac:dyDescent="0.25">
      <c r="A349" s="72"/>
      <c r="B349" s="41"/>
      <c r="C349" s="72"/>
      <c r="D349" s="23"/>
      <c r="E349" s="23"/>
      <c r="F349" s="61" t="str">
        <f t="shared" si="26"/>
        <v/>
      </c>
      <c r="G349" s="61" t="str">
        <f t="shared" si="27"/>
        <v/>
      </c>
      <c r="H349" s="23" t="str">
        <f t="shared" si="28"/>
        <v/>
      </c>
      <c r="I349" s="70"/>
      <c r="J349" s="70"/>
      <c r="K349" s="69"/>
      <c r="L349" s="6" t="str">
        <f>IFERROR(VLOOKUP(A349,'Acompanhamento da Licitação'!$F$2:$N$1000,6,FALSE()),"")</f>
        <v/>
      </c>
      <c r="M349" s="6" t="str">
        <f>IFERROR(VLOOKUP(A349,'Acompanhamento da Licitação'!$F$2:$N$1000,7,FALSE()),"")</f>
        <v/>
      </c>
      <c r="N349" s="1" t="str">
        <f>IFERROR(VLOOKUP(A349,'Acompanhamento da Licitação'!$F$2:$N$1000,9,FALSE()),"")</f>
        <v/>
      </c>
      <c r="O349" s="1" t="str">
        <f t="shared" si="29"/>
        <v>Não</v>
      </c>
      <c r="P349" s="6">
        <f t="shared" si="30"/>
        <v>0</v>
      </c>
    </row>
    <row r="350" spans="1:16" ht="15.75" x14ac:dyDescent="0.25">
      <c r="A350" s="72"/>
      <c r="B350" s="41"/>
      <c r="C350" s="72"/>
      <c r="D350" s="23"/>
      <c r="E350" s="23"/>
      <c r="F350" s="61" t="str">
        <f t="shared" si="26"/>
        <v/>
      </c>
      <c r="G350" s="61" t="str">
        <f t="shared" si="27"/>
        <v/>
      </c>
      <c r="H350" s="23" t="str">
        <f t="shared" si="28"/>
        <v/>
      </c>
      <c r="I350" s="70"/>
      <c r="J350" s="70"/>
      <c r="K350" s="69"/>
      <c r="L350" s="6" t="str">
        <f>IFERROR(VLOOKUP(A350,'Acompanhamento da Licitação'!$F$2:$N$1000,6,FALSE()),"")</f>
        <v/>
      </c>
      <c r="M350" s="6" t="str">
        <f>IFERROR(VLOOKUP(A350,'Acompanhamento da Licitação'!$F$2:$N$1000,7,FALSE()),"")</f>
        <v/>
      </c>
      <c r="N350" s="1" t="str">
        <f>IFERROR(VLOOKUP(A350,'Acompanhamento da Licitação'!$F$2:$N$1000,9,FALSE()),"")</f>
        <v/>
      </c>
      <c r="O350" s="1" t="str">
        <f t="shared" si="29"/>
        <v>Não</v>
      </c>
      <c r="P350" s="6">
        <f t="shared" si="30"/>
        <v>0</v>
      </c>
    </row>
    <row r="351" spans="1:16" ht="15.75" x14ac:dyDescent="0.25">
      <c r="A351" s="72"/>
      <c r="B351" s="41"/>
      <c r="C351" s="72"/>
      <c r="D351" s="23"/>
      <c r="E351" s="23"/>
      <c r="F351" s="61" t="str">
        <f t="shared" si="26"/>
        <v/>
      </c>
      <c r="G351" s="61" t="str">
        <f t="shared" si="27"/>
        <v/>
      </c>
      <c r="H351" s="23" t="str">
        <f t="shared" si="28"/>
        <v/>
      </c>
      <c r="I351" s="70"/>
      <c r="J351" s="70"/>
      <c r="K351" s="69"/>
      <c r="L351" s="6" t="str">
        <f>IFERROR(VLOOKUP(A351,'Acompanhamento da Licitação'!$F$2:$N$1000,6,FALSE()),"")</f>
        <v/>
      </c>
      <c r="M351" s="6" t="str">
        <f>IFERROR(VLOOKUP(A351,'Acompanhamento da Licitação'!$F$2:$N$1000,7,FALSE()),"")</f>
        <v/>
      </c>
      <c r="N351" s="1" t="str">
        <f>IFERROR(VLOOKUP(A351,'Acompanhamento da Licitação'!$F$2:$N$1000,9,FALSE()),"")</f>
        <v/>
      </c>
      <c r="O351" s="1" t="str">
        <f t="shared" si="29"/>
        <v>Não</v>
      </c>
      <c r="P351" s="6">
        <f t="shared" si="30"/>
        <v>0</v>
      </c>
    </row>
    <row r="352" spans="1:16" ht="15.75" x14ac:dyDescent="0.25">
      <c r="A352" s="72"/>
      <c r="B352" s="41"/>
      <c r="C352" s="72"/>
      <c r="D352" s="23"/>
      <c r="E352" s="23"/>
      <c r="F352" s="61" t="str">
        <f t="shared" si="26"/>
        <v/>
      </c>
      <c r="G352" s="61" t="str">
        <f t="shared" si="27"/>
        <v/>
      </c>
      <c r="H352" s="23" t="str">
        <f t="shared" si="28"/>
        <v/>
      </c>
      <c r="I352" s="70"/>
      <c r="J352" s="70"/>
      <c r="K352" s="69"/>
      <c r="L352" s="6" t="str">
        <f>IFERROR(VLOOKUP(A352,'Acompanhamento da Licitação'!$F$2:$N$1000,6,FALSE()),"")</f>
        <v/>
      </c>
      <c r="M352" s="6" t="str">
        <f>IFERROR(VLOOKUP(A352,'Acompanhamento da Licitação'!$F$2:$N$1000,7,FALSE()),"")</f>
        <v/>
      </c>
      <c r="N352" s="1" t="str">
        <f>IFERROR(VLOOKUP(A352,'Acompanhamento da Licitação'!$F$2:$N$1000,9,FALSE()),"")</f>
        <v/>
      </c>
      <c r="O352" s="1" t="str">
        <f t="shared" si="29"/>
        <v>Não</v>
      </c>
      <c r="P352" s="6">
        <f t="shared" si="30"/>
        <v>0</v>
      </c>
    </row>
    <row r="353" spans="1:16" ht="15.75" x14ac:dyDescent="0.25">
      <c r="A353" s="72"/>
      <c r="B353" s="41"/>
      <c r="C353" s="72"/>
      <c r="D353" s="23"/>
      <c r="E353" s="23"/>
      <c r="F353" s="61" t="str">
        <f t="shared" si="26"/>
        <v/>
      </c>
      <c r="G353" s="61" t="str">
        <f t="shared" si="27"/>
        <v/>
      </c>
      <c r="H353" s="23" t="str">
        <f t="shared" si="28"/>
        <v/>
      </c>
      <c r="I353" s="70"/>
      <c r="J353" s="70"/>
      <c r="K353" s="69"/>
      <c r="L353" s="6" t="str">
        <f>IFERROR(VLOOKUP(A353,'Acompanhamento da Licitação'!$F$2:$N$1000,6,FALSE()),"")</f>
        <v/>
      </c>
      <c r="M353" s="6" t="str">
        <f>IFERROR(VLOOKUP(A353,'Acompanhamento da Licitação'!$F$2:$N$1000,7,FALSE()),"")</f>
        <v/>
      </c>
      <c r="N353" s="1" t="str">
        <f>IFERROR(VLOOKUP(A353,'Acompanhamento da Licitação'!$F$2:$N$1000,9,FALSE()),"")</f>
        <v/>
      </c>
      <c r="O353" s="1" t="str">
        <f t="shared" si="29"/>
        <v>Não</v>
      </c>
      <c r="P353" s="6">
        <f t="shared" si="30"/>
        <v>0</v>
      </c>
    </row>
    <row r="354" spans="1:16" ht="15.75" x14ac:dyDescent="0.25">
      <c r="A354" s="72"/>
      <c r="B354" s="41"/>
      <c r="C354" s="72"/>
      <c r="D354" s="23"/>
      <c r="E354" s="23"/>
      <c r="F354" s="61" t="str">
        <f t="shared" si="26"/>
        <v/>
      </c>
      <c r="G354" s="61" t="str">
        <f t="shared" si="27"/>
        <v/>
      </c>
      <c r="H354" s="23" t="str">
        <f t="shared" si="28"/>
        <v/>
      </c>
      <c r="I354" s="70"/>
      <c r="J354" s="70"/>
      <c r="K354" s="69"/>
      <c r="L354" s="6" t="str">
        <f>IFERROR(VLOOKUP(A354,'Acompanhamento da Licitação'!$F$2:$N$1000,6,FALSE()),"")</f>
        <v/>
      </c>
      <c r="M354" s="6" t="str">
        <f>IFERROR(VLOOKUP(A354,'Acompanhamento da Licitação'!$F$2:$N$1000,7,FALSE()),"")</f>
        <v/>
      </c>
      <c r="N354" s="1" t="str">
        <f>IFERROR(VLOOKUP(A354,'Acompanhamento da Licitação'!$F$2:$N$1000,9,FALSE()),"")</f>
        <v/>
      </c>
      <c r="O354" s="1" t="str">
        <f t="shared" si="29"/>
        <v>Não</v>
      </c>
      <c r="P354" s="6">
        <f t="shared" si="30"/>
        <v>0</v>
      </c>
    </row>
    <row r="355" spans="1:16" ht="15.75" x14ac:dyDescent="0.25">
      <c r="A355" s="72"/>
      <c r="B355" s="41"/>
      <c r="C355" s="72"/>
      <c r="D355" s="23"/>
      <c r="E355" s="23"/>
      <c r="F355" s="61" t="str">
        <f t="shared" si="26"/>
        <v/>
      </c>
      <c r="G355" s="61" t="str">
        <f t="shared" si="27"/>
        <v/>
      </c>
      <c r="H355" s="23" t="str">
        <f t="shared" si="28"/>
        <v/>
      </c>
      <c r="I355" s="70"/>
      <c r="J355" s="70"/>
      <c r="K355" s="69"/>
      <c r="L355" s="6" t="str">
        <f>IFERROR(VLOOKUP(A355,'Acompanhamento da Licitação'!$F$2:$N$1000,6,FALSE()),"")</f>
        <v/>
      </c>
      <c r="M355" s="6" t="str">
        <f>IFERROR(VLOOKUP(A355,'Acompanhamento da Licitação'!$F$2:$N$1000,7,FALSE()),"")</f>
        <v/>
      </c>
      <c r="N355" s="1" t="str">
        <f>IFERROR(VLOOKUP(A355,'Acompanhamento da Licitação'!$F$2:$N$1000,9,FALSE()),"")</f>
        <v/>
      </c>
      <c r="O355" s="1" t="str">
        <f t="shared" si="29"/>
        <v>Não</v>
      </c>
      <c r="P355" s="6">
        <f t="shared" si="30"/>
        <v>0</v>
      </c>
    </row>
    <row r="356" spans="1:16" ht="15.75" x14ac:dyDescent="0.25">
      <c r="A356" s="72"/>
      <c r="B356" s="41"/>
      <c r="C356" s="72"/>
      <c r="D356" s="23"/>
      <c r="E356" s="23"/>
      <c r="F356" s="61" t="str">
        <f t="shared" si="26"/>
        <v/>
      </c>
      <c r="G356" s="61" t="str">
        <f t="shared" si="27"/>
        <v/>
      </c>
      <c r="H356" s="23" t="str">
        <f t="shared" si="28"/>
        <v/>
      </c>
      <c r="I356" s="70"/>
      <c r="J356" s="70"/>
      <c r="K356" s="69"/>
      <c r="L356" s="6" t="str">
        <f>IFERROR(VLOOKUP(A356,'Acompanhamento da Licitação'!$F$2:$N$1000,6,FALSE()),"")</f>
        <v/>
      </c>
      <c r="M356" s="6" t="str">
        <f>IFERROR(VLOOKUP(A356,'Acompanhamento da Licitação'!$F$2:$N$1000,7,FALSE()),"")</f>
        <v/>
      </c>
      <c r="N356" s="1" t="str">
        <f>IFERROR(VLOOKUP(A356,'Acompanhamento da Licitação'!$F$2:$N$1000,9,FALSE()),"")</f>
        <v/>
      </c>
      <c r="O356" s="1" t="str">
        <f t="shared" si="29"/>
        <v>Não</v>
      </c>
      <c r="P356" s="6">
        <f t="shared" si="30"/>
        <v>0</v>
      </c>
    </row>
    <row r="357" spans="1:16" ht="15.75" x14ac:dyDescent="0.25">
      <c r="A357" s="72"/>
      <c r="B357" s="41"/>
      <c r="C357" s="72"/>
      <c r="D357" s="23"/>
      <c r="E357" s="23"/>
      <c r="F357" s="61" t="str">
        <f t="shared" si="26"/>
        <v/>
      </c>
      <c r="G357" s="61" t="str">
        <f t="shared" si="27"/>
        <v/>
      </c>
      <c r="H357" s="23" t="str">
        <f t="shared" si="28"/>
        <v/>
      </c>
      <c r="I357" s="70"/>
      <c r="J357" s="70"/>
      <c r="K357" s="69"/>
      <c r="L357" s="6" t="str">
        <f>IFERROR(VLOOKUP(A357,'Acompanhamento da Licitação'!$F$2:$N$1000,6,FALSE()),"")</f>
        <v/>
      </c>
      <c r="M357" s="6" t="str">
        <f>IFERROR(VLOOKUP(A357,'Acompanhamento da Licitação'!$F$2:$N$1000,7,FALSE()),"")</f>
        <v/>
      </c>
      <c r="N357" s="1" t="str">
        <f>IFERROR(VLOOKUP(A357,'Acompanhamento da Licitação'!$F$2:$N$1000,9,FALSE()),"")</f>
        <v/>
      </c>
      <c r="O357" s="1" t="str">
        <f t="shared" si="29"/>
        <v>Não</v>
      </c>
      <c r="P357" s="6">
        <f t="shared" si="30"/>
        <v>0</v>
      </c>
    </row>
    <row r="358" spans="1:16" ht="15.75" x14ac:dyDescent="0.25">
      <c r="A358" s="72"/>
      <c r="B358" s="41"/>
      <c r="C358" s="72"/>
      <c r="D358" s="23"/>
      <c r="E358" s="23"/>
      <c r="F358" s="61" t="str">
        <f t="shared" si="26"/>
        <v/>
      </c>
      <c r="G358" s="61" t="str">
        <f t="shared" si="27"/>
        <v/>
      </c>
      <c r="H358" s="23" t="str">
        <f t="shared" si="28"/>
        <v/>
      </c>
      <c r="I358" s="70"/>
      <c r="J358" s="70"/>
      <c r="K358" s="69"/>
      <c r="L358" s="6" t="str">
        <f>IFERROR(VLOOKUP(A358,'Acompanhamento da Licitação'!$F$2:$N$1000,6,FALSE()),"")</f>
        <v/>
      </c>
      <c r="M358" s="6" t="str">
        <f>IFERROR(VLOOKUP(A358,'Acompanhamento da Licitação'!$F$2:$N$1000,7,FALSE()),"")</f>
        <v/>
      </c>
      <c r="N358" s="1" t="str">
        <f>IFERROR(VLOOKUP(A358,'Acompanhamento da Licitação'!$F$2:$N$1000,9,FALSE()),"")</f>
        <v/>
      </c>
      <c r="O358" s="1" t="str">
        <f t="shared" si="29"/>
        <v>Não</v>
      </c>
      <c r="P358" s="6">
        <f t="shared" si="30"/>
        <v>0</v>
      </c>
    </row>
    <row r="359" spans="1:16" ht="15.75" x14ac:dyDescent="0.25">
      <c r="A359" s="72"/>
      <c r="B359" s="41"/>
      <c r="C359" s="72"/>
      <c r="D359" s="23"/>
      <c r="E359" s="23"/>
      <c r="F359" s="61" t="str">
        <f t="shared" si="26"/>
        <v/>
      </c>
      <c r="G359" s="61" t="str">
        <f t="shared" si="27"/>
        <v/>
      </c>
      <c r="H359" s="23" t="str">
        <f t="shared" si="28"/>
        <v/>
      </c>
      <c r="I359" s="70"/>
      <c r="J359" s="70"/>
      <c r="K359" s="69"/>
      <c r="L359" s="6" t="str">
        <f>IFERROR(VLOOKUP(A359,'Acompanhamento da Licitação'!$F$2:$N$1000,6,FALSE()),"")</f>
        <v/>
      </c>
      <c r="M359" s="6" t="str">
        <f>IFERROR(VLOOKUP(A359,'Acompanhamento da Licitação'!$F$2:$N$1000,7,FALSE()),"")</f>
        <v/>
      </c>
      <c r="N359" s="1" t="str">
        <f>IFERROR(VLOOKUP(A359,'Acompanhamento da Licitação'!$F$2:$N$1000,9,FALSE()),"")</f>
        <v/>
      </c>
      <c r="O359" s="1" t="str">
        <f t="shared" si="29"/>
        <v>Não</v>
      </c>
      <c r="P359" s="6">
        <f t="shared" si="30"/>
        <v>0</v>
      </c>
    </row>
    <row r="360" spans="1:16" ht="15.75" x14ac:dyDescent="0.25">
      <c r="A360" s="72"/>
      <c r="B360" s="41"/>
      <c r="C360" s="72"/>
      <c r="D360" s="23"/>
      <c r="E360" s="23"/>
      <c r="F360" s="61" t="str">
        <f t="shared" si="26"/>
        <v/>
      </c>
      <c r="G360" s="61" t="str">
        <f t="shared" si="27"/>
        <v/>
      </c>
      <c r="H360" s="23" t="str">
        <f t="shared" si="28"/>
        <v/>
      </c>
      <c r="I360" s="70"/>
      <c r="J360" s="70"/>
      <c r="K360" s="69"/>
      <c r="L360" s="6" t="str">
        <f>IFERROR(VLOOKUP(A360,'Acompanhamento da Licitação'!$F$2:$N$1000,6,FALSE()),"")</f>
        <v/>
      </c>
      <c r="M360" s="6" t="str">
        <f>IFERROR(VLOOKUP(A360,'Acompanhamento da Licitação'!$F$2:$N$1000,7,FALSE()),"")</f>
        <v/>
      </c>
      <c r="N360" s="1" t="str">
        <f>IFERROR(VLOOKUP(A360,'Acompanhamento da Licitação'!$F$2:$N$1000,9,FALSE()),"")</f>
        <v/>
      </c>
      <c r="O360" s="1" t="str">
        <f t="shared" si="29"/>
        <v>Não</v>
      </c>
      <c r="P360" s="6">
        <f t="shared" si="30"/>
        <v>0</v>
      </c>
    </row>
    <row r="361" spans="1:16" ht="15.75" x14ac:dyDescent="0.25">
      <c r="A361" s="72"/>
      <c r="B361" s="41"/>
      <c r="C361" s="72"/>
      <c r="D361" s="23"/>
      <c r="E361" s="23"/>
      <c r="F361" s="61" t="str">
        <f t="shared" si="26"/>
        <v/>
      </c>
      <c r="G361" s="61" t="str">
        <f t="shared" si="27"/>
        <v/>
      </c>
      <c r="H361" s="23" t="str">
        <f t="shared" si="28"/>
        <v/>
      </c>
      <c r="I361" s="70"/>
      <c r="J361" s="70"/>
      <c r="K361" s="69"/>
      <c r="L361" s="6" t="str">
        <f>IFERROR(VLOOKUP(A361,'Acompanhamento da Licitação'!$F$2:$N$1000,6,FALSE()),"")</f>
        <v/>
      </c>
      <c r="M361" s="6" t="str">
        <f>IFERROR(VLOOKUP(A361,'Acompanhamento da Licitação'!$F$2:$N$1000,7,FALSE()),"")</f>
        <v/>
      </c>
      <c r="N361" s="1" t="str">
        <f>IFERROR(VLOOKUP(A361,'Acompanhamento da Licitação'!$F$2:$N$1000,9,FALSE()),"")</f>
        <v/>
      </c>
      <c r="O361" s="1" t="str">
        <f t="shared" si="29"/>
        <v>Não</v>
      </c>
      <c r="P361" s="6">
        <f t="shared" si="30"/>
        <v>0</v>
      </c>
    </row>
    <row r="362" spans="1:16" ht="15.75" x14ac:dyDescent="0.25">
      <c r="A362" s="72"/>
      <c r="B362" s="41"/>
      <c r="C362" s="72"/>
      <c r="D362" s="23"/>
      <c r="E362" s="23"/>
      <c r="F362" s="61" t="str">
        <f t="shared" si="26"/>
        <v/>
      </c>
      <c r="G362" s="61" t="str">
        <f t="shared" si="27"/>
        <v/>
      </c>
      <c r="H362" s="23" t="str">
        <f t="shared" si="28"/>
        <v/>
      </c>
      <c r="I362" s="70"/>
      <c r="J362" s="70"/>
      <c r="K362" s="69"/>
      <c r="L362" s="6" t="str">
        <f>IFERROR(VLOOKUP(A362,'Acompanhamento da Licitação'!$F$2:$N$1000,6,FALSE()),"")</f>
        <v/>
      </c>
      <c r="M362" s="6" t="str">
        <f>IFERROR(VLOOKUP(A362,'Acompanhamento da Licitação'!$F$2:$N$1000,7,FALSE()),"")</f>
        <v/>
      </c>
      <c r="N362" s="1" t="str">
        <f>IFERROR(VLOOKUP(A362,'Acompanhamento da Licitação'!$F$2:$N$1000,9,FALSE()),"")</f>
        <v/>
      </c>
      <c r="O362" s="1" t="str">
        <f t="shared" si="29"/>
        <v>Não</v>
      </c>
      <c r="P362" s="6">
        <f t="shared" si="30"/>
        <v>0</v>
      </c>
    </row>
    <row r="363" spans="1:16" ht="15.75" x14ac:dyDescent="0.25">
      <c r="A363" s="72"/>
      <c r="B363" s="41"/>
      <c r="C363" s="72"/>
      <c r="D363" s="23"/>
      <c r="E363" s="23"/>
      <c r="F363" s="61" t="str">
        <f t="shared" si="26"/>
        <v/>
      </c>
      <c r="G363" s="61" t="str">
        <f t="shared" si="27"/>
        <v/>
      </c>
      <c r="H363" s="23" t="str">
        <f t="shared" si="28"/>
        <v/>
      </c>
      <c r="I363" s="70"/>
      <c r="J363" s="70"/>
      <c r="K363" s="69"/>
      <c r="L363" s="6" t="str">
        <f>IFERROR(VLOOKUP(A363,'Acompanhamento da Licitação'!$F$2:$N$1000,6,FALSE()),"")</f>
        <v/>
      </c>
      <c r="M363" s="6" t="str">
        <f>IFERROR(VLOOKUP(A363,'Acompanhamento da Licitação'!$F$2:$N$1000,7,FALSE()),"")</f>
        <v/>
      </c>
      <c r="N363" s="1" t="str">
        <f>IFERROR(VLOOKUP(A363,'Acompanhamento da Licitação'!$F$2:$N$1000,9,FALSE()),"")</f>
        <v/>
      </c>
      <c r="O363" s="1" t="str">
        <f t="shared" si="29"/>
        <v>Não</v>
      </c>
      <c r="P363" s="6">
        <f t="shared" si="30"/>
        <v>0</v>
      </c>
    </row>
    <row r="364" spans="1:16" ht="15.75" x14ac:dyDescent="0.25">
      <c r="A364" s="72"/>
      <c r="B364" s="41"/>
      <c r="C364" s="72"/>
      <c r="D364" s="23"/>
      <c r="E364" s="23"/>
      <c r="F364" s="61" t="str">
        <f t="shared" si="26"/>
        <v/>
      </c>
      <c r="G364" s="61" t="str">
        <f t="shared" si="27"/>
        <v/>
      </c>
      <c r="H364" s="23" t="str">
        <f t="shared" si="28"/>
        <v/>
      </c>
      <c r="I364" s="70"/>
      <c r="J364" s="70"/>
      <c r="K364" s="69"/>
      <c r="L364" s="6" t="str">
        <f>IFERROR(VLOOKUP(A364,'Acompanhamento da Licitação'!$F$2:$N$1000,6,FALSE()),"")</f>
        <v/>
      </c>
      <c r="M364" s="6" t="str">
        <f>IFERROR(VLOOKUP(A364,'Acompanhamento da Licitação'!$F$2:$N$1000,7,FALSE()),"")</f>
        <v/>
      </c>
      <c r="N364" s="1" t="str">
        <f>IFERROR(VLOOKUP(A364,'Acompanhamento da Licitação'!$F$2:$N$1000,9,FALSE()),"")</f>
        <v/>
      </c>
      <c r="O364" s="1" t="str">
        <f t="shared" si="29"/>
        <v>Não</v>
      </c>
      <c r="P364" s="6">
        <f t="shared" si="30"/>
        <v>0</v>
      </c>
    </row>
    <row r="365" spans="1:16" ht="15.75" x14ac:dyDescent="0.25">
      <c r="A365" s="72"/>
      <c r="B365" s="41"/>
      <c r="C365" s="72"/>
      <c r="D365" s="23"/>
      <c r="E365" s="23"/>
      <c r="F365" s="61" t="str">
        <f t="shared" si="26"/>
        <v/>
      </c>
      <c r="G365" s="61" t="str">
        <f t="shared" si="27"/>
        <v/>
      </c>
      <c r="H365" s="23" t="str">
        <f t="shared" si="28"/>
        <v/>
      </c>
      <c r="I365" s="70"/>
      <c r="J365" s="70"/>
      <c r="K365" s="69"/>
      <c r="L365" s="6" t="str">
        <f>IFERROR(VLOOKUP(A365,'Acompanhamento da Licitação'!$F$2:$N$1000,6,FALSE()),"")</f>
        <v/>
      </c>
      <c r="M365" s="6" t="str">
        <f>IFERROR(VLOOKUP(A365,'Acompanhamento da Licitação'!$F$2:$N$1000,7,FALSE()),"")</f>
        <v/>
      </c>
      <c r="N365" s="1" t="str">
        <f>IFERROR(VLOOKUP(A365,'Acompanhamento da Licitação'!$F$2:$N$1000,9,FALSE()),"")</f>
        <v/>
      </c>
      <c r="O365" s="1" t="str">
        <f t="shared" si="29"/>
        <v>Não</v>
      </c>
      <c r="P365" s="6">
        <f t="shared" si="30"/>
        <v>0</v>
      </c>
    </row>
    <row r="366" spans="1:16" ht="15.75" x14ac:dyDescent="0.25">
      <c r="A366" s="72"/>
      <c r="B366" s="41"/>
      <c r="C366" s="72"/>
      <c r="D366" s="23"/>
      <c r="E366" s="23"/>
      <c r="F366" s="61" t="str">
        <f t="shared" si="26"/>
        <v/>
      </c>
      <c r="G366" s="61" t="str">
        <f t="shared" si="27"/>
        <v/>
      </c>
      <c r="H366" s="23" t="str">
        <f t="shared" si="28"/>
        <v/>
      </c>
      <c r="I366" s="70"/>
      <c r="J366" s="70"/>
      <c r="K366" s="69"/>
      <c r="L366" s="6" t="str">
        <f>IFERROR(VLOOKUP(A366,'Acompanhamento da Licitação'!$F$2:$N$1000,6,FALSE()),"")</f>
        <v/>
      </c>
      <c r="M366" s="6" t="str">
        <f>IFERROR(VLOOKUP(A366,'Acompanhamento da Licitação'!$F$2:$N$1000,7,FALSE()),"")</f>
        <v/>
      </c>
      <c r="N366" s="1" t="str">
        <f>IFERROR(VLOOKUP(A366,'Acompanhamento da Licitação'!$F$2:$N$1000,9,FALSE()),"")</f>
        <v/>
      </c>
      <c r="O366" s="1" t="str">
        <f t="shared" si="29"/>
        <v>Não</v>
      </c>
      <c r="P366" s="6">
        <f t="shared" si="30"/>
        <v>0</v>
      </c>
    </row>
    <row r="367" spans="1:16" ht="15.75" x14ac:dyDescent="0.25">
      <c r="A367" s="72"/>
      <c r="B367" s="41"/>
      <c r="C367" s="72"/>
      <c r="D367" s="23"/>
      <c r="E367" s="23"/>
      <c r="F367" s="61" t="str">
        <f t="shared" si="26"/>
        <v/>
      </c>
      <c r="G367" s="61" t="str">
        <f t="shared" si="27"/>
        <v/>
      </c>
      <c r="H367" s="23" t="str">
        <f t="shared" si="28"/>
        <v/>
      </c>
      <c r="I367" s="70"/>
      <c r="J367" s="70"/>
      <c r="K367" s="69"/>
      <c r="L367" s="6" t="str">
        <f>IFERROR(VLOOKUP(A367,'Acompanhamento da Licitação'!$F$2:$N$1000,6,FALSE()),"")</f>
        <v/>
      </c>
      <c r="M367" s="6" t="str">
        <f>IFERROR(VLOOKUP(A367,'Acompanhamento da Licitação'!$F$2:$N$1000,7,FALSE()),"")</f>
        <v/>
      </c>
      <c r="N367" s="1" t="str">
        <f>IFERROR(VLOOKUP(A367,'Acompanhamento da Licitação'!$F$2:$N$1000,9,FALSE()),"")</f>
        <v/>
      </c>
      <c r="O367" s="1" t="str">
        <f t="shared" si="29"/>
        <v>Não</v>
      </c>
      <c r="P367" s="6">
        <f t="shared" si="30"/>
        <v>0</v>
      </c>
    </row>
    <row r="368" spans="1:16" ht="15.75" x14ac:dyDescent="0.25">
      <c r="A368" s="72"/>
      <c r="B368" s="41"/>
      <c r="C368" s="72"/>
      <c r="D368" s="23"/>
      <c r="E368" s="23"/>
      <c r="F368" s="61" t="str">
        <f t="shared" si="26"/>
        <v/>
      </c>
      <c r="G368" s="61" t="str">
        <f t="shared" si="27"/>
        <v/>
      </c>
      <c r="H368" s="23" t="str">
        <f t="shared" si="28"/>
        <v/>
      </c>
      <c r="I368" s="70"/>
      <c r="J368" s="70"/>
      <c r="K368" s="69"/>
      <c r="L368" s="6" t="str">
        <f>IFERROR(VLOOKUP(A368,'Acompanhamento da Licitação'!$F$2:$N$1000,6,FALSE()),"")</f>
        <v/>
      </c>
      <c r="M368" s="6" t="str">
        <f>IFERROR(VLOOKUP(A368,'Acompanhamento da Licitação'!$F$2:$N$1000,7,FALSE()),"")</f>
        <v/>
      </c>
      <c r="N368" s="1" t="str">
        <f>IFERROR(VLOOKUP(A368,'Acompanhamento da Licitação'!$F$2:$N$1000,9,FALSE()),"")</f>
        <v/>
      </c>
      <c r="O368" s="1" t="str">
        <f t="shared" si="29"/>
        <v>Não</v>
      </c>
      <c r="P368" s="6">
        <f t="shared" si="30"/>
        <v>0</v>
      </c>
    </row>
    <row r="369" spans="1:16" ht="15.75" x14ac:dyDescent="0.25">
      <c r="A369" s="72"/>
      <c r="B369" s="41"/>
      <c r="C369" s="72"/>
      <c r="D369" s="23"/>
      <c r="E369" s="23"/>
      <c r="F369" s="61" t="str">
        <f t="shared" si="26"/>
        <v/>
      </c>
      <c r="G369" s="61" t="str">
        <f t="shared" si="27"/>
        <v/>
      </c>
      <c r="H369" s="23" t="str">
        <f t="shared" si="28"/>
        <v/>
      </c>
      <c r="I369" s="70"/>
      <c r="J369" s="70"/>
      <c r="K369" s="69"/>
      <c r="L369" s="6" t="str">
        <f>IFERROR(VLOOKUP(A369,'Acompanhamento da Licitação'!$F$2:$N$1000,6,FALSE()),"")</f>
        <v/>
      </c>
      <c r="M369" s="6" t="str">
        <f>IFERROR(VLOOKUP(A369,'Acompanhamento da Licitação'!$F$2:$N$1000,7,FALSE()),"")</f>
        <v/>
      </c>
      <c r="N369" s="1" t="str">
        <f>IFERROR(VLOOKUP(A369,'Acompanhamento da Licitação'!$F$2:$N$1000,9,FALSE()),"")</f>
        <v/>
      </c>
      <c r="O369" s="1" t="str">
        <f t="shared" si="29"/>
        <v>Não</v>
      </c>
      <c r="P369" s="6">
        <f t="shared" si="30"/>
        <v>0</v>
      </c>
    </row>
    <row r="370" spans="1:16" ht="15.75" x14ac:dyDescent="0.25">
      <c r="A370" s="72"/>
      <c r="B370" s="41"/>
      <c r="C370" s="72"/>
      <c r="D370" s="23"/>
      <c r="E370" s="23"/>
      <c r="F370" s="61" t="str">
        <f t="shared" si="26"/>
        <v/>
      </c>
      <c r="G370" s="61" t="str">
        <f t="shared" si="27"/>
        <v/>
      </c>
      <c r="H370" s="23" t="str">
        <f t="shared" si="28"/>
        <v/>
      </c>
      <c r="I370" s="70"/>
      <c r="J370" s="70"/>
      <c r="K370" s="69"/>
      <c r="L370" s="6" t="str">
        <f>IFERROR(VLOOKUP(A370,'Acompanhamento da Licitação'!$F$2:$N$1000,6,FALSE()),"")</f>
        <v/>
      </c>
      <c r="M370" s="6" t="str">
        <f>IFERROR(VLOOKUP(A370,'Acompanhamento da Licitação'!$F$2:$N$1000,7,FALSE()),"")</f>
        <v/>
      </c>
      <c r="N370" s="1" t="str">
        <f>IFERROR(VLOOKUP(A370,'Acompanhamento da Licitação'!$F$2:$N$1000,9,FALSE()),"")</f>
        <v/>
      </c>
      <c r="O370" s="1" t="str">
        <f t="shared" si="29"/>
        <v>Não</v>
      </c>
      <c r="P370" s="6">
        <f t="shared" si="30"/>
        <v>0</v>
      </c>
    </row>
    <row r="371" spans="1:16" ht="15.75" x14ac:dyDescent="0.25">
      <c r="A371" s="72"/>
      <c r="B371" s="41"/>
      <c r="C371" s="72"/>
      <c r="D371" s="23"/>
      <c r="E371" s="23"/>
      <c r="F371" s="61" t="str">
        <f t="shared" si="26"/>
        <v/>
      </c>
      <c r="G371" s="61" t="str">
        <f t="shared" si="27"/>
        <v/>
      </c>
      <c r="H371" s="23" t="str">
        <f t="shared" si="28"/>
        <v/>
      </c>
      <c r="I371" s="70"/>
      <c r="J371" s="70"/>
      <c r="K371" s="69"/>
      <c r="L371" s="6" t="str">
        <f>IFERROR(VLOOKUP(A371,'Acompanhamento da Licitação'!$F$2:$N$1000,6,FALSE()),"")</f>
        <v/>
      </c>
      <c r="M371" s="6" t="str">
        <f>IFERROR(VLOOKUP(A371,'Acompanhamento da Licitação'!$F$2:$N$1000,7,FALSE()),"")</f>
        <v/>
      </c>
      <c r="N371" s="1" t="str">
        <f>IFERROR(VLOOKUP(A371,'Acompanhamento da Licitação'!$F$2:$N$1000,9,FALSE()),"")</f>
        <v/>
      </c>
      <c r="O371" s="1" t="str">
        <f t="shared" si="29"/>
        <v>Não</v>
      </c>
      <c r="P371" s="6">
        <f t="shared" si="30"/>
        <v>0</v>
      </c>
    </row>
    <row r="372" spans="1:16" ht="15.75" x14ac:dyDescent="0.25">
      <c r="A372" s="72"/>
      <c r="B372" s="41"/>
      <c r="C372" s="72"/>
      <c r="D372" s="23"/>
      <c r="E372" s="23"/>
      <c r="F372" s="61" t="str">
        <f t="shared" si="26"/>
        <v/>
      </c>
      <c r="G372" s="61" t="str">
        <f t="shared" si="27"/>
        <v/>
      </c>
      <c r="H372" s="23" t="str">
        <f t="shared" si="28"/>
        <v/>
      </c>
      <c r="I372" s="70"/>
      <c r="J372" s="70"/>
      <c r="K372" s="69"/>
      <c r="L372" s="6" t="str">
        <f>IFERROR(VLOOKUP(A372,'Acompanhamento da Licitação'!$F$2:$N$1000,6,FALSE()),"")</f>
        <v/>
      </c>
      <c r="M372" s="6" t="str">
        <f>IFERROR(VLOOKUP(A372,'Acompanhamento da Licitação'!$F$2:$N$1000,7,FALSE()),"")</f>
        <v/>
      </c>
      <c r="N372" s="1" t="str">
        <f>IFERROR(VLOOKUP(A372,'Acompanhamento da Licitação'!$F$2:$N$1000,9,FALSE()),"")</f>
        <v/>
      </c>
      <c r="O372" s="1" t="str">
        <f t="shared" si="29"/>
        <v>Não</v>
      </c>
      <c r="P372" s="6">
        <f t="shared" si="30"/>
        <v>0</v>
      </c>
    </row>
    <row r="373" spans="1:16" ht="15.75" x14ac:dyDescent="0.25">
      <c r="A373" s="72"/>
      <c r="B373" s="41"/>
      <c r="C373" s="72"/>
      <c r="D373" s="23"/>
      <c r="E373" s="23"/>
      <c r="F373" s="61" t="str">
        <f t="shared" si="26"/>
        <v/>
      </c>
      <c r="G373" s="61" t="str">
        <f t="shared" si="27"/>
        <v/>
      </c>
      <c r="H373" s="23" t="str">
        <f t="shared" si="28"/>
        <v/>
      </c>
      <c r="I373" s="70"/>
      <c r="J373" s="70"/>
      <c r="K373" s="69"/>
      <c r="L373" s="6" t="str">
        <f>IFERROR(VLOOKUP(A373,'Acompanhamento da Licitação'!$F$2:$N$1000,6,FALSE()),"")</f>
        <v/>
      </c>
      <c r="M373" s="6" t="str">
        <f>IFERROR(VLOOKUP(A373,'Acompanhamento da Licitação'!$F$2:$N$1000,7,FALSE()),"")</f>
        <v/>
      </c>
      <c r="N373" s="1" t="str">
        <f>IFERROR(VLOOKUP(A373,'Acompanhamento da Licitação'!$F$2:$N$1000,9,FALSE()),"")</f>
        <v/>
      </c>
      <c r="O373" s="1" t="str">
        <f t="shared" si="29"/>
        <v>Não</v>
      </c>
      <c r="P373" s="6">
        <f t="shared" si="30"/>
        <v>0</v>
      </c>
    </row>
    <row r="374" spans="1:16" ht="15.75" x14ac:dyDescent="0.25">
      <c r="A374" s="72"/>
      <c r="B374" s="41"/>
      <c r="C374" s="72"/>
      <c r="D374" s="23"/>
      <c r="E374" s="23"/>
      <c r="F374" s="61" t="str">
        <f t="shared" si="26"/>
        <v/>
      </c>
      <c r="G374" s="61" t="str">
        <f t="shared" si="27"/>
        <v/>
      </c>
      <c r="H374" s="23" t="str">
        <f t="shared" si="28"/>
        <v/>
      </c>
      <c r="I374" s="70"/>
      <c r="J374" s="70"/>
      <c r="K374" s="69"/>
      <c r="L374" s="6" t="str">
        <f>IFERROR(VLOOKUP(A374,'Acompanhamento da Licitação'!$F$2:$N$1000,6,FALSE()),"")</f>
        <v/>
      </c>
      <c r="M374" s="6" t="str">
        <f>IFERROR(VLOOKUP(A374,'Acompanhamento da Licitação'!$F$2:$N$1000,7,FALSE()),"")</f>
        <v/>
      </c>
      <c r="N374" s="1" t="str">
        <f>IFERROR(VLOOKUP(A374,'Acompanhamento da Licitação'!$F$2:$N$1000,9,FALSE()),"")</f>
        <v/>
      </c>
      <c r="O374" s="1" t="str">
        <f t="shared" si="29"/>
        <v>Não</v>
      </c>
      <c r="P374" s="6">
        <f t="shared" si="30"/>
        <v>0</v>
      </c>
    </row>
    <row r="375" spans="1:16" ht="15.75" x14ac:dyDescent="0.25">
      <c r="A375" s="72"/>
      <c r="B375" s="41"/>
      <c r="C375" s="72"/>
      <c r="D375" s="23"/>
      <c r="E375" s="23"/>
      <c r="F375" s="61" t="str">
        <f t="shared" si="26"/>
        <v/>
      </c>
      <c r="G375" s="61" t="str">
        <f t="shared" si="27"/>
        <v/>
      </c>
      <c r="H375" s="23" t="str">
        <f t="shared" si="28"/>
        <v/>
      </c>
      <c r="I375" s="70"/>
      <c r="J375" s="70"/>
      <c r="K375" s="69"/>
      <c r="L375" s="6" t="str">
        <f>IFERROR(VLOOKUP(A375,'Acompanhamento da Licitação'!$F$2:$N$1000,6,FALSE()),"")</f>
        <v/>
      </c>
      <c r="M375" s="6" t="str">
        <f>IFERROR(VLOOKUP(A375,'Acompanhamento da Licitação'!$F$2:$N$1000,7,FALSE()),"")</f>
        <v/>
      </c>
      <c r="N375" s="1" t="str">
        <f>IFERROR(VLOOKUP(A375,'Acompanhamento da Licitação'!$F$2:$N$1000,9,FALSE()),"")</f>
        <v/>
      </c>
      <c r="O375" s="1" t="str">
        <f t="shared" si="29"/>
        <v>Não</v>
      </c>
      <c r="P375" s="6">
        <f t="shared" si="30"/>
        <v>0</v>
      </c>
    </row>
    <row r="376" spans="1:16" ht="15.75" x14ac:dyDescent="0.25">
      <c r="A376" s="72"/>
      <c r="B376" s="41"/>
      <c r="C376" s="72"/>
      <c r="D376" s="23"/>
      <c r="E376" s="23"/>
      <c r="F376" s="61" t="str">
        <f t="shared" si="26"/>
        <v/>
      </c>
      <c r="G376" s="61" t="str">
        <f t="shared" si="27"/>
        <v/>
      </c>
      <c r="H376" s="23" t="str">
        <f t="shared" si="28"/>
        <v/>
      </c>
      <c r="I376" s="70"/>
      <c r="J376" s="70"/>
      <c r="K376" s="69"/>
      <c r="L376" s="6" t="str">
        <f>IFERROR(VLOOKUP(A376,'Acompanhamento da Licitação'!$F$2:$N$1000,6,FALSE()),"")</f>
        <v/>
      </c>
      <c r="M376" s="6" t="str">
        <f>IFERROR(VLOOKUP(A376,'Acompanhamento da Licitação'!$F$2:$N$1000,7,FALSE()),"")</f>
        <v/>
      </c>
      <c r="N376" s="1" t="str">
        <f>IFERROR(VLOOKUP(A376,'Acompanhamento da Licitação'!$F$2:$N$1000,9,FALSE()),"")</f>
        <v/>
      </c>
      <c r="O376" s="1" t="str">
        <f t="shared" si="29"/>
        <v>Não</v>
      </c>
      <c r="P376" s="6">
        <f t="shared" si="30"/>
        <v>0</v>
      </c>
    </row>
    <row r="377" spans="1:16" ht="15.75" x14ac:dyDescent="0.25">
      <c r="A377" s="72"/>
      <c r="B377" s="41"/>
      <c r="C377" s="72"/>
      <c r="D377" s="23"/>
      <c r="E377" s="23"/>
      <c r="F377" s="61" t="str">
        <f t="shared" si="26"/>
        <v/>
      </c>
      <c r="G377" s="61" t="str">
        <f t="shared" si="27"/>
        <v/>
      </c>
      <c r="H377" s="23" t="str">
        <f t="shared" si="28"/>
        <v/>
      </c>
      <c r="I377" s="70"/>
      <c r="J377" s="70"/>
      <c r="K377" s="69"/>
      <c r="L377" s="6" t="str">
        <f>IFERROR(VLOOKUP(A377,'Acompanhamento da Licitação'!$F$2:$N$1000,6,FALSE()),"")</f>
        <v/>
      </c>
      <c r="M377" s="6" t="str">
        <f>IFERROR(VLOOKUP(A377,'Acompanhamento da Licitação'!$F$2:$N$1000,7,FALSE()),"")</f>
        <v/>
      </c>
      <c r="N377" s="1" t="str">
        <f>IFERROR(VLOOKUP(A377,'Acompanhamento da Licitação'!$F$2:$N$1000,9,FALSE()),"")</f>
        <v/>
      </c>
      <c r="O377" s="1" t="str">
        <f t="shared" si="29"/>
        <v>Não</v>
      </c>
      <c r="P377" s="6">
        <f t="shared" si="30"/>
        <v>0</v>
      </c>
    </row>
    <row r="378" spans="1:16" ht="15.75" x14ac:dyDescent="0.25">
      <c r="A378" s="72"/>
      <c r="B378" s="41"/>
      <c r="C378" s="72"/>
      <c r="D378" s="23"/>
      <c r="E378" s="23"/>
      <c r="F378" s="61" t="str">
        <f t="shared" si="26"/>
        <v/>
      </c>
      <c r="G378" s="61" t="str">
        <f t="shared" si="27"/>
        <v/>
      </c>
      <c r="H378" s="23" t="str">
        <f t="shared" si="28"/>
        <v/>
      </c>
      <c r="I378" s="70"/>
      <c r="J378" s="70"/>
      <c r="K378" s="69"/>
      <c r="L378" s="6" t="str">
        <f>IFERROR(VLOOKUP(A378,'Acompanhamento da Licitação'!$F$2:$N$1000,6,FALSE()),"")</f>
        <v/>
      </c>
      <c r="M378" s="6" t="str">
        <f>IFERROR(VLOOKUP(A378,'Acompanhamento da Licitação'!$F$2:$N$1000,7,FALSE()),"")</f>
        <v/>
      </c>
      <c r="N378" s="1" t="str">
        <f>IFERROR(VLOOKUP(A378,'Acompanhamento da Licitação'!$F$2:$N$1000,9,FALSE()),"")</f>
        <v/>
      </c>
      <c r="O378" s="1" t="str">
        <f t="shared" si="29"/>
        <v>Não</v>
      </c>
      <c r="P378" s="6">
        <f t="shared" si="30"/>
        <v>0</v>
      </c>
    </row>
    <row r="379" spans="1:16" ht="15.75" x14ac:dyDescent="0.25">
      <c r="A379" s="72"/>
      <c r="B379" s="41"/>
      <c r="C379" s="72"/>
      <c r="D379" s="23"/>
      <c r="E379" s="23"/>
      <c r="F379" s="61" t="str">
        <f t="shared" si="26"/>
        <v/>
      </c>
      <c r="G379" s="61" t="str">
        <f t="shared" si="27"/>
        <v/>
      </c>
      <c r="H379" s="23" t="str">
        <f t="shared" si="28"/>
        <v/>
      </c>
      <c r="I379" s="70"/>
      <c r="J379" s="70"/>
      <c r="K379" s="69"/>
      <c r="L379" s="6" t="str">
        <f>IFERROR(VLOOKUP(A379,'Acompanhamento da Licitação'!$F$2:$N$1000,6,FALSE()),"")</f>
        <v/>
      </c>
      <c r="M379" s="6" t="str">
        <f>IFERROR(VLOOKUP(A379,'Acompanhamento da Licitação'!$F$2:$N$1000,7,FALSE()),"")</f>
        <v/>
      </c>
      <c r="N379" s="1" t="str">
        <f>IFERROR(VLOOKUP(A379,'Acompanhamento da Licitação'!$F$2:$N$1000,9,FALSE()),"")</f>
        <v/>
      </c>
      <c r="O379" s="1" t="str">
        <f t="shared" si="29"/>
        <v>Não</v>
      </c>
      <c r="P379" s="6">
        <f t="shared" si="30"/>
        <v>0</v>
      </c>
    </row>
    <row r="380" spans="1:16" ht="15.75" x14ac:dyDescent="0.25">
      <c r="A380" s="72"/>
      <c r="B380" s="41"/>
      <c r="C380" s="72"/>
      <c r="D380" s="23"/>
      <c r="E380" s="23"/>
      <c r="F380" s="61" t="str">
        <f t="shared" si="26"/>
        <v/>
      </c>
      <c r="G380" s="61" t="str">
        <f t="shared" si="27"/>
        <v/>
      </c>
      <c r="H380" s="23" t="str">
        <f t="shared" si="28"/>
        <v/>
      </c>
      <c r="I380" s="70"/>
      <c r="J380" s="70"/>
      <c r="K380" s="69"/>
      <c r="L380" s="6" t="str">
        <f>IFERROR(VLOOKUP(A380,'Acompanhamento da Licitação'!$F$2:$N$1000,6,FALSE()),"")</f>
        <v/>
      </c>
      <c r="M380" s="6" t="str">
        <f>IFERROR(VLOOKUP(A380,'Acompanhamento da Licitação'!$F$2:$N$1000,7,FALSE()),"")</f>
        <v/>
      </c>
      <c r="N380" s="1" t="str">
        <f>IFERROR(VLOOKUP(A380,'Acompanhamento da Licitação'!$F$2:$N$1000,9,FALSE()),"")</f>
        <v/>
      </c>
      <c r="O380" s="1" t="str">
        <f t="shared" si="29"/>
        <v>Não</v>
      </c>
      <c r="P380" s="6">
        <f t="shared" si="30"/>
        <v>0</v>
      </c>
    </row>
    <row r="381" spans="1:16" ht="15.75" x14ac:dyDescent="0.25">
      <c r="A381" s="72"/>
      <c r="B381" s="41"/>
      <c r="C381" s="72"/>
      <c r="D381" s="23"/>
      <c r="E381" s="23"/>
      <c r="F381" s="61" t="str">
        <f t="shared" si="26"/>
        <v/>
      </c>
      <c r="G381" s="61" t="str">
        <f t="shared" si="27"/>
        <v/>
      </c>
      <c r="H381" s="23" t="str">
        <f t="shared" si="28"/>
        <v/>
      </c>
      <c r="I381" s="70"/>
      <c r="J381" s="70"/>
      <c r="K381" s="69"/>
      <c r="L381" s="6" t="str">
        <f>IFERROR(VLOOKUP(A381,'Acompanhamento da Licitação'!$F$2:$N$1000,6,FALSE()),"")</f>
        <v/>
      </c>
      <c r="M381" s="6" t="str">
        <f>IFERROR(VLOOKUP(A381,'Acompanhamento da Licitação'!$F$2:$N$1000,7,FALSE()),"")</f>
        <v/>
      </c>
      <c r="N381" s="1" t="str">
        <f>IFERROR(VLOOKUP(A381,'Acompanhamento da Licitação'!$F$2:$N$1000,9,FALSE()),"")</f>
        <v/>
      </c>
      <c r="O381" s="1" t="str">
        <f t="shared" si="29"/>
        <v>Não</v>
      </c>
      <c r="P381" s="6">
        <f t="shared" si="30"/>
        <v>0</v>
      </c>
    </row>
    <row r="382" spans="1:16" ht="15.75" x14ac:dyDescent="0.25">
      <c r="A382" s="72"/>
      <c r="B382" s="41"/>
      <c r="C382" s="72"/>
      <c r="D382" s="23"/>
      <c r="E382" s="23"/>
      <c r="F382" s="61" t="str">
        <f t="shared" si="26"/>
        <v/>
      </c>
      <c r="G382" s="61" t="str">
        <f t="shared" si="27"/>
        <v/>
      </c>
      <c r="H382" s="23" t="str">
        <f t="shared" si="28"/>
        <v/>
      </c>
      <c r="I382" s="70"/>
      <c r="J382" s="70"/>
      <c r="K382" s="69"/>
      <c r="L382" s="6" t="str">
        <f>IFERROR(VLOOKUP(A382,'Acompanhamento da Licitação'!$F$2:$N$1000,6,FALSE()),"")</f>
        <v/>
      </c>
      <c r="M382" s="6" t="str">
        <f>IFERROR(VLOOKUP(A382,'Acompanhamento da Licitação'!$F$2:$N$1000,7,FALSE()),"")</f>
        <v/>
      </c>
      <c r="N382" s="1" t="str">
        <f>IFERROR(VLOOKUP(A382,'Acompanhamento da Licitação'!$F$2:$N$1000,9,FALSE()),"")</f>
        <v/>
      </c>
      <c r="O382" s="1" t="str">
        <f t="shared" si="29"/>
        <v>Não</v>
      </c>
      <c r="P382" s="6">
        <f t="shared" si="30"/>
        <v>0</v>
      </c>
    </row>
    <row r="383" spans="1:16" ht="15.75" x14ac:dyDescent="0.25">
      <c r="A383" s="72"/>
      <c r="B383" s="41"/>
      <c r="C383" s="72"/>
      <c r="D383" s="23"/>
      <c r="E383" s="23"/>
      <c r="F383" s="61" t="str">
        <f t="shared" si="26"/>
        <v/>
      </c>
      <c r="G383" s="61" t="str">
        <f t="shared" si="27"/>
        <v/>
      </c>
      <c r="H383" s="23" t="str">
        <f t="shared" si="28"/>
        <v/>
      </c>
      <c r="I383" s="70"/>
      <c r="J383" s="70"/>
      <c r="K383" s="69"/>
      <c r="L383" s="6" t="str">
        <f>IFERROR(VLOOKUP(A383,'Acompanhamento da Licitação'!$F$2:$N$1000,6,FALSE()),"")</f>
        <v/>
      </c>
      <c r="M383" s="6" t="str">
        <f>IFERROR(VLOOKUP(A383,'Acompanhamento da Licitação'!$F$2:$N$1000,7,FALSE()),"")</f>
        <v/>
      </c>
      <c r="N383" s="1" t="str">
        <f>IFERROR(VLOOKUP(A383,'Acompanhamento da Licitação'!$F$2:$N$1000,9,FALSE()),"")</f>
        <v/>
      </c>
      <c r="O383" s="1" t="str">
        <f t="shared" si="29"/>
        <v>Não</v>
      </c>
      <c r="P383" s="6">
        <f t="shared" si="30"/>
        <v>0</v>
      </c>
    </row>
    <row r="384" spans="1:16" ht="15.75" x14ac:dyDescent="0.25">
      <c r="A384" s="72"/>
      <c r="B384" s="41"/>
      <c r="C384" s="72"/>
      <c r="D384" s="23"/>
      <c r="E384" s="23"/>
      <c r="F384" s="61" t="str">
        <f t="shared" si="26"/>
        <v/>
      </c>
      <c r="G384" s="61" t="str">
        <f t="shared" si="27"/>
        <v/>
      </c>
      <c r="H384" s="23" t="str">
        <f t="shared" si="28"/>
        <v/>
      </c>
      <c r="I384" s="70"/>
      <c r="J384" s="70"/>
      <c r="K384" s="69"/>
      <c r="L384" s="6" t="str">
        <f>IFERROR(VLOOKUP(A384,'Acompanhamento da Licitação'!$F$2:$N$1000,6,FALSE()),"")</f>
        <v/>
      </c>
      <c r="M384" s="6" t="str">
        <f>IFERROR(VLOOKUP(A384,'Acompanhamento da Licitação'!$F$2:$N$1000,7,FALSE()),"")</f>
        <v/>
      </c>
      <c r="N384" s="1" t="str">
        <f>IFERROR(VLOOKUP(A384,'Acompanhamento da Licitação'!$F$2:$N$1000,9,FALSE()),"")</f>
        <v/>
      </c>
      <c r="O384" s="1" t="str">
        <f t="shared" si="29"/>
        <v>Não</v>
      </c>
      <c r="P384" s="6">
        <f t="shared" si="30"/>
        <v>0</v>
      </c>
    </row>
    <row r="385" spans="1:16" ht="15.75" x14ac:dyDescent="0.25">
      <c r="A385" s="72"/>
      <c r="B385" s="41"/>
      <c r="C385" s="72"/>
      <c r="D385" s="23"/>
      <c r="E385" s="23"/>
      <c r="F385" s="61" t="str">
        <f t="shared" si="26"/>
        <v/>
      </c>
      <c r="G385" s="61" t="str">
        <f t="shared" si="27"/>
        <v/>
      </c>
      <c r="H385" s="23" t="str">
        <f t="shared" si="28"/>
        <v/>
      </c>
      <c r="I385" s="70"/>
      <c r="J385" s="70"/>
      <c r="K385" s="69"/>
      <c r="L385" s="6" t="str">
        <f>IFERROR(VLOOKUP(A385,'Acompanhamento da Licitação'!$F$2:$N$1000,6,FALSE()),"")</f>
        <v/>
      </c>
      <c r="M385" s="6" t="str">
        <f>IFERROR(VLOOKUP(A385,'Acompanhamento da Licitação'!$F$2:$N$1000,7,FALSE()),"")</f>
        <v/>
      </c>
      <c r="N385" s="1" t="str">
        <f>IFERROR(VLOOKUP(A385,'Acompanhamento da Licitação'!$F$2:$N$1000,9,FALSE()),"")</f>
        <v/>
      </c>
      <c r="O385" s="1" t="str">
        <f t="shared" si="29"/>
        <v>Não</v>
      </c>
      <c r="P385" s="6">
        <f t="shared" si="30"/>
        <v>0</v>
      </c>
    </row>
    <row r="386" spans="1:16" ht="15.75" x14ac:dyDescent="0.25">
      <c r="A386" s="72"/>
      <c r="B386" s="41"/>
      <c r="C386" s="72"/>
      <c r="D386" s="23"/>
      <c r="E386" s="23"/>
      <c r="F386" s="61" t="str">
        <f t="shared" si="26"/>
        <v/>
      </c>
      <c r="G386" s="61" t="str">
        <f t="shared" si="27"/>
        <v/>
      </c>
      <c r="H386" s="23" t="str">
        <f t="shared" si="28"/>
        <v/>
      </c>
      <c r="I386" s="70"/>
      <c r="J386" s="70"/>
      <c r="K386" s="69"/>
      <c r="L386" s="6" t="str">
        <f>IFERROR(VLOOKUP(A386,'Acompanhamento da Licitação'!$F$2:$N$1000,6,FALSE()),"")</f>
        <v/>
      </c>
      <c r="M386" s="6" t="str">
        <f>IFERROR(VLOOKUP(A386,'Acompanhamento da Licitação'!$F$2:$N$1000,7,FALSE()),"")</f>
        <v/>
      </c>
      <c r="N386" s="1" t="str">
        <f>IFERROR(VLOOKUP(A386,'Acompanhamento da Licitação'!$F$2:$N$1000,9,FALSE()),"")</f>
        <v/>
      </c>
      <c r="O386" s="1" t="str">
        <f t="shared" si="29"/>
        <v>Não</v>
      </c>
      <c r="P386" s="6">
        <f t="shared" si="30"/>
        <v>0</v>
      </c>
    </row>
    <row r="387" spans="1:16" ht="15.75" x14ac:dyDescent="0.25">
      <c r="A387" s="72"/>
      <c r="B387" s="41"/>
      <c r="C387" s="72"/>
      <c r="D387" s="23"/>
      <c r="E387" s="23"/>
      <c r="F387" s="61" t="str">
        <f t="shared" ref="F387:F450" si="31">IF(B387&gt;0,(((E387*C387)-(D387*C387)-(P387*C387))/(E387*C387)),"")</f>
        <v/>
      </c>
      <c r="G387" s="61" t="str">
        <f t="shared" ref="G387:G450" si="32">IF(F387="","",IF(F387&lt;0.2,0.05,IF(F387&lt;0.25,0.1,IF(F387&lt;0.3,0.15,IF(F387&lt;0.35,0.2,IF(F387&lt;0.45,0.25,IF(F387&lt;0.5,0.3,IF(F387&lt;0.6,0.35,0.4))))))))</f>
        <v/>
      </c>
      <c r="H387" s="23" t="str">
        <f t="shared" ref="H387:H450" si="33">IFERROR(((E387*C387)-(D387*C387)-(E387*C387*4%))*G387,"")</f>
        <v/>
      </c>
      <c r="I387" s="70"/>
      <c r="J387" s="70"/>
      <c r="K387" s="69"/>
      <c r="L387" s="6" t="str">
        <f>IFERROR(VLOOKUP(A387,'Acompanhamento da Licitação'!$F$2:$N$1000,6,FALSE()),"")</f>
        <v/>
      </c>
      <c r="M387" s="6" t="str">
        <f>IFERROR(VLOOKUP(A387,'Acompanhamento da Licitação'!$F$2:$N$1000,7,FALSE()),"")</f>
        <v/>
      </c>
      <c r="N387" s="1" t="str">
        <f>IFERROR(VLOOKUP(A387,'Acompanhamento da Licitação'!$F$2:$N$1000,9,FALSE()),"")</f>
        <v/>
      </c>
      <c r="O387" s="1" t="str">
        <f t="shared" ref="O387:O450" si="34">IF(AND(D387&gt;0,F387&gt;0.25),"Sim","Não")</f>
        <v>Não</v>
      </c>
      <c r="P387" s="6">
        <f t="shared" ref="P387:P450" si="35">4%*E387</f>
        <v>0</v>
      </c>
    </row>
    <row r="388" spans="1:16" ht="15.75" x14ac:dyDescent="0.25">
      <c r="A388" s="72"/>
      <c r="B388" s="41"/>
      <c r="C388" s="72"/>
      <c r="D388" s="23"/>
      <c r="E388" s="23"/>
      <c r="F388" s="61" t="str">
        <f t="shared" si="31"/>
        <v/>
      </c>
      <c r="G388" s="61" t="str">
        <f t="shared" si="32"/>
        <v/>
      </c>
      <c r="H388" s="23" t="str">
        <f t="shared" si="33"/>
        <v/>
      </c>
      <c r="I388" s="70"/>
      <c r="J388" s="70"/>
      <c r="K388" s="69"/>
      <c r="L388" s="6" t="str">
        <f>IFERROR(VLOOKUP(A388,'Acompanhamento da Licitação'!$F$2:$N$1000,6,FALSE()),"")</f>
        <v/>
      </c>
      <c r="M388" s="6" t="str">
        <f>IFERROR(VLOOKUP(A388,'Acompanhamento da Licitação'!$F$2:$N$1000,7,FALSE()),"")</f>
        <v/>
      </c>
      <c r="N388" s="1" t="str">
        <f>IFERROR(VLOOKUP(A388,'Acompanhamento da Licitação'!$F$2:$N$1000,9,FALSE()),"")</f>
        <v/>
      </c>
      <c r="O388" s="1" t="str">
        <f t="shared" si="34"/>
        <v>Não</v>
      </c>
      <c r="P388" s="6">
        <f t="shared" si="35"/>
        <v>0</v>
      </c>
    </row>
    <row r="389" spans="1:16" ht="15.75" x14ac:dyDescent="0.25">
      <c r="A389" s="72"/>
      <c r="B389" s="41"/>
      <c r="C389" s="72"/>
      <c r="D389" s="23"/>
      <c r="E389" s="23"/>
      <c r="F389" s="61" t="str">
        <f t="shared" si="31"/>
        <v/>
      </c>
      <c r="G389" s="61" t="str">
        <f t="shared" si="32"/>
        <v/>
      </c>
      <c r="H389" s="23" t="str">
        <f t="shared" si="33"/>
        <v/>
      </c>
      <c r="I389" s="70"/>
      <c r="J389" s="70"/>
      <c r="K389" s="69"/>
      <c r="L389" s="6" t="str">
        <f>IFERROR(VLOOKUP(A389,'Acompanhamento da Licitação'!$F$2:$N$1000,6,FALSE()),"")</f>
        <v/>
      </c>
      <c r="M389" s="6" t="str">
        <f>IFERROR(VLOOKUP(A389,'Acompanhamento da Licitação'!$F$2:$N$1000,7,FALSE()),"")</f>
        <v/>
      </c>
      <c r="N389" s="1" t="str">
        <f>IFERROR(VLOOKUP(A389,'Acompanhamento da Licitação'!$F$2:$N$1000,9,FALSE()),"")</f>
        <v/>
      </c>
      <c r="O389" s="1" t="str">
        <f t="shared" si="34"/>
        <v>Não</v>
      </c>
      <c r="P389" s="6">
        <f t="shared" si="35"/>
        <v>0</v>
      </c>
    </row>
    <row r="390" spans="1:16" ht="15.75" x14ac:dyDescent="0.25">
      <c r="A390" s="72"/>
      <c r="B390" s="41"/>
      <c r="C390" s="72"/>
      <c r="D390" s="23"/>
      <c r="E390" s="23"/>
      <c r="F390" s="61" t="str">
        <f t="shared" si="31"/>
        <v/>
      </c>
      <c r="G390" s="61" t="str">
        <f t="shared" si="32"/>
        <v/>
      </c>
      <c r="H390" s="23" t="str">
        <f t="shared" si="33"/>
        <v/>
      </c>
      <c r="I390" s="70"/>
      <c r="J390" s="70"/>
      <c r="K390" s="69"/>
      <c r="L390" s="6" t="str">
        <f>IFERROR(VLOOKUP(A390,'Acompanhamento da Licitação'!$F$2:$N$1000,6,FALSE()),"")</f>
        <v/>
      </c>
      <c r="M390" s="6" t="str">
        <f>IFERROR(VLOOKUP(A390,'Acompanhamento da Licitação'!$F$2:$N$1000,7,FALSE()),"")</f>
        <v/>
      </c>
      <c r="N390" s="1" t="str">
        <f>IFERROR(VLOOKUP(A390,'Acompanhamento da Licitação'!$F$2:$N$1000,9,FALSE()),"")</f>
        <v/>
      </c>
      <c r="O390" s="1" t="str">
        <f t="shared" si="34"/>
        <v>Não</v>
      </c>
      <c r="P390" s="6">
        <f t="shared" si="35"/>
        <v>0</v>
      </c>
    </row>
    <row r="391" spans="1:16" ht="15.75" x14ac:dyDescent="0.25">
      <c r="A391" s="72"/>
      <c r="B391" s="41"/>
      <c r="C391" s="72"/>
      <c r="D391" s="23"/>
      <c r="E391" s="23"/>
      <c r="F391" s="61" t="str">
        <f t="shared" si="31"/>
        <v/>
      </c>
      <c r="G391" s="61" t="str">
        <f t="shared" si="32"/>
        <v/>
      </c>
      <c r="H391" s="23" t="str">
        <f t="shared" si="33"/>
        <v/>
      </c>
      <c r="I391" s="70"/>
      <c r="J391" s="70"/>
      <c r="K391" s="69"/>
      <c r="L391" s="6" t="str">
        <f>IFERROR(VLOOKUP(A391,'Acompanhamento da Licitação'!$F$2:$N$1000,6,FALSE()),"")</f>
        <v/>
      </c>
      <c r="M391" s="6" t="str">
        <f>IFERROR(VLOOKUP(A391,'Acompanhamento da Licitação'!$F$2:$N$1000,7,FALSE()),"")</f>
        <v/>
      </c>
      <c r="N391" s="1" t="str">
        <f>IFERROR(VLOOKUP(A391,'Acompanhamento da Licitação'!$F$2:$N$1000,9,FALSE()),"")</f>
        <v/>
      </c>
      <c r="O391" s="1" t="str">
        <f t="shared" si="34"/>
        <v>Não</v>
      </c>
      <c r="P391" s="6">
        <f t="shared" si="35"/>
        <v>0</v>
      </c>
    </row>
    <row r="392" spans="1:16" ht="15.75" x14ac:dyDescent="0.25">
      <c r="A392" s="72"/>
      <c r="B392" s="41"/>
      <c r="C392" s="72"/>
      <c r="D392" s="23"/>
      <c r="E392" s="23"/>
      <c r="F392" s="61" t="str">
        <f t="shared" si="31"/>
        <v/>
      </c>
      <c r="G392" s="61" t="str">
        <f t="shared" si="32"/>
        <v/>
      </c>
      <c r="H392" s="23" t="str">
        <f t="shared" si="33"/>
        <v/>
      </c>
      <c r="I392" s="70"/>
      <c r="J392" s="70"/>
      <c r="K392" s="69"/>
      <c r="L392" s="6" t="str">
        <f>IFERROR(VLOOKUP(A392,'Acompanhamento da Licitação'!$F$2:$N$1000,6,FALSE()),"")</f>
        <v/>
      </c>
      <c r="M392" s="6" t="str">
        <f>IFERROR(VLOOKUP(A392,'Acompanhamento da Licitação'!$F$2:$N$1000,7,FALSE()),"")</f>
        <v/>
      </c>
      <c r="N392" s="1" t="str">
        <f>IFERROR(VLOOKUP(A392,'Acompanhamento da Licitação'!$F$2:$N$1000,9,FALSE()),"")</f>
        <v/>
      </c>
      <c r="O392" s="1" t="str">
        <f t="shared" si="34"/>
        <v>Não</v>
      </c>
      <c r="P392" s="6">
        <f t="shared" si="35"/>
        <v>0</v>
      </c>
    </row>
    <row r="393" spans="1:16" ht="15.75" x14ac:dyDescent="0.25">
      <c r="A393" s="72"/>
      <c r="B393" s="41"/>
      <c r="C393" s="72"/>
      <c r="D393" s="23"/>
      <c r="E393" s="23"/>
      <c r="F393" s="61" t="str">
        <f t="shared" si="31"/>
        <v/>
      </c>
      <c r="G393" s="61" t="str">
        <f t="shared" si="32"/>
        <v/>
      </c>
      <c r="H393" s="23" t="str">
        <f t="shared" si="33"/>
        <v/>
      </c>
      <c r="I393" s="70"/>
      <c r="J393" s="70"/>
      <c r="K393" s="69"/>
      <c r="L393" s="6" t="str">
        <f>IFERROR(VLOOKUP(A393,'Acompanhamento da Licitação'!$F$2:$N$1000,6,FALSE()),"")</f>
        <v/>
      </c>
      <c r="M393" s="6" t="str">
        <f>IFERROR(VLOOKUP(A393,'Acompanhamento da Licitação'!$F$2:$N$1000,7,FALSE()),"")</f>
        <v/>
      </c>
      <c r="N393" s="1" t="str">
        <f>IFERROR(VLOOKUP(A393,'Acompanhamento da Licitação'!$F$2:$N$1000,9,FALSE()),"")</f>
        <v/>
      </c>
      <c r="O393" s="1" t="str">
        <f t="shared" si="34"/>
        <v>Não</v>
      </c>
      <c r="P393" s="6">
        <f t="shared" si="35"/>
        <v>0</v>
      </c>
    </row>
    <row r="394" spans="1:16" ht="15.75" x14ac:dyDescent="0.25">
      <c r="A394" s="72"/>
      <c r="B394" s="41"/>
      <c r="C394" s="72"/>
      <c r="D394" s="23"/>
      <c r="E394" s="23"/>
      <c r="F394" s="61" t="str">
        <f t="shared" si="31"/>
        <v/>
      </c>
      <c r="G394" s="61" t="str">
        <f t="shared" si="32"/>
        <v/>
      </c>
      <c r="H394" s="23" t="str">
        <f t="shared" si="33"/>
        <v/>
      </c>
      <c r="I394" s="70"/>
      <c r="J394" s="70"/>
      <c r="K394" s="69"/>
      <c r="L394" s="6" t="str">
        <f>IFERROR(VLOOKUP(A394,'Acompanhamento da Licitação'!$F$2:$N$1000,6,FALSE()),"")</f>
        <v/>
      </c>
      <c r="M394" s="6" t="str">
        <f>IFERROR(VLOOKUP(A394,'Acompanhamento da Licitação'!$F$2:$N$1000,7,FALSE()),"")</f>
        <v/>
      </c>
      <c r="N394" s="1" t="str">
        <f>IFERROR(VLOOKUP(A394,'Acompanhamento da Licitação'!$F$2:$N$1000,9,FALSE()),"")</f>
        <v/>
      </c>
      <c r="O394" s="1" t="str">
        <f t="shared" si="34"/>
        <v>Não</v>
      </c>
      <c r="P394" s="6">
        <f t="shared" si="35"/>
        <v>0</v>
      </c>
    </row>
    <row r="395" spans="1:16" ht="15.75" x14ac:dyDescent="0.25">
      <c r="A395" s="72"/>
      <c r="B395" s="41"/>
      <c r="C395" s="72"/>
      <c r="D395" s="23"/>
      <c r="E395" s="23"/>
      <c r="F395" s="61" t="str">
        <f t="shared" si="31"/>
        <v/>
      </c>
      <c r="G395" s="61" t="str">
        <f t="shared" si="32"/>
        <v/>
      </c>
      <c r="H395" s="23" t="str">
        <f t="shared" si="33"/>
        <v/>
      </c>
      <c r="I395" s="70"/>
      <c r="J395" s="70"/>
      <c r="K395" s="69"/>
      <c r="L395" s="6" t="str">
        <f>IFERROR(VLOOKUP(A395,'Acompanhamento da Licitação'!$F$2:$N$1000,6,FALSE()),"")</f>
        <v/>
      </c>
      <c r="M395" s="6" t="str">
        <f>IFERROR(VLOOKUP(A395,'Acompanhamento da Licitação'!$F$2:$N$1000,7,FALSE()),"")</f>
        <v/>
      </c>
      <c r="N395" s="1" t="str">
        <f>IFERROR(VLOOKUP(A395,'Acompanhamento da Licitação'!$F$2:$N$1000,9,FALSE()),"")</f>
        <v/>
      </c>
      <c r="O395" s="1" t="str">
        <f t="shared" si="34"/>
        <v>Não</v>
      </c>
      <c r="P395" s="6">
        <f t="shared" si="35"/>
        <v>0</v>
      </c>
    </row>
    <row r="396" spans="1:16" ht="15.75" x14ac:dyDescent="0.25">
      <c r="A396" s="72"/>
      <c r="B396" s="41"/>
      <c r="C396" s="72"/>
      <c r="D396" s="23"/>
      <c r="E396" s="23"/>
      <c r="F396" s="61" t="str">
        <f t="shared" si="31"/>
        <v/>
      </c>
      <c r="G396" s="61" t="str">
        <f t="shared" si="32"/>
        <v/>
      </c>
      <c r="H396" s="23" t="str">
        <f t="shared" si="33"/>
        <v/>
      </c>
      <c r="I396" s="70"/>
      <c r="J396" s="70"/>
      <c r="K396" s="69"/>
      <c r="L396" s="6" t="str">
        <f>IFERROR(VLOOKUP(A396,'Acompanhamento da Licitação'!$F$2:$N$1000,6,FALSE()),"")</f>
        <v/>
      </c>
      <c r="M396" s="6" t="str">
        <f>IFERROR(VLOOKUP(A396,'Acompanhamento da Licitação'!$F$2:$N$1000,7,FALSE()),"")</f>
        <v/>
      </c>
      <c r="N396" s="1" t="str">
        <f>IFERROR(VLOOKUP(A396,'Acompanhamento da Licitação'!$F$2:$N$1000,9,FALSE()),"")</f>
        <v/>
      </c>
      <c r="O396" s="1" t="str">
        <f t="shared" si="34"/>
        <v>Não</v>
      </c>
      <c r="P396" s="6">
        <f t="shared" si="35"/>
        <v>0</v>
      </c>
    </row>
    <row r="397" spans="1:16" ht="15.75" x14ac:dyDescent="0.25">
      <c r="A397" s="72"/>
      <c r="B397" s="41"/>
      <c r="C397" s="72"/>
      <c r="D397" s="23"/>
      <c r="E397" s="23"/>
      <c r="F397" s="61" t="str">
        <f t="shared" si="31"/>
        <v/>
      </c>
      <c r="G397" s="61" t="str">
        <f t="shared" si="32"/>
        <v/>
      </c>
      <c r="H397" s="23" t="str">
        <f t="shared" si="33"/>
        <v/>
      </c>
      <c r="I397" s="70"/>
      <c r="J397" s="70"/>
      <c r="K397" s="69"/>
      <c r="L397" s="6" t="str">
        <f>IFERROR(VLOOKUP(A397,'Acompanhamento da Licitação'!$F$2:$N$1000,6,FALSE()),"")</f>
        <v/>
      </c>
      <c r="M397" s="6" t="str">
        <f>IFERROR(VLOOKUP(A397,'Acompanhamento da Licitação'!$F$2:$N$1000,7,FALSE()),"")</f>
        <v/>
      </c>
      <c r="N397" s="1" t="str">
        <f>IFERROR(VLOOKUP(A397,'Acompanhamento da Licitação'!$F$2:$N$1000,9,FALSE()),"")</f>
        <v/>
      </c>
      <c r="O397" s="1" t="str">
        <f t="shared" si="34"/>
        <v>Não</v>
      </c>
      <c r="P397" s="6">
        <f t="shared" si="35"/>
        <v>0</v>
      </c>
    </row>
    <row r="398" spans="1:16" ht="15.75" x14ac:dyDescent="0.25">
      <c r="A398" s="72"/>
      <c r="B398" s="41"/>
      <c r="C398" s="72"/>
      <c r="D398" s="23"/>
      <c r="E398" s="23"/>
      <c r="F398" s="61" t="str">
        <f t="shared" si="31"/>
        <v/>
      </c>
      <c r="G398" s="61" t="str">
        <f t="shared" si="32"/>
        <v/>
      </c>
      <c r="H398" s="23" t="str">
        <f t="shared" si="33"/>
        <v/>
      </c>
      <c r="I398" s="70"/>
      <c r="J398" s="70"/>
      <c r="K398" s="69"/>
      <c r="L398" s="6" t="str">
        <f>IFERROR(VLOOKUP(A398,'Acompanhamento da Licitação'!$F$2:$N$1000,6,FALSE()),"")</f>
        <v/>
      </c>
      <c r="M398" s="6" t="str">
        <f>IFERROR(VLOOKUP(A398,'Acompanhamento da Licitação'!$F$2:$N$1000,7,FALSE()),"")</f>
        <v/>
      </c>
      <c r="N398" s="1" t="str">
        <f>IFERROR(VLOOKUP(A398,'Acompanhamento da Licitação'!$F$2:$N$1000,9,FALSE()),"")</f>
        <v/>
      </c>
      <c r="O398" s="1" t="str">
        <f t="shared" si="34"/>
        <v>Não</v>
      </c>
      <c r="P398" s="6">
        <f t="shared" si="35"/>
        <v>0</v>
      </c>
    </row>
    <row r="399" spans="1:16" ht="15.75" x14ac:dyDescent="0.25">
      <c r="A399" s="72"/>
      <c r="B399" s="41"/>
      <c r="C399" s="72"/>
      <c r="D399" s="23"/>
      <c r="E399" s="23"/>
      <c r="F399" s="61" t="str">
        <f t="shared" si="31"/>
        <v/>
      </c>
      <c r="G399" s="61" t="str">
        <f t="shared" si="32"/>
        <v/>
      </c>
      <c r="H399" s="23" t="str">
        <f t="shared" si="33"/>
        <v/>
      </c>
      <c r="I399" s="70"/>
      <c r="J399" s="70"/>
      <c r="K399" s="69"/>
      <c r="L399" s="6" t="str">
        <f>IFERROR(VLOOKUP(A399,'Acompanhamento da Licitação'!$F$2:$N$1000,6,FALSE()),"")</f>
        <v/>
      </c>
      <c r="M399" s="6" t="str">
        <f>IFERROR(VLOOKUP(A399,'Acompanhamento da Licitação'!$F$2:$N$1000,7,FALSE()),"")</f>
        <v/>
      </c>
      <c r="N399" s="1" t="str">
        <f>IFERROR(VLOOKUP(A399,'Acompanhamento da Licitação'!$F$2:$N$1000,9,FALSE()),"")</f>
        <v/>
      </c>
      <c r="O399" s="1" t="str">
        <f t="shared" si="34"/>
        <v>Não</v>
      </c>
      <c r="P399" s="6">
        <f t="shared" si="35"/>
        <v>0</v>
      </c>
    </row>
    <row r="400" spans="1:16" ht="15.75" x14ac:dyDescent="0.25">
      <c r="A400" s="72"/>
      <c r="B400" s="41"/>
      <c r="C400" s="72"/>
      <c r="D400" s="23"/>
      <c r="E400" s="23"/>
      <c r="F400" s="61" t="str">
        <f t="shared" si="31"/>
        <v/>
      </c>
      <c r="G400" s="61" t="str">
        <f t="shared" si="32"/>
        <v/>
      </c>
      <c r="H400" s="23" t="str">
        <f t="shared" si="33"/>
        <v/>
      </c>
      <c r="I400" s="70"/>
      <c r="J400" s="70"/>
      <c r="K400" s="69"/>
      <c r="L400" s="6" t="str">
        <f>IFERROR(VLOOKUP(A400,'Acompanhamento da Licitação'!$F$2:$N$1000,6,FALSE()),"")</f>
        <v/>
      </c>
      <c r="M400" s="6" t="str">
        <f>IFERROR(VLOOKUP(A400,'Acompanhamento da Licitação'!$F$2:$N$1000,7,FALSE()),"")</f>
        <v/>
      </c>
      <c r="N400" s="1" t="str">
        <f>IFERROR(VLOOKUP(A400,'Acompanhamento da Licitação'!$F$2:$N$1000,9,FALSE()),"")</f>
        <v/>
      </c>
      <c r="O400" s="1" t="str">
        <f t="shared" si="34"/>
        <v>Não</v>
      </c>
      <c r="P400" s="6">
        <f t="shared" si="35"/>
        <v>0</v>
      </c>
    </row>
    <row r="401" spans="1:16" ht="15.75" x14ac:dyDescent="0.25">
      <c r="A401" s="72"/>
      <c r="B401" s="41"/>
      <c r="C401" s="72"/>
      <c r="D401" s="23"/>
      <c r="E401" s="23"/>
      <c r="F401" s="61" t="str">
        <f t="shared" si="31"/>
        <v/>
      </c>
      <c r="G401" s="61" t="str">
        <f t="shared" si="32"/>
        <v/>
      </c>
      <c r="H401" s="23" t="str">
        <f t="shared" si="33"/>
        <v/>
      </c>
      <c r="I401" s="70"/>
      <c r="J401" s="70"/>
      <c r="K401" s="69"/>
      <c r="L401" s="6" t="str">
        <f>IFERROR(VLOOKUP(A401,'Acompanhamento da Licitação'!$F$2:$N$1000,6,FALSE()),"")</f>
        <v/>
      </c>
      <c r="M401" s="6" t="str">
        <f>IFERROR(VLOOKUP(A401,'Acompanhamento da Licitação'!$F$2:$N$1000,7,FALSE()),"")</f>
        <v/>
      </c>
      <c r="N401" s="1" t="str">
        <f>IFERROR(VLOOKUP(A401,'Acompanhamento da Licitação'!$F$2:$N$1000,9,FALSE()),"")</f>
        <v/>
      </c>
      <c r="O401" s="1" t="str">
        <f t="shared" si="34"/>
        <v>Não</v>
      </c>
      <c r="P401" s="6">
        <f t="shared" si="35"/>
        <v>0</v>
      </c>
    </row>
    <row r="402" spans="1:16" ht="15.75" x14ac:dyDescent="0.25">
      <c r="A402" s="72"/>
      <c r="B402" s="41"/>
      <c r="C402" s="72"/>
      <c r="D402" s="23"/>
      <c r="E402" s="23"/>
      <c r="F402" s="61" t="str">
        <f t="shared" si="31"/>
        <v/>
      </c>
      <c r="G402" s="61" t="str">
        <f t="shared" si="32"/>
        <v/>
      </c>
      <c r="H402" s="23" t="str">
        <f t="shared" si="33"/>
        <v/>
      </c>
      <c r="I402" s="70"/>
      <c r="J402" s="70"/>
      <c r="K402" s="69"/>
      <c r="L402" s="6" t="str">
        <f>IFERROR(VLOOKUP(A402,'Acompanhamento da Licitação'!$F$2:$N$1000,6,FALSE()),"")</f>
        <v/>
      </c>
      <c r="M402" s="6" t="str">
        <f>IFERROR(VLOOKUP(A402,'Acompanhamento da Licitação'!$F$2:$N$1000,7,FALSE()),"")</f>
        <v/>
      </c>
      <c r="N402" s="1" t="str">
        <f>IFERROR(VLOOKUP(A402,'Acompanhamento da Licitação'!$F$2:$N$1000,9,FALSE()),"")</f>
        <v/>
      </c>
      <c r="O402" s="1" t="str">
        <f t="shared" si="34"/>
        <v>Não</v>
      </c>
      <c r="P402" s="6">
        <f t="shared" si="35"/>
        <v>0</v>
      </c>
    </row>
    <row r="403" spans="1:16" ht="15.75" x14ac:dyDescent="0.25">
      <c r="A403" s="72"/>
      <c r="B403" s="41"/>
      <c r="C403" s="72"/>
      <c r="D403" s="23"/>
      <c r="E403" s="23"/>
      <c r="F403" s="61" t="str">
        <f t="shared" si="31"/>
        <v/>
      </c>
      <c r="G403" s="61" t="str">
        <f t="shared" si="32"/>
        <v/>
      </c>
      <c r="H403" s="23" t="str">
        <f t="shared" si="33"/>
        <v/>
      </c>
      <c r="I403" s="70"/>
      <c r="J403" s="70"/>
      <c r="K403" s="69"/>
      <c r="L403" s="6" t="str">
        <f>IFERROR(VLOOKUP(A403,'Acompanhamento da Licitação'!$F$2:$N$1000,6,FALSE()),"")</f>
        <v/>
      </c>
      <c r="M403" s="6" t="str">
        <f>IFERROR(VLOOKUP(A403,'Acompanhamento da Licitação'!$F$2:$N$1000,7,FALSE()),"")</f>
        <v/>
      </c>
      <c r="N403" s="1" t="str">
        <f>IFERROR(VLOOKUP(A403,'Acompanhamento da Licitação'!$F$2:$N$1000,9,FALSE()),"")</f>
        <v/>
      </c>
      <c r="O403" s="1" t="str">
        <f t="shared" si="34"/>
        <v>Não</v>
      </c>
      <c r="P403" s="6">
        <f t="shared" si="35"/>
        <v>0</v>
      </c>
    </row>
    <row r="404" spans="1:16" ht="15.75" x14ac:dyDescent="0.25">
      <c r="A404" s="72"/>
      <c r="B404" s="41"/>
      <c r="C404" s="72"/>
      <c r="D404" s="23"/>
      <c r="E404" s="23"/>
      <c r="F404" s="61" t="str">
        <f t="shared" si="31"/>
        <v/>
      </c>
      <c r="G404" s="61" t="str">
        <f t="shared" si="32"/>
        <v/>
      </c>
      <c r="H404" s="23" t="str">
        <f t="shared" si="33"/>
        <v/>
      </c>
      <c r="I404" s="70"/>
      <c r="J404" s="70"/>
      <c r="K404" s="69"/>
      <c r="L404" s="6" t="str">
        <f>IFERROR(VLOOKUP(A404,'Acompanhamento da Licitação'!$F$2:$N$1000,6,FALSE()),"")</f>
        <v/>
      </c>
      <c r="M404" s="6" t="str">
        <f>IFERROR(VLOOKUP(A404,'Acompanhamento da Licitação'!$F$2:$N$1000,7,FALSE()),"")</f>
        <v/>
      </c>
      <c r="N404" s="1" t="str">
        <f>IFERROR(VLOOKUP(A404,'Acompanhamento da Licitação'!$F$2:$N$1000,9,FALSE()),"")</f>
        <v/>
      </c>
      <c r="O404" s="1" t="str">
        <f t="shared" si="34"/>
        <v>Não</v>
      </c>
      <c r="P404" s="6">
        <f t="shared" si="35"/>
        <v>0</v>
      </c>
    </row>
    <row r="405" spans="1:16" ht="15.75" x14ac:dyDescent="0.25">
      <c r="A405" s="72"/>
      <c r="B405" s="41"/>
      <c r="C405" s="72"/>
      <c r="D405" s="23"/>
      <c r="E405" s="23"/>
      <c r="F405" s="61" t="str">
        <f t="shared" si="31"/>
        <v/>
      </c>
      <c r="G405" s="61" t="str">
        <f t="shared" si="32"/>
        <v/>
      </c>
      <c r="H405" s="23" t="str">
        <f t="shared" si="33"/>
        <v/>
      </c>
      <c r="I405" s="70"/>
      <c r="J405" s="70"/>
      <c r="K405" s="69"/>
      <c r="L405" s="6" t="str">
        <f>IFERROR(VLOOKUP(A405,'Acompanhamento da Licitação'!$F$2:$N$1000,6,FALSE()),"")</f>
        <v/>
      </c>
      <c r="M405" s="6" t="str">
        <f>IFERROR(VLOOKUP(A405,'Acompanhamento da Licitação'!$F$2:$N$1000,7,FALSE()),"")</f>
        <v/>
      </c>
      <c r="N405" s="1" t="str">
        <f>IFERROR(VLOOKUP(A405,'Acompanhamento da Licitação'!$F$2:$N$1000,9,FALSE()),"")</f>
        <v/>
      </c>
      <c r="O405" s="1" t="str">
        <f t="shared" si="34"/>
        <v>Não</v>
      </c>
      <c r="P405" s="6">
        <f t="shared" si="35"/>
        <v>0</v>
      </c>
    </row>
    <row r="406" spans="1:16" ht="15.75" x14ac:dyDescent="0.25">
      <c r="A406" s="72"/>
      <c r="B406" s="41"/>
      <c r="C406" s="72"/>
      <c r="D406" s="23"/>
      <c r="E406" s="23"/>
      <c r="F406" s="61" t="str">
        <f t="shared" si="31"/>
        <v/>
      </c>
      <c r="G406" s="61" t="str">
        <f t="shared" si="32"/>
        <v/>
      </c>
      <c r="H406" s="23" t="str">
        <f t="shared" si="33"/>
        <v/>
      </c>
      <c r="I406" s="70"/>
      <c r="J406" s="70"/>
      <c r="K406" s="69"/>
      <c r="L406" s="6" t="str">
        <f>IFERROR(VLOOKUP(A406,'Acompanhamento da Licitação'!$F$2:$N$1000,6,FALSE()),"")</f>
        <v/>
      </c>
      <c r="M406" s="6" t="str">
        <f>IFERROR(VLOOKUP(A406,'Acompanhamento da Licitação'!$F$2:$N$1000,7,FALSE()),"")</f>
        <v/>
      </c>
      <c r="N406" s="1" t="str">
        <f>IFERROR(VLOOKUP(A406,'Acompanhamento da Licitação'!$F$2:$N$1000,9,FALSE()),"")</f>
        <v/>
      </c>
      <c r="O406" s="1" t="str">
        <f t="shared" si="34"/>
        <v>Não</v>
      </c>
      <c r="P406" s="6">
        <f t="shared" si="35"/>
        <v>0</v>
      </c>
    </row>
    <row r="407" spans="1:16" ht="15.75" x14ac:dyDescent="0.25">
      <c r="A407" s="72"/>
      <c r="B407" s="41"/>
      <c r="C407" s="72"/>
      <c r="D407" s="23"/>
      <c r="E407" s="23"/>
      <c r="F407" s="61" t="str">
        <f t="shared" si="31"/>
        <v/>
      </c>
      <c r="G407" s="61" t="str">
        <f t="shared" si="32"/>
        <v/>
      </c>
      <c r="H407" s="23" t="str">
        <f t="shared" si="33"/>
        <v/>
      </c>
      <c r="I407" s="70"/>
      <c r="J407" s="70"/>
      <c r="K407" s="69"/>
      <c r="L407" s="6" t="str">
        <f>IFERROR(VLOOKUP(A407,'Acompanhamento da Licitação'!$F$2:$N$1000,6,FALSE()),"")</f>
        <v/>
      </c>
      <c r="M407" s="6" t="str">
        <f>IFERROR(VLOOKUP(A407,'Acompanhamento da Licitação'!$F$2:$N$1000,7,FALSE()),"")</f>
        <v/>
      </c>
      <c r="N407" s="1" t="str">
        <f>IFERROR(VLOOKUP(A407,'Acompanhamento da Licitação'!$F$2:$N$1000,9,FALSE()),"")</f>
        <v/>
      </c>
      <c r="O407" s="1" t="str">
        <f t="shared" si="34"/>
        <v>Não</v>
      </c>
      <c r="P407" s="6">
        <f t="shared" si="35"/>
        <v>0</v>
      </c>
    </row>
    <row r="408" spans="1:16" ht="15.75" x14ac:dyDescent="0.25">
      <c r="A408" s="72"/>
      <c r="B408" s="41"/>
      <c r="C408" s="72"/>
      <c r="D408" s="23"/>
      <c r="E408" s="23"/>
      <c r="F408" s="61" t="str">
        <f t="shared" si="31"/>
        <v/>
      </c>
      <c r="G408" s="61" t="str">
        <f t="shared" si="32"/>
        <v/>
      </c>
      <c r="H408" s="23" t="str">
        <f t="shared" si="33"/>
        <v/>
      </c>
      <c r="I408" s="70"/>
      <c r="J408" s="70"/>
      <c r="K408" s="69"/>
      <c r="L408" s="6" t="str">
        <f>IFERROR(VLOOKUP(A408,'Acompanhamento da Licitação'!$F$2:$N$1000,6,FALSE()),"")</f>
        <v/>
      </c>
      <c r="M408" s="6" t="str">
        <f>IFERROR(VLOOKUP(A408,'Acompanhamento da Licitação'!$F$2:$N$1000,7,FALSE()),"")</f>
        <v/>
      </c>
      <c r="N408" s="1" t="str">
        <f>IFERROR(VLOOKUP(A408,'Acompanhamento da Licitação'!$F$2:$N$1000,9,FALSE()),"")</f>
        <v/>
      </c>
      <c r="O408" s="1" t="str">
        <f t="shared" si="34"/>
        <v>Não</v>
      </c>
      <c r="P408" s="6">
        <f t="shared" si="35"/>
        <v>0</v>
      </c>
    </row>
    <row r="409" spans="1:16" ht="15.75" x14ac:dyDescent="0.25">
      <c r="A409" s="72"/>
      <c r="B409" s="41"/>
      <c r="C409" s="72"/>
      <c r="D409" s="23"/>
      <c r="E409" s="23"/>
      <c r="F409" s="61" t="str">
        <f t="shared" si="31"/>
        <v/>
      </c>
      <c r="G409" s="61" t="str">
        <f t="shared" si="32"/>
        <v/>
      </c>
      <c r="H409" s="23" t="str">
        <f t="shared" si="33"/>
        <v/>
      </c>
      <c r="I409" s="70"/>
      <c r="J409" s="70"/>
      <c r="K409" s="69"/>
      <c r="L409" s="6" t="str">
        <f>IFERROR(VLOOKUP(A409,'Acompanhamento da Licitação'!$F$2:$N$1000,6,FALSE()),"")</f>
        <v/>
      </c>
      <c r="M409" s="6" t="str">
        <f>IFERROR(VLOOKUP(A409,'Acompanhamento da Licitação'!$F$2:$N$1000,7,FALSE()),"")</f>
        <v/>
      </c>
      <c r="N409" s="1" t="str">
        <f>IFERROR(VLOOKUP(A409,'Acompanhamento da Licitação'!$F$2:$N$1000,9,FALSE()),"")</f>
        <v/>
      </c>
      <c r="O409" s="1" t="str">
        <f t="shared" si="34"/>
        <v>Não</v>
      </c>
      <c r="P409" s="6">
        <f t="shared" si="35"/>
        <v>0</v>
      </c>
    </row>
    <row r="410" spans="1:16" ht="15.75" x14ac:dyDescent="0.25">
      <c r="A410" s="72"/>
      <c r="B410" s="41"/>
      <c r="C410" s="72"/>
      <c r="D410" s="23"/>
      <c r="E410" s="23"/>
      <c r="F410" s="61" t="str">
        <f t="shared" si="31"/>
        <v/>
      </c>
      <c r="G410" s="61" t="str">
        <f t="shared" si="32"/>
        <v/>
      </c>
      <c r="H410" s="23" t="str">
        <f t="shared" si="33"/>
        <v/>
      </c>
      <c r="I410" s="70"/>
      <c r="J410" s="70"/>
      <c r="K410" s="69"/>
      <c r="L410" s="6" t="str">
        <f>IFERROR(VLOOKUP(A410,'Acompanhamento da Licitação'!$F$2:$N$1000,6,FALSE()),"")</f>
        <v/>
      </c>
      <c r="M410" s="6" t="str">
        <f>IFERROR(VLOOKUP(A410,'Acompanhamento da Licitação'!$F$2:$N$1000,7,FALSE()),"")</f>
        <v/>
      </c>
      <c r="N410" s="1" t="str">
        <f>IFERROR(VLOOKUP(A410,'Acompanhamento da Licitação'!$F$2:$N$1000,9,FALSE()),"")</f>
        <v/>
      </c>
      <c r="O410" s="1" t="str">
        <f t="shared" si="34"/>
        <v>Não</v>
      </c>
      <c r="P410" s="6">
        <f t="shared" si="35"/>
        <v>0</v>
      </c>
    </row>
    <row r="411" spans="1:16" ht="15.75" x14ac:dyDescent="0.25">
      <c r="A411" s="72"/>
      <c r="B411" s="41"/>
      <c r="C411" s="72"/>
      <c r="D411" s="23"/>
      <c r="E411" s="23"/>
      <c r="F411" s="61" t="str">
        <f t="shared" si="31"/>
        <v/>
      </c>
      <c r="G411" s="61" t="str">
        <f t="shared" si="32"/>
        <v/>
      </c>
      <c r="H411" s="23" t="str">
        <f t="shared" si="33"/>
        <v/>
      </c>
      <c r="I411" s="70"/>
      <c r="J411" s="70"/>
      <c r="K411" s="69"/>
      <c r="L411" s="6" t="str">
        <f>IFERROR(VLOOKUP(A411,'Acompanhamento da Licitação'!$F$2:$N$1000,6,FALSE()),"")</f>
        <v/>
      </c>
      <c r="M411" s="6" t="str">
        <f>IFERROR(VLOOKUP(A411,'Acompanhamento da Licitação'!$F$2:$N$1000,7,FALSE()),"")</f>
        <v/>
      </c>
      <c r="N411" s="1" t="str">
        <f>IFERROR(VLOOKUP(A411,'Acompanhamento da Licitação'!$F$2:$N$1000,9,FALSE()),"")</f>
        <v/>
      </c>
      <c r="O411" s="1" t="str">
        <f t="shared" si="34"/>
        <v>Não</v>
      </c>
      <c r="P411" s="6">
        <f t="shared" si="35"/>
        <v>0</v>
      </c>
    </row>
    <row r="412" spans="1:16" ht="15.75" x14ac:dyDescent="0.25">
      <c r="A412" s="72"/>
      <c r="B412" s="41"/>
      <c r="C412" s="72"/>
      <c r="D412" s="23"/>
      <c r="E412" s="23"/>
      <c r="F412" s="61" t="str">
        <f t="shared" si="31"/>
        <v/>
      </c>
      <c r="G412" s="61" t="str">
        <f t="shared" si="32"/>
        <v/>
      </c>
      <c r="H412" s="23" t="str">
        <f t="shared" si="33"/>
        <v/>
      </c>
      <c r="I412" s="70"/>
      <c r="J412" s="70"/>
      <c r="K412" s="69"/>
      <c r="L412" s="6" t="str">
        <f>IFERROR(VLOOKUP(A412,'Acompanhamento da Licitação'!$F$2:$N$1000,6,FALSE()),"")</f>
        <v/>
      </c>
      <c r="M412" s="6" t="str">
        <f>IFERROR(VLOOKUP(A412,'Acompanhamento da Licitação'!$F$2:$N$1000,7,FALSE()),"")</f>
        <v/>
      </c>
      <c r="N412" s="1" t="str">
        <f>IFERROR(VLOOKUP(A412,'Acompanhamento da Licitação'!$F$2:$N$1000,9,FALSE()),"")</f>
        <v/>
      </c>
      <c r="O412" s="1" t="str">
        <f t="shared" si="34"/>
        <v>Não</v>
      </c>
      <c r="P412" s="6">
        <f t="shared" si="35"/>
        <v>0</v>
      </c>
    </row>
    <row r="413" spans="1:16" ht="15.75" x14ac:dyDescent="0.25">
      <c r="A413" s="72"/>
      <c r="B413" s="41"/>
      <c r="C413" s="72"/>
      <c r="D413" s="23"/>
      <c r="E413" s="23"/>
      <c r="F413" s="61" t="str">
        <f t="shared" si="31"/>
        <v/>
      </c>
      <c r="G413" s="61" t="str">
        <f t="shared" si="32"/>
        <v/>
      </c>
      <c r="H413" s="23" t="str">
        <f t="shared" si="33"/>
        <v/>
      </c>
      <c r="I413" s="70"/>
      <c r="J413" s="70"/>
      <c r="K413" s="69"/>
      <c r="L413" s="6" t="str">
        <f>IFERROR(VLOOKUP(A413,'Acompanhamento da Licitação'!$F$2:$N$1000,6,FALSE()),"")</f>
        <v/>
      </c>
      <c r="M413" s="6" t="str">
        <f>IFERROR(VLOOKUP(A413,'Acompanhamento da Licitação'!$F$2:$N$1000,7,FALSE()),"")</f>
        <v/>
      </c>
      <c r="N413" s="1" t="str">
        <f>IFERROR(VLOOKUP(A413,'Acompanhamento da Licitação'!$F$2:$N$1000,9,FALSE()),"")</f>
        <v/>
      </c>
      <c r="O413" s="1" t="str">
        <f t="shared" si="34"/>
        <v>Não</v>
      </c>
      <c r="P413" s="6">
        <f t="shared" si="35"/>
        <v>0</v>
      </c>
    </row>
    <row r="414" spans="1:16" ht="15.75" x14ac:dyDescent="0.25">
      <c r="A414" s="72"/>
      <c r="B414" s="41"/>
      <c r="C414" s="72"/>
      <c r="D414" s="23"/>
      <c r="E414" s="23"/>
      <c r="F414" s="61" t="str">
        <f t="shared" si="31"/>
        <v/>
      </c>
      <c r="G414" s="61" t="str">
        <f t="shared" si="32"/>
        <v/>
      </c>
      <c r="H414" s="23" t="str">
        <f t="shared" si="33"/>
        <v/>
      </c>
      <c r="I414" s="70"/>
      <c r="J414" s="70"/>
      <c r="K414" s="69"/>
      <c r="L414" s="6" t="str">
        <f>IFERROR(VLOOKUP(A414,'Acompanhamento da Licitação'!$F$2:$N$1000,6,FALSE()),"")</f>
        <v/>
      </c>
      <c r="M414" s="6" t="str">
        <f>IFERROR(VLOOKUP(A414,'Acompanhamento da Licitação'!$F$2:$N$1000,7,FALSE()),"")</f>
        <v/>
      </c>
      <c r="N414" s="1" t="str">
        <f>IFERROR(VLOOKUP(A414,'Acompanhamento da Licitação'!$F$2:$N$1000,9,FALSE()),"")</f>
        <v/>
      </c>
      <c r="O414" s="1" t="str">
        <f t="shared" si="34"/>
        <v>Não</v>
      </c>
      <c r="P414" s="6">
        <f t="shared" si="35"/>
        <v>0</v>
      </c>
    </row>
    <row r="415" spans="1:16" ht="15.75" x14ac:dyDescent="0.25">
      <c r="A415" s="72"/>
      <c r="B415" s="41"/>
      <c r="C415" s="72"/>
      <c r="D415" s="23"/>
      <c r="E415" s="23"/>
      <c r="F415" s="61" t="str">
        <f t="shared" si="31"/>
        <v/>
      </c>
      <c r="G415" s="61" t="str">
        <f t="shared" si="32"/>
        <v/>
      </c>
      <c r="H415" s="23" t="str">
        <f t="shared" si="33"/>
        <v/>
      </c>
      <c r="I415" s="70"/>
      <c r="J415" s="70"/>
      <c r="K415" s="69"/>
      <c r="L415" s="6" t="str">
        <f>IFERROR(VLOOKUP(A415,'Acompanhamento da Licitação'!$F$2:$N$1000,6,FALSE()),"")</f>
        <v/>
      </c>
      <c r="M415" s="6" t="str">
        <f>IFERROR(VLOOKUP(A415,'Acompanhamento da Licitação'!$F$2:$N$1000,7,FALSE()),"")</f>
        <v/>
      </c>
      <c r="N415" s="1" t="str">
        <f>IFERROR(VLOOKUP(A415,'Acompanhamento da Licitação'!$F$2:$N$1000,9,FALSE()),"")</f>
        <v/>
      </c>
      <c r="O415" s="1" t="str">
        <f t="shared" si="34"/>
        <v>Não</v>
      </c>
      <c r="P415" s="6">
        <f t="shared" si="35"/>
        <v>0</v>
      </c>
    </row>
    <row r="416" spans="1:16" ht="15.75" x14ac:dyDescent="0.25">
      <c r="A416" s="72"/>
      <c r="B416" s="41"/>
      <c r="C416" s="72"/>
      <c r="D416" s="23"/>
      <c r="E416" s="23"/>
      <c r="F416" s="61" t="str">
        <f t="shared" si="31"/>
        <v/>
      </c>
      <c r="G416" s="61" t="str">
        <f t="shared" si="32"/>
        <v/>
      </c>
      <c r="H416" s="23" t="str">
        <f t="shared" si="33"/>
        <v/>
      </c>
      <c r="I416" s="70"/>
      <c r="J416" s="70"/>
      <c r="K416" s="69"/>
      <c r="L416" s="6" t="str">
        <f>IFERROR(VLOOKUP(A416,'Acompanhamento da Licitação'!$F$2:$N$1000,6,FALSE()),"")</f>
        <v/>
      </c>
      <c r="M416" s="6" t="str">
        <f>IFERROR(VLOOKUP(A416,'Acompanhamento da Licitação'!$F$2:$N$1000,7,FALSE()),"")</f>
        <v/>
      </c>
      <c r="N416" s="1" t="str">
        <f>IFERROR(VLOOKUP(A416,'Acompanhamento da Licitação'!$F$2:$N$1000,9,FALSE()),"")</f>
        <v/>
      </c>
      <c r="O416" s="1" t="str">
        <f t="shared" si="34"/>
        <v>Não</v>
      </c>
      <c r="P416" s="6">
        <f t="shared" si="35"/>
        <v>0</v>
      </c>
    </row>
    <row r="417" spans="1:16" ht="15.75" x14ac:dyDescent="0.25">
      <c r="A417" s="72"/>
      <c r="B417" s="41"/>
      <c r="C417" s="72"/>
      <c r="D417" s="23"/>
      <c r="E417" s="23"/>
      <c r="F417" s="61" t="str">
        <f t="shared" si="31"/>
        <v/>
      </c>
      <c r="G417" s="61" t="str">
        <f t="shared" si="32"/>
        <v/>
      </c>
      <c r="H417" s="23" t="str">
        <f t="shared" si="33"/>
        <v/>
      </c>
      <c r="I417" s="70"/>
      <c r="J417" s="70"/>
      <c r="K417" s="69"/>
      <c r="L417" s="6" t="str">
        <f>IFERROR(VLOOKUP(A417,'Acompanhamento da Licitação'!$F$2:$N$1000,6,FALSE()),"")</f>
        <v/>
      </c>
      <c r="M417" s="6" t="str">
        <f>IFERROR(VLOOKUP(A417,'Acompanhamento da Licitação'!$F$2:$N$1000,7,FALSE()),"")</f>
        <v/>
      </c>
      <c r="N417" s="1" t="str">
        <f>IFERROR(VLOOKUP(A417,'Acompanhamento da Licitação'!$F$2:$N$1000,9,FALSE()),"")</f>
        <v/>
      </c>
      <c r="O417" s="1" t="str">
        <f t="shared" si="34"/>
        <v>Não</v>
      </c>
      <c r="P417" s="6">
        <f t="shared" si="35"/>
        <v>0</v>
      </c>
    </row>
    <row r="418" spans="1:16" ht="15.75" x14ac:dyDescent="0.25">
      <c r="A418" s="72"/>
      <c r="B418" s="41"/>
      <c r="C418" s="72"/>
      <c r="D418" s="23"/>
      <c r="E418" s="23"/>
      <c r="F418" s="61" t="str">
        <f t="shared" si="31"/>
        <v/>
      </c>
      <c r="G418" s="61" t="str">
        <f t="shared" si="32"/>
        <v/>
      </c>
      <c r="H418" s="23" t="str">
        <f t="shared" si="33"/>
        <v/>
      </c>
      <c r="I418" s="70"/>
      <c r="J418" s="70"/>
      <c r="K418" s="69"/>
      <c r="L418" s="6" t="str">
        <f>IFERROR(VLOOKUP(A418,'Acompanhamento da Licitação'!$F$2:$N$1000,6,FALSE()),"")</f>
        <v/>
      </c>
      <c r="M418" s="6" t="str">
        <f>IFERROR(VLOOKUP(A418,'Acompanhamento da Licitação'!$F$2:$N$1000,7,FALSE()),"")</f>
        <v/>
      </c>
      <c r="N418" s="1" t="str">
        <f>IFERROR(VLOOKUP(A418,'Acompanhamento da Licitação'!$F$2:$N$1000,9,FALSE()),"")</f>
        <v/>
      </c>
      <c r="O418" s="1" t="str">
        <f t="shared" si="34"/>
        <v>Não</v>
      </c>
      <c r="P418" s="6">
        <f t="shared" si="35"/>
        <v>0</v>
      </c>
    </row>
    <row r="419" spans="1:16" ht="15.75" x14ac:dyDescent="0.25">
      <c r="A419" s="72"/>
      <c r="B419" s="41"/>
      <c r="C419" s="72"/>
      <c r="D419" s="23"/>
      <c r="E419" s="23"/>
      <c r="F419" s="61" t="str">
        <f t="shared" si="31"/>
        <v/>
      </c>
      <c r="G419" s="61" t="str">
        <f t="shared" si="32"/>
        <v/>
      </c>
      <c r="H419" s="23" t="str">
        <f t="shared" si="33"/>
        <v/>
      </c>
      <c r="I419" s="70"/>
      <c r="J419" s="70"/>
      <c r="K419" s="69"/>
      <c r="L419" s="6" t="str">
        <f>IFERROR(VLOOKUP(A419,'Acompanhamento da Licitação'!$F$2:$N$1000,6,FALSE()),"")</f>
        <v/>
      </c>
      <c r="M419" s="6" t="str">
        <f>IFERROR(VLOOKUP(A419,'Acompanhamento da Licitação'!$F$2:$N$1000,7,FALSE()),"")</f>
        <v/>
      </c>
      <c r="N419" s="1" t="str">
        <f>IFERROR(VLOOKUP(A419,'Acompanhamento da Licitação'!$F$2:$N$1000,9,FALSE()),"")</f>
        <v/>
      </c>
      <c r="O419" s="1" t="str">
        <f t="shared" si="34"/>
        <v>Não</v>
      </c>
      <c r="P419" s="6">
        <f t="shared" si="35"/>
        <v>0</v>
      </c>
    </row>
    <row r="420" spans="1:16" ht="15.75" x14ac:dyDescent="0.25">
      <c r="A420" s="72"/>
      <c r="B420" s="41"/>
      <c r="C420" s="72"/>
      <c r="D420" s="23"/>
      <c r="E420" s="23"/>
      <c r="F420" s="61" t="str">
        <f t="shared" si="31"/>
        <v/>
      </c>
      <c r="G420" s="61" t="str">
        <f t="shared" si="32"/>
        <v/>
      </c>
      <c r="H420" s="23" t="str">
        <f t="shared" si="33"/>
        <v/>
      </c>
      <c r="I420" s="70"/>
      <c r="J420" s="70"/>
      <c r="K420" s="69"/>
      <c r="L420" s="6" t="str">
        <f>IFERROR(VLOOKUP(A420,'Acompanhamento da Licitação'!$F$2:$N$1000,6,FALSE()),"")</f>
        <v/>
      </c>
      <c r="M420" s="6" t="str">
        <f>IFERROR(VLOOKUP(A420,'Acompanhamento da Licitação'!$F$2:$N$1000,7,FALSE()),"")</f>
        <v/>
      </c>
      <c r="N420" s="1" t="str">
        <f>IFERROR(VLOOKUP(A420,'Acompanhamento da Licitação'!$F$2:$N$1000,9,FALSE()),"")</f>
        <v/>
      </c>
      <c r="O420" s="1" t="str">
        <f t="shared" si="34"/>
        <v>Não</v>
      </c>
      <c r="P420" s="6">
        <f t="shared" si="35"/>
        <v>0</v>
      </c>
    </row>
    <row r="421" spans="1:16" ht="15.75" x14ac:dyDescent="0.25">
      <c r="A421" s="72"/>
      <c r="B421" s="41"/>
      <c r="C421" s="72"/>
      <c r="D421" s="23"/>
      <c r="E421" s="23"/>
      <c r="F421" s="61" t="str">
        <f t="shared" si="31"/>
        <v/>
      </c>
      <c r="G421" s="61" t="str">
        <f t="shared" si="32"/>
        <v/>
      </c>
      <c r="H421" s="23" t="str">
        <f t="shared" si="33"/>
        <v/>
      </c>
      <c r="I421" s="70"/>
      <c r="J421" s="70"/>
      <c r="K421" s="69"/>
      <c r="L421" s="6" t="str">
        <f>IFERROR(VLOOKUP(A421,'Acompanhamento da Licitação'!$F$2:$N$1000,6,FALSE()),"")</f>
        <v/>
      </c>
      <c r="M421" s="6" t="str">
        <f>IFERROR(VLOOKUP(A421,'Acompanhamento da Licitação'!$F$2:$N$1000,7,FALSE()),"")</f>
        <v/>
      </c>
      <c r="N421" s="1" t="str">
        <f>IFERROR(VLOOKUP(A421,'Acompanhamento da Licitação'!$F$2:$N$1000,9,FALSE()),"")</f>
        <v/>
      </c>
      <c r="O421" s="1" t="str">
        <f t="shared" si="34"/>
        <v>Não</v>
      </c>
      <c r="P421" s="6">
        <f t="shared" si="35"/>
        <v>0</v>
      </c>
    </row>
    <row r="422" spans="1:16" ht="15.75" x14ac:dyDescent="0.25">
      <c r="A422" s="72"/>
      <c r="B422" s="41"/>
      <c r="C422" s="72"/>
      <c r="D422" s="23"/>
      <c r="E422" s="23"/>
      <c r="F422" s="61" t="str">
        <f t="shared" si="31"/>
        <v/>
      </c>
      <c r="G422" s="61" t="str">
        <f t="shared" si="32"/>
        <v/>
      </c>
      <c r="H422" s="23" t="str">
        <f t="shared" si="33"/>
        <v/>
      </c>
      <c r="I422" s="70"/>
      <c r="J422" s="70"/>
      <c r="K422" s="69"/>
      <c r="L422" s="6" t="str">
        <f>IFERROR(VLOOKUP(A422,'Acompanhamento da Licitação'!$F$2:$N$1000,6,FALSE()),"")</f>
        <v/>
      </c>
      <c r="M422" s="6" t="str">
        <f>IFERROR(VLOOKUP(A422,'Acompanhamento da Licitação'!$F$2:$N$1000,7,FALSE()),"")</f>
        <v/>
      </c>
      <c r="N422" s="1" t="str">
        <f>IFERROR(VLOOKUP(A422,'Acompanhamento da Licitação'!$F$2:$N$1000,9,FALSE()),"")</f>
        <v/>
      </c>
      <c r="O422" s="1" t="str">
        <f t="shared" si="34"/>
        <v>Não</v>
      </c>
      <c r="P422" s="6">
        <f t="shared" si="35"/>
        <v>0</v>
      </c>
    </row>
    <row r="423" spans="1:16" ht="15.75" x14ac:dyDescent="0.25">
      <c r="A423" s="72"/>
      <c r="B423" s="41"/>
      <c r="C423" s="72"/>
      <c r="D423" s="23"/>
      <c r="E423" s="23"/>
      <c r="F423" s="61" t="str">
        <f t="shared" si="31"/>
        <v/>
      </c>
      <c r="G423" s="61" t="str">
        <f t="shared" si="32"/>
        <v/>
      </c>
      <c r="H423" s="23" t="str">
        <f t="shared" si="33"/>
        <v/>
      </c>
      <c r="I423" s="70"/>
      <c r="J423" s="70"/>
      <c r="K423" s="69"/>
      <c r="L423" s="6" t="str">
        <f>IFERROR(VLOOKUP(A423,'Acompanhamento da Licitação'!$F$2:$N$1000,6,FALSE()),"")</f>
        <v/>
      </c>
      <c r="M423" s="6" t="str">
        <f>IFERROR(VLOOKUP(A423,'Acompanhamento da Licitação'!$F$2:$N$1000,7,FALSE()),"")</f>
        <v/>
      </c>
      <c r="N423" s="1" t="str">
        <f>IFERROR(VLOOKUP(A423,'Acompanhamento da Licitação'!$F$2:$N$1000,9,FALSE()),"")</f>
        <v/>
      </c>
      <c r="O423" s="1" t="str">
        <f t="shared" si="34"/>
        <v>Não</v>
      </c>
      <c r="P423" s="6">
        <f t="shared" si="35"/>
        <v>0</v>
      </c>
    </row>
    <row r="424" spans="1:16" ht="15.75" x14ac:dyDescent="0.25">
      <c r="A424" s="72"/>
      <c r="B424" s="41"/>
      <c r="C424" s="72"/>
      <c r="D424" s="23"/>
      <c r="E424" s="23"/>
      <c r="F424" s="61" t="str">
        <f t="shared" si="31"/>
        <v/>
      </c>
      <c r="G424" s="61" t="str">
        <f t="shared" si="32"/>
        <v/>
      </c>
      <c r="H424" s="23" t="str">
        <f t="shared" si="33"/>
        <v/>
      </c>
      <c r="I424" s="70"/>
      <c r="J424" s="70"/>
      <c r="K424" s="69"/>
      <c r="L424" s="6" t="str">
        <f>IFERROR(VLOOKUP(A424,'Acompanhamento da Licitação'!$F$2:$N$1000,6,FALSE()),"")</f>
        <v/>
      </c>
      <c r="M424" s="6" t="str">
        <f>IFERROR(VLOOKUP(A424,'Acompanhamento da Licitação'!$F$2:$N$1000,7,FALSE()),"")</f>
        <v/>
      </c>
      <c r="N424" s="1" t="str">
        <f>IFERROR(VLOOKUP(A424,'Acompanhamento da Licitação'!$F$2:$N$1000,9,FALSE()),"")</f>
        <v/>
      </c>
      <c r="O424" s="1" t="str">
        <f t="shared" si="34"/>
        <v>Não</v>
      </c>
      <c r="P424" s="6">
        <f t="shared" si="35"/>
        <v>0</v>
      </c>
    </row>
    <row r="425" spans="1:16" ht="15.75" x14ac:dyDescent="0.25">
      <c r="A425" s="72"/>
      <c r="B425" s="41"/>
      <c r="C425" s="72"/>
      <c r="D425" s="23"/>
      <c r="E425" s="23"/>
      <c r="F425" s="61" t="str">
        <f t="shared" si="31"/>
        <v/>
      </c>
      <c r="G425" s="61" t="str">
        <f t="shared" si="32"/>
        <v/>
      </c>
      <c r="H425" s="23" t="str">
        <f t="shared" si="33"/>
        <v/>
      </c>
      <c r="I425" s="70"/>
      <c r="J425" s="70"/>
      <c r="K425" s="69"/>
      <c r="L425" s="6" t="str">
        <f>IFERROR(VLOOKUP(A425,'Acompanhamento da Licitação'!$F$2:$N$1000,6,FALSE()),"")</f>
        <v/>
      </c>
      <c r="M425" s="6" t="str">
        <f>IFERROR(VLOOKUP(A425,'Acompanhamento da Licitação'!$F$2:$N$1000,7,FALSE()),"")</f>
        <v/>
      </c>
      <c r="N425" s="1" t="str">
        <f>IFERROR(VLOOKUP(A425,'Acompanhamento da Licitação'!$F$2:$N$1000,9,FALSE()),"")</f>
        <v/>
      </c>
      <c r="O425" s="1" t="str">
        <f t="shared" si="34"/>
        <v>Não</v>
      </c>
      <c r="P425" s="6">
        <f t="shared" si="35"/>
        <v>0</v>
      </c>
    </row>
    <row r="426" spans="1:16" ht="15.75" x14ac:dyDescent="0.25">
      <c r="A426" s="72"/>
      <c r="B426" s="41"/>
      <c r="C426" s="72"/>
      <c r="D426" s="23"/>
      <c r="E426" s="23"/>
      <c r="F426" s="61" t="str">
        <f t="shared" si="31"/>
        <v/>
      </c>
      <c r="G426" s="61" t="str">
        <f t="shared" si="32"/>
        <v/>
      </c>
      <c r="H426" s="23" t="str">
        <f t="shared" si="33"/>
        <v/>
      </c>
      <c r="I426" s="70"/>
      <c r="J426" s="70"/>
      <c r="K426" s="69"/>
      <c r="L426" s="6" t="str">
        <f>IFERROR(VLOOKUP(A426,'Acompanhamento da Licitação'!$F$2:$N$1000,6,FALSE()),"")</f>
        <v/>
      </c>
      <c r="M426" s="6" t="str">
        <f>IFERROR(VLOOKUP(A426,'Acompanhamento da Licitação'!$F$2:$N$1000,7,FALSE()),"")</f>
        <v/>
      </c>
      <c r="N426" s="1" t="str">
        <f>IFERROR(VLOOKUP(A426,'Acompanhamento da Licitação'!$F$2:$N$1000,9,FALSE()),"")</f>
        <v/>
      </c>
      <c r="O426" s="1" t="str">
        <f t="shared" si="34"/>
        <v>Não</v>
      </c>
      <c r="P426" s="6">
        <f t="shared" si="35"/>
        <v>0</v>
      </c>
    </row>
    <row r="427" spans="1:16" ht="15.75" x14ac:dyDescent="0.25">
      <c r="A427" s="72"/>
      <c r="B427" s="41"/>
      <c r="C427" s="72"/>
      <c r="D427" s="23"/>
      <c r="E427" s="23"/>
      <c r="F427" s="61" t="str">
        <f t="shared" si="31"/>
        <v/>
      </c>
      <c r="G427" s="61" t="str">
        <f t="shared" si="32"/>
        <v/>
      </c>
      <c r="H427" s="23" t="str">
        <f t="shared" si="33"/>
        <v/>
      </c>
      <c r="I427" s="70"/>
      <c r="J427" s="70"/>
      <c r="K427" s="69"/>
      <c r="L427" s="6" t="str">
        <f>IFERROR(VLOOKUP(A427,'Acompanhamento da Licitação'!$F$2:$N$1000,6,FALSE()),"")</f>
        <v/>
      </c>
      <c r="M427" s="6" t="str">
        <f>IFERROR(VLOOKUP(A427,'Acompanhamento da Licitação'!$F$2:$N$1000,7,FALSE()),"")</f>
        <v/>
      </c>
      <c r="N427" s="1" t="str">
        <f>IFERROR(VLOOKUP(A427,'Acompanhamento da Licitação'!$F$2:$N$1000,9,FALSE()),"")</f>
        <v/>
      </c>
      <c r="O427" s="1" t="str">
        <f t="shared" si="34"/>
        <v>Não</v>
      </c>
      <c r="P427" s="6">
        <f t="shared" si="35"/>
        <v>0</v>
      </c>
    </row>
    <row r="428" spans="1:16" ht="15.75" x14ac:dyDescent="0.25">
      <c r="A428" s="72"/>
      <c r="B428" s="41"/>
      <c r="C428" s="72"/>
      <c r="D428" s="23"/>
      <c r="E428" s="23"/>
      <c r="F428" s="61" t="str">
        <f t="shared" si="31"/>
        <v/>
      </c>
      <c r="G428" s="61" t="str">
        <f t="shared" si="32"/>
        <v/>
      </c>
      <c r="H428" s="23" t="str">
        <f t="shared" si="33"/>
        <v/>
      </c>
      <c r="I428" s="70"/>
      <c r="J428" s="70"/>
      <c r="K428" s="69"/>
      <c r="L428" s="6" t="str">
        <f>IFERROR(VLOOKUP(A428,'Acompanhamento da Licitação'!$F$2:$N$1000,6,FALSE()),"")</f>
        <v/>
      </c>
      <c r="M428" s="6" t="str">
        <f>IFERROR(VLOOKUP(A428,'Acompanhamento da Licitação'!$F$2:$N$1000,7,FALSE()),"")</f>
        <v/>
      </c>
      <c r="N428" s="1" t="str">
        <f>IFERROR(VLOOKUP(A428,'Acompanhamento da Licitação'!$F$2:$N$1000,9,FALSE()),"")</f>
        <v/>
      </c>
      <c r="O428" s="1" t="str">
        <f t="shared" si="34"/>
        <v>Não</v>
      </c>
      <c r="P428" s="6">
        <f t="shared" si="35"/>
        <v>0</v>
      </c>
    </row>
    <row r="429" spans="1:16" ht="15.75" x14ac:dyDescent="0.25">
      <c r="A429" s="72"/>
      <c r="B429" s="41"/>
      <c r="C429" s="72"/>
      <c r="D429" s="23"/>
      <c r="E429" s="23"/>
      <c r="F429" s="61" t="str">
        <f t="shared" si="31"/>
        <v/>
      </c>
      <c r="G429" s="61" t="str">
        <f t="shared" si="32"/>
        <v/>
      </c>
      <c r="H429" s="23" t="str">
        <f t="shared" si="33"/>
        <v/>
      </c>
      <c r="I429" s="70"/>
      <c r="J429" s="70"/>
      <c r="K429" s="69"/>
      <c r="L429" s="6" t="str">
        <f>IFERROR(VLOOKUP(A429,'Acompanhamento da Licitação'!$F$2:$N$1000,6,FALSE()),"")</f>
        <v/>
      </c>
      <c r="M429" s="6" t="str">
        <f>IFERROR(VLOOKUP(A429,'Acompanhamento da Licitação'!$F$2:$N$1000,7,FALSE()),"")</f>
        <v/>
      </c>
      <c r="N429" s="1" t="str">
        <f>IFERROR(VLOOKUP(A429,'Acompanhamento da Licitação'!$F$2:$N$1000,9,FALSE()),"")</f>
        <v/>
      </c>
      <c r="O429" s="1" t="str">
        <f t="shared" si="34"/>
        <v>Não</v>
      </c>
      <c r="P429" s="6">
        <f t="shared" si="35"/>
        <v>0</v>
      </c>
    </row>
    <row r="430" spans="1:16" ht="15.75" x14ac:dyDescent="0.25">
      <c r="A430" s="72"/>
      <c r="B430" s="41"/>
      <c r="C430" s="72"/>
      <c r="D430" s="23"/>
      <c r="E430" s="23"/>
      <c r="F430" s="61" t="str">
        <f t="shared" si="31"/>
        <v/>
      </c>
      <c r="G430" s="61" t="str">
        <f t="shared" si="32"/>
        <v/>
      </c>
      <c r="H430" s="23" t="str">
        <f t="shared" si="33"/>
        <v/>
      </c>
      <c r="I430" s="70"/>
      <c r="J430" s="70"/>
      <c r="K430" s="69"/>
      <c r="L430" s="6" t="str">
        <f>IFERROR(VLOOKUP(A430,'Acompanhamento da Licitação'!$F$2:$N$1000,6,FALSE()),"")</f>
        <v/>
      </c>
      <c r="M430" s="6" t="str">
        <f>IFERROR(VLOOKUP(A430,'Acompanhamento da Licitação'!$F$2:$N$1000,7,FALSE()),"")</f>
        <v/>
      </c>
      <c r="N430" s="1" t="str">
        <f>IFERROR(VLOOKUP(A430,'Acompanhamento da Licitação'!$F$2:$N$1000,9,FALSE()),"")</f>
        <v/>
      </c>
      <c r="O430" s="1" t="str">
        <f t="shared" si="34"/>
        <v>Não</v>
      </c>
      <c r="P430" s="6">
        <f t="shared" si="35"/>
        <v>0</v>
      </c>
    </row>
    <row r="431" spans="1:16" ht="15.75" x14ac:dyDescent="0.25">
      <c r="A431" s="72"/>
      <c r="B431" s="41"/>
      <c r="C431" s="72"/>
      <c r="D431" s="23"/>
      <c r="E431" s="23"/>
      <c r="F431" s="61" t="str">
        <f t="shared" si="31"/>
        <v/>
      </c>
      <c r="G431" s="61" t="str">
        <f t="shared" si="32"/>
        <v/>
      </c>
      <c r="H431" s="23" t="str">
        <f t="shared" si="33"/>
        <v/>
      </c>
      <c r="I431" s="70"/>
      <c r="J431" s="70"/>
      <c r="K431" s="69"/>
      <c r="L431" s="6" t="str">
        <f>IFERROR(VLOOKUP(A431,'Acompanhamento da Licitação'!$F$2:$N$1000,6,FALSE()),"")</f>
        <v/>
      </c>
      <c r="M431" s="6" t="str">
        <f>IFERROR(VLOOKUP(A431,'Acompanhamento da Licitação'!$F$2:$N$1000,7,FALSE()),"")</f>
        <v/>
      </c>
      <c r="N431" s="1" t="str">
        <f>IFERROR(VLOOKUP(A431,'Acompanhamento da Licitação'!$F$2:$N$1000,9,FALSE()),"")</f>
        <v/>
      </c>
      <c r="O431" s="1" t="str">
        <f t="shared" si="34"/>
        <v>Não</v>
      </c>
      <c r="P431" s="6">
        <f t="shared" si="35"/>
        <v>0</v>
      </c>
    </row>
    <row r="432" spans="1:16" ht="15.75" x14ac:dyDescent="0.25">
      <c r="A432" s="72"/>
      <c r="B432" s="41"/>
      <c r="C432" s="72"/>
      <c r="D432" s="23"/>
      <c r="E432" s="23"/>
      <c r="F432" s="61" t="str">
        <f t="shared" si="31"/>
        <v/>
      </c>
      <c r="G432" s="61" t="str">
        <f t="shared" si="32"/>
        <v/>
      </c>
      <c r="H432" s="23" t="str">
        <f t="shared" si="33"/>
        <v/>
      </c>
      <c r="I432" s="70"/>
      <c r="J432" s="70"/>
      <c r="K432" s="69"/>
      <c r="L432" s="6" t="str">
        <f>IFERROR(VLOOKUP(A432,'Acompanhamento da Licitação'!$F$2:$N$1000,6,FALSE()),"")</f>
        <v/>
      </c>
      <c r="M432" s="6" t="str">
        <f>IFERROR(VLOOKUP(A432,'Acompanhamento da Licitação'!$F$2:$N$1000,7,FALSE()),"")</f>
        <v/>
      </c>
      <c r="N432" s="1" t="str">
        <f>IFERROR(VLOOKUP(A432,'Acompanhamento da Licitação'!$F$2:$N$1000,9,FALSE()),"")</f>
        <v/>
      </c>
      <c r="O432" s="1" t="str">
        <f t="shared" si="34"/>
        <v>Não</v>
      </c>
      <c r="P432" s="6">
        <f t="shared" si="35"/>
        <v>0</v>
      </c>
    </row>
    <row r="433" spans="1:16" ht="15.75" x14ac:dyDescent="0.25">
      <c r="A433" s="72"/>
      <c r="B433" s="41"/>
      <c r="C433" s="72"/>
      <c r="D433" s="23"/>
      <c r="E433" s="23"/>
      <c r="F433" s="61" t="str">
        <f t="shared" si="31"/>
        <v/>
      </c>
      <c r="G433" s="61" t="str">
        <f t="shared" si="32"/>
        <v/>
      </c>
      <c r="H433" s="23" t="str">
        <f t="shared" si="33"/>
        <v/>
      </c>
      <c r="I433" s="70"/>
      <c r="J433" s="70"/>
      <c r="K433" s="69"/>
      <c r="L433" s="6" t="str">
        <f>IFERROR(VLOOKUP(A433,'Acompanhamento da Licitação'!$F$2:$N$1000,6,FALSE()),"")</f>
        <v/>
      </c>
      <c r="M433" s="6" t="str">
        <f>IFERROR(VLOOKUP(A433,'Acompanhamento da Licitação'!$F$2:$N$1000,7,FALSE()),"")</f>
        <v/>
      </c>
      <c r="N433" s="1" t="str">
        <f>IFERROR(VLOOKUP(A433,'Acompanhamento da Licitação'!$F$2:$N$1000,9,FALSE()),"")</f>
        <v/>
      </c>
      <c r="O433" s="1" t="str">
        <f t="shared" si="34"/>
        <v>Não</v>
      </c>
      <c r="P433" s="6">
        <f t="shared" si="35"/>
        <v>0</v>
      </c>
    </row>
    <row r="434" spans="1:16" ht="15.75" x14ac:dyDescent="0.25">
      <c r="A434" s="72"/>
      <c r="B434" s="41"/>
      <c r="C434" s="72"/>
      <c r="D434" s="23"/>
      <c r="E434" s="23"/>
      <c r="F434" s="61" t="str">
        <f t="shared" si="31"/>
        <v/>
      </c>
      <c r="G434" s="61" t="str">
        <f t="shared" si="32"/>
        <v/>
      </c>
      <c r="H434" s="23" t="str">
        <f t="shared" si="33"/>
        <v/>
      </c>
      <c r="I434" s="70"/>
      <c r="J434" s="70"/>
      <c r="K434" s="69"/>
      <c r="L434" s="6" t="str">
        <f>IFERROR(VLOOKUP(A434,'Acompanhamento da Licitação'!$F$2:$N$1000,6,FALSE()),"")</f>
        <v/>
      </c>
      <c r="M434" s="6" t="str">
        <f>IFERROR(VLOOKUP(A434,'Acompanhamento da Licitação'!$F$2:$N$1000,7,FALSE()),"")</f>
        <v/>
      </c>
      <c r="N434" s="1" t="str">
        <f>IFERROR(VLOOKUP(A434,'Acompanhamento da Licitação'!$F$2:$N$1000,9,FALSE()),"")</f>
        <v/>
      </c>
      <c r="O434" s="1" t="str">
        <f t="shared" si="34"/>
        <v>Não</v>
      </c>
      <c r="P434" s="6">
        <f t="shared" si="35"/>
        <v>0</v>
      </c>
    </row>
    <row r="435" spans="1:16" ht="15.75" x14ac:dyDescent="0.25">
      <c r="A435" s="72"/>
      <c r="B435" s="41"/>
      <c r="C435" s="72"/>
      <c r="D435" s="23"/>
      <c r="E435" s="23"/>
      <c r="F435" s="61" t="str">
        <f t="shared" si="31"/>
        <v/>
      </c>
      <c r="G435" s="61" t="str">
        <f t="shared" si="32"/>
        <v/>
      </c>
      <c r="H435" s="23" t="str">
        <f t="shared" si="33"/>
        <v/>
      </c>
      <c r="I435" s="70"/>
      <c r="J435" s="70"/>
      <c r="K435" s="69"/>
      <c r="L435" s="6" t="str">
        <f>IFERROR(VLOOKUP(A435,'Acompanhamento da Licitação'!$F$2:$N$1000,6,FALSE()),"")</f>
        <v/>
      </c>
      <c r="M435" s="6" t="str">
        <f>IFERROR(VLOOKUP(A435,'Acompanhamento da Licitação'!$F$2:$N$1000,7,FALSE()),"")</f>
        <v/>
      </c>
      <c r="N435" s="1" t="str">
        <f>IFERROR(VLOOKUP(A435,'Acompanhamento da Licitação'!$F$2:$N$1000,9,FALSE()),"")</f>
        <v/>
      </c>
      <c r="O435" s="1" t="str">
        <f t="shared" si="34"/>
        <v>Não</v>
      </c>
      <c r="P435" s="6">
        <f t="shared" si="35"/>
        <v>0</v>
      </c>
    </row>
    <row r="436" spans="1:16" ht="15.75" x14ac:dyDescent="0.25">
      <c r="A436" s="72"/>
      <c r="B436" s="41"/>
      <c r="C436" s="72"/>
      <c r="D436" s="23"/>
      <c r="E436" s="23"/>
      <c r="F436" s="61" t="str">
        <f t="shared" si="31"/>
        <v/>
      </c>
      <c r="G436" s="61" t="str">
        <f t="shared" si="32"/>
        <v/>
      </c>
      <c r="H436" s="23" t="str">
        <f t="shared" si="33"/>
        <v/>
      </c>
      <c r="I436" s="70"/>
      <c r="J436" s="70"/>
      <c r="K436" s="69"/>
      <c r="L436" s="6" t="str">
        <f>IFERROR(VLOOKUP(A436,'Acompanhamento da Licitação'!$F$2:$N$1000,6,FALSE()),"")</f>
        <v/>
      </c>
      <c r="M436" s="6" t="str">
        <f>IFERROR(VLOOKUP(A436,'Acompanhamento da Licitação'!$F$2:$N$1000,7,FALSE()),"")</f>
        <v/>
      </c>
      <c r="N436" s="1" t="str">
        <f>IFERROR(VLOOKUP(A436,'Acompanhamento da Licitação'!$F$2:$N$1000,9,FALSE()),"")</f>
        <v/>
      </c>
      <c r="O436" s="1" t="str">
        <f t="shared" si="34"/>
        <v>Não</v>
      </c>
      <c r="P436" s="6">
        <f t="shared" si="35"/>
        <v>0</v>
      </c>
    </row>
    <row r="437" spans="1:16" ht="15.75" x14ac:dyDescent="0.25">
      <c r="A437" s="72"/>
      <c r="B437" s="41"/>
      <c r="C437" s="72"/>
      <c r="D437" s="23"/>
      <c r="E437" s="23"/>
      <c r="F437" s="61" t="str">
        <f t="shared" si="31"/>
        <v/>
      </c>
      <c r="G437" s="61" t="str">
        <f t="shared" si="32"/>
        <v/>
      </c>
      <c r="H437" s="23" t="str">
        <f t="shared" si="33"/>
        <v/>
      </c>
      <c r="I437" s="70"/>
      <c r="J437" s="70"/>
      <c r="K437" s="69"/>
      <c r="L437" s="6" t="str">
        <f>IFERROR(VLOOKUP(A437,'Acompanhamento da Licitação'!$F$2:$N$1000,6,FALSE()),"")</f>
        <v/>
      </c>
      <c r="M437" s="6" t="str">
        <f>IFERROR(VLOOKUP(A437,'Acompanhamento da Licitação'!$F$2:$N$1000,7,FALSE()),"")</f>
        <v/>
      </c>
      <c r="N437" s="1" t="str">
        <f>IFERROR(VLOOKUP(A437,'Acompanhamento da Licitação'!$F$2:$N$1000,9,FALSE()),"")</f>
        <v/>
      </c>
      <c r="O437" s="1" t="str">
        <f t="shared" si="34"/>
        <v>Não</v>
      </c>
      <c r="P437" s="6">
        <f t="shared" si="35"/>
        <v>0</v>
      </c>
    </row>
    <row r="438" spans="1:16" ht="15.75" x14ac:dyDescent="0.25">
      <c r="A438" s="72"/>
      <c r="B438" s="41"/>
      <c r="C438" s="72"/>
      <c r="D438" s="23"/>
      <c r="E438" s="23"/>
      <c r="F438" s="61" t="str">
        <f t="shared" si="31"/>
        <v/>
      </c>
      <c r="G438" s="61" t="str">
        <f t="shared" si="32"/>
        <v/>
      </c>
      <c r="H438" s="23" t="str">
        <f t="shared" si="33"/>
        <v/>
      </c>
      <c r="I438" s="70"/>
      <c r="J438" s="70"/>
      <c r="K438" s="69"/>
      <c r="L438" s="6" t="str">
        <f>IFERROR(VLOOKUP(A438,'Acompanhamento da Licitação'!$F$2:$N$1000,6,FALSE()),"")</f>
        <v/>
      </c>
      <c r="M438" s="6" t="str">
        <f>IFERROR(VLOOKUP(A438,'Acompanhamento da Licitação'!$F$2:$N$1000,7,FALSE()),"")</f>
        <v/>
      </c>
      <c r="N438" s="1" t="str">
        <f>IFERROR(VLOOKUP(A438,'Acompanhamento da Licitação'!$F$2:$N$1000,9,FALSE()),"")</f>
        <v/>
      </c>
      <c r="O438" s="1" t="str">
        <f t="shared" si="34"/>
        <v>Não</v>
      </c>
      <c r="P438" s="6">
        <f t="shared" si="35"/>
        <v>0</v>
      </c>
    </row>
    <row r="439" spans="1:16" ht="15.75" x14ac:dyDescent="0.25">
      <c r="A439" s="72"/>
      <c r="B439" s="41"/>
      <c r="C439" s="72"/>
      <c r="D439" s="23"/>
      <c r="E439" s="23"/>
      <c r="F439" s="61" t="str">
        <f t="shared" si="31"/>
        <v/>
      </c>
      <c r="G439" s="61" t="str">
        <f t="shared" si="32"/>
        <v/>
      </c>
      <c r="H439" s="23" t="str">
        <f t="shared" si="33"/>
        <v/>
      </c>
      <c r="I439" s="70"/>
      <c r="J439" s="70"/>
      <c r="K439" s="69"/>
      <c r="L439" s="6" t="str">
        <f>IFERROR(VLOOKUP(A439,'Acompanhamento da Licitação'!$F$2:$N$1000,6,FALSE()),"")</f>
        <v/>
      </c>
      <c r="M439" s="6" t="str">
        <f>IFERROR(VLOOKUP(A439,'Acompanhamento da Licitação'!$F$2:$N$1000,7,FALSE()),"")</f>
        <v/>
      </c>
      <c r="N439" s="1" t="str">
        <f>IFERROR(VLOOKUP(A439,'Acompanhamento da Licitação'!$F$2:$N$1000,9,FALSE()),"")</f>
        <v/>
      </c>
      <c r="O439" s="1" t="str">
        <f t="shared" si="34"/>
        <v>Não</v>
      </c>
      <c r="P439" s="6">
        <f t="shared" si="35"/>
        <v>0</v>
      </c>
    </row>
    <row r="440" spans="1:16" ht="15.75" x14ac:dyDescent="0.25">
      <c r="A440" s="72"/>
      <c r="B440" s="41"/>
      <c r="C440" s="72"/>
      <c r="D440" s="23"/>
      <c r="E440" s="23"/>
      <c r="F440" s="61" t="str">
        <f t="shared" si="31"/>
        <v/>
      </c>
      <c r="G440" s="61" t="str">
        <f t="shared" si="32"/>
        <v/>
      </c>
      <c r="H440" s="23" t="str">
        <f t="shared" si="33"/>
        <v/>
      </c>
      <c r="I440" s="70"/>
      <c r="J440" s="70"/>
      <c r="K440" s="69"/>
      <c r="L440" s="6" t="str">
        <f>IFERROR(VLOOKUP(A440,'Acompanhamento da Licitação'!$F$2:$N$1000,6,FALSE()),"")</f>
        <v/>
      </c>
      <c r="M440" s="6" t="str">
        <f>IFERROR(VLOOKUP(A440,'Acompanhamento da Licitação'!$F$2:$N$1000,7,FALSE()),"")</f>
        <v/>
      </c>
      <c r="N440" s="1" t="str">
        <f>IFERROR(VLOOKUP(A440,'Acompanhamento da Licitação'!$F$2:$N$1000,9,FALSE()),"")</f>
        <v/>
      </c>
      <c r="O440" s="1" t="str">
        <f t="shared" si="34"/>
        <v>Não</v>
      </c>
      <c r="P440" s="6">
        <f t="shared" si="35"/>
        <v>0</v>
      </c>
    </row>
    <row r="441" spans="1:16" ht="15.75" x14ac:dyDescent="0.25">
      <c r="A441" s="72"/>
      <c r="B441" s="41"/>
      <c r="C441" s="72"/>
      <c r="D441" s="23"/>
      <c r="E441" s="23"/>
      <c r="F441" s="61" t="str">
        <f t="shared" si="31"/>
        <v/>
      </c>
      <c r="G441" s="61" t="str">
        <f t="shared" si="32"/>
        <v/>
      </c>
      <c r="H441" s="23" t="str">
        <f t="shared" si="33"/>
        <v/>
      </c>
      <c r="I441" s="70"/>
      <c r="J441" s="70"/>
      <c r="K441" s="69"/>
      <c r="L441" s="6" t="str">
        <f>IFERROR(VLOOKUP(A441,'Acompanhamento da Licitação'!$F$2:$N$1000,6,FALSE()),"")</f>
        <v/>
      </c>
      <c r="M441" s="6" t="str">
        <f>IFERROR(VLOOKUP(A441,'Acompanhamento da Licitação'!$F$2:$N$1000,7,FALSE()),"")</f>
        <v/>
      </c>
      <c r="N441" s="1" t="str">
        <f>IFERROR(VLOOKUP(A441,'Acompanhamento da Licitação'!$F$2:$N$1000,9,FALSE()),"")</f>
        <v/>
      </c>
      <c r="O441" s="1" t="str">
        <f t="shared" si="34"/>
        <v>Não</v>
      </c>
      <c r="P441" s="6">
        <f t="shared" si="35"/>
        <v>0</v>
      </c>
    </row>
    <row r="442" spans="1:16" ht="15.75" x14ac:dyDescent="0.25">
      <c r="A442" s="72"/>
      <c r="B442" s="41"/>
      <c r="C442" s="72"/>
      <c r="D442" s="23"/>
      <c r="E442" s="23"/>
      <c r="F442" s="61" t="str">
        <f t="shared" si="31"/>
        <v/>
      </c>
      <c r="G442" s="61" t="str">
        <f t="shared" si="32"/>
        <v/>
      </c>
      <c r="H442" s="23" t="str">
        <f t="shared" si="33"/>
        <v/>
      </c>
      <c r="I442" s="70"/>
      <c r="J442" s="70"/>
      <c r="K442" s="69"/>
      <c r="L442" s="6" t="str">
        <f>IFERROR(VLOOKUP(A442,'Acompanhamento da Licitação'!$F$2:$N$1000,6,FALSE()),"")</f>
        <v/>
      </c>
      <c r="M442" s="6" t="str">
        <f>IFERROR(VLOOKUP(A442,'Acompanhamento da Licitação'!$F$2:$N$1000,7,FALSE()),"")</f>
        <v/>
      </c>
      <c r="N442" s="1" t="str">
        <f>IFERROR(VLOOKUP(A442,'Acompanhamento da Licitação'!$F$2:$N$1000,9,FALSE()),"")</f>
        <v/>
      </c>
      <c r="O442" s="1" t="str">
        <f t="shared" si="34"/>
        <v>Não</v>
      </c>
      <c r="P442" s="6">
        <f t="shared" si="35"/>
        <v>0</v>
      </c>
    </row>
    <row r="443" spans="1:16" ht="15.75" x14ac:dyDescent="0.25">
      <c r="A443" s="72"/>
      <c r="B443" s="41"/>
      <c r="C443" s="72"/>
      <c r="D443" s="23"/>
      <c r="E443" s="23"/>
      <c r="F443" s="61" t="str">
        <f t="shared" si="31"/>
        <v/>
      </c>
      <c r="G443" s="61" t="str">
        <f t="shared" si="32"/>
        <v/>
      </c>
      <c r="H443" s="23" t="str">
        <f t="shared" si="33"/>
        <v/>
      </c>
      <c r="I443" s="70"/>
      <c r="J443" s="70"/>
      <c r="K443" s="69"/>
      <c r="L443" s="6" t="str">
        <f>IFERROR(VLOOKUP(A443,'Acompanhamento da Licitação'!$F$2:$N$1000,6,FALSE()),"")</f>
        <v/>
      </c>
      <c r="M443" s="6" t="str">
        <f>IFERROR(VLOOKUP(A443,'Acompanhamento da Licitação'!$F$2:$N$1000,7,FALSE()),"")</f>
        <v/>
      </c>
      <c r="N443" s="1" t="str">
        <f>IFERROR(VLOOKUP(A443,'Acompanhamento da Licitação'!$F$2:$N$1000,9,FALSE()),"")</f>
        <v/>
      </c>
      <c r="O443" s="1" t="str">
        <f t="shared" si="34"/>
        <v>Não</v>
      </c>
      <c r="P443" s="6">
        <f t="shared" si="35"/>
        <v>0</v>
      </c>
    </row>
    <row r="444" spans="1:16" ht="15.75" x14ac:dyDescent="0.25">
      <c r="A444" s="72"/>
      <c r="B444" s="41"/>
      <c r="C444" s="72"/>
      <c r="D444" s="23"/>
      <c r="E444" s="23"/>
      <c r="F444" s="61" t="str">
        <f t="shared" si="31"/>
        <v/>
      </c>
      <c r="G444" s="61" t="str">
        <f t="shared" si="32"/>
        <v/>
      </c>
      <c r="H444" s="23" t="str">
        <f t="shared" si="33"/>
        <v/>
      </c>
      <c r="I444" s="70"/>
      <c r="J444" s="70"/>
      <c r="K444" s="69"/>
      <c r="L444" s="6" t="str">
        <f>IFERROR(VLOOKUP(A444,'Acompanhamento da Licitação'!$F$2:$N$1000,6,FALSE()),"")</f>
        <v/>
      </c>
      <c r="M444" s="6" t="str">
        <f>IFERROR(VLOOKUP(A444,'Acompanhamento da Licitação'!$F$2:$N$1000,7,FALSE()),"")</f>
        <v/>
      </c>
      <c r="N444" s="1" t="str">
        <f>IFERROR(VLOOKUP(A444,'Acompanhamento da Licitação'!$F$2:$N$1000,9,FALSE()),"")</f>
        <v/>
      </c>
      <c r="O444" s="1" t="str">
        <f t="shared" si="34"/>
        <v>Não</v>
      </c>
      <c r="P444" s="6">
        <f t="shared" si="35"/>
        <v>0</v>
      </c>
    </row>
    <row r="445" spans="1:16" ht="15.75" x14ac:dyDescent="0.25">
      <c r="A445" s="72"/>
      <c r="B445" s="41"/>
      <c r="C445" s="72"/>
      <c r="D445" s="23"/>
      <c r="E445" s="23"/>
      <c r="F445" s="61" t="str">
        <f t="shared" si="31"/>
        <v/>
      </c>
      <c r="G445" s="61" t="str">
        <f t="shared" si="32"/>
        <v/>
      </c>
      <c r="H445" s="23" t="str">
        <f t="shared" si="33"/>
        <v/>
      </c>
      <c r="I445" s="70"/>
      <c r="J445" s="70"/>
      <c r="K445" s="69"/>
      <c r="L445" s="6" t="str">
        <f>IFERROR(VLOOKUP(A445,'Acompanhamento da Licitação'!$F$2:$N$1000,6,FALSE()),"")</f>
        <v/>
      </c>
      <c r="M445" s="6" t="str">
        <f>IFERROR(VLOOKUP(A445,'Acompanhamento da Licitação'!$F$2:$N$1000,7,FALSE()),"")</f>
        <v/>
      </c>
      <c r="N445" s="1" t="str">
        <f>IFERROR(VLOOKUP(A445,'Acompanhamento da Licitação'!$F$2:$N$1000,9,FALSE()),"")</f>
        <v/>
      </c>
      <c r="O445" s="1" t="str">
        <f t="shared" si="34"/>
        <v>Não</v>
      </c>
      <c r="P445" s="6">
        <f t="shared" si="35"/>
        <v>0</v>
      </c>
    </row>
    <row r="446" spans="1:16" ht="15.75" x14ac:dyDescent="0.25">
      <c r="A446" s="72"/>
      <c r="B446" s="41"/>
      <c r="C446" s="72"/>
      <c r="D446" s="23"/>
      <c r="E446" s="23"/>
      <c r="F446" s="61" t="str">
        <f t="shared" si="31"/>
        <v/>
      </c>
      <c r="G446" s="61" t="str">
        <f t="shared" si="32"/>
        <v/>
      </c>
      <c r="H446" s="23" t="str">
        <f t="shared" si="33"/>
        <v/>
      </c>
      <c r="I446" s="70"/>
      <c r="J446" s="70"/>
      <c r="K446" s="69"/>
      <c r="L446" s="6" t="str">
        <f>IFERROR(VLOOKUP(A446,'Acompanhamento da Licitação'!$F$2:$N$1000,6,FALSE()),"")</f>
        <v/>
      </c>
      <c r="M446" s="6" t="str">
        <f>IFERROR(VLOOKUP(A446,'Acompanhamento da Licitação'!$F$2:$N$1000,7,FALSE()),"")</f>
        <v/>
      </c>
      <c r="N446" s="1" t="str">
        <f>IFERROR(VLOOKUP(A446,'Acompanhamento da Licitação'!$F$2:$N$1000,9,FALSE()),"")</f>
        <v/>
      </c>
      <c r="O446" s="1" t="str">
        <f t="shared" si="34"/>
        <v>Não</v>
      </c>
      <c r="P446" s="6">
        <f t="shared" si="35"/>
        <v>0</v>
      </c>
    </row>
    <row r="447" spans="1:16" ht="15.75" x14ac:dyDescent="0.25">
      <c r="A447" s="72"/>
      <c r="B447" s="41"/>
      <c r="C447" s="72"/>
      <c r="D447" s="23"/>
      <c r="E447" s="23"/>
      <c r="F447" s="61" t="str">
        <f t="shared" si="31"/>
        <v/>
      </c>
      <c r="G447" s="61" t="str">
        <f t="shared" si="32"/>
        <v/>
      </c>
      <c r="H447" s="23" t="str">
        <f t="shared" si="33"/>
        <v/>
      </c>
      <c r="I447" s="70"/>
      <c r="J447" s="70"/>
      <c r="K447" s="69"/>
      <c r="L447" s="6" t="str">
        <f>IFERROR(VLOOKUP(A447,'Acompanhamento da Licitação'!$F$2:$N$1000,6,FALSE()),"")</f>
        <v/>
      </c>
      <c r="M447" s="6" t="str">
        <f>IFERROR(VLOOKUP(A447,'Acompanhamento da Licitação'!$F$2:$N$1000,7,FALSE()),"")</f>
        <v/>
      </c>
      <c r="N447" s="1" t="str">
        <f>IFERROR(VLOOKUP(A447,'Acompanhamento da Licitação'!$F$2:$N$1000,9,FALSE()),"")</f>
        <v/>
      </c>
      <c r="O447" s="1" t="str">
        <f t="shared" si="34"/>
        <v>Não</v>
      </c>
      <c r="P447" s="6">
        <f t="shared" si="35"/>
        <v>0</v>
      </c>
    </row>
    <row r="448" spans="1:16" ht="15.75" x14ac:dyDescent="0.25">
      <c r="A448" s="72"/>
      <c r="B448" s="41"/>
      <c r="C448" s="72"/>
      <c r="D448" s="23"/>
      <c r="E448" s="23"/>
      <c r="F448" s="61" t="str">
        <f t="shared" si="31"/>
        <v/>
      </c>
      <c r="G448" s="61" t="str">
        <f t="shared" si="32"/>
        <v/>
      </c>
      <c r="H448" s="23" t="str">
        <f t="shared" si="33"/>
        <v/>
      </c>
      <c r="I448" s="70"/>
      <c r="J448" s="70"/>
      <c r="K448" s="69"/>
      <c r="L448" s="6" t="str">
        <f>IFERROR(VLOOKUP(A448,'Acompanhamento da Licitação'!$F$2:$N$1000,6,FALSE()),"")</f>
        <v/>
      </c>
      <c r="M448" s="6" t="str">
        <f>IFERROR(VLOOKUP(A448,'Acompanhamento da Licitação'!$F$2:$N$1000,7,FALSE()),"")</f>
        <v/>
      </c>
      <c r="N448" s="1" t="str">
        <f>IFERROR(VLOOKUP(A448,'Acompanhamento da Licitação'!$F$2:$N$1000,9,FALSE()),"")</f>
        <v/>
      </c>
      <c r="O448" s="1" t="str">
        <f t="shared" si="34"/>
        <v>Não</v>
      </c>
      <c r="P448" s="6">
        <f t="shared" si="35"/>
        <v>0</v>
      </c>
    </row>
    <row r="449" spans="1:16" ht="15.75" x14ac:dyDescent="0.25">
      <c r="A449" s="72"/>
      <c r="B449" s="41"/>
      <c r="C449" s="72"/>
      <c r="D449" s="23"/>
      <c r="E449" s="23"/>
      <c r="F449" s="61" t="str">
        <f t="shared" si="31"/>
        <v/>
      </c>
      <c r="G449" s="61" t="str">
        <f t="shared" si="32"/>
        <v/>
      </c>
      <c r="H449" s="23" t="str">
        <f t="shared" si="33"/>
        <v/>
      </c>
      <c r="I449" s="70"/>
      <c r="J449" s="70"/>
      <c r="K449" s="69"/>
      <c r="L449" s="6" t="str">
        <f>IFERROR(VLOOKUP(A449,'Acompanhamento da Licitação'!$F$2:$N$1000,6,FALSE()),"")</f>
        <v/>
      </c>
      <c r="M449" s="6" t="str">
        <f>IFERROR(VLOOKUP(A449,'Acompanhamento da Licitação'!$F$2:$N$1000,7,FALSE()),"")</f>
        <v/>
      </c>
      <c r="N449" s="1" t="str">
        <f>IFERROR(VLOOKUP(A449,'Acompanhamento da Licitação'!$F$2:$N$1000,9,FALSE()),"")</f>
        <v/>
      </c>
      <c r="O449" s="1" t="str">
        <f t="shared" si="34"/>
        <v>Não</v>
      </c>
      <c r="P449" s="6">
        <f t="shared" si="35"/>
        <v>0</v>
      </c>
    </row>
    <row r="450" spans="1:16" ht="15.75" x14ac:dyDescent="0.25">
      <c r="A450" s="72"/>
      <c r="B450" s="41"/>
      <c r="C450" s="72"/>
      <c r="D450" s="23"/>
      <c r="E450" s="23"/>
      <c r="F450" s="61" t="str">
        <f t="shared" si="31"/>
        <v/>
      </c>
      <c r="G450" s="61" t="str">
        <f t="shared" si="32"/>
        <v/>
      </c>
      <c r="H450" s="23" t="str">
        <f t="shared" si="33"/>
        <v/>
      </c>
      <c r="I450" s="70"/>
      <c r="J450" s="70"/>
      <c r="K450" s="69"/>
      <c r="L450" s="6" t="str">
        <f>IFERROR(VLOOKUP(A450,'Acompanhamento da Licitação'!$F$2:$N$1000,6,FALSE()),"")</f>
        <v/>
      </c>
      <c r="M450" s="6" t="str">
        <f>IFERROR(VLOOKUP(A450,'Acompanhamento da Licitação'!$F$2:$N$1000,7,FALSE()),"")</f>
        <v/>
      </c>
      <c r="N450" s="1" t="str">
        <f>IFERROR(VLOOKUP(A450,'Acompanhamento da Licitação'!$F$2:$N$1000,9,FALSE()),"")</f>
        <v/>
      </c>
      <c r="O450" s="1" t="str">
        <f t="shared" si="34"/>
        <v>Não</v>
      </c>
      <c r="P450" s="6">
        <f t="shared" si="35"/>
        <v>0</v>
      </c>
    </row>
    <row r="451" spans="1:16" ht="15.75" x14ac:dyDescent="0.25">
      <c r="A451" s="72"/>
      <c r="B451" s="41"/>
      <c r="C451" s="72"/>
      <c r="D451" s="23"/>
      <c r="E451" s="23"/>
      <c r="F451" s="61" t="str">
        <f t="shared" ref="F451:F500" si="36">IF(B451&gt;0,(((E451*C451)-(D451*C451)-(P451*C451))/(E451*C451)),"")</f>
        <v/>
      </c>
      <c r="G451" s="61" t="str">
        <f t="shared" ref="G451:G500" si="37">IF(F451="","",IF(F451&lt;0.2,0.05,IF(F451&lt;0.25,0.1,IF(F451&lt;0.3,0.15,IF(F451&lt;0.35,0.2,IF(F451&lt;0.45,0.25,IF(F451&lt;0.5,0.3,IF(F451&lt;0.6,0.35,0.4))))))))</f>
        <v/>
      </c>
      <c r="H451" s="23" t="str">
        <f t="shared" ref="H451:H500" si="38">IFERROR(((E451*C451)-(D451*C451)-(E451*C451*4%))*G451,"")</f>
        <v/>
      </c>
      <c r="I451" s="70"/>
      <c r="J451" s="70"/>
      <c r="K451" s="69"/>
      <c r="L451" s="6" t="str">
        <f>IFERROR(VLOOKUP(A451,'Acompanhamento da Licitação'!$F$2:$N$1000,6,FALSE()),"")</f>
        <v/>
      </c>
      <c r="M451" s="6" t="str">
        <f>IFERROR(VLOOKUP(A451,'Acompanhamento da Licitação'!$F$2:$N$1000,7,FALSE()),"")</f>
        <v/>
      </c>
      <c r="N451" s="1" t="str">
        <f>IFERROR(VLOOKUP(A451,'Acompanhamento da Licitação'!$F$2:$N$1000,9,FALSE()),"")</f>
        <v/>
      </c>
      <c r="O451" s="1" t="str">
        <f t="shared" ref="O451:O500" si="39">IF(AND(D451&gt;0,F451&gt;0.25),"Sim","Não")</f>
        <v>Não</v>
      </c>
      <c r="P451" s="6">
        <f t="shared" ref="P451:P500" si="40">4%*E451</f>
        <v>0</v>
      </c>
    </row>
    <row r="452" spans="1:16" ht="15.75" x14ac:dyDescent="0.25">
      <c r="A452" s="72"/>
      <c r="B452" s="41"/>
      <c r="C452" s="72"/>
      <c r="D452" s="23"/>
      <c r="E452" s="23"/>
      <c r="F452" s="61" t="str">
        <f t="shared" si="36"/>
        <v/>
      </c>
      <c r="G452" s="61" t="str">
        <f t="shared" si="37"/>
        <v/>
      </c>
      <c r="H452" s="23" t="str">
        <f t="shared" si="38"/>
        <v/>
      </c>
      <c r="I452" s="70"/>
      <c r="J452" s="70"/>
      <c r="K452" s="69"/>
      <c r="L452" s="6" t="str">
        <f>IFERROR(VLOOKUP(A452,'Acompanhamento da Licitação'!$F$2:$N$1000,6,FALSE()),"")</f>
        <v/>
      </c>
      <c r="M452" s="6" t="str">
        <f>IFERROR(VLOOKUP(A452,'Acompanhamento da Licitação'!$F$2:$N$1000,7,FALSE()),"")</f>
        <v/>
      </c>
      <c r="N452" s="1" t="str">
        <f>IFERROR(VLOOKUP(A452,'Acompanhamento da Licitação'!$F$2:$N$1000,9,FALSE()),"")</f>
        <v/>
      </c>
      <c r="O452" s="1" t="str">
        <f t="shared" si="39"/>
        <v>Não</v>
      </c>
      <c r="P452" s="6">
        <f t="shared" si="40"/>
        <v>0</v>
      </c>
    </row>
    <row r="453" spans="1:16" ht="15.75" x14ac:dyDescent="0.25">
      <c r="A453" s="72"/>
      <c r="B453" s="41"/>
      <c r="C453" s="72"/>
      <c r="D453" s="23"/>
      <c r="E453" s="23"/>
      <c r="F453" s="61" t="str">
        <f t="shared" si="36"/>
        <v/>
      </c>
      <c r="G453" s="61" t="str">
        <f t="shared" si="37"/>
        <v/>
      </c>
      <c r="H453" s="23" t="str">
        <f t="shared" si="38"/>
        <v/>
      </c>
      <c r="I453" s="70"/>
      <c r="J453" s="70"/>
      <c r="K453" s="69"/>
      <c r="L453" s="6" t="str">
        <f>IFERROR(VLOOKUP(A453,'Acompanhamento da Licitação'!$F$2:$N$1000,6,FALSE()),"")</f>
        <v/>
      </c>
      <c r="M453" s="6" t="str">
        <f>IFERROR(VLOOKUP(A453,'Acompanhamento da Licitação'!$F$2:$N$1000,7,FALSE()),"")</f>
        <v/>
      </c>
      <c r="N453" s="1" t="str">
        <f>IFERROR(VLOOKUP(A453,'Acompanhamento da Licitação'!$F$2:$N$1000,9,FALSE()),"")</f>
        <v/>
      </c>
      <c r="O453" s="1" t="str">
        <f t="shared" si="39"/>
        <v>Não</v>
      </c>
      <c r="P453" s="6">
        <f t="shared" si="40"/>
        <v>0</v>
      </c>
    </row>
    <row r="454" spans="1:16" ht="15.75" x14ac:dyDescent="0.25">
      <c r="A454" s="72"/>
      <c r="B454" s="41"/>
      <c r="C454" s="72"/>
      <c r="D454" s="23"/>
      <c r="E454" s="23"/>
      <c r="F454" s="61" t="str">
        <f t="shared" si="36"/>
        <v/>
      </c>
      <c r="G454" s="61" t="str">
        <f t="shared" si="37"/>
        <v/>
      </c>
      <c r="H454" s="23" t="str">
        <f t="shared" si="38"/>
        <v/>
      </c>
      <c r="I454" s="70"/>
      <c r="J454" s="70"/>
      <c r="K454" s="69"/>
      <c r="L454" s="6" t="str">
        <f>IFERROR(VLOOKUP(A454,'Acompanhamento da Licitação'!$F$2:$N$1000,6,FALSE()),"")</f>
        <v/>
      </c>
      <c r="M454" s="6" t="str">
        <f>IFERROR(VLOOKUP(A454,'Acompanhamento da Licitação'!$F$2:$N$1000,7,FALSE()),"")</f>
        <v/>
      </c>
      <c r="N454" s="1" t="str">
        <f>IFERROR(VLOOKUP(A454,'Acompanhamento da Licitação'!$F$2:$N$1000,9,FALSE()),"")</f>
        <v/>
      </c>
      <c r="O454" s="1" t="str">
        <f t="shared" si="39"/>
        <v>Não</v>
      </c>
      <c r="P454" s="6">
        <f t="shared" si="40"/>
        <v>0</v>
      </c>
    </row>
    <row r="455" spans="1:16" ht="15.75" x14ac:dyDescent="0.25">
      <c r="A455" s="72"/>
      <c r="B455" s="41"/>
      <c r="C455" s="72"/>
      <c r="D455" s="23"/>
      <c r="E455" s="23"/>
      <c r="F455" s="61" t="str">
        <f t="shared" si="36"/>
        <v/>
      </c>
      <c r="G455" s="61" t="str">
        <f t="shared" si="37"/>
        <v/>
      </c>
      <c r="H455" s="23" t="str">
        <f t="shared" si="38"/>
        <v/>
      </c>
      <c r="I455" s="70"/>
      <c r="J455" s="70"/>
      <c r="K455" s="69"/>
      <c r="L455" s="6" t="str">
        <f>IFERROR(VLOOKUP(A455,'Acompanhamento da Licitação'!$F$2:$N$1000,6,FALSE()),"")</f>
        <v/>
      </c>
      <c r="M455" s="6" t="str">
        <f>IFERROR(VLOOKUP(A455,'Acompanhamento da Licitação'!$F$2:$N$1000,7,FALSE()),"")</f>
        <v/>
      </c>
      <c r="N455" s="1" t="str">
        <f>IFERROR(VLOOKUP(A455,'Acompanhamento da Licitação'!$F$2:$N$1000,9,FALSE()),"")</f>
        <v/>
      </c>
      <c r="O455" s="1" t="str">
        <f t="shared" si="39"/>
        <v>Não</v>
      </c>
      <c r="P455" s="6">
        <f t="shared" si="40"/>
        <v>0</v>
      </c>
    </row>
    <row r="456" spans="1:16" ht="15.75" x14ac:dyDescent="0.25">
      <c r="A456" s="72"/>
      <c r="B456" s="41"/>
      <c r="C456" s="72"/>
      <c r="D456" s="23"/>
      <c r="E456" s="23"/>
      <c r="F456" s="61" t="str">
        <f t="shared" si="36"/>
        <v/>
      </c>
      <c r="G456" s="61" t="str">
        <f t="shared" si="37"/>
        <v/>
      </c>
      <c r="H456" s="23" t="str">
        <f t="shared" si="38"/>
        <v/>
      </c>
      <c r="I456" s="70"/>
      <c r="J456" s="70"/>
      <c r="K456" s="69"/>
      <c r="L456" s="6" t="str">
        <f>IFERROR(VLOOKUP(A456,'Acompanhamento da Licitação'!$F$2:$N$1000,6,FALSE()),"")</f>
        <v/>
      </c>
      <c r="M456" s="6" t="str">
        <f>IFERROR(VLOOKUP(A456,'Acompanhamento da Licitação'!$F$2:$N$1000,7,FALSE()),"")</f>
        <v/>
      </c>
      <c r="N456" s="1" t="str">
        <f>IFERROR(VLOOKUP(A456,'Acompanhamento da Licitação'!$F$2:$N$1000,9,FALSE()),"")</f>
        <v/>
      </c>
      <c r="O456" s="1" t="str">
        <f t="shared" si="39"/>
        <v>Não</v>
      </c>
      <c r="P456" s="6">
        <f t="shared" si="40"/>
        <v>0</v>
      </c>
    </row>
    <row r="457" spans="1:16" ht="15.75" x14ac:dyDescent="0.25">
      <c r="A457" s="72"/>
      <c r="B457" s="41"/>
      <c r="C457" s="72"/>
      <c r="D457" s="23"/>
      <c r="E457" s="23"/>
      <c r="F457" s="61" t="str">
        <f t="shared" si="36"/>
        <v/>
      </c>
      <c r="G457" s="61" t="str">
        <f t="shared" si="37"/>
        <v/>
      </c>
      <c r="H457" s="23" t="str">
        <f t="shared" si="38"/>
        <v/>
      </c>
      <c r="I457" s="70"/>
      <c r="J457" s="70"/>
      <c r="K457" s="69"/>
      <c r="L457" s="6" t="str">
        <f>IFERROR(VLOOKUP(A457,'Acompanhamento da Licitação'!$F$2:$N$1000,6,FALSE()),"")</f>
        <v/>
      </c>
      <c r="M457" s="6" t="str">
        <f>IFERROR(VLOOKUP(A457,'Acompanhamento da Licitação'!$F$2:$N$1000,7,FALSE()),"")</f>
        <v/>
      </c>
      <c r="N457" s="1" t="str">
        <f>IFERROR(VLOOKUP(A457,'Acompanhamento da Licitação'!$F$2:$N$1000,9,FALSE()),"")</f>
        <v/>
      </c>
      <c r="O457" s="1" t="str">
        <f t="shared" si="39"/>
        <v>Não</v>
      </c>
      <c r="P457" s="6">
        <f t="shared" si="40"/>
        <v>0</v>
      </c>
    </row>
    <row r="458" spans="1:16" ht="15.75" x14ac:dyDescent="0.25">
      <c r="A458" s="72"/>
      <c r="B458" s="41"/>
      <c r="C458" s="72"/>
      <c r="D458" s="23"/>
      <c r="E458" s="23"/>
      <c r="F458" s="61" t="str">
        <f t="shared" si="36"/>
        <v/>
      </c>
      <c r="G458" s="61" t="str">
        <f t="shared" si="37"/>
        <v/>
      </c>
      <c r="H458" s="23" t="str">
        <f t="shared" si="38"/>
        <v/>
      </c>
      <c r="I458" s="70"/>
      <c r="J458" s="70"/>
      <c r="K458" s="69"/>
      <c r="L458" s="6" t="str">
        <f>IFERROR(VLOOKUP(A458,'Acompanhamento da Licitação'!$F$2:$N$1000,6,FALSE()),"")</f>
        <v/>
      </c>
      <c r="M458" s="6" t="str">
        <f>IFERROR(VLOOKUP(A458,'Acompanhamento da Licitação'!$F$2:$N$1000,7,FALSE()),"")</f>
        <v/>
      </c>
      <c r="N458" s="1" t="str">
        <f>IFERROR(VLOOKUP(A458,'Acompanhamento da Licitação'!$F$2:$N$1000,9,FALSE()),"")</f>
        <v/>
      </c>
      <c r="O458" s="1" t="str">
        <f t="shared" si="39"/>
        <v>Não</v>
      </c>
      <c r="P458" s="6">
        <f t="shared" si="40"/>
        <v>0</v>
      </c>
    </row>
    <row r="459" spans="1:16" ht="15.75" x14ac:dyDescent="0.25">
      <c r="A459" s="72"/>
      <c r="B459" s="41"/>
      <c r="C459" s="72"/>
      <c r="D459" s="23"/>
      <c r="E459" s="23"/>
      <c r="F459" s="61" t="str">
        <f t="shared" si="36"/>
        <v/>
      </c>
      <c r="G459" s="61" t="str">
        <f t="shared" si="37"/>
        <v/>
      </c>
      <c r="H459" s="23" t="str">
        <f t="shared" si="38"/>
        <v/>
      </c>
      <c r="I459" s="70"/>
      <c r="J459" s="70"/>
      <c r="K459" s="69"/>
      <c r="L459" s="6" t="str">
        <f>IFERROR(VLOOKUP(A459,'Acompanhamento da Licitação'!$F$2:$N$1000,6,FALSE()),"")</f>
        <v/>
      </c>
      <c r="M459" s="6" t="str">
        <f>IFERROR(VLOOKUP(A459,'Acompanhamento da Licitação'!$F$2:$N$1000,7,FALSE()),"")</f>
        <v/>
      </c>
      <c r="N459" s="1" t="str">
        <f>IFERROR(VLOOKUP(A459,'Acompanhamento da Licitação'!$F$2:$N$1000,9,FALSE()),"")</f>
        <v/>
      </c>
      <c r="O459" s="1" t="str">
        <f t="shared" si="39"/>
        <v>Não</v>
      </c>
      <c r="P459" s="6">
        <f t="shared" si="40"/>
        <v>0</v>
      </c>
    </row>
    <row r="460" spans="1:16" ht="15.75" x14ac:dyDescent="0.25">
      <c r="A460" s="72"/>
      <c r="B460" s="41"/>
      <c r="C460" s="72"/>
      <c r="D460" s="23"/>
      <c r="E460" s="23"/>
      <c r="F460" s="61" t="str">
        <f t="shared" si="36"/>
        <v/>
      </c>
      <c r="G460" s="61" t="str">
        <f t="shared" si="37"/>
        <v/>
      </c>
      <c r="H460" s="23" t="str">
        <f t="shared" si="38"/>
        <v/>
      </c>
      <c r="I460" s="70"/>
      <c r="J460" s="70"/>
      <c r="K460" s="69"/>
      <c r="L460" s="6" t="str">
        <f>IFERROR(VLOOKUP(A460,'Acompanhamento da Licitação'!$F$2:$N$1000,6,FALSE()),"")</f>
        <v/>
      </c>
      <c r="M460" s="6" t="str">
        <f>IFERROR(VLOOKUP(A460,'Acompanhamento da Licitação'!$F$2:$N$1000,7,FALSE()),"")</f>
        <v/>
      </c>
      <c r="N460" s="1" t="str">
        <f>IFERROR(VLOOKUP(A460,'Acompanhamento da Licitação'!$F$2:$N$1000,9,FALSE()),"")</f>
        <v/>
      </c>
      <c r="O460" s="1" t="str">
        <f t="shared" si="39"/>
        <v>Não</v>
      </c>
      <c r="P460" s="6">
        <f t="shared" si="40"/>
        <v>0</v>
      </c>
    </row>
    <row r="461" spans="1:16" ht="15.75" x14ac:dyDescent="0.25">
      <c r="A461" s="72"/>
      <c r="B461" s="41"/>
      <c r="C461" s="72"/>
      <c r="D461" s="23"/>
      <c r="E461" s="23"/>
      <c r="F461" s="61" t="str">
        <f t="shared" si="36"/>
        <v/>
      </c>
      <c r="G461" s="61" t="str">
        <f t="shared" si="37"/>
        <v/>
      </c>
      <c r="H461" s="23" t="str">
        <f t="shared" si="38"/>
        <v/>
      </c>
      <c r="I461" s="70"/>
      <c r="J461" s="70"/>
      <c r="K461" s="69"/>
      <c r="L461" s="6" t="str">
        <f>IFERROR(VLOOKUP(A461,'Acompanhamento da Licitação'!$F$2:$N$1000,6,FALSE()),"")</f>
        <v/>
      </c>
      <c r="M461" s="6" t="str">
        <f>IFERROR(VLOOKUP(A461,'Acompanhamento da Licitação'!$F$2:$N$1000,7,FALSE()),"")</f>
        <v/>
      </c>
      <c r="N461" s="1" t="str">
        <f>IFERROR(VLOOKUP(A461,'Acompanhamento da Licitação'!$F$2:$N$1000,9,FALSE()),"")</f>
        <v/>
      </c>
      <c r="O461" s="1" t="str">
        <f t="shared" si="39"/>
        <v>Não</v>
      </c>
      <c r="P461" s="6">
        <f t="shared" si="40"/>
        <v>0</v>
      </c>
    </row>
    <row r="462" spans="1:16" ht="15.75" x14ac:dyDescent="0.25">
      <c r="A462" s="72"/>
      <c r="B462" s="41"/>
      <c r="C462" s="72"/>
      <c r="D462" s="23"/>
      <c r="E462" s="23"/>
      <c r="F462" s="61" t="str">
        <f t="shared" si="36"/>
        <v/>
      </c>
      <c r="G462" s="61" t="str">
        <f t="shared" si="37"/>
        <v/>
      </c>
      <c r="H462" s="23" t="str">
        <f t="shared" si="38"/>
        <v/>
      </c>
      <c r="I462" s="70"/>
      <c r="J462" s="70"/>
      <c r="K462" s="69"/>
      <c r="L462" s="6" t="str">
        <f>IFERROR(VLOOKUP(A462,'Acompanhamento da Licitação'!$F$2:$N$1000,6,FALSE()),"")</f>
        <v/>
      </c>
      <c r="M462" s="6" t="str">
        <f>IFERROR(VLOOKUP(A462,'Acompanhamento da Licitação'!$F$2:$N$1000,7,FALSE()),"")</f>
        <v/>
      </c>
      <c r="N462" s="1" t="str">
        <f>IFERROR(VLOOKUP(A462,'Acompanhamento da Licitação'!$F$2:$N$1000,9,FALSE()),"")</f>
        <v/>
      </c>
      <c r="O462" s="1" t="str">
        <f t="shared" si="39"/>
        <v>Não</v>
      </c>
      <c r="P462" s="6">
        <f t="shared" si="40"/>
        <v>0</v>
      </c>
    </row>
    <row r="463" spans="1:16" ht="15.75" x14ac:dyDescent="0.25">
      <c r="A463" s="72"/>
      <c r="B463" s="41"/>
      <c r="C463" s="72"/>
      <c r="D463" s="23"/>
      <c r="E463" s="23"/>
      <c r="F463" s="61" t="str">
        <f t="shared" si="36"/>
        <v/>
      </c>
      <c r="G463" s="61" t="str">
        <f t="shared" si="37"/>
        <v/>
      </c>
      <c r="H463" s="23" t="str">
        <f t="shared" si="38"/>
        <v/>
      </c>
      <c r="I463" s="70"/>
      <c r="J463" s="70"/>
      <c r="K463" s="69"/>
      <c r="L463" s="6" t="str">
        <f>IFERROR(VLOOKUP(A463,'Acompanhamento da Licitação'!$F$2:$N$1000,6,FALSE()),"")</f>
        <v/>
      </c>
      <c r="M463" s="6" t="str">
        <f>IFERROR(VLOOKUP(A463,'Acompanhamento da Licitação'!$F$2:$N$1000,7,FALSE()),"")</f>
        <v/>
      </c>
      <c r="N463" s="1" t="str">
        <f>IFERROR(VLOOKUP(A463,'Acompanhamento da Licitação'!$F$2:$N$1000,9,FALSE()),"")</f>
        <v/>
      </c>
      <c r="O463" s="1" t="str">
        <f t="shared" si="39"/>
        <v>Não</v>
      </c>
      <c r="P463" s="6">
        <f t="shared" si="40"/>
        <v>0</v>
      </c>
    </row>
    <row r="464" spans="1:16" ht="15.75" x14ac:dyDescent="0.25">
      <c r="A464" s="72"/>
      <c r="B464" s="41"/>
      <c r="C464" s="72"/>
      <c r="D464" s="23"/>
      <c r="E464" s="23"/>
      <c r="F464" s="61" t="str">
        <f t="shared" si="36"/>
        <v/>
      </c>
      <c r="G464" s="61" t="str">
        <f t="shared" si="37"/>
        <v/>
      </c>
      <c r="H464" s="23" t="str">
        <f t="shared" si="38"/>
        <v/>
      </c>
      <c r="I464" s="70"/>
      <c r="J464" s="70"/>
      <c r="K464" s="69"/>
      <c r="L464" s="6" t="str">
        <f>IFERROR(VLOOKUP(A464,'Acompanhamento da Licitação'!$F$2:$N$1000,6,FALSE()),"")</f>
        <v/>
      </c>
      <c r="M464" s="6" t="str">
        <f>IFERROR(VLOOKUP(A464,'Acompanhamento da Licitação'!$F$2:$N$1000,7,FALSE()),"")</f>
        <v/>
      </c>
      <c r="N464" s="1" t="str">
        <f>IFERROR(VLOOKUP(A464,'Acompanhamento da Licitação'!$F$2:$N$1000,9,FALSE()),"")</f>
        <v/>
      </c>
      <c r="O464" s="1" t="str">
        <f t="shared" si="39"/>
        <v>Não</v>
      </c>
      <c r="P464" s="6">
        <f t="shared" si="40"/>
        <v>0</v>
      </c>
    </row>
    <row r="465" spans="1:16" ht="15.75" x14ac:dyDescent="0.25">
      <c r="A465" s="72"/>
      <c r="B465" s="41"/>
      <c r="C465" s="72"/>
      <c r="D465" s="23"/>
      <c r="E465" s="23"/>
      <c r="F465" s="61" t="str">
        <f t="shared" si="36"/>
        <v/>
      </c>
      <c r="G465" s="61" t="str">
        <f t="shared" si="37"/>
        <v/>
      </c>
      <c r="H465" s="23" t="str">
        <f t="shared" si="38"/>
        <v/>
      </c>
      <c r="I465" s="70"/>
      <c r="J465" s="70"/>
      <c r="K465" s="69"/>
      <c r="L465" s="6" t="str">
        <f>IFERROR(VLOOKUP(A465,'Acompanhamento da Licitação'!$F$2:$N$1000,6,FALSE()),"")</f>
        <v/>
      </c>
      <c r="M465" s="6" t="str">
        <f>IFERROR(VLOOKUP(A465,'Acompanhamento da Licitação'!$F$2:$N$1000,7,FALSE()),"")</f>
        <v/>
      </c>
      <c r="N465" s="1" t="str">
        <f>IFERROR(VLOOKUP(A465,'Acompanhamento da Licitação'!$F$2:$N$1000,9,FALSE()),"")</f>
        <v/>
      </c>
      <c r="O465" s="1" t="str">
        <f t="shared" si="39"/>
        <v>Não</v>
      </c>
      <c r="P465" s="6">
        <f t="shared" si="40"/>
        <v>0</v>
      </c>
    </row>
    <row r="466" spans="1:16" ht="15.75" x14ac:dyDescent="0.25">
      <c r="A466" s="72"/>
      <c r="B466" s="41"/>
      <c r="C466" s="72"/>
      <c r="D466" s="23"/>
      <c r="E466" s="23"/>
      <c r="F466" s="61" t="str">
        <f t="shared" si="36"/>
        <v/>
      </c>
      <c r="G466" s="61" t="str">
        <f t="shared" si="37"/>
        <v/>
      </c>
      <c r="H466" s="23" t="str">
        <f t="shared" si="38"/>
        <v/>
      </c>
      <c r="I466" s="70"/>
      <c r="J466" s="70"/>
      <c r="K466" s="69"/>
      <c r="L466" s="6" t="str">
        <f>IFERROR(VLOOKUP(A466,'Acompanhamento da Licitação'!$F$2:$N$1000,6,FALSE()),"")</f>
        <v/>
      </c>
      <c r="M466" s="6" t="str">
        <f>IFERROR(VLOOKUP(A466,'Acompanhamento da Licitação'!$F$2:$N$1000,7,FALSE()),"")</f>
        <v/>
      </c>
      <c r="N466" s="1" t="str">
        <f>IFERROR(VLOOKUP(A466,'Acompanhamento da Licitação'!$F$2:$N$1000,9,FALSE()),"")</f>
        <v/>
      </c>
      <c r="O466" s="1" t="str">
        <f t="shared" si="39"/>
        <v>Não</v>
      </c>
      <c r="P466" s="6">
        <f t="shared" si="40"/>
        <v>0</v>
      </c>
    </row>
    <row r="467" spans="1:16" ht="15.75" x14ac:dyDescent="0.25">
      <c r="A467" s="72"/>
      <c r="B467" s="41"/>
      <c r="C467" s="72"/>
      <c r="D467" s="23"/>
      <c r="E467" s="23"/>
      <c r="F467" s="61" t="str">
        <f t="shared" si="36"/>
        <v/>
      </c>
      <c r="G467" s="61" t="str">
        <f t="shared" si="37"/>
        <v/>
      </c>
      <c r="H467" s="23" t="str">
        <f t="shared" si="38"/>
        <v/>
      </c>
      <c r="I467" s="70"/>
      <c r="J467" s="70"/>
      <c r="K467" s="69"/>
      <c r="L467" s="6" t="str">
        <f>IFERROR(VLOOKUP(A467,'Acompanhamento da Licitação'!$F$2:$N$1000,6,FALSE()),"")</f>
        <v/>
      </c>
      <c r="M467" s="6" t="str">
        <f>IFERROR(VLOOKUP(A467,'Acompanhamento da Licitação'!$F$2:$N$1000,7,FALSE()),"")</f>
        <v/>
      </c>
      <c r="N467" s="1" t="str">
        <f>IFERROR(VLOOKUP(A467,'Acompanhamento da Licitação'!$F$2:$N$1000,9,FALSE()),"")</f>
        <v/>
      </c>
      <c r="O467" s="1" t="str">
        <f t="shared" si="39"/>
        <v>Não</v>
      </c>
      <c r="P467" s="6">
        <f t="shared" si="40"/>
        <v>0</v>
      </c>
    </row>
    <row r="468" spans="1:16" ht="15.75" x14ac:dyDescent="0.25">
      <c r="A468" s="72"/>
      <c r="B468" s="41"/>
      <c r="C468" s="72"/>
      <c r="D468" s="23"/>
      <c r="E468" s="23"/>
      <c r="F468" s="61" t="str">
        <f t="shared" si="36"/>
        <v/>
      </c>
      <c r="G468" s="61" t="str">
        <f t="shared" si="37"/>
        <v/>
      </c>
      <c r="H468" s="23" t="str">
        <f t="shared" si="38"/>
        <v/>
      </c>
      <c r="I468" s="70"/>
      <c r="J468" s="70"/>
      <c r="K468" s="69"/>
      <c r="L468" s="6" t="str">
        <f>IFERROR(VLOOKUP(A468,'Acompanhamento da Licitação'!$F$2:$N$1000,6,FALSE()),"")</f>
        <v/>
      </c>
      <c r="M468" s="6" t="str">
        <f>IFERROR(VLOOKUP(A468,'Acompanhamento da Licitação'!$F$2:$N$1000,7,FALSE()),"")</f>
        <v/>
      </c>
      <c r="N468" s="1" t="str">
        <f>IFERROR(VLOOKUP(A468,'Acompanhamento da Licitação'!$F$2:$N$1000,9,FALSE()),"")</f>
        <v/>
      </c>
      <c r="O468" s="1" t="str">
        <f t="shared" si="39"/>
        <v>Não</v>
      </c>
      <c r="P468" s="6">
        <f t="shared" si="40"/>
        <v>0</v>
      </c>
    </row>
    <row r="469" spans="1:16" ht="15.75" x14ac:dyDescent="0.25">
      <c r="A469" s="72"/>
      <c r="B469" s="41"/>
      <c r="C469" s="72"/>
      <c r="D469" s="23"/>
      <c r="E469" s="23"/>
      <c r="F469" s="61" t="str">
        <f t="shared" si="36"/>
        <v/>
      </c>
      <c r="G469" s="61" t="str">
        <f t="shared" si="37"/>
        <v/>
      </c>
      <c r="H469" s="23" t="str">
        <f t="shared" si="38"/>
        <v/>
      </c>
      <c r="I469" s="70"/>
      <c r="J469" s="70"/>
      <c r="K469" s="69"/>
      <c r="L469" s="6" t="str">
        <f>IFERROR(VLOOKUP(A469,'Acompanhamento da Licitação'!$F$2:$N$1000,6,FALSE()),"")</f>
        <v/>
      </c>
      <c r="M469" s="6" t="str">
        <f>IFERROR(VLOOKUP(A469,'Acompanhamento da Licitação'!$F$2:$N$1000,7,FALSE()),"")</f>
        <v/>
      </c>
      <c r="N469" s="1" t="str">
        <f>IFERROR(VLOOKUP(A469,'Acompanhamento da Licitação'!$F$2:$N$1000,9,FALSE()),"")</f>
        <v/>
      </c>
      <c r="O469" s="1" t="str">
        <f t="shared" si="39"/>
        <v>Não</v>
      </c>
      <c r="P469" s="6">
        <f t="shared" si="40"/>
        <v>0</v>
      </c>
    </row>
    <row r="470" spans="1:16" ht="15.75" x14ac:dyDescent="0.25">
      <c r="A470" s="72"/>
      <c r="B470" s="41"/>
      <c r="C470" s="72"/>
      <c r="D470" s="23"/>
      <c r="E470" s="23"/>
      <c r="F470" s="61" t="str">
        <f t="shared" si="36"/>
        <v/>
      </c>
      <c r="G470" s="61" t="str">
        <f t="shared" si="37"/>
        <v/>
      </c>
      <c r="H470" s="23" t="str">
        <f t="shared" si="38"/>
        <v/>
      </c>
      <c r="I470" s="70"/>
      <c r="J470" s="70"/>
      <c r="K470" s="69"/>
      <c r="L470" s="6" t="str">
        <f>IFERROR(VLOOKUP(A470,'Acompanhamento da Licitação'!$F$2:$N$1000,6,FALSE()),"")</f>
        <v/>
      </c>
      <c r="M470" s="6" t="str">
        <f>IFERROR(VLOOKUP(A470,'Acompanhamento da Licitação'!$F$2:$N$1000,7,FALSE()),"")</f>
        <v/>
      </c>
      <c r="N470" s="1" t="str">
        <f>IFERROR(VLOOKUP(A470,'Acompanhamento da Licitação'!$F$2:$N$1000,9,FALSE()),"")</f>
        <v/>
      </c>
      <c r="O470" s="1" t="str">
        <f t="shared" si="39"/>
        <v>Não</v>
      </c>
      <c r="P470" s="6">
        <f t="shared" si="40"/>
        <v>0</v>
      </c>
    </row>
    <row r="471" spans="1:16" ht="15.75" x14ac:dyDescent="0.25">
      <c r="A471" s="72"/>
      <c r="B471" s="41"/>
      <c r="C471" s="72"/>
      <c r="D471" s="23"/>
      <c r="E471" s="23"/>
      <c r="F471" s="61" t="str">
        <f t="shared" si="36"/>
        <v/>
      </c>
      <c r="G471" s="61" t="str">
        <f t="shared" si="37"/>
        <v/>
      </c>
      <c r="H471" s="23" t="str">
        <f t="shared" si="38"/>
        <v/>
      </c>
      <c r="I471" s="70"/>
      <c r="J471" s="70"/>
      <c r="K471" s="69"/>
      <c r="L471" s="6" t="str">
        <f>IFERROR(VLOOKUP(A471,'Acompanhamento da Licitação'!$F$2:$N$1000,6,FALSE()),"")</f>
        <v/>
      </c>
      <c r="M471" s="6" t="str">
        <f>IFERROR(VLOOKUP(A471,'Acompanhamento da Licitação'!$F$2:$N$1000,7,FALSE()),"")</f>
        <v/>
      </c>
      <c r="N471" s="1" t="str">
        <f>IFERROR(VLOOKUP(A471,'Acompanhamento da Licitação'!$F$2:$N$1000,9,FALSE()),"")</f>
        <v/>
      </c>
      <c r="O471" s="1" t="str">
        <f t="shared" si="39"/>
        <v>Não</v>
      </c>
      <c r="P471" s="6">
        <f t="shared" si="40"/>
        <v>0</v>
      </c>
    </row>
    <row r="472" spans="1:16" ht="15.75" x14ac:dyDescent="0.25">
      <c r="A472" s="72"/>
      <c r="B472" s="41"/>
      <c r="C472" s="72"/>
      <c r="D472" s="23"/>
      <c r="E472" s="23"/>
      <c r="F472" s="61" t="str">
        <f t="shared" si="36"/>
        <v/>
      </c>
      <c r="G472" s="61" t="str">
        <f t="shared" si="37"/>
        <v/>
      </c>
      <c r="H472" s="23" t="str">
        <f t="shared" si="38"/>
        <v/>
      </c>
      <c r="I472" s="70"/>
      <c r="J472" s="70"/>
      <c r="K472" s="69"/>
      <c r="L472" s="6" t="str">
        <f>IFERROR(VLOOKUP(A472,'Acompanhamento da Licitação'!$F$2:$N$1000,6,FALSE()),"")</f>
        <v/>
      </c>
      <c r="M472" s="6" t="str">
        <f>IFERROR(VLOOKUP(A472,'Acompanhamento da Licitação'!$F$2:$N$1000,7,FALSE()),"")</f>
        <v/>
      </c>
      <c r="N472" s="1" t="str">
        <f>IFERROR(VLOOKUP(A472,'Acompanhamento da Licitação'!$F$2:$N$1000,9,FALSE()),"")</f>
        <v/>
      </c>
      <c r="O472" s="1" t="str">
        <f t="shared" si="39"/>
        <v>Não</v>
      </c>
      <c r="P472" s="6">
        <f t="shared" si="40"/>
        <v>0</v>
      </c>
    </row>
    <row r="473" spans="1:16" ht="15.75" x14ac:dyDescent="0.25">
      <c r="A473" s="72"/>
      <c r="B473" s="41"/>
      <c r="C473" s="72"/>
      <c r="D473" s="23"/>
      <c r="E473" s="23"/>
      <c r="F473" s="61" t="str">
        <f t="shared" si="36"/>
        <v/>
      </c>
      <c r="G473" s="61" t="str">
        <f t="shared" si="37"/>
        <v/>
      </c>
      <c r="H473" s="23" t="str">
        <f t="shared" si="38"/>
        <v/>
      </c>
      <c r="I473" s="70"/>
      <c r="J473" s="70"/>
      <c r="K473" s="69"/>
      <c r="L473" s="6" t="str">
        <f>IFERROR(VLOOKUP(A473,'Acompanhamento da Licitação'!$F$2:$N$1000,6,FALSE()),"")</f>
        <v/>
      </c>
      <c r="M473" s="6" t="str">
        <f>IFERROR(VLOOKUP(A473,'Acompanhamento da Licitação'!$F$2:$N$1000,7,FALSE()),"")</f>
        <v/>
      </c>
      <c r="N473" s="1" t="str">
        <f>IFERROR(VLOOKUP(A473,'Acompanhamento da Licitação'!$F$2:$N$1000,9,FALSE()),"")</f>
        <v/>
      </c>
      <c r="O473" s="1" t="str">
        <f t="shared" si="39"/>
        <v>Não</v>
      </c>
      <c r="P473" s="6">
        <f t="shared" si="40"/>
        <v>0</v>
      </c>
    </row>
    <row r="474" spans="1:16" ht="15.75" x14ac:dyDescent="0.25">
      <c r="A474" s="72"/>
      <c r="B474" s="41"/>
      <c r="C474" s="72"/>
      <c r="D474" s="23"/>
      <c r="E474" s="23"/>
      <c r="F474" s="61" t="str">
        <f t="shared" si="36"/>
        <v/>
      </c>
      <c r="G474" s="61" t="str">
        <f t="shared" si="37"/>
        <v/>
      </c>
      <c r="H474" s="23" t="str">
        <f t="shared" si="38"/>
        <v/>
      </c>
      <c r="I474" s="70"/>
      <c r="J474" s="70"/>
      <c r="K474" s="69"/>
      <c r="L474" s="6" t="str">
        <f>IFERROR(VLOOKUP(A474,'Acompanhamento da Licitação'!$F$2:$N$1000,6,FALSE()),"")</f>
        <v/>
      </c>
      <c r="M474" s="6" t="str">
        <f>IFERROR(VLOOKUP(A474,'Acompanhamento da Licitação'!$F$2:$N$1000,7,FALSE()),"")</f>
        <v/>
      </c>
      <c r="N474" s="1" t="str">
        <f>IFERROR(VLOOKUP(A474,'Acompanhamento da Licitação'!$F$2:$N$1000,9,FALSE()),"")</f>
        <v/>
      </c>
      <c r="O474" s="1" t="str">
        <f t="shared" si="39"/>
        <v>Não</v>
      </c>
      <c r="P474" s="6">
        <f t="shared" si="40"/>
        <v>0</v>
      </c>
    </row>
    <row r="475" spans="1:16" ht="15.75" x14ac:dyDescent="0.25">
      <c r="A475" s="72"/>
      <c r="B475" s="41"/>
      <c r="C475" s="72"/>
      <c r="D475" s="23"/>
      <c r="E475" s="23"/>
      <c r="F475" s="61" t="str">
        <f t="shared" si="36"/>
        <v/>
      </c>
      <c r="G475" s="61" t="str">
        <f t="shared" si="37"/>
        <v/>
      </c>
      <c r="H475" s="23" t="str">
        <f t="shared" si="38"/>
        <v/>
      </c>
      <c r="I475" s="70"/>
      <c r="J475" s="70"/>
      <c r="K475" s="69"/>
      <c r="L475" s="6" t="str">
        <f>IFERROR(VLOOKUP(A475,'Acompanhamento da Licitação'!$F$2:$N$1000,6,FALSE()),"")</f>
        <v/>
      </c>
      <c r="M475" s="6" t="str">
        <f>IFERROR(VLOOKUP(A475,'Acompanhamento da Licitação'!$F$2:$N$1000,7,FALSE()),"")</f>
        <v/>
      </c>
      <c r="N475" s="1" t="str">
        <f>IFERROR(VLOOKUP(A475,'Acompanhamento da Licitação'!$F$2:$N$1000,9,FALSE()),"")</f>
        <v/>
      </c>
      <c r="O475" s="1" t="str">
        <f t="shared" si="39"/>
        <v>Não</v>
      </c>
      <c r="P475" s="6">
        <f t="shared" si="40"/>
        <v>0</v>
      </c>
    </row>
    <row r="476" spans="1:16" ht="15.75" x14ac:dyDescent="0.25">
      <c r="A476" s="72"/>
      <c r="B476" s="41"/>
      <c r="C476" s="72"/>
      <c r="D476" s="23"/>
      <c r="E476" s="23"/>
      <c r="F476" s="61" t="str">
        <f t="shared" si="36"/>
        <v/>
      </c>
      <c r="G476" s="61" t="str">
        <f t="shared" si="37"/>
        <v/>
      </c>
      <c r="H476" s="23" t="str">
        <f t="shared" si="38"/>
        <v/>
      </c>
      <c r="I476" s="70"/>
      <c r="J476" s="70"/>
      <c r="K476" s="69"/>
      <c r="L476" s="6" t="str">
        <f>IFERROR(VLOOKUP(A476,'Acompanhamento da Licitação'!$F$2:$N$1000,6,FALSE()),"")</f>
        <v/>
      </c>
      <c r="M476" s="6" t="str">
        <f>IFERROR(VLOOKUP(A476,'Acompanhamento da Licitação'!$F$2:$N$1000,7,FALSE()),"")</f>
        <v/>
      </c>
      <c r="N476" s="1" t="str">
        <f>IFERROR(VLOOKUP(A476,'Acompanhamento da Licitação'!$F$2:$N$1000,9,FALSE()),"")</f>
        <v/>
      </c>
      <c r="O476" s="1" t="str">
        <f t="shared" si="39"/>
        <v>Não</v>
      </c>
      <c r="P476" s="6">
        <f t="shared" si="40"/>
        <v>0</v>
      </c>
    </row>
    <row r="477" spans="1:16" ht="15.75" x14ac:dyDescent="0.25">
      <c r="A477" s="72"/>
      <c r="B477" s="41"/>
      <c r="C477" s="72"/>
      <c r="D477" s="23"/>
      <c r="E477" s="23"/>
      <c r="F477" s="61" t="str">
        <f t="shared" si="36"/>
        <v/>
      </c>
      <c r="G477" s="61" t="str">
        <f t="shared" si="37"/>
        <v/>
      </c>
      <c r="H477" s="23" t="str">
        <f t="shared" si="38"/>
        <v/>
      </c>
      <c r="I477" s="70"/>
      <c r="J477" s="70"/>
      <c r="K477" s="69"/>
      <c r="L477" s="6" t="str">
        <f>IFERROR(VLOOKUP(A477,'Acompanhamento da Licitação'!$F$2:$N$1000,6,FALSE()),"")</f>
        <v/>
      </c>
      <c r="M477" s="6" t="str">
        <f>IFERROR(VLOOKUP(A477,'Acompanhamento da Licitação'!$F$2:$N$1000,7,FALSE()),"")</f>
        <v/>
      </c>
      <c r="N477" s="1" t="str">
        <f>IFERROR(VLOOKUP(A477,'Acompanhamento da Licitação'!$F$2:$N$1000,9,FALSE()),"")</f>
        <v/>
      </c>
      <c r="O477" s="1" t="str">
        <f t="shared" si="39"/>
        <v>Não</v>
      </c>
      <c r="P477" s="6">
        <f t="shared" si="40"/>
        <v>0</v>
      </c>
    </row>
    <row r="478" spans="1:16" ht="15.75" x14ac:dyDescent="0.25">
      <c r="A478" s="72"/>
      <c r="B478" s="41"/>
      <c r="C478" s="72"/>
      <c r="D478" s="23"/>
      <c r="E478" s="23"/>
      <c r="F478" s="61" t="str">
        <f t="shared" si="36"/>
        <v/>
      </c>
      <c r="G478" s="61" t="str">
        <f t="shared" si="37"/>
        <v/>
      </c>
      <c r="H478" s="23" t="str">
        <f t="shared" si="38"/>
        <v/>
      </c>
      <c r="I478" s="70"/>
      <c r="J478" s="70"/>
      <c r="K478" s="69"/>
      <c r="L478" s="6" t="str">
        <f>IFERROR(VLOOKUP(A478,'Acompanhamento da Licitação'!$F$2:$N$1000,6,FALSE()),"")</f>
        <v/>
      </c>
      <c r="M478" s="6" t="str">
        <f>IFERROR(VLOOKUP(A478,'Acompanhamento da Licitação'!$F$2:$N$1000,7,FALSE()),"")</f>
        <v/>
      </c>
      <c r="N478" s="1" t="str">
        <f>IFERROR(VLOOKUP(A478,'Acompanhamento da Licitação'!$F$2:$N$1000,9,FALSE()),"")</f>
        <v/>
      </c>
      <c r="O478" s="1" t="str">
        <f t="shared" si="39"/>
        <v>Não</v>
      </c>
      <c r="P478" s="6">
        <f t="shared" si="40"/>
        <v>0</v>
      </c>
    </row>
    <row r="479" spans="1:16" ht="15.75" x14ac:dyDescent="0.25">
      <c r="A479" s="72"/>
      <c r="B479" s="41"/>
      <c r="C479" s="72"/>
      <c r="D479" s="23"/>
      <c r="E479" s="23"/>
      <c r="F479" s="61" t="str">
        <f t="shared" si="36"/>
        <v/>
      </c>
      <c r="G479" s="61" t="str">
        <f t="shared" si="37"/>
        <v/>
      </c>
      <c r="H479" s="23" t="str">
        <f t="shared" si="38"/>
        <v/>
      </c>
      <c r="I479" s="70"/>
      <c r="J479" s="70"/>
      <c r="K479" s="69"/>
      <c r="L479" s="6" t="str">
        <f>IFERROR(VLOOKUP(A479,'Acompanhamento da Licitação'!$F$2:$N$1000,6,FALSE()),"")</f>
        <v/>
      </c>
      <c r="M479" s="6" t="str">
        <f>IFERROR(VLOOKUP(A479,'Acompanhamento da Licitação'!$F$2:$N$1000,7,FALSE()),"")</f>
        <v/>
      </c>
      <c r="N479" s="1" t="str">
        <f>IFERROR(VLOOKUP(A479,'Acompanhamento da Licitação'!$F$2:$N$1000,9,FALSE()),"")</f>
        <v/>
      </c>
      <c r="O479" s="1" t="str">
        <f t="shared" si="39"/>
        <v>Não</v>
      </c>
      <c r="P479" s="6">
        <f t="shared" si="40"/>
        <v>0</v>
      </c>
    </row>
    <row r="480" spans="1:16" ht="15.75" x14ac:dyDescent="0.25">
      <c r="A480" s="72"/>
      <c r="B480" s="41"/>
      <c r="C480" s="72"/>
      <c r="D480" s="23"/>
      <c r="E480" s="23"/>
      <c r="F480" s="61" t="str">
        <f t="shared" si="36"/>
        <v/>
      </c>
      <c r="G480" s="61" t="str">
        <f t="shared" si="37"/>
        <v/>
      </c>
      <c r="H480" s="23" t="str">
        <f t="shared" si="38"/>
        <v/>
      </c>
      <c r="I480" s="70"/>
      <c r="J480" s="70"/>
      <c r="K480" s="69"/>
      <c r="L480" s="6" t="str">
        <f>IFERROR(VLOOKUP(A480,'Acompanhamento da Licitação'!$F$2:$N$1000,6,FALSE()),"")</f>
        <v/>
      </c>
      <c r="M480" s="6" t="str">
        <f>IFERROR(VLOOKUP(A480,'Acompanhamento da Licitação'!$F$2:$N$1000,7,FALSE()),"")</f>
        <v/>
      </c>
      <c r="N480" s="1" t="str">
        <f>IFERROR(VLOOKUP(A480,'Acompanhamento da Licitação'!$F$2:$N$1000,9,FALSE()),"")</f>
        <v/>
      </c>
      <c r="O480" s="1" t="str">
        <f t="shared" si="39"/>
        <v>Não</v>
      </c>
      <c r="P480" s="6">
        <f t="shared" si="40"/>
        <v>0</v>
      </c>
    </row>
    <row r="481" spans="1:16" ht="15.75" x14ac:dyDescent="0.25">
      <c r="A481" s="72"/>
      <c r="B481" s="41"/>
      <c r="C481" s="72"/>
      <c r="D481" s="23"/>
      <c r="E481" s="23"/>
      <c r="F481" s="61" t="str">
        <f t="shared" si="36"/>
        <v/>
      </c>
      <c r="G481" s="61" t="str">
        <f t="shared" si="37"/>
        <v/>
      </c>
      <c r="H481" s="23" t="str">
        <f t="shared" si="38"/>
        <v/>
      </c>
      <c r="I481" s="70"/>
      <c r="J481" s="70"/>
      <c r="K481" s="69"/>
      <c r="L481" s="6" t="str">
        <f>IFERROR(VLOOKUP(A481,'Acompanhamento da Licitação'!$F$2:$N$1000,6,FALSE()),"")</f>
        <v/>
      </c>
      <c r="M481" s="6" t="str">
        <f>IFERROR(VLOOKUP(A481,'Acompanhamento da Licitação'!$F$2:$N$1000,7,FALSE()),"")</f>
        <v/>
      </c>
      <c r="N481" s="1" t="str">
        <f>IFERROR(VLOOKUP(A481,'Acompanhamento da Licitação'!$F$2:$N$1000,9,FALSE()),"")</f>
        <v/>
      </c>
      <c r="O481" s="1" t="str">
        <f t="shared" si="39"/>
        <v>Não</v>
      </c>
      <c r="P481" s="6">
        <f t="shared" si="40"/>
        <v>0</v>
      </c>
    </row>
    <row r="482" spans="1:16" ht="15.75" x14ac:dyDescent="0.25">
      <c r="A482" s="72"/>
      <c r="B482" s="41"/>
      <c r="C482" s="72"/>
      <c r="D482" s="23"/>
      <c r="E482" s="23"/>
      <c r="F482" s="61" t="str">
        <f t="shared" si="36"/>
        <v/>
      </c>
      <c r="G482" s="61" t="str">
        <f t="shared" si="37"/>
        <v/>
      </c>
      <c r="H482" s="23" t="str">
        <f t="shared" si="38"/>
        <v/>
      </c>
      <c r="I482" s="70"/>
      <c r="J482" s="70"/>
      <c r="K482" s="69"/>
      <c r="L482" s="6" t="str">
        <f>IFERROR(VLOOKUP(A482,'Acompanhamento da Licitação'!$F$2:$N$1000,6,FALSE()),"")</f>
        <v/>
      </c>
      <c r="M482" s="6" t="str">
        <f>IFERROR(VLOOKUP(A482,'Acompanhamento da Licitação'!$F$2:$N$1000,7,FALSE()),"")</f>
        <v/>
      </c>
      <c r="N482" s="1" t="str">
        <f>IFERROR(VLOOKUP(A482,'Acompanhamento da Licitação'!$F$2:$N$1000,9,FALSE()),"")</f>
        <v/>
      </c>
      <c r="O482" s="1" t="str">
        <f t="shared" si="39"/>
        <v>Não</v>
      </c>
      <c r="P482" s="6">
        <f t="shared" si="40"/>
        <v>0</v>
      </c>
    </row>
    <row r="483" spans="1:16" ht="15.75" x14ac:dyDescent="0.25">
      <c r="A483" s="72"/>
      <c r="B483" s="41"/>
      <c r="C483" s="72"/>
      <c r="D483" s="23"/>
      <c r="E483" s="23"/>
      <c r="F483" s="61" t="str">
        <f t="shared" si="36"/>
        <v/>
      </c>
      <c r="G483" s="61" t="str">
        <f t="shared" si="37"/>
        <v/>
      </c>
      <c r="H483" s="23" t="str">
        <f t="shared" si="38"/>
        <v/>
      </c>
      <c r="I483" s="70"/>
      <c r="J483" s="70"/>
      <c r="K483" s="69"/>
      <c r="L483" s="6" t="str">
        <f>IFERROR(VLOOKUP(A483,'Acompanhamento da Licitação'!$F$2:$N$1000,6,FALSE()),"")</f>
        <v/>
      </c>
      <c r="M483" s="6" t="str">
        <f>IFERROR(VLOOKUP(A483,'Acompanhamento da Licitação'!$F$2:$N$1000,7,FALSE()),"")</f>
        <v/>
      </c>
      <c r="N483" s="1" t="str">
        <f>IFERROR(VLOOKUP(A483,'Acompanhamento da Licitação'!$F$2:$N$1000,9,FALSE()),"")</f>
        <v/>
      </c>
      <c r="O483" s="1" t="str">
        <f t="shared" si="39"/>
        <v>Não</v>
      </c>
      <c r="P483" s="6">
        <f t="shared" si="40"/>
        <v>0</v>
      </c>
    </row>
    <row r="484" spans="1:16" ht="15.75" x14ac:dyDescent="0.25">
      <c r="A484" s="72"/>
      <c r="B484" s="41"/>
      <c r="C484" s="72"/>
      <c r="D484" s="23"/>
      <c r="E484" s="23"/>
      <c r="F484" s="61" t="str">
        <f t="shared" si="36"/>
        <v/>
      </c>
      <c r="G484" s="61" t="str">
        <f t="shared" si="37"/>
        <v/>
      </c>
      <c r="H484" s="23" t="str">
        <f t="shared" si="38"/>
        <v/>
      </c>
      <c r="I484" s="70"/>
      <c r="J484" s="70"/>
      <c r="K484" s="69"/>
      <c r="L484" s="6" t="str">
        <f>IFERROR(VLOOKUP(A484,'Acompanhamento da Licitação'!$F$2:$N$1000,6,FALSE()),"")</f>
        <v/>
      </c>
      <c r="M484" s="6" t="str">
        <f>IFERROR(VLOOKUP(A484,'Acompanhamento da Licitação'!$F$2:$N$1000,7,FALSE()),"")</f>
        <v/>
      </c>
      <c r="N484" s="1" t="str">
        <f>IFERROR(VLOOKUP(A484,'Acompanhamento da Licitação'!$F$2:$N$1000,9,FALSE()),"")</f>
        <v/>
      </c>
      <c r="O484" s="1" t="str">
        <f t="shared" si="39"/>
        <v>Não</v>
      </c>
      <c r="P484" s="6">
        <f t="shared" si="40"/>
        <v>0</v>
      </c>
    </row>
    <row r="485" spans="1:16" ht="15.75" x14ac:dyDescent="0.25">
      <c r="A485" s="72"/>
      <c r="B485" s="41"/>
      <c r="C485" s="72"/>
      <c r="D485" s="23"/>
      <c r="E485" s="23"/>
      <c r="F485" s="61" t="str">
        <f t="shared" si="36"/>
        <v/>
      </c>
      <c r="G485" s="61" t="str">
        <f t="shared" si="37"/>
        <v/>
      </c>
      <c r="H485" s="23" t="str">
        <f t="shared" si="38"/>
        <v/>
      </c>
      <c r="I485" s="70"/>
      <c r="J485" s="70"/>
      <c r="K485" s="69"/>
      <c r="L485" s="6" t="str">
        <f>IFERROR(VLOOKUP(A485,'Acompanhamento da Licitação'!$F$2:$N$1000,6,FALSE()),"")</f>
        <v/>
      </c>
      <c r="M485" s="6" t="str">
        <f>IFERROR(VLOOKUP(A485,'Acompanhamento da Licitação'!$F$2:$N$1000,7,FALSE()),"")</f>
        <v/>
      </c>
      <c r="N485" s="1" t="str">
        <f>IFERROR(VLOOKUP(A485,'Acompanhamento da Licitação'!$F$2:$N$1000,9,FALSE()),"")</f>
        <v/>
      </c>
      <c r="O485" s="1" t="str">
        <f t="shared" si="39"/>
        <v>Não</v>
      </c>
      <c r="P485" s="6">
        <f t="shared" si="40"/>
        <v>0</v>
      </c>
    </row>
    <row r="486" spans="1:16" ht="15.75" x14ac:dyDescent="0.25">
      <c r="A486" s="72"/>
      <c r="B486" s="41"/>
      <c r="C486" s="72"/>
      <c r="D486" s="23"/>
      <c r="E486" s="23"/>
      <c r="F486" s="61" t="str">
        <f t="shared" si="36"/>
        <v/>
      </c>
      <c r="G486" s="61" t="str">
        <f t="shared" si="37"/>
        <v/>
      </c>
      <c r="H486" s="23" t="str">
        <f t="shared" si="38"/>
        <v/>
      </c>
      <c r="I486" s="70"/>
      <c r="J486" s="70"/>
      <c r="K486" s="69"/>
      <c r="L486" s="6" t="str">
        <f>IFERROR(VLOOKUP(A486,'Acompanhamento da Licitação'!$F$2:$N$1000,6,FALSE()),"")</f>
        <v/>
      </c>
      <c r="M486" s="6" t="str">
        <f>IFERROR(VLOOKUP(A486,'Acompanhamento da Licitação'!$F$2:$N$1000,7,FALSE()),"")</f>
        <v/>
      </c>
      <c r="N486" s="1" t="str">
        <f>IFERROR(VLOOKUP(A486,'Acompanhamento da Licitação'!$F$2:$N$1000,9,FALSE()),"")</f>
        <v/>
      </c>
      <c r="O486" s="1" t="str">
        <f t="shared" si="39"/>
        <v>Não</v>
      </c>
      <c r="P486" s="6">
        <f t="shared" si="40"/>
        <v>0</v>
      </c>
    </row>
    <row r="487" spans="1:16" ht="15.75" x14ac:dyDescent="0.25">
      <c r="A487" s="72"/>
      <c r="B487" s="41"/>
      <c r="C487" s="72"/>
      <c r="D487" s="23"/>
      <c r="E487" s="23"/>
      <c r="F487" s="61" t="str">
        <f t="shared" si="36"/>
        <v/>
      </c>
      <c r="G487" s="61" t="str">
        <f t="shared" si="37"/>
        <v/>
      </c>
      <c r="H487" s="23" t="str">
        <f t="shared" si="38"/>
        <v/>
      </c>
      <c r="I487" s="70"/>
      <c r="J487" s="70"/>
      <c r="K487" s="69"/>
      <c r="L487" s="6" t="str">
        <f>IFERROR(VLOOKUP(A487,'Acompanhamento da Licitação'!$F$2:$N$1000,6,FALSE()),"")</f>
        <v/>
      </c>
      <c r="M487" s="6" t="str">
        <f>IFERROR(VLOOKUP(A487,'Acompanhamento da Licitação'!$F$2:$N$1000,7,FALSE()),"")</f>
        <v/>
      </c>
      <c r="N487" s="1" t="str">
        <f>IFERROR(VLOOKUP(A487,'Acompanhamento da Licitação'!$F$2:$N$1000,9,FALSE()),"")</f>
        <v/>
      </c>
      <c r="O487" s="1" t="str">
        <f t="shared" si="39"/>
        <v>Não</v>
      </c>
      <c r="P487" s="6">
        <f t="shared" si="40"/>
        <v>0</v>
      </c>
    </row>
    <row r="488" spans="1:16" ht="15.75" x14ac:dyDescent="0.25">
      <c r="A488" s="72"/>
      <c r="B488" s="41"/>
      <c r="C488" s="72"/>
      <c r="D488" s="23"/>
      <c r="E488" s="23"/>
      <c r="F488" s="61" t="str">
        <f t="shared" si="36"/>
        <v/>
      </c>
      <c r="G488" s="61" t="str">
        <f t="shared" si="37"/>
        <v/>
      </c>
      <c r="H488" s="23" t="str">
        <f t="shared" si="38"/>
        <v/>
      </c>
      <c r="I488" s="70"/>
      <c r="J488" s="70"/>
      <c r="K488" s="69"/>
      <c r="L488" s="6" t="str">
        <f>IFERROR(VLOOKUP(A488,'Acompanhamento da Licitação'!$F$2:$N$1000,6,FALSE()),"")</f>
        <v/>
      </c>
      <c r="M488" s="6" t="str">
        <f>IFERROR(VLOOKUP(A488,'Acompanhamento da Licitação'!$F$2:$N$1000,7,FALSE()),"")</f>
        <v/>
      </c>
      <c r="N488" s="1" t="str">
        <f>IFERROR(VLOOKUP(A488,'Acompanhamento da Licitação'!$F$2:$N$1000,9,FALSE()),"")</f>
        <v/>
      </c>
      <c r="O488" s="1" t="str">
        <f t="shared" si="39"/>
        <v>Não</v>
      </c>
      <c r="P488" s="6">
        <f t="shared" si="40"/>
        <v>0</v>
      </c>
    </row>
    <row r="489" spans="1:16" ht="15.75" x14ac:dyDescent="0.25">
      <c r="A489" s="72"/>
      <c r="B489" s="41"/>
      <c r="C489" s="72"/>
      <c r="D489" s="23"/>
      <c r="E489" s="23"/>
      <c r="F489" s="61" t="str">
        <f t="shared" si="36"/>
        <v/>
      </c>
      <c r="G489" s="61" t="str">
        <f t="shared" si="37"/>
        <v/>
      </c>
      <c r="H489" s="23" t="str">
        <f t="shared" si="38"/>
        <v/>
      </c>
      <c r="I489" s="70"/>
      <c r="J489" s="70"/>
      <c r="K489" s="69"/>
      <c r="L489" s="6" t="str">
        <f>IFERROR(VLOOKUP(A489,'Acompanhamento da Licitação'!$F$2:$N$1000,6,FALSE()),"")</f>
        <v/>
      </c>
      <c r="M489" s="6" t="str">
        <f>IFERROR(VLOOKUP(A489,'Acompanhamento da Licitação'!$F$2:$N$1000,7,FALSE()),"")</f>
        <v/>
      </c>
      <c r="N489" s="1" t="str">
        <f>IFERROR(VLOOKUP(A489,'Acompanhamento da Licitação'!$F$2:$N$1000,9,FALSE()),"")</f>
        <v/>
      </c>
      <c r="O489" s="1" t="str">
        <f t="shared" si="39"/>
        <v>Não</v>
      </c>
      <c r="P489" s="6">
        <f t="shared" si="40"/>
        <v>0</v>
      </c>
    </row>
    <row r="490" spans="1:16" ht="15.75" x14ac:dyDescent="0.25">
      <c r="A490" s="72"/>
      <c r="B490" s="41"/>
      <c r="C490" s="72"/>
      <c r="D490" s="23"/>
      <c r="E490" s="23"/>
      <c r="F490" s="61" t="str">
        <f t="shared" si="36"/>
        <v/>
      </c>
      <c r="G490" s="61" t="str">
        <f t="shared" si="37"/>
        <v/>
      </c>
      <c r="H490" s="23" t="str">
        <f t="shared" si="38"/>
        <v/>
      </c>
      <c r="I490" s="70"/>
      <c r="J490" s="70"/>
      <c r="K490" s="69"/>
      <c r="L490" s="6" t="str">
        <f>IFERROR(VLOOKUP(A490,'Acompanhamento da Licitação'!$F$2:$N$1000,6,FALSE()),"")</f>
        <v/>
      </c>
      <c r="M490" s="6" t="str">
        <f>IFERROR(VLOOKUP(A490,'Acompanhamento da Licitação'!$F$2:$N$1000,7,FALSE()),"")</f>
        <v/>
      </c>
      <c r="N490" s="1" t="str">
        <f>IFERROR(VLOOKUP(A490,'Acompanhamento da Licitação'!$F$2:$N$1000,9,FALSE()),"")</f>
        <v/>
      </c>
      <c r="O490" s="1" t="str">
        <f t="shared" si="39"/>
        <v>Não</v>
      </c>
      <c r="P490" s="6">
        <f t="shared" si="40"/>
        <v>0</v>
      </c>
    </row>
    <row r="491" spans="1:16" ht="15.75" x14ac:dyDescent="0.25">
      <c r="A491" s="72"/>
      <c r="B491" s="41"/>
      <c r="C491" s="72"/>
      <c r="D491" s="23"/>
      <c r="E491" s="23"/>
      <c r="F491" s="61" t="str">
        <f t="shared" si="36"/>
        <v/>
      </c>
      <c r="G491" s="61" t="str">
        <f t="shared" si="37"/>
        <v/>
      </c>
      <c r="H491" s="23" t="str">
        <f t="shared" si="38"/>
        <v/>
      </c>
      <c r="I491" s="70"/>
      <c r="J491" s="70"/>
      <c r="K491" s="69"/>
      <c r="L491" s="6" t="str">
        <f>IFERROR(VLOOKUP(A491,'Acompanhamento da Licitação'!$F$2:$N$1000,6,FALSE()),"")</f>
        <v/>
      </c>
      <c r="M491" s="6" t="str">
        <f>IFERROR(VLOOKUP(A491,'Acompanhamento da Licitação'!$F$2:$N$1000,7,FALSE()),"")</f>
        <v/>
      </c>
      <c r="N491" s="1" t="str">
        <f>IFERROR(VLOOKUP(A491,'Acompanhamento da Licitação'!$F$2:$N$1000,9,FALSE()),"")</f>
        <v/>
      </c>
      <c r="O491" s="1" t="str">
        <f t="shared" si="39"/>
        <v>Não</v>
      </c>
      <c r="P491" s="6">
        <f t="shared" si="40"/>
        <v>0</v>
      </c>
    </row>
    <row r="492" spans="1:16" ht="15.75" x14ac:dyDescent="0.25">
      <c r="A492" s="72"/>
      <c r="B492" s="41"/>
      <c r="C492" s="72"/>
      <c r="D492" s="23"/>
      <c r="E492" s="23"/>
      <c r="F492" s="61" t="str">
        <f t="shared" si="36"/>
        <v/>
      </c>
      <c r="G492" s="61" t="str">
        <f t="shared" si="37"/>
        <v/>
      </c>
      <c r="H492" s="23" t="str">
        <f t="shared" si="38"/>
        <v/>
      </c>
      <c r="I492" s="70"/>
      <c r="J492" s="70"/>
      <c r="K492" s="69"/>
      <c r="L492" s="6" t="str">
        <f>IFERROR(VLOOKUP(A492,'Acompanhamento da Licitação'!$F$2:$N$1000,6,FALSE()),"")</f>
        <v/>
      </c>
      <c r="M492" s="6" t="str">
        <f>IFERROR(VLOOKUP(A492,'Acompanhamento da Licitação'!$F$2:$N$1000,7,FALSE()),"")</f>
        <v/>
      </c>
      <c r="N492" s="1" t="str">
        <f>IFERROR(VLOOKUP(A492,'Acompanhamento da Licitação'!$F$2:$N$1000,9,FALSE()),"")</f>
        <v/>
      </c>
      <c r="O492" s="1" t="str">
        <f t="shared" si="39"/>
        <v>Não</v>
      </c>
      <c r="P492" s="6">
        <f t="shared" si="40"/>
        <v>0</v>
      </c>
    </row>
    <row r="493" spans="1:16" ht="15.75" x14ac:dyDescent="0.25">
      <c r="A493" s="72"/>
      <c r="B493" s="41"/>
      <c r="C493" s="72"/>
      <c r="D493" s="23"/>
      <c r="E493" s="23"/>
      <c r="F493" s="61" t="str">
        <f t="shared" si="36"/>
        <v/>
      </c>
      <c r="G493" s="61" t="str">
        <f t="shared" si="37"/>
        <v/>
      </c>
      <c r="H493" s="23" t="str">
        <f t="shared" si="38"/>
        <v/>
      </c>
      <c r="I493" s="70"/>
      <c r="J493" s="70"/>
      <c r="K493" s="69"/>
      <c r="L493" s="6" t="str">
        <f>IFERROR(VLOOKUP(A493,'Acompanhamento da Licitação'!$F$2:$N$1000,6,FALSE()),"")</f>
        <v/>
      </c>
      <c r="M493" s="6" t="str">
        <f>IFERROR(VLOOKUP(A493,'Acompanhamento da Licitação'!$F$2:$N$1000,7,FALSE()),"")</f>
        <v/>
      </c>
      <c r="N493" s="1" t="str">
        <f>IFERROR(VLOOKUP(A493,'Acompanhamento da Licitação'!$F$2:$N$1000,9,FALSE()),"")</f>
        <v/>
      </c>
      <c r="O493" s="1" t="str">
        <f t="shared" si="39"/>
        <v>Não</v>
      </c>
      <c r="P493" s="6">
        <f t="shared" si="40"/>
        <v>0</v>
      </c>
    </row>
    <row r="494" spans="1:16" ht="15.75" x14ac:dyDescent="0.25">
      <c r="A494" s="72"/>
      <c r="B494" s="41"/>
      <c r="C494" s="72"/>
      <c r="D494" s="23"/>
      <c r="E494" s="23"/>
      <c r="F494" s="61" t="str">
        <f t="shared" si="36"/>
        <v/>
      </c>
      <c r="G494" s="61" t="str">
        <f t="shared" si="37"/>
        <v/>
      </c>
      <c r="H494" s="23" t="str">
        <f t="shared" si="38"/>
        <v/>
      </c>
      <c r="I494" s="70"/>
      <c r="J494" s="70"/>
      <c r="K494" s="69"/>
      <c r="L494" s="6" t="str">
        <f>IFERROR(VLOOKUP(A494,'Acompanhamento da Licitação'!$F$2:$N$1000,6,FALSE()),"")</f>
        <v/>
      </c>
      <c r="M494" s="6" t="str">
        <f>IFERROR(VLOOKUP(A494,'Acompanhamento da Licitação'!$F$2:$N$1000,7,FALSE()),"")</f>
        <v/>
      </c>
      <c r="N494" s="1" t="str">
        <f>IFERROR(VLOOKUP(A494,'Acompanhamento da Licitação'!$F$2:$N$1000,9,FALSE()),"")</f>
        <v/>
      </c>
      <c r="O494" s="1" t="str">
        <f t="shared" si="39"/>
        <v>Não</v>
      </c>
      <c r="P494" s="6">
        <f t="shared" si="40"/>
        <v>0</v>
      </c>
    </row>
    <row r="495" spans="1:16" ht="15.75" x14ac:dyDescent="0.25">
      <c r="A495" s="72"/>
      <c r="B495" s="41"/>
      <c r="C495" s="72"/>
      <c r="D495" s="23"/>
      <c r="E495" s="23"/>
      <c r="F495" s="61" t="str">
        <f t="shared" si="36"/>
        <v/>
      </c>
      <c r="G495" s="61" t="str">
        <f t="shared" si="37"/>
        <v/>
      </c>
      <c r="H495" s="23" t="str">
        <f t="shared" si="38"/>
        <v/>
      </c>
      <c r="I495" s="70"/>
      <c r="J495" s="70"/>
      <c r="K495" s="69"/>
      <c r="L495" s="6" t="str">
        <f>IFERROR(VLOOKUP(A495,'Acompanhamento da Licitação'!$F$2:$N$1000,6,FALSE()),"")</f>
        <v/>
      </c>
      <c r="M495" s="6" t="str">
        <f>IFERROR(VLOOKUP(A495,'Acompanhamento da Licitação'!$F$2:$N$1000,7,FALSE()),"")</f>
        <v/>
      </c>
      <c r="N495" s="1" t="str">
        <f>IFERROR(VLOOKUP(A495,'Acompanhamento da Licitação'!$F$2:$N$1000,9,FALSE()),"")</f>
        <v/>
      </c>
      <c r="O495" s="1" t="str">
        <f t="shared" si="39"/>
        <v>Não</v>
      </c>
      <c r="P495" s="6">
        <f t="shared" si="40"/>
        <v>0</v>
      </c>
    </row>
    <row r="496" spans="1:16" ht="15.75" x14ac:dyDescent="0.25">
      <c r="A496" s="72"/>
      <c r="B496" s="41"/>
      <c r="C496" s="72"/>
      <c r="D496" s="23"/>
      <c r="E496" s="23"/>
      <c r="F496" s="61" t="str">
        <f t="shared" si="36"/>
        <v/>
      </c>
      <c r="G496" s="61" t="str">
        <f t="shared" si="37"/>
        <v/>
      </c>
      <c r="H496" s="23" t="str">
        <f t="shared" si="38"/>
        <v/>
      </c>
      <c r="I496" s="70"/>
      <c r="J496" s="70"/>
      <c r="K496" s="69"/>
      <c r="L496" s="6" t="str">
        <f>IFERROR(VLOOKUP(A496,'Acompanhamento da Licitação'!$F$2:$N$1000,6,FALSE()),"")</f>
        <v/>
      </c>
      <c r="M496" s="6" t="str">
        <f>IFERROR(VLOOKUP(A496,'Acompanhamento da Licitação'!$F$2:$N$1000,7,FALSE()),"")</f>
        <v/>
      </c>
      <c r="N496" s="1" t="str">
        <f>IFERROR(VLOOKUP(A496,'Acompanhamento da Licitação'!$F$2:$N$1000,9,FALSE()),"")</f>
        <v/>
      </c>
      <c r="O496" s="1" t="str">
        <f t="shared" si="39"/>
        <v>Não</v>
      </c>
      <c r="P496" s="6">
        <f t="shared" si="40"/>
        <v>0</v>
      </c>
    </row>
    <row r="497" spans="1:16" ht="15.75" x14ac:dyDescent="0.25">
      <c r="A497" s="72"/>
      <c r="B497" s="41"/>
      <c r="C497" s="72"/>
      <c r="D497" s="23"/>
      <c r="E497" s="23"/>
      <c r="F497" s="61" t="str">
        <f t="shared" si="36"/>
        <v/>
      </c>
      <c r="G497" s="61" t="str">
        <f t="shared" si="37"/>
        <v/>
      </c>
      <c r="H497" s="23" t="str">
        <f t="shared" si="38"/>
        <v/>
      </c>
      <c r="I497" s="70"/>
      <c r="J497" s="70"/>
      <c r="K497" s="69"/>
      <c r="L497" s="6" t="str">
        <f>IFERROR(VLOOKUP(A497,'Acompanhamento da Licitação'!$F$2:$N$1000,6,FALSE()),"")</f>
        <v/>
      </c>
      <c r="M497" s="6" t="str">
        <f>IFERROR(VLOOKUP(A497,'Acompanhamento da Licitação'!$F$2:$N$1000,7,FALSE()),"")</f>
        <v/>
      </c>
      <c r="N497" s="1" t="str">
        <f>IFERROR(VLOOKUP(A497,'Acompanhamento da Licitação'!$F$2:$N$1000,9,FALSE()),"")</f>
        <v/>
      </c>
      <c r="O497" s="1" t="str">
        <f t="shared" si="39"/>
        <v>Não</v>
      </c>
      <c r="P497" s="6">
        <f t="shared" si="40"/>
        <v>0</v>
      </c>
    </row>
    <row r="498" spans="1:16" ht="15.75" x14ac:dyDescent="0.25">
      <c r="A498" s="72"/>
      <c r="B498" s="41"/>
      <c r="C498" s="72"/>
      <c r="D498" s="23"/>
      <c r="E498" s="23"/>
      <c r="F498" s="61" t="str">
        <f t="shared" si="36"/>
        <v/>
      </c>
      <c r="G498" s="61" t="str">
        <f t="shared" si="37"/>
        <v/>
      </c>
      <c r="H498" s="23" t="str">
        <f t="shared" si="38"/>
        <v/>
      </c>
      <c r="I498" s="70"/>
      <c r="J498" s="70"/>
      <c r="K498" s="69"/>
      <c r="L498" s="6" t="str">
        <f>IFERROR(VLOOKUP(A498,'Acompanhamento da Licitação'!$F$2:$N$1000,6,FALSE()),"")</f>
        <v/>
      </c>
      <c r="M498" s="6" t="str">
        <f>IFERROR(VLOOKUP(A498,'Acompanhamento da Licitação'!$F$2:$N$1000,7,FALSE()),"")</f>
        <v/>
      </c>
      <c r="N498" s="1" t="str">
        <f>IFERROR(VLOOKUP(A498,'Acompanhamento da Licitação'!$F$2:$N$1000,9,FALSE()),"")</f>
        <v/>
      </c>
      <c r="O498" s="1" t="str">
        <f t="shared" si="39"/>
        <v>Não</v>
      </c>
      <c r="P498" s="6">
        <f t="shared" si="40"/>
        <v>0</v>
      </c>
    </row>
    <row r="499" spans="1:16" ht="15.75" x14ac:dyDescent="0.25">
      <c r="A499" s="72"/>
      <c r="B499" s="41"/>
      <c r="C499" s="72"/>
      <c r="D499" s="23"/>
      <c r="E499" s="23"/>
      <c r="F499" s="61" t="str">
        <f t="shared" si="36"/>
        <v/>
      </c>
      <c r="G499" s="61" t="str">
        <f t="shared" si="37"/>
        <v/>
      </c>
      <c r="H499" s="23" t="str">
        <f t="shared" si="38"/>
        <v/>
      </c>
      <c r="I499" s="70"/>
      <c r="J499" s="70"/>
      <c r="K499" s="69"/>
      <c r="L499" s="6" t="str">
        <f>IFERROR(VLOOKUP(A499,'Acompanhamento da Licitação'!$F$2:$N$1000,6,FALSE()),"")</f>
        <v/>
      </c>
      <c r="M499" s="6" t="str">
        <f>IFERROR(VLOOKUP(A499,'Acompanhamento da Licitação'!$F$2:$N$1000,7,FALSE()),"")</f>
        <v/>
      </c>
      <c r="N499" s="1" t="str">
        <f>IFERROR(VLOOKUP(A499,'Acompanhamento da Licitação'!$F$2:$N$1000,9,FALSE()),"")</f>
        <v/>
      </c>
      <c r="O499" s="1" t="str">
        <f t="shared" si="39"/>
        <v>Não</v>
      </c>
      <c r="P499" s="6">
        <f t="shared" si="40"/>
        <v>0</v>
      </c>
    </row>
    <row r="500" spans="1:16" ht="15.75" x14ac:dyDescent="0.25">
      <c r="A500" s="72"/>
      <c r="B500" s="41"/>
      <c r="C500" s="72"/>
      <c r="D500" s="23"/>
      <c r="E500" s="23"/>
      <c r="F500" s="61" t="str">
        <f t="shared" si="36"/>
        <v/>
      </c>
      <c r="G500" s="61" t="str">
        <f t="shared" si="37"/>
        <v/>
      </c>
      <c r="H500" s="23" t="str">
        <f t="shared" si="38"/>
        <v/>
      </c>
      <c r="I500" s="70"/>
      <c r="J500" s="70"/>
      <c r="K500" s="69"/>
      <c r="L500" s="6" t="str">
        <f>IFERROR(VLOOKUP(A500,'Acompanhamento da Licitação'!$F$2:$N$1000,6,FALSE()),"")</f>
        <v/>
      </c>
      <c r="M500" s="6" t="str">
        <f>IFERROR(VLOOKUP(A500,'Acompanhamento da Licitação'!$F$2:$N$1000,7,FALSE()),"")</f>
        <v/>
      </c>
      <c r="N500" s="1" t="str">
        <f>IFERROR(VLOOKUP(A500,'Acompanhamento da Licitação'!$F$2:$N$1000,9,FALSE()),"")</f>
        <v/>
      </c>
      <c r="O500" s="1" t="str">
        <f t="shared" si="39"/>
        <v>Não</v>
      </c>
      <c r="P500" s="6">
        <f t="shared" si="40"/>
        <v>0</v>
      </c>
    </row>
    <row r="501" spans="1:16" x14ac:dyDescent="0.2">
      <c r="L501" s="6" t="str">
        <f>IFERROR(VLOOKUP(A501,'Acompanhamento da Licitação'!$F$2:$N$1000,6,FALSE()),"")</f>
        <v/>
      </c>
      <c r="M501" s="6" t="str">
        <f>IFERROR(VLOOKUP(A501,'Acompanhamento da Licitação'!$F$2:$N$1000,7,FALSE()),"")</f>
        <v/>
      </c>
      <c r="N501" s="1" t="str">
        <f>IFERROR(VLOOKUP(A501,'Acompanhamento da Licitação'!$F$2:$N$1000,9,FALSE()),"")</f>
        <v/>
      </c>
      <c r="O501" s="1"/>
      <c r="P501" s="6"/>
    </row>
    <row r="502" spans="1:16" x14ac:dyDescent="0.2">
      <c r="L502" s="6" t="str">
        <f>IFERROR(VLOOKUP(A502,'Acompanhamento da Licitação'!$F$2:$N$1000,6,FALSE()),"")</f>
        <v/>
      </c>
      <c r="M502" s="6" t="str">
        <f>IFERROR(VLOOKUP(A502,'Acompanhamento da Licitação'!$F$2:$N$1000,7,FALSE()),"")</f>
        <v/>
      </c>
      <c r="N502" s="1" t="str">
        <f>IFERROR(VLOOKUP(A502,'Acompanhamento da Licitação'!$F$2:$N$1000,9,FALSE()),"")</f>
        <v/>
      </c>
      <c r="O502" s="1"/>
      <c r="P502" s="6"/>
    </row>
    <row r="503" spans="1:16" x14ac:dyDescent="0.2">
      <c r="L503" s="6" t="str">
        <f>IFERROR(VLOOKUP(A503,'Acompanhamento da Licitação'!$F$2:$N$1000,6,FALSE()),"")</f>
        <v/>
      </c>
      <c r="M503" s="6" t="str">
        <f>IFERROR(VLOOKUP(A503,'Acompanhamento da Licitação'!$F$2:$N$1000,7,FALSE()),"")</f>
        <v/>
      </c>
      <c r="N503" s="1" t="str">
        <f>IFERROR(VLOOKUP(A503,'Acompanhamento da Licitação'!$F$2:$N$1000,9,FALSE()),"")</f>
        <v/>
      </c>
      <c r="O503" s="1"/>
      <c r="P503" s="6"/>
    </row>
    <row r="504" spans="1:16" x14ac:dyDescent="0.2">
      <c r="L504" s="6" t="str">
        <f>IFERROR(VLOOKUP(A504,'Acompanhamento da Licitação'!$F$2:$N$1000,6,FALSE()),"")</f>
        <v/>
      </c>
      <c r="M504" s="6" t="str">
        <f>IFERROR(VLOOKUP(A504,'Acompanhamento da Licitação'!$F$2:$N$1000,7,FALSE()),"")</f>
        <v/>
      </c>
      <c r="N504" s="1" t="str">
        <f>IFERROR(VLOOKUP(A504,'Acompanhamento da Licitação'!$F$2:$N$1000,9,FALSE()),"")</f>
        <v/>
      </c>
      <c r="O504" s="1"/>
      <c r="P504" s="6"/>
    </row>
    <row r="505" spans="1:16" x14ac:dyDescent="0.2">
      <c r="L505" s="6" t="str">
        <f>IFERROR(VLOOKUP(A505,'Acompanhamento da Licitação'!$F$2:$N$1000,6,FALSE()),"")</f>
        <v/>
      </c>
      <c r="M505" s="6" t="str">
        <f>IFERROR(VLOOKUP(A505,'Acompanhamento da Licitação'!$F$2:$N$1000,7,FALSE()),"")</f>
        <v/>
      </c>
      <c r="N505" s="1" t="str">
        <f>IFERROR(VLOOKUP(A505,'Acompanhamento da Licitação'!$F$2:$N$1000,9,FALSE()),"")</f>
        <v/>
      </c>
      <c r="O505" s="1"/>
      <c r="P505" s="6"/>
    </row>
    <row r="506" spans="1:16" x14ac:dyDescent="0.2">
      <c r="L506" s="6" t="str">
        <f>IFERROR(VLOOKUP(A506,'Acompanhamento da Licitação'!$F$2:$N$1000,6,FALSE()),"")</f>
        <v/>
      </c>
      <c r="M506" s="6" t="str">
        <f>IFERROR(VLOOKUP(A506,'Acompanhamento da Licitação'!$F$2:$N$1000,7,FALSE()),"")</f>
        <v/>
      </c>
      <c r="N506" s="1" t="str">
        <f>IFERROR(VLOOKUP(A506,'Acompanhamento da Licitação'!$F$2:$N$1000,9,FALSE()),"")</f>
        <v/>
      </c>
      <c r="O506" s="1"/>
      <c r="P506" s="6"/>
    </row>
    <row r="507" spans="1:16" x14ac:dyDescent="0.2">
      <c r="L507" s="6" t="str">
        <f>IFERROR(VLOOKUP(A507,'Acompanhamento da Licitação'!$F$2:$N$1000,6,FALSE()),"")</f>
        <v/>
      </c>
      <c r="M507" s="6" t="str">
        <f>IFERROR(VLOOKUP(A507,'Acompanhamento da Licitação'!$F$2:$N$1000,7,FALSE()),"")</f>
        <v/>
      </c>
      <c r="N507" s="1" t="str">
        <f>IFERROR(VLOOKUP(A507,'Acompanhamento da Licitação'!$F$2:$N$1000,9,FALSE()),"")</f>
        <v/>
      </c>
      <c r="O507" s="1"/>
      <c r="P507" s="6"/>
    </row>
    <row r="508" spans="1:16" x14ac:dyDescent="0.2">
      <c r="L508" s="6" t="str">
        <f>IFERROR(VLOOKUP(A508,'Acompanhamento da Licitação'!$F$2:$N$1000,6,FALSE()),"")</f>
        <v/>
      </c>
      <c r="M508" s="6" t="str">
        <f>IFERROR(VLOOKUP(A508,'Acompanhamento da Licitação'!$F$2:$N$1000,7,FALSE()),"")</f>
        <v/>
      </c>
      <c r="N508" s="1" t="str">
        <f>IFERROR(VLOOKUP(A508,'Acompanhamento da Licitação'!$F$2:$N$1000,9,FALSE()),"")</f>
        <v/>
      </c>
      <c r="O508" s="1"/>
      <c r="P508" s="6"/>
    </row>
    <row r="509" spans="1:16" x14ac:dyDescent="0.2">
      <c r="L509" s="6" t="str">
        <f>IFERROR(VLOOKUP(A509,'Acompanhamento da Licitação'!$F$2:$N$1000,6,FALSE()),"")</f>
        <v/>
      </c>
      <c r="M509" s="6" t="str">
        <f>IFERROR(VLOOKUP(A509,'Acompanhamento da Licitação'!$F$2:$N$1000,7,FALSE()),"")</f>
        <v/>
      </c>
      <c r="N509" s="1" t="str">
        <f>IFERROR(VLOOKUP(A509,'Acompanhamento da Licitação'!$F$2:$N$1000,9,FALSE()),"")</f>
        <v/>
      </c>
      <c r="O509" s="1"/>
      <c r="P509" s="6"/>
    </row>
    <row r="510" spans="1:16" x14ac:dyDescent="0.2">
      <c r="L510" s="6" t="str">
        <f>IFERROR(VLOOKUP(A510,'Acompanhamento da Licitação'!$F$2:$N$1000,6,FALSE()),"")</f>
        <v/>
      </c>
      <c r="M510" s="6" t="str">
        <f>IFERROR(VLOOKUP(A510,'Acompanhamento da Licitação'!$F$2:$N$1000,7,FALSE()),"")</f>
        <v/>
      </c>
      <c r="N510" s="1" t="str">
        <f>IFERROR(VLOOKUP(A510,'Acompanhamento da Licitação'!$F$2:$N$1000,9,FALSE()),"")</f>
        <v/>
      </c>
      <c r="O510" s="1"/>
      <c r="P510" s="6"/>
    </row>
    <row r="511" spans="1:16" x14ac:dyDescent="0.2">
      <c r="L511" s="6" t="str">
        <f>IFERROR(VLOOKUP(A511,'Acompanhamento da Licitação'!$F$2:$N$1000,6,FALSE()),"")</f>
        <v/>
      </c>
      <c r="M511" s="6" t="str">
        <f>IFERROR(VLOOKUP(A511,'Acompanhamento da Licitação'!$F$2:$N$1000,7,FALSE()),"")</f>
        <v/>
      </c>
      <c r="N511" s="1" t="str">
        <f>IFERROR(VLOOKUP(A511,'Acompanhamento da Licitação'!$F$2:$N$1000,9,FALSE()),"")</f>
        <v/>
      </c>
      <c r="O511" s="1"/>
      <c r="P511" s="6"/>
    </row>
    <row r="512" spans="1:16" x14ac:dyDescent="0.2">
      <c r="L512" s="6" t="str">
        <f>IFERROR(VLOOKUP(A512,'Acompanhamento da Licitação'!$F$2:$N$1000,6,FALSE()),"")</f>
        <v/>
      </c>
      <c r="M512" s="6" t="str">
        <f>IFERROR(VLOOKUP(A512,'Acompanhamento da Licitação'!$F$2:$N$1000,7,FALSE()),"")</f>
        <v/>
      </c>
      <c r="N512" s="1" t="str">
        <f>IFERROR(VLOOKUP(A512,'Acompanhamento da Licitação'!$F$2:$N$1000,9,FALSE()),"")</f>
        <v/>
      </c>
      <c r="O512" s="1"/>
      <c r="P512" s="6"/>
    </row>
    <row r="513" spans="12:16" x14ac:dyDescent="0.2">
      <c r="L513" s="6" t="str">
        <f>IFERROR(VLOOKUP(A513,'Acompanhamento da Licitação'!$F$2:$N$1000,6,FALSE()),"")</f>
        <v/>
      </c>
      <c r="M513" s="6" t="str">
        <f>IFERROR(VLOOKUP(A513,'Acompanhamento da Licitação'!$F$2:$N$1000,7,FALSE()),"")</f>
        <v/>
      </c>
      <c r="N513" s="1" t="str">
        <f>IFERROR(VLOOKUP(A513,'Acompanhamento da Licitação'!$F$2:$N$1000,9,FALSE()),"")</f>
        <v/>
      </c>
      <c r="O513" s="1"/>
      <c r="P513" s="6"/>
    </row>
    <row r="514" spans="12:16" x14ac:dyDescent="0.2">
      <c r="L514" s="6" t="str">
        <f>IFERROR(VLOOKUP(A514,'Acompanhamento da Licitação'!$F$2:$N$1000,6,FALSE()),"")</f>
        <v/>
      </c>
      <c r="M514" s="6" t="str">
        <f>IFERROR(VLOOKUP(A514,'Acompanhamento da Licitação'!$F$2:$N$1000,7,FALSE()),"")</f>
        <v/>
      </c>
      <c r="N514" s="1" t="str">
        <f>IFERROR(VLOOKUP(A514,'Acompanhamento da Licitação'!$F$2:$N$1000,9,FALSE()),"")</f>
        <v/>
      </c>
      <c r="O514" s="1"/>
      <c r="P514" s="6"/>
    </row>
    <row r="515" spans="12:16" x14ac:dyDescent="0.2">
      <c r="L515" s="6" t="str">
        <f>IFERROR(VLOOKUP(A515,'Acompanhamento da Licitação'!$F$2:$N$1000,6,FALSE()),"")</f>
        <v/>
      </c>
      <c r="M515" s="6" t="str">
        <f>IFERROR(VLOOKUP(A515,'Acompanhamento da Licitação'!$F$2:$N$1000,7,FALSE()),"")</f>
        <v/>
      </c>
      <c r="N515" s="1" t="str">
        <f>IFERROR(VLOOKUP(A515,'Acompanhamento da Licitação'!$F$2:$N$1000,9,FALSE()),"")</f>
        <v/>
      </c>
      <c r="O515" s="1"/>
      <c r="P515" s="6"/>
    </row>
    <row r="516" spans="12:16" x14ac:dyDescent="0.2">
      <c r="L516" s="6" t="str">
        <f>IFERROR(VLOOKUP(A516,'Acompanhamento da Licitação'!$F$2:$N$1000,6,FALSE()),"")</f>
        <v/>
      </c>
      <c r="M516" s="6" t="str">
        <f>IFERROR(VLOOKUP(A516,'Acompanhamento da Licitação'!$F$2:$N$1000,7,FALSE()),"")</f>
        <v/>
      </c>
      <c r="N516" s="1" t="str">
        <f>IFERROR(VLOOKUP(A516,'Acompanhamento da Licitação'!$F$2:$N$1000,9,FALSE()),"")</f>
        <v/>
      </c>
      <c r="O516" s="1"/>
      <c r="P516" s="6"/>
    </row>
    <row r="517" spans="12:16" x14ac:dyDescent="0.2">
      <c r="L517" s="6" t="str">
        <f>IFERROR(VLOOKUP(A517,'Acompanhamento da Licitação'!$F$2:$N$1000,6,FALSE()),"")</f>
        <v/>
      </c>
      <c r="M517" s="6" t="str">
        <f>IFERROR(VLOOKUP(A517,'Acompanhamento da Licitação'!$F$2:$N$1000,7,FALSE()),"")</f>
        <v/>
      </c>
      <c r="N517" s="1" t="str">
        <f>IFERROR(VLOOKUP(A517,'Acompanhamento da Licitação'!$F$2:$N$1000,9,FALSE()),"")</f>
        <v/>
      </c>
      <c r="O517" s="1"/>
      <c r="P517" s="6"/>
    </row>
    <row r="518" spans="12:16" x14ac:dyDescent="0.2">
      <c r="L518" s="6" t="str">
        <f>IFERROR(VLOOKUP(A518,'Acompanhamento da Licitação'!$F$2:$N$1000,6,FALSE()),"")</f>
        <v/>
      </c>
      <c r="M518" s="6" t="str">
        <f>IFERROR(VLOOKUP(A518,'Acompanhamento da Licitação'!$F$2:$N$1000,7,FALSE()),"")</f>
        <v/>
      </c>
      <c r="N518" s="1" t="str">
        <f>IFERROR(VLOOKUP(A518,'Acompanhamento da Licitação'!$F$2:$N$1000,9,FALSE()),"")</f>
        <v/>
      </c>
      <c r="O518" s="1"/>
      <c r="P518" s="6"/>
    </row>
    <row r="519" spans="12:16" x14ac:dyDescent="0.2">
      <c r="L519" s="6" t="str">
        <f>IFERROR(VLOOKUP(A519,'Acompanhamento da Licitação'!$F$2:$N$1000,6,FALSE()),"")</f>
        <v/>
      </c>
      <c r="M519" s="6" t="str">
        <f>IFERROR(VLOOKUP(A519,'Acompanhamento da Licitação'!$F$2:$N$1000,7,FALSE()),"")</f>
        <v/>
      </c>
      <c r="N519" s="1" t="str">
        <f>IFERROR(VLOOKUP(A519,'Acompanhamento da Licitação'!$F$2:$N$1000,9,FALSE()),"")</f>
        <v/>
      </c>
      <c r="O519" s="1"/>
      <c r="P519" s="6"/>
    </row>
    <row r="520" spans="12:16" x14ac:dyDescent="0.2">
      <c r="L520" s="6" t="str">
        <f>IFERROR(VLOOKUP(A520,'Acompanhamento da Licitação'!$F$2:$N$1000,6,FALSE()),"")</f>
        <v/>
      </c>
      <c r="M520" s="6" t="str">
        <f>IFERROR(VLOOKUP(A520,'Acompanhamento da Licitação'!$F$2:$N$1000,7,FALSE()),"")</f>
        <v/>
      </c>
      <c r="N520" s="1" t="str">
        <f>IFERROR(VLOOKUP(A520,'Acompanhamento da Licitação'!$F$2:$N$1000,9,FALSE()),"")</f>
        <v/>
      </c>
      <c r="O520" s="1"/>
      <c r="P520" s="6"/>
    </row>
    <row r="521" spans="12:16" x14ac:dyDescent="0.2">
      <c r="L521" s="6" t="str">
        <f>IFERROR(VLOOKUP(A521,'Acompanhamento da Licitação'!$F$2:$N$1000,6,FALSE()),"")</f>
        <v/>
      </c>
      <c r="M521" s="6" t="str">
        <f>IFERROR(VLOOKUP(A521,'Acompanhamento da Licitação'!$F$2:$N$1000,7,FALSE()),"")</f>
        <v/>
      </c>
      <c r="N521" s="1" t="str">
        <f>IFERROR(VLOOKUP(A521,'Acompanhamento da Licitação'!$F$2:$N$1000,9,FALSE()),"")</f>
        <v/>
      </c>
      <c r="O521" s="1"/>
      <c r="P521" s="6"/>
    </row>
    <row r="522" spans="12:16" x14ac:dyDescent="0.2">
      <c r="L522" s="6" t="str">
        <f>IFERROR(VLOOKUP(A522,'Acompanhamento da Licitação'!$F$2:$N$1000,6,FALSE()),"")</f>
        <v/>
      </c>
      <c r="M522" s="6" t="str">
        <f>IFERROR(VLOOKUP(A522,'Acompanhamento da Licitação'!$F$2:$N$1000,7,FALSE()),"")</f>
        <v/>
      </c>
      <c r="N522" s="1" t="str">
        <f>IFERROR(VLOOKUP(A522,'Acompanhamento da Licitação'!$F$2:$N$1000,9,FALSE()),"")</f>
        <v/>
      </c>
      <c r="O522" s="1"/>
      <c r="P522" s="6"/>
    </row>
    <row r="523" spans="12:16" x14ac:dyDescent="0.2">
      <c r="L523" s="6" t="str">
        <f>IFERROR(VLOOKUP(A523,'Acompanhamento da Licitação'!$F$2:$N$1000,6,FALSE()),"")</f>
        <v/>
      </c>
      <c r="M523" s="6" t="str">
        <f>IFERROR(VLOOKUP(A523,'Acompanhamento da Licitação'!$F$2:$N$1000,7,FALSE()),"")</f>
        <v/>
      </c>
      <c r="N523" s="1" t="str">
        <f>IFERROR(VLOOKUP(A523,'Acompanhamento da Licitação'!$F$2:$N$1000,9,FALSE()),"")</f>
        <v/>
      </c>
      <c r="O523" s="1"/>
      <c r="P523" s="6"/>
    </row>
    <row r="524" spans="12:16" x14ac:dyDescent="0.2">
      <c r="L524" s="6" t="str">
        <f>IFERROR(VLOOKUP(A524,'Acompanhamento da Licitação'!$F$2:$N$1000,6,FALSE()),"")</f>
        <v/>
      </c>
      <c r="M524" s="6" t="str">
        <f>IFERROR(VLOOKUP(A524,'Acompanhamento da Licitação'!$F$2:$N$1000,7,FALSE()),"")</f>
        <v/>
      </c>
      <c r="N524" s="1" t="str">
        <f>IFERROR(VLOOKUP(A524,'Acompanhamento da Licitação'!$F$2:$N$1000,9,FALSE()),"")</f>
        <v/>
      </c>
      <c r="O524" s="1"/>
      <c r="P524" s="6"/>
    </row>
    <row r="525" spans="12:16" x14ac:dyDescent="0.2">
      <c r="L525" s="6" t="str">
        <f>IFERROR(VLOOKUP(A525,'Acompanhamento da Licitação'!$F$2:$N$1000,6,FALSE()),"")</f>
        <v/>
      </c>
      <c r="M525" s="6" t="str">
        <f>IFERROR(VLOOKUP(A525,'Acompanhamento da Licitação'!$F$2:$N$1000,7,FALSE()),"")</f>
        <v/>
      </c>
      <c r="N525" s="1" t="str">
        <f>IFERROR(VLOOKUP(A525,'Acompanhamento da Licitação'!$F$2:$N$1000,9,FALSE()),"")</f>
        <v/>
      </c>
      <c r="O525" s="1"/>
      <c r="P525" s="6"/>
    </row>
    <row r="526" spans="12:16" x14ac:dyDescent="0.2">
      <c r="L526" s="6" t="str">
        <f>IFERROR(VLOOKUP(A526,'Acompanhamento da Licitação'!$F$2:$N$1000,6,FALSE()),"")</f>
        <v/>
      </c>
      <c r="M526" s="6" t="str">
        <f>IFERROR(VLOOKUP(A526,'Acompanhamento da Licitação'!$F$2:$N$1000,7,FALSE()),"")</f>
        <v/>
      </c>
      <c r="N526" s="1" t="str">
        <f>IFERROR(VLOOKUP(A526,'Acompanhamento da Licitação'!$F$2:$N$1000,9,FALSE()),"")</f>
        <v/>
      </c>
      <c r="O526" s="1"/>
      <c r="P526" s="6"/>
    </row>
    <row r="527" spans="12:16" x14ac:dyDescent="0.2">
      <c r="L527" s="6" t="str">
        <f>IFERROR(VLOOKUP(A527,'Acompanhamento da Licitação'!$F$2:$N$1000,6,FALSE()),"")</f>
        <v/>
      </c>
      <c r="M527" s="6" t="str">
        <f>IFERROR(VLOOKUP(A527,'Acompanhamento da Licitação'!$F$2:$N$1000,7,FALSE()),"")</f>
        <v/>
      </c>
      <c r="N527" s="1" t="str">
        <f>IFERROR(VLOOKUP(A527,'Acompanhamento da Licitação'!$F$2:$N$1000,9,FALSE()),"")</f>
        <v/>
      </c>
      <c r="O527" s="1"/>
      <c r="P527" s="6"/>
    </row>
    <row r="528" spans="12:16" x14ac:dyDescent="0.2">
      <c r="L528" s="6" t="str">
        <f>IFERROR(VLOOKUP(A528,'Acompanhamento da Licitação'!$F$2:$N$1000,6,FALSE()),"")</f>
        <v/>
      </c>
      <c r="M528" s="6" t="str">
        <f>IFERROR(VLOOKUP(A528,'Acompanhamento da Licitação'!$F$2:$N$1000,7,FALSE()),"")</f>
        <v/>
      </c>
      <c r="N528" s="1" t="str">
        <f>IFERROR(VLOOKUP(A528,'Acompanhamento da Licitação'!$F$2:$N$1000,9,FALSE()),"")</f>
        <v/>
      </c>
      <c r="O528" s="1"/>
      <c r="P528" s="6"/>
    </row>
    <row r="529" spans="12:16" x14ac:dyDescent="0.2">
      <c r="L529" s="6" t="str">
        <f>IFERROR(VLOOKUP(A529,'Acompanhamento da Licitação'!$F$2:$N$1000,6,FALSE()),"")</f>
        <v/>
      </c>
      <c r="M529" s="6" t="str">
        <f>IFERROR(VLOOKUP(A529,'Acompanhamento da Licitação'!$F$2:$N$1000,7,FALSE()),"")</f>
        <v/>
      </c>
      <c r="N529" s="1" t="str">
        <f>IFERROR(VLOOKUP(A529,'Acompanhamento da Licitação'!$F$2:$N$1000,9,FALSE()),"")</f>
        <v/>
      </c>
      <c r="O529" s="1"/>
      <c r="P529" s="6"/>
    </row>
    <row r="530" spans="12:16" x14ac:dyDescent="0.2">
      <c r="L530" s="6" t="str">
        <f>IFERROR(VLOOKUP(A530,'Acompanhamento da Licitação'!$F$2:$N$1000,6,FALSE()),"")</f>
        <v/>
      </c>
      <c r="M530" s="6" t="str">
        <f>IFERROR(VLOOKUP(A530,'Acompanhamento da Licitação'!$F$2:$N$1000,7,FALSE()),"")</f>
        <v/>
      </c>
      <c r="N530" s="1" t="str">
        <f>IFERROR(VLOOKUP(A530,'Acompanhamento da Licitação'!$F$2:$N$1000,9,FALSE()),"")</f>
        <v/>
      </c>
      <c r="O530" s="1"/>
      <c r="P530" s="6"/>
    </row>
    <row r="531" spans="12:16" x14ac:dyDescent="0.2">
      <c r="L531" s="6" t="str">
        <f>IFERROR(VLOOKUP(A531,'Acompanhamento da Licitação'!$F$2:$N$1000,6,FALSE()),"")</f>
        <v/>
      </c>
      <c r="M531" s="6" t="str">
        <f>IFERROR(VLOOKUP(A531,'Acompanhamento da Licitação'!$F$2:$N$1000,7,FALSE()),"")</f>
        <v/>
      </c>
      <c r="N531" s="1" t="str">
        <f>IFERROR(VLOOKUP(A531,'Acompanhamento da Licitação'!$F$2:$N$1000,9,FALSE()),"")</f>
        <v/>
      </c>
      <c r="O531" s="1"/>
      <c r="P531" s="6"/>
    </row>
    <row r="532" spans="12:16" x14ac:dyDescent="0.2">
      <c r="L532" s="6" t="str">
        <f>IFERROR(VLOOKUP(A532,'Acompanhamento da Licitação'!$F$2:$N$1000,6,FALSE()),"")</f>
        <v/>
      </c>
      <c r="M532" s="6" t="str">
        <f>IFERROR(VLOOKUP(A532,'Acompanhamento da Licitação'!$F$2:$N$1000,7,FALSE()),"")</f>
        <v/>
      </c>
      <c r="N532" s="1" t="str">
        <f>IFERROR(VLOOKUP(A532,'Acompanhamento da Licitação'!$F$2:$N$1000,9,FALSE()),"")</f>
        <v/>
      </c>
      <c r="O532" s="1"/>
      <c r="P532" s="6"/>
    </row>
    <row r="533" spans="12:16" x14ac:dyDescent="0.2">
      <c r="L533" s="6" t="str">
        <f>IFERROR(VLOOKUP(A533,'Acompanhamento da Licitação'!$F$2:$N$1000,6,FALSE()),"")</f>
        <v/>
      </c>
      <c r="M533" s="6" t="str">
        <f>IFERROR(VLOOKUP(A533,'Acompanhamento da Licitação'!$F$2:$N$1000,7,FALSE()),"")</f>
        <v/>
      </c>
      <c r="N533" s="1" t="str">
        <f>IFERROR(VLOOKUP(A533,'Acompanhamento da Licitação'!$F$2:$N$1000,9,FALSE()),"")</f>
        <v/>
      </c>
      <c r="O533" s="1"/>
      <c r="P533" s="6"/>
    </row>
    <row r="534" spans="12:16" x14ac:dyDescent="0.2">
      <c r="L534" s="6" t="str">
        <f>IFERROR(VLOOKUP(A534,'Acompanhamento da Licitação'!$F$2:$N$1000,6,FALSE()),"")</f>
        <v/>
      </c>
      <c r="M534" s="6" t="str">
        <f>IFERROR(VLOOKUP(A534,'Acompanhamento da Licitação'!$F$2:$N$1000,7,FALSE()),"")</f>
        <v/>
      </c>
      <c r="N534" s="1" t="str">
        <f>IFERROR(VLOOKUP(A534,'Acompanhamento da Licitação'!$F$2:$N$1000,9,FALSE()),"")</f>
        <v/>
      </c>
      <c r="O534" s="1"/>
      <c r="P534" s="6"/>
    </row>
    <row r="535" spans="12:16" x14ac:dyDescent="0.2">
      <c r="L535" s="6" t="str">
        <f>IFERROR(VLOOKUP(A535,'Acompanhamento da Licitação'!$F$2:$N$1000,6,FALSE()),"")</f>
        <v/>
      </c>
      <c r="M535" s="6" t="str">
        <f>IFERROR(VLOOKUP(A535,'Acompanhamento da Licitação'!$F$2:$N$1000,7,FALSE()),"")</f>
        <v/>
      </c>
      <c r="N535" s="1" t="str">
        <f>IFERROR(VLOOKUP(A535,'Acompanhamento da Licitação'!$F$2:$N$1000,9,FALSE()),"")</f>
        <v/>
      </c>
      <c r="O535" s="1"/>
      <c r="P535" s="6"/>
    </row>
    <row r="536" spans="12:16" x14ac:dyDescent="0.2">
      <c r="L536" s="6" t="str">
        <f>IFERROR(VLOOKUP(A536,'Acompanhamento da Licitação'!$F$2:$N$1000,6,FALSE()),"")</f>
        <v/>
      </c>
      <c r="M536" s="6" t="str">
        <f>IFERROR(VLOOKUP(A536,'Acompanhamento da Licitação'!$F$2:$N$1000,7,FALSE()),"")</f>
        <v/>
      </c>
      <c r="N536" s="1" t="str">
        <f>IFERROR(VLOOKUP(A536,'Acompanhamento da Licitação'!$F$2:$N$1000,9,FALSE()),"")</f>
        <v/>
      </c>
      <c r="O536" s="1"/>
      <c r="P536" s="6"/>
    </row>
    <row r="537" spans="12:16" x14ac:dyDescent="0.2">
      <c r="L537" s="6" t="str">
        <f>IFERROR(VLOOKUP(A537,'Acompanhamento da Licitação'!$F$2:$N$1000,6,FALSE()),"")</f>
        <v/>
      </c>
      <c r="M537" s="6" t="str">
        <f>IFERROR(VLOOKUP(A537,'Acompanhamento da Licitação'!$F$2:$N$1000,7,FALSE()),"")</f>
        <v/>
      </c>
      <c r="N537" s="1" t="str">
        <f>IFERROR(VLOOKUP(A537,'Acompanhamento da Licitação'!$F$2:$N$1000,9,FALSE()),"")</f>
        <v/>
      </c>
      <c r="O537" s="1"/>
      <c r="P537" s="6"/>
    </row>
    <row r="538" spans="12:16" x14ac:dyDescent="0.2">
      <c r="L538" s="6" t="str">
        <f>IFERROR(VLOOKUP(A538,'Acompanhamento da Licitação'!$F$2:$N$1000,6,FALSE()),"")</f>
        <v/>
      </c>
      <c r="M538" s="6" t="str">
        <f>IFERROR(VLOOKUP(A538,'Acompanhamento da Licitação'!$F$2:$N$1000,7,FALSE()),"")</f>
        <v/>
      </c>
      <c r="N538" s="1" t="str">
        <f>IFERROR(VLOOKUP(A538,'Acompanhamento da Licitação'!$F$2:$N$1000,9,FALSE()),"")</f>
        <v/>
      </c>
      <c r="O538" s="1"/>
      <c r="P538" s="6"/>
    </row>
    <row r="539" spans="12:16" x14ac:dyDescent="0.2">
      <c r="L539" s="6" t="str">
        <f>IFERROR(VLOOKUP(A539,'Acompanhamento da Licitação'!$F$2:$N$1000,6,FALSE()),"")</f>
        <v/>
      </c>
      <c r="M539" s="6" t="str">
        <f>IFERROR(VLOOKUP(A539,'Acompanhamento da Licitação'!$F$2:$N$1000,7,FALSE()),"")</f>
        <v/>
      </c>
      <c r="N539" s="1" t="str">
        <f>IFERROR(VLOOKUP(A539,'Acompanhamento da Licitação'!$F$2:$N$1000,9,FALSE()),"")</f>
        <v/>
      </c>
      <c r="O539" s="1"/>
      <c r="P539" s="6"/>
    </row>
    <row r="540" spans="12:16" x14ac:dyDescent="0.2">
      <c r="L540" s="6" t="str">
        <f>IFERROR(VLOOKUP(A540,'Acompanhamento da Licitação'!$F$2:$N$1000,6,FALSE()),"")</f>
        <v/>
      </c>
      <c r="M540" s="6" t="str">
        <f>IFERROR(VLOOKUP(A540,'Acompanhamento da Licitação'!$F$2:$N$1000,7,FALSE()),"")</f>
        <v/>
      </c>
      <c r="N540" s="1" t="str">
        <f>IFERROR(VLOOKUP(A540,'Acompanhamento da Licitação'!$F$2:$N$1000,9,FALSE()),"")</f>
        <v/>
      </c>
      <c r="O540" s="1"/>
      <c r="P540" s="6"/>
    </row>
    <row r="541" spans="12:16" x14ac:dyDescent="0.2">
      <c r="L541" s="6" t="str">
        <f>IFERROR(VLOOKUP(A541,'Acompanhamento da Licitação'!$F$2:$N$1000,6,FALSE()),"")</f>
        <v/>
      </c>
      <c r="M541" s="6" t="str">
        <f>IFERROR(VLOOKUP(A541,'Acompanhamento da Licitação'!$F$2:$N$1000,7,FALSE()),"")</f>
        <v/>
      </c>
      <c r="N541" s="1" t="str">
        <f>IFERROR(VLOOKUP(A541,'Acompanhamento da Licitação'!$F$2:$N$1000,9,FALSE()),"")</f>
        <v/>
      </c>
      <c r="O541" s="1"/>
      <c r="P541" s="6"/>
    </row>
    <row r="542" spans="12:16" x14ac:dyDescent="0.2">
      <c r="L542" s="6" t="str">
        <f>IFERROR(VLOOKUP(A542,'Acompanhamento da Licitação'!$F$2:$N$1000,6,FALSE()),"")</f>
        <v/>
      </c>
      <c r="M542" s="6" t="str">
        <f>IFERROR(VLOOKUP(A542,'Acompanhamento da Licitação'!$F$2:$N$1000,7,FALSE()),"")</f>
        <v/>
      </c>
      <c r="N542" s="1" t="str">
        <f>IFERROR(VLOOKUP(A542,'Acompanhamento da Licitação'!$F$2:$N$1000,9,FALSE()),"")</f>
        <v/>
      </c>
      <c r="O542" s="1"/>
      <c r="P542" s="6"/>
    </row>
    <row r="543" spans="12:16" x14ac:dyDescent="0.2">
      <c r="L543" s="6" t="str">
        <f>IFERROR(VLOOKUP(A543,'Acompanhamento da Licitação'!$F$2:$N$1000,6,FALSE()),"")</f>
        <v/>
      </c>
      <c r="M543" s="6" t="str">
        <f>IFERROR(VLOOKUP(A543,'Acompanhamento da Licitação'!$F$2:$N$1000,7,FALSE()),"")</f>
        <v/>
      </c>
      <c r="N543" s="1" t="str">
        <f>IFERROR(VLOOKUP(A543,'Acompanhamento da Licitação'!$F$2:$N$1000,9,FALSE()),"")</f>
        <v/>
      </c>
      <c r="O543" s="1"/>
      <c r="P543" s="6"/>
    </row>
    <row r="544" spans="12:16" x14ac:dyDescent="0.2">
      <c r="L544" s="6" t="str">
        <f>IFERROR(VLOOKUP(A544,'Acompanhamento da Licitação'!$F$2:$N$1000,6,FALSE()),"")</f>
        <v/>
      </c>
      <c r="M544" s="6" t="str">
        <f>IFERROR(VLOOKUP(A544,'Acompanhamento da Licitação'!$F$2:$N$1000,7,FALSE()),"")</f>
        <v/>
      </c>
      <c r="N544" s="1" t="str">
        <f>IFERROR(VLOOKUP(A544,'Acompanhamento da Licitação'!$F$2:$N$1000,9,FALSE()),"")</f>
        <v/>
      </c>
      <c r="O544" s="1"/>
      <c r="P544" s="6"/>
    </row>
    <row r="545" spans="12:16" x14ac:dyDescent="0.2">
      <c r="L545" s="6" t="str">
        <f>IFERROR(VLOOKUP(A545,'Acompanhamento da Licitação'!$F$2:$N$1000,6,FALSE()),"")</f>
        <v/>
      </c>
      <c r="M545" s="6" t="str">
        <f>IFERROR(VLOOKUP(A545,'Acompanhamento da Licitação'!$F$2:$N$1000,7,FALSE()),"")</f>
        <v/>
      </c>
      <c r="N545" s="1" t="str">
        <f>IFERROR(VLOOKUP(A545,'Acompanhamento da Licitação'!$F$2:$N$1000,9,FALSE()),"")</f>
        <v/>
      </c>
      <c r="O545" s="1"/>
      <c r="P545" s="6"/>
    </row>
    <row r="546" spans="12:16" x14ac:dyDescent="0.2">
      <c r="L546" s="6" t="str">
        <f>IFERROR(VLOOKUP(A546,'Acompanhamento da Licitação'!$F$2:$N$1000,6,FALSE()),"")</f>
        <v/>
      </c>
      <c r="M546" s="6" t="str">
        <f>IFERROR(VLOOKUP(A546,'Acompanhamento da Licitação'!$F$2:$N$1000,7,FALSE()),"")</f>
        <v/>
      </c>
      <c r="N546" s="1" t="str">
        <f>IFERROR(VLOOKUP(A546,'Acompanhamento da Licitação'!$F$2:$N$1000,9,FALSE()),"")</f>
        <v/>
      </c>
      <c r="O546" s="1"/>
      <c r="P546" s="6"/>
    </row>
    <row r="547" spans="12:16" x14ac:dyDescent="0.2">
      <c r="L547" s="6" t="str">
        <f>IFERROR(VLOOKUP(A547,'Acompanhamento da Licitação'!$F$2:$N$1000,6,FALSE()),"")</f>
        <v/>
      </c>
      <c r="M547" s="6" t="str">
        <f>IFERROR(VLOOKUP(A547,'Acompanhamento da Licitação'!$F$2:$N$1000,7,FALSE()),"")</f>
        <v/>
      </c>
      <c r="N547" s="1" t="str">
        <f>IFERROR(VLOOKUP(A547,'Acompanhamento da Licitação'!$F$2:$N$1000,9,FALSE()),"")</f>
        <v/>
      </c>
      <c r="O547" s="1"/>
      <c r="P547" s="6"/>
    </row>
    <row r="548" spans="12:16" x14ac:dyDescent="0.2">
      <c r="L548" s="6" t="str">
        <f>IFERROR(VLOOKUP(A548,'Acompanhamento da Licitação'!$F$2:$N$1000,6,FALSE()),"")</f>
        <v/>
      </c>
      <c r="M548" s="6" t="str">
        <f>IFERROR(VLOOKUP(A548,'Acompanhamento da Licitação'!$F$2:$N$1000,7,FALSE()),"")</f>
        <v/>
      </c>
      <c r="N548" s="1" t="str">
        <f>IFERROR(VLOOKUP(A548,'Acompanhamento da Licitação'!$F$2:$N$1000,9,FALSE()),"")</f>
        <v/>
      </c>
      <c r="O548" s="1"/>
      <c r="P548" s="6"/>
    </row>
    <row r="549" spans="12:16" x14ac:dyDescent="0.2">
      <c r="L549" s="6" t="str">
        <f>IFERROR(VLOOKUP(A549,'Acompanhamento da Licitação'!$F$2:$N$1000,6,FALSE()),"")</f>
        <v/>
      </c>
      <c r="M549" s="6" t="str">
        <f>IFERROR(VLOOKUP(A549,'Acompanhamento da Licitação'!$F$2:$N$1000,7,FALSE()),"")</f>
        <v/>
      </c>
      <c r="N549" s="1" t="str">
        <f>IFERROR(VLOOKUP(A549,'Acompanhamento da Licitação'!$F$2:$N$1000,9,FALSE()),"")</f>
        <v/>
      </c>
      <c r="O549" s="1"/>
      <c r="P549" s="6"/>
    </row>
    <row r="550" spans="12:16" x14ac:dyDescent="0.2">
      <c r="L550" s="6" t="str">
        <f>IFERROR(VLOOKUP(A550,'Acompanhamento da Licitação'!$F$2:$N$1000,6,FALSE()),"")</f>
        <v/>
      </c>
      <c r="M550" s="6" t="str">
        <f>IFERROR(VLOOKUP(A550,'Acompanhamento da Licitação'!$F$2:$N$1000,7,FALSE()),"")</f>
        <v/>
      </c>
      <c r="N550" s="1" t="str">
        <f>IFERROR(VLOOKUP(A550,'Acompanhamento da Licitação'!$F$2:$N$1000,9,FALSE()),"")</f>
        <v/>
      </c>
      <c r="O550" s="1"/>
      <c r="P550" s="6"/>
    </row>
    <row r="551" spans="12:16" x14ac:dyDescent="0.2">
      <c r="L551" s="6" t="str">
        <f>IFERROR(VLOOKUP(A551,'Acompanhamento da Licitação'!$F$2:$N$1000,6,FALSE()),"")</f>
        <v/>
      </c>
      <c r="M551" s="6" t="str">
        <f>IFERROR(VLOOKUP(A551,'Acompanhamento da Licitação'!$F$2:$N$1000,7,FALSE()),"")</f>
        <v/>
      </c>
      <c r="N551" s="1" t="str">
        <f>IFERROR(VLOOKUP(A551,'Acompanhamento da Licitação'!$F$2:$N$1000,9,FALSE()),"")</f>
        <v/>
      </c>
      <c r="O551" s="1"/>
      <c r="P551" s="6"/>
    </row>
    <row r="552" spans="12:16" x14ac:dyDescent="0.2">
      <c r="L552" s="6" t="str">
        <f>IFERROR(VLOOKUP(A552,'Acompanhamento da Licitação'!$F$2:$N$1000,6,FALSE()),"")</f>
        <v/>
      </c>
      <c r="M552" s="6" t="str">
        <f>IFERROR(VLOOKUP(A552,'Acompanhamento da Licitação'!$F$2:$N$1000,7,FALSE()),"")</f>
        <v/>
      </c>
      <c r="N552" s="1" t="str">
        <f>IFERROR(VLOOKUP(A552,'Acompanhamento da Licitação'!$F$2:$N$1000,9,FALSE()),"")</f>
        <v/>
      </c>
      <c r="O552" s="1"/>
      <c r="P552" s="6"/>
    </row>
    <row r="553" spans="12:16" x14ac:dyDescent="0.2">
      <c r="L553" s="6" t="str">
        <f>IFERROR(VLOOKUP(A553,'Acompanhamento da Licitação'!$F$2:$N$1000,6,FALSE()),"")</f>
        <v/>
      </c>
      <c r="M553" s="6" t="str">
        <f>IFERROR(VLOOKUP(A553,'Acompanhamento da Licitação'!$F$2:$N$1000,7,FALSE()),"")</f>
        <v/>
      </c>
      <c r="N553" s="1" t="str">
        <f>IFERROR(VLOOKUP(A553,'Acompanhamento da Licitação'!$F$2:$N$1000,9,FALSE()),"")</f>
        <v/>
      </c>
      <c r="O553" s="1"/>
      <c r="P553" s="6"/>
    </row>
    <row r="554" spans="12:16" x14ac:dyDescent="0.2">
      <c r="L554" s="6" t="str">
        <f>IFERROR(VLOOKUP(A554,'Acompanhamento da Licitação'!$F$2:$N$1000,6,FALSE()),"")</f>
        <v/>
      </c>
      <c r="M554" s="6" t="str">
        <f>IFERROR(VLOOKUP(A554,'Acompanhamento da Licitação'!$F$2:$N$1000,7,FALSE()),"")</f>
        <v/>
      </c>
      <c r="N554" s="1" t="str">
        <f>IFERROR(VLOOKUP(A554,'Acompanhamento da Licitação'!$F$2:$N$1000,9,FALSE()),"")</f>
        <v/>
      </c>
      <c r="O554" s="1"/>
      <c r="P554" s="6"/>
    </row>
    <row r="555" spans="12:16" x14ac:dyDescent="0.2">
      <c r="L555" s="6" t="str">
        <f>IFERROR(VLOOKUP(A555,'Acompanhamento da Licitação'!$F$2:$N$1000,6,FALSE()),"")</f>
        <v/>
      </c>
      <c r="M555" s="6" t="str">
        <f>IFERROR(VLOOKUP(A555,'Acompanhamento da Licitação'!$F$2:$N$1000,7,FALSE()),"")</f>
        <v/>
      </c>
      <c r="N555" s="1" t="str">
        <f>IFERROR(VLOOKUP(A555,'Acompanhamento da Licitação'!$F$2:$N$1000,9,FALSE()),"")</f>
        <v/>
      </c>
      <c r="O555" s="1"/>
      <c r="P555" s="6"/>
    </row>
    <row r="556" spans="12:16" x14ac:dyDescent="0.2">
      <c r="L556" s="6" t="str">
        <f>IFERROR(VLOOKUP(A556,'Acompanhamento da Licitação'!$F$2:$N$1000,6,FALSE()),"")</f>
        <v/>
      </c>
      <c r="M556" s="6" t="str">
        <f>IFERROR(VLOOKUP(A556,'Acompanhamento da Licitação'!$F$2:$N$1000,7,FALSE()),"")</f>
        <v/>
      </c>
      <c r="N556" s="1" t="str">
        <f>IFERROR(VLOOKUP(A556,'Acompanhamento da Licitação'!$F$2:$N$1000,9,FALSE()),"")</f>
        <v/>
      </c>
      <c r="O556" s="1"/>
      <c r="P556" s="6"/>
    </row>
    <row r="557" spans="12:16" x14ac:dyDescent="0.2">
      <c r="L557" s="6" t="str">
        <f>IFERROR(VLOOKUP(A557,'Acompanhamento da Licitação'!$F$2:$N$1000,6,FALSE()),"")</f>
        <v/>
      </c>
      <c r="M557" s="6" t="str">
        <f>IFERROR(VLOOKUP(A557,'Acompanhamento da Licitação'!$F$2:$N$1000,7,FALSE()),"")</f>
        <v/>
      </c>
      <c r="N557" s="1" t="str">
        <f>IFERROR(VLOOKUP(A557,'Acompanhamento da Licitação'!$F$2:$N$1000,9,FALSE()),"")</f>
        <v/>
      </c>
      <c r="O557" s="1"/>
      <c r="P557" s="6"/>
    </row>
    <row r="558" spans="12:16" x14ac:dyDescent="0.2">
      <c r="L558" s="6" t="str">
        <f>IFERROR(VLOOKUP(A558,'Acompanhamento da Licitação'!$F$2:$N$1000,6,FALSE()),"")</f>
        <v/>
      </c>
      <c r="M558" s="6" t="str">
        <f>IFERROR(VLOOKUP(A558,'Acompanhamento da Licitação'!$F$2:$N$1000,7,FALSE()),"")</f>
        <v/>
      </c>
      <c r="N558" s="1" t="str">
        <f>IFERROR(VLOOKUP(A558,'Acompanhamento da Licitação'!$F$2:$N$1000,9,FALSE()),"")</f>
        <v/>
      </c>
      <c r="O558" s="1"/>
      <c r="P558" s="6"/>
    </row>
    <row r="559" spans="12:16" x14ac:dyDescent="0.2">
      <c r="L559" s="6" t="str">
        <f>IFERROR(VLOOKUP(A559,'Acompanhamento da Licitação'!$F$2:$N$1000,6,FALSE()),"")</f>
        <v/>
      </c>
      <c r="M559" s="6" t="str">
        <f>IFERROR(VLOOKUP(A559,'Acompanhamento da Licitação'!$F$2:$N$1000,7,FALSE()),"")</f>
        <v/>
      </c>
      <c r="N559" s="1" t="str">
        <f>IFERROR(VLOOKUP(A559,'Acompanhamento da Licitação'!$F$2:$N$1000,9,FALSE()),"")</f>
        <v/>
      </c>
      <c r="O559" s="1"/>
      <c r="P559" s="6"/>
    </row>
    <row r="560" spans="12:16" x14ac:dyDescent="0.2">
      <c r="L560" s="6" t="str">
        <f>IFERROR(VLOOKUP(A560,'Acompanhamento da Licitação'!$F$2:$N$1000,6,FALSE()),"")</f>
        <v/>
      </c>
      <c r="M560" s="6" t="str">
        <f>IFERROR(VLOOKUP(A560,'Acompanhamento da Licitação'!$F$2:$N$1000,7,FALSE()),"")</f>
        <v/>
      </c>
      <c r="N560" s="1" t="str">
        <f>IFERROR(VLOOKUP(A560,'Acompanhamento da Licitação'!$F$2:$N$1000,9,FALSE()),"")</f>
        <v/>
      </c>
      <c r="O560" s="1"/>
      <c r="P560" s="6"/>
    </row>
    <row r="561" spans="12:16" x14ac:dyDescent="0.2">
      <c r="L561" s="6" t="str">
        <f>IFERROR(VLOOKUP(A561,'Acompanhamento da Licitação'!$F$2:$N$1000,6,FALSE()),"")</f>
        <v/>
      </c>
      <c r="M561" s="6" t="str">
        <f>IFERROR(VLOOKUP(A561,'Acompanhamento da Licitação'!$F$2:$N$1000,7,FALSE()),"")</f>
        <v/>
      </c>
      <c r="N561" s="1" t="str">
        <f>IFERROR(VLOOKUP(A561,'Acompanhamento da Licitação'!$F$2:$N$1000,9,FALSE()),"")</f>
        <v/>
      </c>
      <c r="O561" s="1"/>
      <c r="P561" s="6"/>
    </row>
    <row r="562" spans="12:16" x14ac:dyDescent="0.2">
      <c r="L562" s="6" t="str">
        <f>IFERROR(VLOOKUP(A562,'Acompanhamento da Licitação'!$F$2:$N$1000,6,FALSE()),"")</f>
        <v/>
      </c>
      <c r="M562" s="6" t="str">
        <f>IFERROR(VLOOKUP(A562,'Acompanhamento da Licitação'!$F$2:$N$1000,7,FALSE()),"")</f>
        <v/>
      </c>
      <c r="N562" s="1" t="str">
        <f>IFERROR(VLOOKUP(A562,'Acompanhamento da Licitação'!$F$2:$N$1000,9,FALSE()),"")</f>
        <v/>
      </c>
      <c r="O562" s="1"/>
      <c r="P562" s="6"/>
    </row>
    <row r="563" spans="12:16" x14ac:dyDescent="0.2">
      <c r="L563" s="6" t="str">
        <f>IFERROR(VLOOKUP(A563,'Acompanhamento da Licitação'!$F$2:$N$1000,6,FALSE()),"")</f>
        <v/>
      </c>
      <c r="M563" s="6" t="str">
        <f>IFERROR(VLOOKUP(A563,'Acompanhamento da Licitação'!$F$2:$N$1000,7,FALSE()),"")</f>
        <v/>
      </c>
      <c r="N563" s="1" t="str">
        <f>IFERROR(VLOOKUP(A563,'Acompanhamento da Licitação'!$F$2:$N$1000,9,FALSE()),"")</f>
        <v/>
      </c>
      <c r="O563" s="1"/>
      <c r="P563" s="6"/>
    </row>
    <row r="564" spans="12:16" x14ac:dyDescent="0.2">
      <c r="L564" s="6" t="str">
        <f>IFERROR(VLOOKUP(A564,'Acompanhamento da Licitação'!$F$2:$N$1000,6,FALSE()),"")</f>
        <v/>
      </c>
      <c r="M564" s="6" t="str">
        <f>IFERROR(VLOOKUP(A564,'Acompanhamento da Licitação'!$F$2:$N$1000,7,FALSE()),"")</f>
        <v/>
      </c>
      <c r="N564" s="1" t="str">
        <f>IFERROR(VLOOKUP(A564,'Acompanhamento da Licitação'!$F$2:$N$1000,9,FALSE()),"")</f>
        <v/>
      </c>
      <c r="O564" s="1"/>
      <c r="P564" s="6"/>
    </row>
    <row r="565" spans="12:16" x14ac:dyDescent="0.2">
      <c r="L565" s="6" t="str">
        <f>IFERROR(VLOOKUP(A565,'Acompanhamento da Licitação'!$F$2:$N$1000,6,FALSE()),"")</f>
        <v/>
      </c>
      <c r="M565" s="6" t="str">
        <f>IFERROR(VLOOKUP(A565,'Acompanhamento da Licitação'!$F$2:$N$1000,7,FALSE()),"")</f>
        <v/>
      </c>
      <c r="N565" s="1" t="str">
        <f>IFERROR(VLOOKUP(A565,'Acompanhamento da Licitação'!$F$2:$N$1000,9,FALSE()),"")</f>
        <v/>
      </c>
      <c r="O565" s="1"/>
      <c r="P565" s="6"/>
    </row>
    <row r="566" spans="12:16" x14ac:dyDescent="0.2">
      <c r="L566" s="6" t="str">
        <f>IFERROR(VLOOKUP(A566,'Acompanhamento da Licitação'!$F$2:$N$1000,6,FALSE()),"")</f>
        <v/>
      </c>
      <c r="M566" s="6" t="str">
        <f>IFERROR(VLOOKUP(A566,'Acompanhamento da Licitação'!$F$2:$N$1000,7,FALSE()),"")</f>
        <v/>
      </c>
      <c r="N566" s="1" t="str">
        <f>IFERROR(VLOOKUP(A566,'Acompanhamento da Licitação'!$F$2:$N$1000,9,FALSE()),"")</f>
        <v/>
      </c>
      <c r="O566" s="1"/>
      <c r="P566" s="6"/>
    </row>
    <row r="567" spans="12:16" x14ac:dyDescent="0.2">
      <c r="L567" s="6" t="str">
        <f>IFERROR(VLOOKUP(A567,'Acompanhamento da Licitação'!$F$2:$N$1000,6,FALSE()),"")</f>
        <v/>
      </c>
      <c r="M567" s="6" t="str">
        <f>IFERROR(VLOOKUP(A567,'Acompanhamento da Licitação'!$F$2:$N$1000,7,FALSE()),"")</f>
        <v/>
      </c>
      <c r="N567" s="1" t="str">
        <f>IFERROR(VLOOKUP(A567,'Acompanhamento da Licitação'!$F$2:$N$1000,9,FALSE()),"")</f>
        <v/>
      </c>
      <c r="O567" s="1"/>
      <c r="P567" s="6"/>
    </row>
    <row r="568" spans="12:16" x14ac:dyDescent="0.2">
      <c r="L568" s="6" t="str">
        <f>IFERROR(VLOOKUP(A568,'Acompanhamento da Licitação'!$F$2:$N$1000,6,FALSE()),"")</f>
        <v/>
      </c>
      <c r="M568" s="6" t="str">
        <f>IFERROR(VLOOKUP(A568,'Acompanhamento da Licitação'!$F$2:$N$1000,7,FALSE()),"")</f>
        <v/>
      </c>
      <c r="N568" s="1" t="str">
        <f>IFERROR(VLOOKUP(A568,'Acompanhamento da Licitação'!$F$2:$N$1000,9,FALSE()),"")</f>
        <v/>
      </c>
      <c r="O568" s="1"/>
      <c r="P568" s="6"/>
    </row>
    <row r="569" spans="12:16" x14ac:dyDescent="0.2">
      <c r="L569" s="6" t="str">
        <f>IFERROR(VLOOKUP(A569,'Acompanhamento da Licitação'!$F$2:$N$1000,6,FALSE()),"")</f>
        <v/>
      </c>
      <c r="M569" s="6" t="str">
        <f>IFERROR(VLOOKUP(A569,'Acompanhamento da Licitação'!$F$2:$N$1000,7,FALSE()),"")</f>
        <v/>
      </c>
      <c r="N569" s="1" t="str">
        <f>IFERROR(VLOOKUP(A569,'Acompanhamento da Licitação'!$F$2:$N$1000,9,FALSE()),"")</f>
        <v/>
      </c>
      <c r="O569" s="1"/>
      <c r="P569" s="6"/>
    </row>
    <row r="570" spans="12:16" x14ac:dyDescent="0.2">
      <c r="L570" s="6" t="str">
        <f>IFERROR(VLOOKUP(A570,'Acompanhamento da Licitação'!$F$2:$N$1000,6,FALSE()),"")</f>
        <v/>
      </c>
      <c r="M570" s="6" t="str">
        <f>IFERROR(VLOOKUP(A570,'Acompanhamento da Licitação'!$F$2:$N$1000,7,FALSE()),"")</f>
        <v/>
      </c>
      <c r="N570" s="1" t="str">
        <f>IFERROR(VLOOKUP(A570,'Acompanhamento da Licitação'!$F$2:$N$1000,9,FALSE()),"")</f>
        <v/>
      </c>
      <c r="O570" s="1"/>
      <c r="P570" s="6"/>
    </row>
    <row r="571" spans="12:16" x14ac:dyDescent="0.2">
      <c r="L571" s="6" t="str">
        <f>IFERROR(VLOOKUP(A571,'Acompanhamento da Licitação'!$F$2:$N$1000,6,FALSE()),"")</f>
        <v/>
      </c>
      <c r="M571" s="6" t="str">
        <f>IFERROR(VLOOKUP(A571,'Acompanhamento da Licitação'!$F$2:$N$1000,7,FALSE()),"")</f>
        <v/>
      </c>
      <c r="N571" s="1" t="str">
        <f>IFERROR(VLOOKUP(A571,'Acompanhamento da Licitação'!$F$2:$N$1000,9,FALSE()),"")</f>
        <v/>
      </c>
      <c r="O571" s="1"/>
      <c r="P571" s="6"/>
    </row>
    <row r="572" spans="12:16" x14ac:dyDescent="0.2">
      <c r="L572" s="6" t="str">
        <f>IFERROR(VLOOKUP(A572,'Acompanhamento da Licitação'!$F$2:$N$1000,6,FALSE()),"")</f>
        <v/>
      </c>
      <c r="M572" s="6" t="str">
        <f>IFERROR(VLOOKUP(A572,'Acompanhamento da Licitação'!$F$2:$N$1000,7,FALSE()),"")</f>
        <v/>
      </c>
      <c r="N572" s="1" t="str">
        <f>IFERROR(VLOOKUP(A572,'Acompanhamento da Licitação'!$F$2:$N$1000,9,FALSE()),"")</f>
        <v/>
      </c>
      <c r="O572" s="1"/>
      <c r="P572" s="6"/>
    </row>
    <row r="573" spans="12:16" x14ac:dyDescent="0.2">
      <c r="L573" s="6" t="str">
        <f>IFERROR(VLOOKUP(A573,'Acompanhamento da Licitação'!$F$2:$N$1000,6,FALSE()),"")</f>
        <v/>
      </c>
      <c r="M573" s="6" t="str">
        <f>IFERROR(VLOOKUP(A573,'Acompanhamento da Licitação'!$F$2:$N$1000,7,FALSE()),"")</f>
        <v/>
      </c>
      <c r="N573" s="1" t="str">
        <f>IFERROR(VLOOKUP(A573,'Acompanhamento da Licitação'!$F$2:$N$1000,9,FALSE()),"")</f>
        <v/>
      </c>
      <c r="O573" s="1"/>
      <c r="P573" s="6"/>
    </row>
    <row r="574" spans="12:16" x14ac:dyDescent="0.2">
      <c r="L574" s="6" t="str">
        <f>IFERROR(VLOOKUP(A574,'Acompanhamento da Licitação'!$F$2:$N$1000,6,FALSE()),"")</f>
        <v/>
      </c>
      <c r="M574" s="6" t="str">
        <f>IFERROR(VLOOKUP(A574,'Acompanhamento da Licitação'!$F$2:$N$1000,7,FALSE()),"")</f>
        <v/>
      </c>
      <c r="N574" s="1" t="str">
        <f>IFERROR(VLOOKUP(A574,'Acompanhamento da Licitação'!$F$2:$N$1000,9,FALSE()),"")</f>
        <v/>
      </c>
      <c r="O574" s="1"/>
      <c r="P574" s="6"/>
    </row>
    <row r="575" spans="12:16" x14ac:dyDescent="0.2">
      <c r="L575" s="6" t="str">
        <f>IFERROR(VLOOKUP(A575,'Acompanhamento da Licitação'!$F$2:$N$1000,6,FALSE()),"")</f>
        <v/>
      </c>
      <c r="M575" s="6" t="str">
        <f>IFERROR(VLOOKUP(A575,'Acompanhamento da Licitação'!$F$2:$N$1000,7,FALSE()),"")</f>
        <v/>
      </c>
      <c r="N575" s="1" t="str">
        <f>IFERROR(VLOOKUP(A575,'Acompanhamento da Licitação'!$F$2:$N$1000,9,FALSE()),"")</f>
        <v/>
      </c>
      <c r="O575" s="1"/>
      <c r="P575" s="6"/>
    </row>
    <row r="576" spans="12:16" x14ac:dyDescent="0.2">
      <c r="L576" s="6" t="str">
        <f>IFERROR(VLOOKUP(A576,'Acompanhamento da Licitação'!$F$2:$N$1000,6,FALSE()),"")</f>
        <v/>
      </c>
      <c r="M576" s="6" t="str">
        <f>IFERROR(VLOOKUP(A576,'Acompanhamento da Licitação'!$F$2:$N$1000,7,FALSE()),"")</f>
        <v/>
      </c>
      <c r="N576" s="1" t="str">
        <f>IFERROR(VLOOKUP(A576,'Acompanhamento da Licitação'!$F$2:$N$1000,9,FALSE()),"")</f>
        <v/>
      </c>
      <c r="O576" s="1"/>
      <c r="P576" s="6"/>
    </row>
    <row r="577" spans="12:16" x14ac:dyDescent="0.2">
      <c r="L577" s="6" t="str">
        <f>IFERROR(VLOOKUP(A577,'Acompanhamento da Licitação'!$F$2:$N$1000,6,FALSE()),"")</f>
        <v/>
      </c>
      <c r="M577" s="6" t="str">
        <f>IFERROR(VLOOKUP(A577,'Acompanhamento da Licitação'!$F$2:$N$1000,7,FALSE()),"")</f>
        <v/>
      </c>
      <c r="N577" s="1" t="str">
        <f>IFERROR(VLOOKUP(A577,'Acompanhamento da Licitação'!$F$2:$N$1000,9,FALSE()),"")</f>
        <v/>
      </c>
      <c r="O577" s="1"/>
      <c r="P577" s="6"/>
    </row>
    <row r="578" spans="12:16" x14ac:dyDescent="0.2">
      <c r="L578" s="6" t="str">
        <f>IFERROR(VLOOKUP(A578,'Acompanhamento da Licitação'!$F$2:$N$1000,6,FALSE()),"")</f>
        <v/>
      </c>
      <c r="M578" s="6" t="str">
        <f>IFERROR(VLOOKUP(A578,'Acompanhamento da Licitação'!$F$2:$N$1000,7,FALSE()),"")</f>
        <v/>
      </c>
      <c r="N578" s="1" t="str">
        <f>IFERROR(VLOOKUP(A578,'Acompanhamento da Licitação'!$F$2:$N$1000,9,FALSE()),"")</f>
        <v/>
      </c>
      <c r="O578" s="1"/>
      <c r="P578" s="6"/>
    </row>
    <row r="579" spans="12:16" x14ac:dyDescent="0.2">
      <c r="L579" s="6" t="str">
        <f>IFERROR(VLOOKUP(A579,'Acompanhamento da Licitação'!$F$2:$N$1000,6,FALSE()),"")</f>
        <v/>
      </c>
      <c r="M579" s="6" t="str">
        <f>IFERROR(VLOOKUP(A579,'Acompanhamento da Licitação'!$F$2:$N$1000,7,FALSE()),"")</f>
        <v/>
      </c>
      <c r="N579" s="1" t="str">
        <f>IFERROR(VLOOKUP(A579,'Acompanhamento da Licitação'!$F$2:$N$1000,9,FALSE()),"")</f>
        <v/>
      </c>
      <c r="O579" s="1"/>
      <c r="P579" s="6"/>
    </row>
    <row r="580" spans="12:16" x14ac:dyDescent="0.2">
      <c r="L580" s="6" t="str">
        <f>IFERROR(VLOOKUP(A580,'Acompanhamento da Licitação'!$F$2:$N$1000,6,FALSE()),"")</f>
        <v/>
      </c>
      <c r="M580" s="6" t="str">
        <f>IFERROR(VLOOKUP(A580,'Acompanhamento da Licitação'!$F$2:$N$1000,7,FALSE()),"")</f>
        <v/>
      </c>
      <c r="N580" s="1" t="str">
        <f>IFERROR(VLOOKUP(A580,'Acompanhamento da Licitação'!$F$2:$N$1000,9,FALSE()),"")</f>
        <v/>
      </c>
      <c r="O580" s="1"/>
      <c r="P580" s="6"/>
    </row>
    <row r="581" spans="12:16" x14ac:dyDescent="0.2">
      <c r="L581" s="6" t="str">
        <f>IFERROR(VLOOKUP(A581,'Acompanhamento da Licitação'!$F$2:$N$1000,6,FALSE()),"")</f>
        <v/>
      </c>
      <c r="M581" s="6" t="str">
        <f>IFERROR(VLOOKUP(A581,'Acompanhamento da Licitação'!$F$2:$N$1000,7,FALSE()),"")</f>
        <v/>
      </c>
      <c r="N581" s="1" t="str">
        <f>IFERROR(VLOOKUP(A581,'Acompanhamento da Licitação'!$F$2:$N$1000,9,FALSE()),"")</f>
        <v/>
      </c>
      <c r="O581" s="1"/>
      <c r="P581" s="6"/>
    </row>
    <row r="582" spans="12:16" x14ac:dyDescent="0.2">
      <c r="L582" s="6" t="str">
        <f>IFERROR(VLOOKUP(A582,'Acompanhamento da Licitação'!$F$2:$N$1000,6,FALSE()),"")</f>
        <v/>
      </c>
      <c r="M582" s="6" t="str">
        <f>IFERROR(VLOOKUP(A582,'Acompanhamento da Licitação'!$F$2:$N$1000,7,FALSE()),"")</f>
        <v/>
      </c>
      <c r="N582" s="1" t="str">
        <f>IFERROR(VLOOKUP(A582,'Acompanhamento da Licitação'!$F$2:$N$1000,9,FALSE()),"")</f>
        <v/>
      </c>
      <c r="O582" s="1"/>
      <c r="P582" s="6"/>
    </row>
    <row r="583" spans="12:16" x14ac:dyDescent="0.2">
      <c r="L583" s="6" t="str">
        <f>IFERROR(VLOOKUP(A583,'Acompanhamento da Licitação'!$F$2:$N$1000,6,FALSE()),"")</f>
        <v/>
      </c>
      <c r="M583" s="6" t="str">
        <f>IFERROR(VLOOKUP(A583,'Acompanhamento da Licitação'!$F$2:$N$1000,7,FALSE()),"")</f>
        <v/>
      </c>
      <c r="N583" s="1" t="str">
        <f>IFERROR(VLOOKUP(A583,'Acompanhamento da Licitação'!$F$2:$N$1000,9,FALSE()),"")</f>
        <v/>
      </c>
      <c r="O583" s="1"/>
      <c r="P583" s="6"/>
    </row>
    <row r="584" spans="12:16" x14ac:dyDescent="0.2">
      <c r="L584" s="6" t="str">
        <f>IFERROR(VLOOKUP(A584,'Acompanhamento da Licitação'!$F$2:$N$1000,6,FALSE()),"")</f>
        <v/>
      </c>
      <c r="M584" s="6" t="str">
        <f>IFERROR(VLOOKUP(A584,'Acompanhamento da Licitação'!$F$2:$N$1000,7,FALSE()),"")</f>
        <v/>
      </c>
      <c r="N584" s="1" t="str">
        <f>IFERROR(VLOOKUP(A584,'Acompanhamento da Licitação'!$F$2:$N$1000,9,FALSE()),"")</f>
        <v/>
      </c>
      <c r="O584" s="1"/>
      <c r="P584" s="6"/>
    </row>
    <row r="585" spans="12:16" x14ac:dyDescent="0.2">
      <c r="L585" s="6" t="str">
        <f>IFERROR(VLOOKUP(A585,'Acompanhamento da Licitação'!$F$2:$N$1000,6,FALSE()),"")</f>
        <v/>
      </c>
      <c r="M585" s="6" t="str">
        <f>IFERROR(VLOOKUP(A585,'Acompanhamento da Licitação'!$F$2:$N$1000,7,FALSE()),"")</f>
        <v/>
      </c>
      <c r="N585" s="1" t="str">
        <f>IFERROR(VLOOKUP(A585,'Acompanhamento da Licitação'!$F$2:$N$1000,9,FALSE()),"")</f>
        <v/>
      </c>
      <c r="O585" s="1"/>
      <c r="P585" s="6"/>
    </row>
    <row r="586" spans="12:16" x14ac:dyDescent="0.2">
      <c r="L586" s="6" t="str">
        <f>IFERROR(VLOOKUP(A586,'Acompanhamento da Licitação'!$F$2:$N$1000,6,FALSE()),"")</f>
        <v/>
      </c>
      <c r="M586" s="6" t="str">
        <f>IFERROR(VLOOKUP(A586,'Acompanhamento da Licitação'!$F$2:$N$1000,7,FALSE()),"")</f>
        <v/>
      </c>
      <c r="N586" s="1" t="str">
        <f>IFERROR(VLOOKUP(A586,'Acompanhamento da Licitação'!$F$2:$N$1000,9,FALSE()),"")</f>
        <v/>
      </c>
      <c r="O586" s="1"/>
      <c r="P586" s="6"/>
    </row>
    <row r="587" spans="12:16" x14ac:dyDescent="0.2">
      <c r="L587" s="6" t="str">
        <f>IFERROR(VLOOKUP(A587,'Acompanhamento da Licitação'!$F$2:$N$1000,6,FALSE()),"")</f>
        <v/>
      </c>
      <c r="M587" s="6" t="str">
        <f>IFERROR(VLOOKUP(A587,'Acompanhamento da Licitação'!$F$2:$N$1000,7,FALSE()),"")</f>
        <v/>
      </c>
      <c r="N587" s="1" t="str">
        <f>IFERROR(VLOOKUP(A587,'Acompanhamento da Licitação'!$F$2:$N$1000,9,FALSE()),"")</f>
        <v/>
      </c>
      <c r="O587" s="1"/>
      <c r="P587" s="6"/>
    </row>
    <row r="588" spans="12:16" x14ac:dyDescent="0.2">
      <c r="L588" s="6" t="str">
        <f>IFERROR(VLOOKUP(A588,'Acompanhamento da Licitação'!$F$2:$N$1000,6,FALSE()),"")</f>
        <v/>
      </c>
      <c r="M588" s="6" t="str">
        <f>IFERROR(VLOOKUP(A588,'Acompanhamento da Licitação'!$F$2:$N$1000,7,FALSE()),"")</f>
        <v/>
      </c>
      <c r="N588" s="1" t="str">
        <f>IFERROR(VLOOKUP(A588,'Acompanhamento da Licitação'!$F$2:$N$1000,9,FALSE()),"")</f>
        <v/>
      </c>
      <c r="O588" s="1"/>
      <c r="P588" s="6"/>
    </row>
    <row r="589" spans="12:16" x14ac:dyDescent="0.2">
      <c r="L589" s="6" t="str">
        <f>IFERROR(VLOOKUP(A589,'Acompanhamento da Licitação'!$F$2:$N$1000,6,FALSE()),"")</f>
        <v/>
      </c>
      <c r="M589" s="6" t="str">
        <f>IFERROR(VLOOKUP(A589,'Acompanhamento da Licitação'!$F$2:$N$1000,7,FALSE()),"")</f>
        <v/>
      </c>
      <c r="N589" s="1" t="str">
        <f>IFERROR(VLOOKUP(A589,'Acompanhamento da Licitação'!$F$2:$N$1000,9,FALSE()),"")</f>
        <v/>
      </c>
      <c r="O589" s="1"/>
      <c r="P589" s="6"/>
    </row>
    <row r="590" spans="12:16" x14ac:dyDescent="0.2">
      <c r="L590" s="6" t="str">
        <f>IFERROR(VLOOKUP(A590,'Acompanhamento da Licitação'!$F$2:$N$1000,6,FALSE()),"")</f>
        <v/>
      </c>
      <c r="M590" s="6" t="str">
        <f>IFERROR(VLOOKUP(A590,'Acompanhamento da Licitação'!$F$2:$N$1000,7,FALSE()),"")</f>
        <v/>
      </c>
      <c r="N590" s="1" t="str">
        <f>IFERROR(VLOOKUP(A590,'Acompanhamento da Licitação'!$F$2:$N$1000,9,FALSE()),"")</f>
        <v/>
      </c>
      <c r="O590" s="1"/>
      <c r="P590" s="6"/>
    </row>
    <row r="591" spans="12:16" x14ac:dyDescent="0.2">
      <c r="L591" s="6" t="str">
        <f>IFERROR(VLOOKUP(A591,'Acompanhamento da Licitação'!$F$2:$N$1000,6,FALSE()),"")</f>
        <v/>
      </c>
      <c r="M591" s="6" t="str">
        <f>IFERROR(VLOOKUP(A591,'Acompanhamento da Licitação'!$F$2:$N$1000,7,FALSE()),"")</f>
        <v/>
      </c>
      <c r="N591" s="1" t="str">
        <f>IFERROR(VLOOKUP(A591,'Acompanhamento da Licitação'!$F$2:$N$1000,9,FALSE()),"")</f>
        <v/>
      </c>
      <c r="O591" s="1"/>
      <c r="P591" s="6"/>
    </row>
    <row r="592" spans="12:16" x14ac:dyDescent="0.2">
      <c r="L592" s="6" t="str">
        <f>IFERROR(VLOOKUP(A592,'Acompanhamento da Licitação'!$F$2:$N$1000,6,FALSE()),"")</f>
        <v/>
      </c>
      <c r="M592" s="6" t="str">
        <f>IFERROR(VLOOKUP(A592,'Acompanhamento da Licitação'!$F$2:$N$1000,7,FALSE()),"")</f>
        <v/>
      </c>
      <c r="N592" s="1" t="str">
        <f>IFERROR(VLOOKUP(A592,'Acompanhamento da Licitação'!$F$2:$N$1000,9,FALSE()),"")</f>
        <v/>
      </c>
      <c r="O592" s="1"/>
      <c r="P592" s="6"/>
    </row>
    <row r="593" spans="12:16" x14ac:dyDescent="0.2">
      <c r="L593" s="6" t="str">
        <f>IFERROR(VLOOKUP(A593,'Acompanhamento da Licitação'!$F$2:$N$1000,6,FALSE()),"")</f>
        <v/>
      </c>
      <c r="M593" s="6" t="str">
        <f>IFERROR(VLOOKUP(A593,'Acompanhamento da Licitação'!$F$2:$N$1000,7,FALSE()),"")</f>
        <v/>
      </c>
      <c r="N593" s="1" t="str">
        <f>IFERROR(VLOOKUP(A593,'Acompanhamento da Licitação'!$F$2:$N$1000,9,FALSE()),"")</f>
        <v/>
      </c>
      <c r="O593" s="1"/>
      <c r="P593" s="6"/>
    </row>
    <row r="594" spans="12:16" x14ac:dyDescent="0.2">
      <c r="L594" s="6" t="str">
        <f>IFERROR(VLOOKUP(A594,'Acompanhamento da Licitação'!$F$2:$N$1000,6,FALSE()),"")</f>
        <v/>
      </c>
      <c r="M594" s="6" t="str">
        <f>IFERROR(VLOOKUP(A594,'Acompanhamento da Licitação'!$F$2:$N$1000,7,FALSE()),"")</f>
        <v/>
      </c>
      <c r="N594" s="1" t="str">
        <f>IFERROR(VLOOKUP(A594,'Acompanhamento da Licitação'!$F$2:$N$1000,9,FALSE()),"")</f>
        <v/>
      </c>
      <c r="O594" s="1"/>
      <c r="P594" s="6"/>
    </row>
    <row r="595" spans="12:16" x14ac:dyDescent="0.2">
      <c r="L595" s="6" t="str">
        <f>IFERROR(VLOOKUP(A595,'Acompanhamento da Licitação'!$F$2:$N$1000,6,FALSE()),"")</f>
        <v/>
      </c>
      <c r="M595" s="6" t="str">
        <f>IFERROR(VLOOKUP(A595,'Acompanhamento da Licitação'!$F$2:$N$1000,7,FALSE()),"")</f>
        <v/>
      </c>
      <c r="N595" s="1" t="str">
        <f>IFERROR(VLOOKUP(A595,'Acompanhamento da Licitação'!$F$2:$N$1000,9,FALSE()),"")</f>
        <v/>
      </c>
      <c r="O595" s="1"/>
      <c r="P595" s="6"/>
    </row>
    <row r="596" spans="12:16" x14ac:dyDescent="0.2">
      <c r="L596" s="6" t="str">
        <f>IFERROR(VLOOKUP(A596,'Acompanhamento da Licitação'!$F$2:$N$1000,6,FALSE()),"")</f>
        <v/>
      </c>
      <c r="M596" s="6" t="str">
        <f>IFERROR(VLOOKUP(A596,'Acompanhamento da Licitação'!$F$2:$N$1000,7,FALSE()),"")</f>
        <v/>
      </c>
      <c r="N596" s="1" t="str">
        <f>IFERROR(VLOOKUP(A596,'Acompanhamento da Licitação'!$F$2:$N$1000,9,FALSE()),"")</f>
        <v/>
      </c>
      <c r="O596" s="1"/>
      <c r="P596" s="6"/>
    </row>
    <row r="597" spans="12:16" x14ac:dyDescent="0.2">
      <c r="L597" s="6" t="str">
        <f>IFERROR(VLOOKUP(A597,'Acompanhamento da Licitação'!$F$2:$N$1000,6,FALSE()),"")</f>
        <v/>
      </c>
      <c r="M597" s="6" t="str">
        <f>IFERROR(VLOOKUP(A597,'Acompanhamento da Licitação'!$F$2:$N$1000,7,FALSE()),"")</f>
        <v/>
      </c>
      <c r="N597" s="1" t="str">
        <f>IFERROR(VLOOKUP(A597,'Acompanhamento da Licitação'!$F$2:$N$1000,9,FALSE()),"")</f>
        <v/>
      </c>
      <c r="O597" s="1"/>
      <c r="P597" s="6"/>
    </row>
    <row r="598" spans="12:16" x14ac:dyDescent="0.2">
      <c r="L598" s="6" t="str">
        <f>IFERROR(VLOOKUP(A598,'Acompanhamento da Licitação'!$F$2:$N$1000,6,FALSE()),"")</f>
        <v/>
      </c>
      <c r="M598" s="6" t="str">
        <f>IFERROR(VLOOKUP(A598,'Acompanhamento da Licitação'!$F$2:$N$1000,7,FALSE()),"")</f>
        <v/>
      </c>
      <c r="N598" s="1" t="str">
        <f>IFERROR(VLOOKUP(A598,'Acompanhamento da Licitação'!$F$2:$N$1000,9,FALSE()),"")</f>
        <v/>
      </c>
      <c r="O598" s="1"/>
      <c r="P598" s="6"/>
    </row>
    <row r="599" spans="12:16" x14ac:dyDescent="0.2">
      <c r="L599" s="6" t="str">
        <f>IFERROR(VLOOKUP(A599,'Acompanhamento da Licitação'!$F$2:$N$1000,6,FALSE()),"")</f>
        <v/>
      </c>
      <c r="M599" s="6" t="str">
        <f>IFERROR(VLOOKUP(A599,'Acompanhamento da Licitação'!$F$2:$N$1000,7,FALSE()),"")</f>
        <v/>
      </c>
      <c r="N599" s="1" t="str">
        <f>IFERROR(VLOOKUP(A599,'Acompanhamento da Licitação'!$F$2:$N$1000,9,FALSE()),"")</f>
        <v/>
      </c>
      <c r="O599" s="1"/>
      <c r="P599" s="6"/>
    </row>
    <row r="600" spans="12:16" x14ac:dyDescent="0.2">
      <c r="L600" s="6" t="str">
        <f>IFERROR(VLOOKUP(A600,'Acompanhamento da Licitação'!$F$2:$N$1000,6,FALSE()),"")</f>
        <v/>
      </c>
      <c r="M600" s="6" t="str">
        <f>IFERROR(VLOOKUP(A600,'Acompanhamento da Licitação'!$F$2:$N$1000,7,FALSE()),"")</f>
        <v/>
      </c>
      <c r="N600" s="1" t="str">
        <f>IFERROR(VLOOKUP(A600,'Acompanhamento da Licitação'!$F$2:$N$1000,9,FALSE()),"")</f>
        <v/>
      </c>
      <c r="O600" s="1"/>
      <c r="P600" s="6"/>
    </row>
    <row r="601" spans="12:16" x14ac:dyDescent="0.2">
      <c r="L601" s="6" t="str">
        <f>IFERROR(VLOOKUP(A601,'Acompanhamento da Licitação'!$F$2:$N$1000,6,FALSE()),"")</f>
        <v/>
      </c>
      <c r="M601" s="6" t="str">
        <f>IFERROR(VLOOKUP(A601,'Acompanhamento da Licitação'!$F$2:$N$1000,7,FALSE()),"")</f>
        <v/>
      </c>
      <c r="N601" s="1" t="str">
        <f>IFERROR(VLOOKUP(A601,'Acompanhamento da Licitação'!$F$2:$N$1000,9,FALSE()),"")</f>
        <v/>
      </c>
      <c r="O601" s="1"/>
      <c r="P601" s="6"/>
    </row>
    <row r="602" spans="12:16" x14ac:dyDescent="0.2">
      <c r="L602" s="6" t="str">
        <f>IFERROR(VLOOKUP(A602,'Acompanhamento da Licitação'!$F$2:$N$1000,6,FALSE()),"")</f>
        <v/>
      </c>
      <c r="M602" s="6" t="str">
        <f>IFERROR(VLOOKUP(A602,'Acompanhamento da Licitação'!$F$2:$N$1000,7,FALSE()),"")</f>
        <v/>
      </c>
      <c r="N602" s="1" t="str">
        <f>IFERROR(VLOOKUP(A602,'Acompanhamento da Licitação'!$F$2:$N$1000,9,FALSE()),"")</f>
        <v/>
      </c>
      <c r="O602" s="1"/>
      <c r="P602" s="6"/>
    </row>
    <row r="603" spans="12:16" x14ac:dyDescent="0.2">
      <c r="L603" s="6" t="str">
        <f>IFERROR(VLOOKUP(A603,'Acompanhamento da Licitação'!$F$2:$N$1000,6,FALSE()),"")</f>
        <v/>
      </c>
      <c r="M603" s="6" t="str">
        <f>IFERROR(VLOOKUP(A603,'Acompanhamento da Licitação'!$F$2:$N$1000,7,FALSE()),"")</f>
        <v/>
      </c>
      <c r="N603" s="1" t="str">
        <f>IFERROR(VLOOKUP(A603,'Acompanhamento da Licitação'!$F$2:$N$1000,9,FALSE()),"")</f>
        <v/>
      </c>
      <c r="O603" s="1"/>
      <c r="P603" s="6"/>
    </row>
    <row r="604" spans="12:16" x14ac:dyDescent="0.2">
      <c r="L604" s="6" t="str">
        <f>IFERROR(VLOOKUP(A604,'Acompanhamento da Licitação'!$F$2:$N$1000,6,FALSE()),"")</f>
        <v/>
      </c>
      <c r="M604" s="6" t="str">
        <f>IFERROR(VLOOKUP(A604,'Acompanhamento da Licitação'!$F$2:$N$1000,7,FALSE()),"")</f>
        <v/>
      </c>
      <c r="N604" s="1" t="str">
        <f>IFERROR(VLOOKUP(A604,'Acompanhamento da Licitação'!$F$2:$N$1000,9,FALSE()),"")</f>
        <v/>
      </c>
      <c r="O604" s="1"/>
      <c r="P604" s="6"/>
    </row>
    <row r="605" spans="12:16" x14ac:dyDescent="0.2">
      <c r="L605" s="6" t="str">
        <f>IFERROR(VLOOKUP(A605,'Acompanhamento da Licitação'!$F$2:$N$1000,6,FALSE()),"")</f>
        <v/>
      </c>
      <c r="M605" s="6" t="str">
        <f>IFERROR(VLOOKUP(A605,'Acompanhamento da Licitação'!$F$2:$N$1000,7,FALSE()),"")</f>
        <v/>
      </c>
      <c r="N605" s="1" t="str">
        <f>IFERROR(VLOOKUP(A605,'Acompanhamento da Licitação'!$F$2:$N$1000,9,FALSE()),"")</f>
        <v/>
      </c>
      <c r="O605" s="1"/>
      <c r="P605" s="6"/>
    </row>
    <row r="606" spans="12:16" x14ac:dyDescent="0.2">
      <c r="L606" s="6" t="str">
        <f>IFERROR(VLOOKUP(A606,'Acompanhamento da Licitação'!$F$2:$N$1000,6,FALSE()),"")</f>
        <v/>
      </c>
      <c r="M606" s="6" t="str">
        <f>IFERROR(VLOOKUP(A606,'Acompanhamento da Licitação'!$F$2:$N$1000,7,FALSE()),"")</f>
        <v/>
      </c>
      <c r="N606" s="1" t="str">
        <f>IFERROR(VLOOKUP(A606,'Acompanhamento da Licitação'!$F$2:$N$1000,9,FALSE()),"")</f>
        <v/>
      </c>
      <c r="O606" s="1"/>
      <c r="P606" s="6"/>
    </row>
    <row r="607" spans="12:16" x14ac:dyDescent="0.2">
      <c r="L607" s="6" t="str">
        <f>IFERROR(VLOOKUP(A607,'Acompanhamento da Licitação'!$F$2:$N$1000,6,FALSE()),"")</f>
        <v/>
      </c>
      <c r="M607" s="6" t="str">
        <f>IFERROR(VLOOKUP(A607,'Acompanhamento da Licitação'!$F$2:$N$1000,7,FALSE()),"")</f>
        <v/>
      </c>
      <c r="N607" s="1" t="str">
        <f>IFERROR(VLOOKUP(A607,'Acompanhamento da Licitação'!$F$2:$N$1000,9,FALSE()),"")</f>
        <v/>
      </c>
      <c r="O607" s="1"/>
      <c r="P607" s="6"/>
    </row>
    <row r="608" spans="12:16" x14ac:dyDescent="0.2">
      <c r="L608" s="6" t="str">
        <f>IFERROR(VLOOKUP(A608,'Acompanhamento da Licitação'!$F$2:$N$1000,6,FALSE()),"")</f>
        <v/>
      </c>
      <c r="M608" s="6" t="str">
        <f>IFERROR(VLOOKUP(A608,'Acompanhamento da Licitação'!$F$2:$N$1000,7,FALSE()),"")</f>
        <v/>
      </c>
      <c r="N608" s="1" t="str">
        <f>IFERROR(VLOOKUP(A608,'Acompanhamento da Licitação'!$F$2:$N$1000,9,FALSE()),"")</f>
        <v/>
      </c>
      <c r="O608" s="1"/>
      <c r="P608" s="6"/>
    </row>
    <row r="609" spans="12:16" x14ac:dyDescent="0.2">
      <c r="L609" s="6" t="str">
        <f>IFERROR(VLOOKUP(A609,'Acompanhamento da Licitação'!$F$2:$N$1000,6,FALSE()),"")</f>
        <v/>
      </c>
      <c r="M609" s="6" t="str">
        <f>IFERROR(VLOOKUP(A609,'Acompanhamento da Licitação'!$F$2:$N$1000,7,FALSE()),"")</f>
        <v/>
      </c>
      <c r="N609" s="1" t="str">
        <f>IFERROR(VLOOKUP(A609,'Acompanhamento da Licitação'!$F$2:$N$1000,9,FALSE()),"")</f>
        <v/>
      </c>
      <c r="O609" s="1"/>
      <c r="P609" s="6"/>
    </row>
    <row r="610" spans="12:16" x14ac:dyDescent="0.2">
      <c r="L610" s="6" t="str">
        <f>IFERROR(VLOOKUP(A610,'Acompanhamento da Licitação'!$F$2:$N$1000,6,FALSE()),"")</f>
        <v/>
      </c>
      <c r="M610" s="6" t="str">
        <f>IFERROR(VLOOKUP(A610,'Acompanhamento da Licitação'!$F$2:$N$1000,7,FALSE()),"")</f>
        <v/>
      </c>
      <c r="N610" s="1" t="str">
        <f>IFERROR(VLOOKUP(A610,'Acompanhamento da Licitação'!$F$2:$N$1000,9,FALSE()),"")</f>
        <v/>
      </c>
      <c r="O610" s="1"/>
      <c r="P610" s="6"/>
    </row>
    <row r="611" spans="12:16" x14ac:dyDescent="0.2">
      <c r="L611" s="6" t="str">
        <f>IFERROR(VLOOKUP(A611,'Acompanhamento da Licitação'!$F$2:$N$1000,6,FALSE()),"")</f>
        <v/>
      </c>
      <c r="M611" s="6" t="str">
        <f>IFERROR(VLOOKUP(A611,'Acompanhamento da Licitação'!$F$2:$N$1000,7,FALSE()),"")</f>
        <v/>
      </c>
      <c r="N611" s="1" t="str">
        <f>IFERROR(VLOOKUP(A611,'Acompanhamento da Licitação'!$F$2:$N$1000,9,FALSE()),"")</f>
        <v/>
      </c>
      <c r="O611" s="1"/>
      <c r="P611" s="6"/>
    </row>
    <row r="612" spans="12:16" x14ac:dyDescent="0.2">
      <c r="L612" s="6" t="str">
        <f>IFERROR(VLOOKUP(A612,'Acompanhamento da Licitação'!$F$2:$N$1000,6,FALSE()),"")</f>
        <v/>
      </c>
      <c r="M612" s="6" t="str">
        <f>IFERROR(VLOOKUP(A612,'Acompanhamento da Licitação'!$F$2:$N$1000,7,FALSE()),"")</f>
        <v/>
      </c>
      <c r="N612" s="1" t="str">
        <f>IFERROR(VLOOKUP(A612,'Acompanhamento da Licitação'!$F$2:$N$1000,9,FALSE()),"")</f>
        <v/>
      </c>
      <c r="O612" s="1"/>
      <c r="P612" s="6"/>
    </row>
    <row r="613" spans="12:16" x14ac:dyDescent="0.2">
      <c r="L613" s="6" t="str">
        <f>IFERROR(VLOOKUP(A613,'Acompanhamento da Licitação'!$F$2:$N$1000,6,FALSE()),"")</f>
        <v/>
      </c>
      <c r="M613" s="6" t="str">
        <f>IFERROR(VLOOKUP(A613,'Acompanhamento da Licitação'!$F$2:$N$1000,7,FALSE()),"")</f>
        <v/>
      </c>
      <c r="N613" s="1" t="str">
        <f>IFERROR(VLOOKUP(A613,'Acompanhamento da Licitação'!$F$2:$N$1000,9,FALSE()),"")</f>
        <v/>
      </c>
      <c r="O613" s="1"/>
      <c r="P613" s="6"/>
    </row>
    <row r="614" spans="12:16" x14ac:dyDescent="0.2">
      <c r="L614" s="6" t="str">
        <f>IFERROR(VLOOKUP(A614,'Acompanhamento da Licitação'!$F$2:$N$1000,6,FALSE()),"")</f>
        <v/>
      </c>
      <c r="M614" s="6" t="str">
        <f>IFERROR(VLOOKUP(A614,'Acompanhamento da Licitação'!$F$2:$N$1000,7,FALSE()),"")</f>
        <v/>
      </c>
      <c r="N614" s="1" t="str">
        <f>IFERROR(VLOOKUP(A614,'Acompanhamento da Licitação'!$F$2:$N$1000,9,FALSE()),"")</f>
        <v/>
      </c>
      <c r="O614" s="1"/>
      <c r="P614" s="6"/>
    </row>
    <row r="615" spans="12:16" x14ac:dyDescent="0.2">
      <c r="L615" s="6" t="str">
        <f>IFERROR(VLOOKUP(A615,'Acompanhamento da Licitação'!$F$2:$N$1000,6,FALSE()),"")</f>
        <v/>
      </c>
      <c r="M615" s="6" t="str">
        <f>IFERROR(VLOOKUP(A615,'Acompanhamento da Licitação'!$F$2:$N$1000,7,FALSE()),"")</f>
        <v/>
      </c>
      <c r="N615" s="1" t="str">
        <f>IFERROR(VLOOKUP(A615,'Acompanhamento da Licitação'!$F$2:$N$1000,9,FALSE()),"")</f>
        <v/>
      </c>
      <c r="O615" s="1"/>
      <c r="P615" s="6"/>
    </row>
    <row r="616" spans="12:16" x14ac:dyDescent="0.2">
      <c r="L616" s="6" t="str">
        <f>IFERROR(VLOOKUP(A616,'Acompanhamento da Licitação'!$F$2:$N$1000,6,FALSE()),"")</f>
        <v/>
      </c>
      <c r="M616" s="6" t="str">
        <f>IFERROR(VLOOKUP(A616,'Acompanhamento da Licitação'!$F$2:$N$1000,7,FALSE()),"")</f>
        <v/>
      </c>
      <c r="N616" s="1" t="str">
        <f>IFERROR(VLOOKUP(A616,'Acompanhamento da Licitação'!$F$2:$N$1000,9,FALSE()),"")</f>
        <v/>
      </c>
      <c r="O616" s="1"/>
      <c r="P616" s="6"/>
    </row>
    <row r="617" spans="12:16" x14ac:dyDescent="0.2">
      <c r="L617" s="6" t="str">
        <f>IFERROR(VLOOKUP(A617,'Acompanhamento da Licitação'!$F$2:$N$1000,6,FALSE()),"")</f>
        <v/>
      </c>
      <c r="M617" s="6" t="str">
        <f>IFERROR(VLOOKUP(A617,'Acompanhamento da Licitação'!$F$2:$N$1000,7,FALSE()),"")</f>
        <v/>
      </c>
      <c r="N617" s="1" t="str">
        <f>IFERROR(VLOOKUP(A617,'Acompanhamento da Licitação'!$F$2:$N$1000,9,FALSE()),"")</f>
        <v/>
      </c>
      <c r="O617" s="1"/>
      <c r="P617" s="6"/>
    </row>
    <row r="618" spans="12:16" x14ac:dyDescent="0.2">
      <c r="L618" s="6" t="str">
        <f>IFERROR(VLOOKUP(A618,'Acompanhamento da Licitação'!$F$2:$N$1000,6,FALSE()),"")</f>
        <v/>
      </c>
      <c r="M618" s="6" t="str">
        <f>IFERROR(VLOOKUP(A618,'Acompanhamento da Licitação'!$F$2:$N$1000,7,FALSE()),"")</f>
        <v/>
      </c>
      <c r="N618" s="1" t="str">
        <f>IFERROR(VLOOKUP(A618,'Acompanhamento da Licitação'!$F$2:$N$1000,9,FALSE()),"")</f>
        <v/>
      </c>
      <c r="O618" s="1"/>
      <c r="P618" s="6"/>
    </row>
    <row r="619" spans="12:16" x14ac:dyDescent="0.2">
      <c r="L619" s="6" t="str">
        <f>IFERROR(VLOOKUP(A619,'Acompanhamento da Licitação'!$F$2:$N$1000,6,FALSE()),"")</f>
        <v/>
      </c>
      <c r="M619" s="6" t="str">
        <f>IFERROR(VLOOKUP(A619,'Acompanhamento da Licitação'!$F$2:$N$1000,7,FALSE()),"")</f>
        <v/>
      </c>
      <c r="N619" s="1" t="str">
        <f>IFERROR(VLOOKUP(A619,'Acompanhamento da Licitação'!$F$2:$N$1000,9,FALSE()),"")</f>
        <v/>
      </c>
      <c r="O619" s="1"/>
      <c r="P619" s="6"/>
    </row>
    <row r="620" spans="12:16" x14ac:dyDescent="0.2">
      <c r="L620" s="6" t="str">
        <f>IFERROR(VLOOKUP(A620,'Acompanhamento da Licitação'!$F$2:$N$1000,6,FALSE()),"")</f>
        <v/>
      </c>
      <c r="M620" s="6" t="str">
        <f>IFERROR(VLOOKUP(A620,'Acompanhamento da Licitação'!$F$2:$N$1000,7,FALSE()),"")</f>
        <v/>
      </c>
      <c r="N620" s="1" t="str">
        <f>IFERROR(VLOOKUP(A620,'Acompanhamento da Licitação'!$F$2:$N$1000,9,FALSE()),"")</f>
        <v/>
      </c>
      <c r="O620" s="1"/>
      <c r="P620" s="6"/>
    </row>
    <row r="621" spans="12:16" x14ac:dyDescent="0.2">
      <c r="L621" s="6" t="str">
        <f>IFERROR(VLOOKUP(A621,'Acompanhamento da Licitação'!$F$2:$N$1000,6,FALSE()),"")</f>
        <v/>
      </c>
      <c r="M621" s="6" t="str">
        <f>IFERROR(VLOOKUP(A621,'Acompanhamento da Licitação'!$F$2:$N$1000,7,FALSE()),"")</f>
        <v/>
      </c>
      <c r="N621" s="1" t="str">
        <f>IFERROR(VLOOKUP(A621,'Acompanhamento da Licitação'!$F$2:$N$1000,9,FALSE()),"")</f>
        <v/>
      </c>
      <c r="O621" s="1"/>
      <c r="P621" s="6"/>
    </row>
    <row r="622" spans="12:16" x14ac:dyDescent="0.2">
      <c r="L622" s="6" t="str">
        <f>IFERROR(VLOOKUP(A622,'Acompanhamento da Licitação'!$F$2:$N$1000,6,FALSE()),"")</f>
        <v/>
      </c>
      <c r="M622" s="6" t="str">
        <f>IFERROR(VLOOKUP(A622,'Acompanhamento da Licitação'!$F$2:$N$1000,7,FALSE()),"")</f>
        <v/>
      </c>
      <c r="N622" s="1" t="str">
        <f>IFERROR(VLOOKUP(A622,'Acompanhamento da Licitação'!$F$2:$N$1000,9,FALSE()),"")</f>
        <v/>
      </c>
      <c r="O622" s="1"/>
      <c r="P622" s="6"/>
    </row>
    <row r="623" spans="12:16" x14ac:dyDescent="0.2">
      <c r="L623" s="6" t="str">
        <f>IFERROR(VLOOKUP(A623,'Acompanhamento da Licitação'!$F$2:$N$1000,6,FALSE()),"")</f>
        <v/>
      </c>
      <c r="M623" s="6" t="str">
        <f>IFERROR(VLOOKUP(A623,'Acompanhamento da Licitação'!$F$2:$N$1000,7,FALSE()),"")</f>
        <v/>
      </c>
      <c r="N623" s="1" t="str">
        <f>IFERROR(VLOOKUP(A623,'Acompanhamento da Licitação'!$F$2:$N$1000,9,FALSE()),"")</f>
        <v/>
      </c>
      <c r="O623" s="1"/>
      <c r="P623" s="6"/>
    </row>
    <row r="624" spans="12:16" x14ac:dyDescent="0.2">
      <c r="L624" s="6" t="str">
        <f>IFERROR(VLOOKUP(A624,'Acompanhamento da Licitação'!$F$2:$N$1000,6,FALSE()),"")</f>
        <v/>
      </c>
      <c r="M624" s="6" t="str">
        <f>IFERROR(VLOOKUP(A624,'Acompanhamento da Licitação'!$F$2:$N$1000,7,FALSE()),"")</f>
        <v/>
      </c>
      <c r="N624" s="1" t="str">
        <f>IFERROR(VLOOKUP(A624,'Acompanhamento da Licitação'!$F$2:$N$1000,9,FALSE()),"")</f>
        <v/>
      </c>
      <c r="O624" s="1"/>
      <c r="P624" s="6"/>
    </row>
    <row r="625" spans="12:16" x14ac:dyDescent="0.2">
      <c r="L625" s="6" t="str">
        <f>IFERROR(VLOOKUP(A625,'Acompanhamento da Licitação'!$F$2:$N$1000,6,FALSE()),"")</f>
        <v/>
      </c>
      <c r="M625" s="6" t="str">
        <f>IFERROR(VLOOKUP(A625,'Acompanhamento da Licitação'!$F$2:$N$1000,7,FALSE()),"")</f>
        <v/>
      </c>
      <c r="N625" s="1" t="str">
        <f>IFERROR(VLOOKUP(A625,'Acompanhamento da Licitação'!$F$2:$N$1000,9,FALSE()),"")</f>
        <v/>
      </c>
      <c r="O625" s="1"/>
      <c r="P625" s="6"/>
    </row>
    <row r="626" spans="12:16" x14ac:dyDescent="0.2">
      <c r="L626" s="6" t="str">
        <f>IFERROR(VLOOKUP(A626,'Acompanhamento da Licitação'!$F$2:$N$1000,6,FALSE()),"")</f>
        <v/>
      </c>
      <c r="M626" s="6" t="str">
        <f>IFERROR(VLOOKUP(A626,'Acompanhamento da Licitação'!$F$2:$N$1000,7,FALSE()),"")</f>
        <v/>
      </c>
      <c r="N626" s="1" t="str">
        <f>IFERROR(VLOOKUP(A626,'Acompanhamento da Licitação'!$F$2:$N$1000,9,FALSE()),"")</f>
        <v/>
      </c>
      <c r="O626" s="1"/>
      <c r="P626" s="6"/>
    </row>
    <row r="627" spans="12:16" x14ac:dyDescent="0.2">
      <c r="L627" s="6" t="str">
        <f>IFERROR(VLOOKUP(A627,'Acompanhamento da Licitação'!$F$2:$N$1000,6,FALSE()),"")</f>
        <v/>
      </c>
      <c r="M627" s="6" t="str">
        <f>IFERROR(VLOOKUP(A627,'Acompanhamento da Licitação'!$F$2:$N$1000,7,FALSE()),"")</f>
        <v/>
      </c>
      <c r="N627" s="1" t="str">
        <f>IFERROR(VLOOKUP(A627,'Acompanhamento da Licitação'!$F$2:$N$1000,9,FALSE()),"")</f>
        <v/>
      </c>
      <c r="O627" s="1"/>
      <c r="P627" s="6"/>
    </row>
    <row r="628" spans="12:16" x14ac:dyDescent="0.2">
      <c r="L628" s="6" t="str">
        <f>IFERROR(VLOOKUP(A628,'Acompanhamento da Licitação'!$F$2:$N$1000,6,FALSE()),"")</f>
        <v/>
      </c>
      <c r="M628" s="6" t="str">
        <f>IFERROR(VLOOKUP(A628,'Acompanhamento da Licitação'!$F$2:$N$1000,7,FALSE()),"")</f>
        <v/>
      </c>
      <c r="N628" s="1" t="str">
        <f>IFERROR(VLOOKUP(A628,'Acompanhamento da Licitação'!$F$2:$N$1000,9,FALSE()),"")</f>
        <v/>
      </c>
      <c r="O628" s="1"/>
      <c r="P628" s="6"/>
    </row>
    <row r="629" spans="12:16" x14ac:dyDescent="0.2">
      <c r="L629" s="6" t="str">
        <f>IFERROR(VLOOKUP(A629,'Acompanhamento da Licitação'!$F$2:$N$1000,6,FALSE()),"")</f>
        <v/>
      </c>
      <c r="M629" s="6" t="str">
        <f>IFERROR(VLOOKUP(A629,'Acompanhamento da Licitação'!$F$2:$N$1000,7,FALSE()),"")</f>
        <v/>
      </c>
      <c r="N629" s="1" t="str">
        <f>IFERROR(VLOOKUP(A629,'Acompanhamento da Licitação'!$F$2:$N$1000,9,FALSE()),"")</f>
        <v/>
      </c>
      <c r="O629" s="1"/>
      <c r="P629" s="6"/>
    </row>
    <row r="630" spans="12:16" x14ac:dyDescent="0.2">
      <c r="L630" s="6" t="str">
        <f>IFERROR(VLOOKUP(A630,'Acompanhamento da Licitação'!$F$2:$N$1000,6,FALSE()),"")</f>
        <v/>
      </c>
      <c r="M630" s="6" t="str">
        <f>IFERROR(VLOOKUP(A630,'Acompanhamento da Licitação'!$F$2:$N$1000,7,FALSE()),"")</f>
        <v/>
      </c>
      <c r="N630" s="1" t="str">
        <f>IFERROR(VLOOKUP(A630,'Acompanhamento da Licitação'!$F$2:$N$1000,9,FALSE()),"")</f>
        <v/>
      </c>
      <c r="O630" s="1"/>
      <c r="P630" s="6"/>
    </row>
    <row r="631" spans="12:16" x14ac:dyDescent="0.2">
      <c r="L631" s="6" t="str">
        <f>IFERROR(VLOOKUP(A631,'Acompanhamento da Licitação'!$F$2:$N$1000,6,FALSE()),"")</f>
        <v/>
      </c>
      <c r="M631" s="6" t="str">
        <f>IFERROR(VLOOKUP(A631,'Acompanhamento da Licitação'!$F$2:$N$1000,7,FALSE()),"")</f>
        <v/>
      </c>
      <c r="N631" s="1" t="str">
        <f>IFERROR(VLOOKUP(A631,'Acompanhamento da Licitação'!$F$2:$N$1000,9,FALSE()),"")</f>
        <v/>
      </c>
      <c r="O631" s="1"/>
      <c r="P631" s="6"/>
    </row>
    <row r="632" spans="12:16" x14ac:dyDescent="0.2">
      <c r="L632" s="6" t="str">
        <f>IFERROR(VLOOKUP(A632,'Acompanhamento da Licitação'!$F$2:$N$1000,6,FALSE()),"")</f>
        <v/>
      </c>
      <c r="M632" s="6" t="str">
        <f>IFERROR(VLOOKUP(A632,'Acompanhamento da Licitação'!$F$2:$N$1000,7,FALSE()),"")</f>
        <v/>
      </c>
      <c r="N632" s="1" t="str">
        <f>IFERROR(VLOOKUP(A632,'Acompanhamento da Licitação'!$F$2:$N$1000,9,FALSE()),"")</f>
        <v/>
      </c>
      <c r="O632" s="1"/>
      <c r="P632" s="6"/>
    </row>
    <row r="633" spans="12:16" x14ac:dyDescent="0.2">
      <c r="L633" s="6" t="str">
        <f>IFERROR(VLOOKUP(A633,'Acompanhamento da Licitação'!$F$2:$N$1000,6,FALSE()),"")</f>
        <v/>
      </c>
      <c r="M633" s="6" t="str">
        <f>IFERROR(VLOOKUP(A633,'Acompanhamento da Licitação'!$F$2:$N$1000,7,FALSE()),"")</f>
        <v/>
      </c>
      <c r="N633" s="1" t="str">
        <f>IFERROR(VLOOKUP(A633,'Acompanhamento da Licitação'!$F$2:$N$1000,9,FALSE()),"")</f>
        <v/>
      </c>
      <c r="O633" s="1"/>
      <c r="P633" s="6"/>
    </row>
    <row r="634" spans="12:16" x14ac:dyDescent="0.2">
      <c r="L634" s="6" t="str">
        <f>IFERROR(VLOOKUP(A634,'Acompanhamento da Licitação'!$F$2:$N$1000,6,FALSE()),"")</f>
        <v/>
      </c>
      <c r="M634" s="6" t="str">
        <f>IFERROR(VLOOKUP(A634,'Acompanhamento da Licitação'!$F$2:$N$1000,7,FALSE()),"")</f>
        <v/>
      </c>
      <c r="N634" s="1" t="str">
        <f>IFERROR(VLOOKUP(A634,'Acompanhamento da Licitação'!$F$2:$N$1000,9,FALSE()),"")</f>
        <v/>
      </c>
      <c r="O634" s="1"/>
      <c r="P634" s="6"/>
    </row>
    <row r="635" spans="12:16" x14ac:dyDescent="0.2">
      <c r="L635" s="6" t="str">
        <f>IFERROR(VLOOKUP(A635,'Acompanhamento da Licitação'!$F$2:$N$1000,6,FALSE()),"")</f>
        <v/>
      </c>
      <c r="M635" s="6" t="str">
        <f>IFERROR(VLOOKUP(A635,'Acompanhamento da Licitação'!$F$2:$N$1000,7,FALSE()),"")</f>
        <v/>
      </c>
      <c r="N635" s="1" t="str">
        <f>IFERROR(VLOOKUP(A635,'Acompanhamento da Licitação'!$F$2:$N$1000,9,FALSE()),"")</f>
        <v/>
      </c>
      <c r="O635" s="1"/>
      <c r="P635" s="6"/>
    </row>
    <row r="636" spans="12:16" x14ac:dyDescent="0.2">
      <c r="L636" s="6" t="str">
        <f>IFERROR(VLOOKUP(A636,'Acompanhamento da Licitação'!$F$2:$N$1000,6,FALSE()),"")</f>
        <v/>
      </c>
      <c r="M636" s="6" t="str">
        <f>IFERROR(VLOOKUP(A636,'Acompanhamento da Licitação'!$F$2:$N$1000,7,FALSE()),"")</f>
        <v/>
      </c>
      <c r="N636" s="1" t="str">
        <f>IFERROR(VLOOKUP(A636,'Acompanhamento da Licitação'!$F$2:$N$1000,9,FALSE()),"")</f>
        <v/>
      </c>
      <c r="O636" s="1"/>
      <c r="P636" s="6"/>
    </row>
    <row r="637" spans="12:16" x14ac:dyDescent="0.2">
      <c r="L637" s="6" t="str">
        <f>IFERROR(VLOOKUP(A637,'Acompanhamento da Licitação'!$F$2:$N$1000,6,FALSE()),"")</f>
        <v/>
      </c>
      <c r="M637" s="6" t="str">
        <f>IFERROR(VLOOKUP(A637,'Acompanhamento da Licitação'!$F$2:$N$1000,7,FALSE()),"")</f>
        <v/>
      </c>
      <c r="N637" s="1" t="str">
        <f>IFERROR(VLOOKUP(A637,'Acompanhamento da Licitação'!$F$2:$N$1000,9,FALSE()),"")</f>
        <v/>
      </c>
      <c r="O637" s="1"/>
      <c r="P637" s="6"/>
    </row>
    <row r="638" spans="12:16" x14ac:dyDescent="0.2">
      <c r="L638" s="6" t="str">
        <f>IFERROR(VLOOKUP(A638,'Acompanhamento da Licitação'!$F$2:$N$1000,6,FALSE()),"")</f>
        <v/>
      </c>
      <c r="M638" s="6" t="str">
        <f>IFERROR(VLOOKUP(A638,'Acompanhamento da Licitação'!$F$2:$N$1000,7,FALSE()),"")</f>
        <v/>
      </c>
      <c r="N638" s="1" t="str">
        <f>IFERROR(VLOOKUP(A638,'Acompanhamento da Licitação'!$F$2:$N$1000,9,FALSE()),"")</f>
        <v/>
      </c>
      <c r="O638" s="1"/>
      <c r="P638" s="6"/>
    </row>
    <row r="639" spans="12:16" x14ac:dyDescent="0.2">
      <c r="L639" s="6" t="str">
        <f>IFERROR(VLOOKUP(A639,'Acompanhamento da Licitação'!$F$2:$N$1000,6,FALSE()),"")</f>
        <v/>
      </c>
      <c r="M639" s="6" t="str">
        <f>IFERROR(VLOOKUP(A639,'Acompanhamento da Licitação'!$F$2:$N$1000,7,FALSE()),"")</f>
        <v/>
      </c>
      <c r="N639" s="1" t="str">
        <f>IFERROR(VLOOKUP(A639,'Acompanhamento da Licitação'!$F$2:$N$1000,9,FALSE()),"")</f>
        <v/>
      </c>
      <c r="O639" s="1"/>
      <c r="P639" s="6"/>
    </row>
    <row r="640" spans="12:16" x14ac:dyDescent="0.2">
      <c r="L640" s="6" t="str">
        <f>IFERROR(VLOOKUP(A640,'Acompanhamento da Licitação'!$F$2:$N$1000,6,FALSE()),"")</f>
        <v/>
      </c>
      <c r="M640" s="6" t="str">
        <f>IFERROR(VLOOKUP(A640,'Acompanhamento da Licitação'!$F$2:$N$1000,7,FALSE()),"")</f>
        <v/>
      </c>
      <c r="N640" s="1" t="str">
        <f>IFERROR(VLOOKUP(A640,'Acompanhamento da Licitação'!$F$2:$N$1000,9,FALSE()),"")</f>
        <v/>
      </c>
      <c r="O640" s="1"/>
      <c r="P640" s="6"/>
    </row>
    <row r="641" spans="12:16" x14ac:dyDescent="0.2">
      <c r="L641" s="6" t="str">
        <f>IFERROR(VLOOKUP(A641,'Acompanhamento da Licitação'!$F$2:$N$1000,6,FALSE()),"")</f>
        <v/>
      </c>
      <c r="M641" s="6" t="str">
        <f>IFERROR(VLOOKUP(A641,'Acompanhamento da Licitação'!$F$2:$N$1000,7,FALSE()),"")</f>
        <v/>
      </c>
      <c r="N641" s="1" t="str">
        <f>IFERROR(VLOOKUP(A641,'Acompanhamento da Licitação'!$F$2:$N$1000,9,FALSE()),"")</f>
        <v/>
      </c>
      <c r="O641" s="1"/>
      <c r="P641" s="6"/>
    </row>
    <row r="642" spans="12:16" x14ac:dyDescent="0.2">
      <c r="L642" s="6" t="str">
        <f>IFERROR(VLOOKUP(A642,'Acompanhamento da Licitação'!$F$2:$N$1000,6,FALSE()),"")</f>
        <v/>
      </c>
      <c r="M642" s="6" t="str">
        <f>IFERROR(VLOOKUP(A642,'Acompanhamento da Licitação'!$F$2:$N$1000,7,FALSE()),"")</f>
        <v/>
      </c>
      <c r="N642" s="1" t="str">
        <f>IFERROR(VLOOKUP(A642,'Acompanhamento da Licitação'!$F$2:$N$1000,9,FALSE()),"")</f>
        <v/>
      </c>
      <c r="O642" s="1"/>
      <c r="P642" s="6"/>
    </row>
    <row r="643" spans="12:16" x14ac:dyDescent="0.2">
      <c r="L643" s="6" t="str">
        <f>IFERROR(VLOOKUP(A643,'Acompanhamento da Licitação'!$F$2:$N$1000,6,FALSE()),"")</f>
        <v/>
      </c>
      <c r="M643" s="6" t="str">
        <f>IFERROR(VLOOKUP(A643,'Acompanhamento da Licitação'!$F$2:$N$1000,7,FALSE()),"")</f>
        <v/>
      </c>
      <c r="N643" s="1" t="str">
        <f>IFERROR(VLOOKUP(A643,'Acompanhamento da Licitação'!$F$2:$N$1000,9,FALSE()),"")</f>
        <v/>
      </c>
      <c r="O643" s="1"/>
      <c r="P643" s="6"/>
    </row>
    <row r="644" spans="12:16" x14ac:dyDescent="0.2">
      <c r="L644" s="6" t="str">
        <f>IFERROR(VLOOKUP(A644,'Acompanhamento da Licitação'!$F$2:$N$1000,6,FALSE()),"")</f>
        <v/>
      </c>
      <c r="M644" s="6" t="str">
        <f>IFERROR(VLOOKUP(A644,'Acompanhamento da Licitação'!$F$2:$N$1000,7,FALSE()),"")</f>
        <v/>
      </c>
      <c r="N644" s="1" t="str">
        <f>IFERROR(VLOOKUP(A644,'Acompanhamento da Licitação'!$F$2:$N$1000,9,FALSE()),"")</f>
        <v/>
      </c>
      <c r="O644" s="1"/>
      <c r="P644" s="6"/>
    </row>
    <row r="645" spans="12:16" x14ac:dyDescent="0.2">
      <c r="L645" s="6" t="str">
        <f>IFERROR(VLOOKUP(A645,'Acompanhamento da Licitação'!$F$2:$N$1000,6,FALSE()),"")</f>
        <v/>
      </c>
      <c r="M645" s="6" t="str">
        <f>IFERROR(VLOOKUP(A645,'Acompanhamento da Licitação'!$F$2:$N$1000,7,FALSE()),"")</f>
        <v/>
      </c>
      <c r="N645" s="1" t="str">
        <f>IFERROR(VLOOKUP(A645,'Acompanhamento da Licitação'!$F$2:$N$1000,9,FALSE()),"")</f>
        <v/>
      </c>
      <c r="O645" s="1"/>
      <c r="P645" s="6"/>
    </row>
    <row r="646" spans="12:16" x14ac:dyDescent="0.2">
      <c r="L646" s="6" t="str">
        <f>IFERROR(VLOOKUP(A646,'Acompanhamento da Licitação'!$F$2:$N$1000,6,FALSE()),"")</f>
        <v/>
      </c>
      <c r="M646" s="6" t="str">
        <f>IFERROR(VLOOKUP(A646,'Acompanhamento da Licitação'!$F$2:$N$1000,7,FALSE()),"")</f>
        <v/>
      </c>
      <c r="N646" s="1" t="str">
        <f>IFERROR(VLOOKUP(A646,'Acompanhamento da Licitação'!$F$2:$N$1000,9,FALSE()),"")</f>
        <v/>
      </c>
      <c r="O646" s="1"/>
      <c r="P646" s="6"/>
    </row>
    <row r="647" spans="12:16" x14ac:dyDescent="0.2">
      <c r="L647" s="6" t="str">
        <f>IFERROR(VLOOKUP(A647,'Acompanhamento da Licitação'!$F$2:$N$1000,6,FALSE()),"")</f>
        <v/>
      </c>
      <c r="M647" s="6" t="str">
        <f>IFERROR(VLOOKUP(A647,'Acompanhamento da Licitação'!$F$2:$N$1000,7,FALSE()),"")</f>
        <v/>
      </c>
      <c r="N647" s="1" t="str">
        <f>IFERROR(VLOOKUP(A647,'Acompanhamento da Licitação'!$F$2:$N$1000,9,FALSE()),"")</f>
        <v/>
      </c>
      <c r="O647" s="1"/>
      <c r="P647" s="6"/>
    </row>
    <row r="648" spans="12:16" x14ac:dyDescent="0.2">
      <c r="L648" s="6" t="str">
        <f>IFERROR(VLOOKUP(A648,'Acompanhamento da Licitação'!$F$2:$N$1000,6,FALSE()),"")</f>
        <v/>
      </c>
      <c r="M648" s="6" t="str">
        <f>IFERROR(VLOOKUP(A648,'Acompanhamento da Licitação'!$F$2:$N$1000,7,FALSE()),"")</f>
        <v/>
      </c>
      <c r="N648" s="1" t="str">
        <f>IFERROR(VLOOKUP(A648,'Acompanhamento da Licitação'!$F$2:$N$1000,9,FALSE()),"")</f>
        <v/>
      </c>
      <c r="O648" s="1"/>
      <c r="P648" s="6"/>
    </row>
    <row r="649" spans="12:16" x14ac:dyDescent="0.2">
      <c r="L649" s="6" t="str">
        <f>IFERROR(VLOOKUP(A649,'Acompanhamento da Licitação'!$F$2:$N$1000,6,FALSE()),"")</f>
        <v/>
      </c>
      <c r="M649" s="6" t="str">
        <f>IFERROR(VLOOKUP(A649,'Acompanhamento da Licitação'!$F$2:$N$1000,7,FALSE()),"")</f>
        <v/>
      </c>
      <c r="N649" s="1" t="str">
        <f>IFERROR(VLOOKUP(A649,'Acompanhamento da Licitação'!$F$2:$N$1000,9,FALSE()),"")</f>
        <v/>
      </c>
      <c r="O649" s="1"/>
      <c r="P649" s="6"/>
    </row>
    <row r="650" spans="12:16" x14ac:dyDescent="0.2">
      <c r="L650" s="6" t="str">
        <f>IFERROR(VLOOKUP(A650,'Acompanhamento da Licitação'!$F$2:$N$1000,6,FALSE()),"")</f>
        <v/>
      </c>
      <c r="M650" s="6" t="str">
        <f>IFERROR(VLOOKUP(A650,'Acompanhamento da Licitação'!$F$2:$N$1000,7,FALSE()),"")</f>
        <v/>
      </c>
      <c r="N650" s="1" t="str">
        <f>IFERROR(VLOOKUP(A650,'Acompanhamento da Licitação'!$F$2:$N$1000,9,FALSE()),"")</f>
        <v/>
      </c>
      <c r="O650" s="1"/>
      <c r="P650" s="6"/>
    </row>
    <row r="651" spans="12:16" x14ac:dyDescent="0.2">
      <c r="L651" s="6" t="str">
        <f>IFERROR(VLOOKUP(A651,'Acompanhamento da Licitação'!$F$2:$N$1000,6,FALSE()),"")</f>
        <v/>
      </c>
      <c r="M651" s="6" t="str">
        <f>IFERROR(VLOOKUP(A651,'Acompanhamento da Licitação'!$F$2:$N$1000,7,FALSE()),"")</f>
        <v/>
      </c>
      <c r="N651" s="1" t="str">
        <f>IFERROR(VLOOKUP(A651,'Acompanhamento da Licitação'!$F$2:$N$1000,9,FALSE()),"")</f>
        <v/>
      </c>
      <c r="O651" s="1"/>
      <c r="P651" s="6"/>
    </row>
    <row r="652" spans="12:16" x14ac:dyDescent="0.2">
      <c r="L652" s="6" t="str">
        <f>IFERROR(VLOOKUP(A652,'Acompanhamento da Licitação'!$F$2:$N$1000,6,FALSE()),"")</f>
        <v/>
      </c>
      <c r="M652" s="6" t="str">
        <f>IFERROR(VLOOKUP(A652,'Acompanhamento da Licitação'!$F$2:$N$1000,7,FALSE()),"")</f>
        <v/>
      </c>
      <c r="N652" s="1" t="str">
        <f>IFERROR(VLOOKUP(A652,'Acompanhamento da Licitação'!$F$2:$N$1000,9,FALSE()),"")</f>
        <v/>
      </c>
      <c r="O652" s="1"/>
      <c r="P652" s="6"/>
    </row>
    <row r="653" spans="12:16" x14ac:dyDescent="0.2">
      <c r="L653" s="6" t="str">
        <f>IFERROR(VLOOKUP(A653,'Acompanhamento da Licitação'!$F$2:$N$1000,6,FALSE()),"")</f>
        <v/>
      </c>
      <c r="M653" s="6" t="str">
        <f>IFERROR(VLOOKUP(A653,'Acompanhamento da Licitação'!$F$2:$N$1000,7,FALSE()),"")</f>
        <v/>
      </c>
      <c r="N653" s="1" t="str">
        <f>IFERROR(VLOOKUP(A653,'Acompanhamento da Licitação'!$F$2:$N$1000,9,FALSE()),"")</f>
        <v/>
      </c>
      <c r="O653" s="1"/>
      <c r="P653" s="6"/>
    </row>
    <row r="654" spans="12:16" x14ac:dyDescent="0.2">
      <c r="L654" s="6" t="str">
        <f>IFERROR(VLOOKUP(A654,'Acompanhamento da Licitação'!$F$2:$N$1000,6,FALSE()),"")</f>
        <v/>
      </c>
      <c r="M654" s="6" t="str">
        <f>IFERROR(VLOOKUP(A654,'Acompanhamento da Licitação'!$F$2:$N$1000,7,FALSE()),"")</f>
        <v/>
      </c>
      <c r="N654" s="1" t="str">
        <f>IFERROR(VLOOKUP(A654,'Acompanhamento da Licitação'!$F$2:$N$1000,9,FALSE()),"")</f>
        <v/>
      </c>
      <c r="O654" s="1"/>
      <c r="P654" s="6"/>
    </row>
    <row r="655" spans="12:16" x14ac:dyDescent="0.2">
      <c r="L655" s="6" t="str">
        <f>IFERROR(VLOOKUP(A655,'Acompanhamento da Licitação'!$F$2:$N$1000,6,FALSE()),"")</f>
        <v/>
      </c>
      <c r="M655" s="6" t="str">
        <f>IFERROR(VLOOKUP(A655,'Acompanhamento da Licitação'!$F$2:$N$1000,7,FALSE()),"")</f>
        <v/>
      </c>
      <c r="N655" s="1" t="str">
        <f>IFERROR(VLOOKUP(A655,'Acompanhamento da Licitação'!$F$2:$N$1000,9,FALSE()),"")</f>
        <v/>
      </c>
      <c r="O655" s="1"/>
      <c r="P655" s="6"/>
    </row>
    <row r="656" spans="12:16" x14ac:dyDescent="0.2">
      <c r="L656" s="6" t="str">
        <f>IFERROR(VLOOKUP(A656,'Acompanhamento da Licitação'!$F$2:$N$1000,6,FALSE()),"")</f>
        <v/>
      </c>
      <c r="M656" s="6" t="str">
        <f>IFERROR(VLOOKUP(A656,'Acompanhamento da Licitação'!$F$2:$N$1000,7,FALSE()),"")</f>
        <v/>
      </c>
      <c r="N656" s="1" t="str">
        <f>IFERROR(VLOOKUP(A656,'Acompanhamento da Licitação'!$F$2:$N$1000,9,FALSE()),"")</f>
        <v/>
      </c>
      <c r="O656" s="1"/>
      <c r="P656" s="6"/>
    </row>
    <row r="657" spans="12:16" x14ac:dyDescent="0.2">
      <c r="L657" s="6" t="str">
        <f>IFERROR(VLOOKUP(A657,'Acompanhamento da Licitação'!$F$2:$N$1000,6,FALSE()),"")</f>
        <v/>
      </c>
      <c r="M657" s="6" t="str">
        <f>IFERROR(VLOOKUP(A657,'Acompanhamento da Licitação'!$F$2:$N$1000,7,FALSE()),"")</f>
        <v/>
      </c>
      <c r="N657" s="1" t="str">
        <f>IFERROR(VLOOKUP(A657,'Acompanhamento da Licitação'!$F$2:$N$1000,9,FALSE()),"")</f>
        <v/>
      </c>
      <c r="O657" s="1"/>
      <c r="P657" s="6"/>
    </row>
    <row r="658" spans="12:16" x14ac:dyDescent="0.2">
      <c r="L658" s="6" t="str">
        <f>IFERROR(VLOOKUP(A658,'Acompanhamento da Licitação'!$F$2:$N$1000,6,FALSE()),"")</f>
        <v/>
      </c>
      <c r="M658" s="6" t="str">
        <f>IFERROR(VLOOKUP(A658,'Acompanhamento da Licitação'!$F$2:$N$1000,7,FALSE()),"")</f>
        <v/>
      </c>
      <c r="N658" s="1" t="str">
        <f>IFERROR(VLOOKUP(A658,'Acompanhamento da Licitação'!$F$2:$N$1000,9,FALSE()),"")</f>
        <v/>
      </c>
      <c r="O658" s="1"/>
      <c r="P658" s="6"/>
    </row>
    <row r="659" spans="12:16" x14ac:dyDescent="0.2">
      <c r="L659" s="6" t="str">
        <f>IFERROR(VLOOKUP(A659,'Acompanhamento da Licitação'!$F$2:$N$1000,6,FALSE()),"")</f>
        <v/>
      </c>
      <c r="M659" s="6" t="str">
        <f>IFERROR(VLOOKUP(A659,'Acompanhamento da Licitação'!$F$2:$N$1000,7,FALSE()),"")</f>
        <v/>
      </c>
      <c r="N659" s="1" t="str">
        <f>IFERROR(VLOOKUP(A659,'Acompanhamento da Licitação'!$F$2:$N$1000,9,FALSE()),"")</f>
        <v/>
      </c>
      <c r="O659" s="1"/>
      <c r="P659" s="6"/>
    </row>
    <row r="660" spans="12:16" x14ac:dyDescent="0.2">
      <c r="L660" s="6" t="str">
        <f>IFERROR(VLOOKUP(A660,'Acompanhamento da Licitação'!$F$2:$N$1000,6,FALSE()),"")</f>
        <v/>
      </c>
      <c r="M660" s="6" t="str">
        <f>IFERROR(VLOOKUP(A660,'Acompanhamento da Licitação'!$F$2:$N$1000,7,FALSE()),"")</f>
        <v/>
      </c>
      <c r="N660" s="1" t="str">
        <f>IFERROR(VLOOKUP(A660,'Acompanhamento da Licitação'!$F$2:$N$1000,9,FALSE()),"")</f>
        <v/>
      </c>
      <c r="O660" s="1"/>
      <c r="P660" s="6"/>
    </row>
    <row r="661" spans="12:16" x14ac:dyDescent="0.2">
      <c r="L661" s="6" t="str">
        <f>IFERROR(VLOOKUP(A661,'Acompanhamento da Licitação'!$F$2:$N$1000,6,FALSE()),"")</f>
        <v/>
      </c>
      <c r="M661" s="6" t="str">
        <f>IFERROR(VLOOKUP(A661,'Acompanhamento da Licitação'!$F$2:$N$1000,7,FALSE()),"")</f>
        <v/>
      </c>
      <c r="N661" s="1" t="str">
        <f>IFERROR(VLOOKUP(A661,'Acompanhamento da Licitação'!$F$2:$N$1000,9,FALSE()),"")</f>
        <v/>
      </c>
      <c r="O661" s="1"/>
      <c r="P661" s="6"/>
    </row>
    <row r="662" spans="12:16" x14ac:dyDescent="0.2">
      <c r="L662" s="6" t="str">
        <f>IFERROR(VLOOKUP(A662,'Acompanhamento da Licitação'!$F$2:$N$1000,6,FALSE()),"")</f>
        <v/>
      </c>
      <c r="M662" s="6" t="str">
        <f>IFERROR(VLOOKUP(A662,'Acompanhamento da Licitação'!$F$2:$N$1000,7,FALSE()),"")</f>
        <v/>
      </c>
      <c r="N662" s="1" t="str">
        <f>IFERROR(VLOOKUP(A662,'Acompanhamento da Licitação'!$F$2:$N$1000,9,FALSE()),"")</f>
        <v/>
      </c>
      <c r="O662" s="1"/>
      <c r="P662" s="6"/>
    </row>
    <row r="663" spans="12:16" x14ac:dyDescent="0.2">
      <c r="L663" s="6" t="str">
        <f>IFERROR(VLOOKUP(A663,'Acompanhamento da Licitação'!$F$2:$N$1000,6,FALSE()),"")</f>
        <v/>
      </c>
      <c r="M663" s="6" t="str">
        <f>IFERROR(VLOOKUP(A663,'Acompanhamento da Licitação'!$F$2:$N$1000,7,FALSE()),"")</f>
        <v/>
      </c>
      <c r="N663" s="1" t="str">
        <f>IFERROR(VLOOKUP(A663,'Acompanhamento da Licitação'!$F$2:$N$1000,9,FALSE()),"")</f>
        <v/>
      </c>
      <c r="O663" s="1"/>
      <c r="P663" s="6"/>
    </row>
    <row r="664" spans="12:16" x14ac:dyDescent="0.2">
      <c r="L664" s="6" t="str">
        <f>IFERROR(VLOOKUP(A664,'Acompanhamento da Licitação'!$F$2:$N$1000,6,FALSE()),"")</f>
        <v/>
      </c>
      <c r="M664" s="6" t="str">
        <f>IFERROR(VLOOKUP(A664,'Acompanhamento da Licitação'!$F$2:$N$1000,7,FALSE()),"")</f>
        <v/>
      </c>
      <c r="N664" s="1" t="str">
        <f>IFERROR(VLOOKUP(A664,'Acompanhamento da Licitação'!$F$2:$N$1000,9,FALSE()),"")</f>
        <v/>
      </c>
      <c r="O664" s="1"/>
      <c r="P664" s="6"/>
    </row>
    <row r="665" spans="12:16" x14ac:dyDescent="0.2">
      <c r="L665" s="6" t="str">
        <f>IFERROR(VLOOKUP(A665,'Acompanhamento da Licitação'!$F$2:$N$1000,6,FALSE()),"")</f>
        <v/>
      </c>
      <c r="M665" s="6" t="str">
        <f>IFERROR(VLOOKUP(A665,'Acompanhamento da Licitação'!$F$2:$N$1000,7,FALSE()),"")</f>
        <v/>
      </c>
      <c r="N665" s="1" t="str">
        <f>IFERROR(VLOOKUP(A665,'Acompanhamento da Licitação'!$F$2:$N$1000,9,FALSE()),"")</f>
        <v/>
      </c>
      <c r="O665" s="1"/>
      <c r="P665" s="6"/>
    </row>
    <row r="666" spans="12:16" x14ac:dyDescent="0.2">
      <c r="L666" s="6" t="str">
        <f>IFERROR(VLOOKUP(A666,'Acompanhamento da Licitação'!$F$2:$N$1000,6,FALSE()),"")</f>
        <v/>
      </c>
      <c r="M666" s="6" t="str">
        <f>IFERROR(VLOOKUP(A666,'Acompanhamento da Licitação'!$F$2:$N$1000,7,FALSE()),"")</f>
        <v/>
      </c>
      <c r="N666" s="1" t="str">
        <f>IFERROR(VLOOKUP(A666,'Acompanhamento da Licitação'!$F$2:$N$1000,9,FALSE()),"")</f>
        <v/>
      </c>
      <c r="O666" s="1"/>
      <c r="P666" s="6"/>
    </row>
    <row r="667" spans="12:16" x14ac:dyDescent="0.2">
      <c r="L667" s="6" t="str">
        <f>IFERROR(VLOOKUP(A667,'Acompanhamento da Licitação'!$F$2:$N$1000,6,FALSE()),"")</f>
        <v/>
      </c>
      <c r="M667" s="6" t="str">
        <f>IFERROR(VLOOKUP(A667,'Acompanhamento da Licitação'!$F$2:$N$1000,7,FALSE()),"")</f>
        <v/>
      </c>
      <c r="N667" s="1" t="str">
        <f>IFERROR(VLOOKUP(A667,'Acompanhamento da Licitação'!$F$2:$N$1000,9,FALSE()),"")</f>
        <v/>
      </c>
      <c r="O667" s="1"/>
      <c r="P667" s="6"/>
    </row>
    <row r="668" spans="12:16" x14ac:dyDescent="0.2">
      <c r="L668" s="6" t="str">
        <f>IFERROR(VLOOKUP(A668,'Acompanhamento da Licitação'!$F$2:$N$1000,6,FALSE()),"")</f>
        <v/>
      </c>
      <c r="M668" s="6" t="str">
        <f>IFERROR(VLOOKUP(A668,'Acompanhamento da Licitação'!$F$2:$N$1000,7,FALSE()),"")</f>
        <v/>
      </c>
      <c r="N668" s="1" t="str">
        <f>IFERROR(VLOOKUP(A668,'Acompanhamento da Licitação'!$F$2:$N$1000,9,FALSE()),"")</f>
        <v/>
      </c>
      <c r="O668" s="1"/>
      <c r="P668" s="6"/>
    </row>
    <row r="669" spans="12:16" x14ac:dyDescent="0.2">
      <c r="L669" s="6" t="str">
        <f>IFERROR(VLOOKUP(A669,'Acompanhamento da Licitação'!$F$2:$N$1000,6,FALSE()),"")</f>
        <v/>
      </c>
      <c r="M669" s="6" t="str">
        <f>IFERROR(VLOOKUP(A669,'Acompanhamento da Licitação'!$F$2:$N$1000,7,FALSE()),"")</f>
        <v/>
      </c>
      <c r="N669" s="1" t="str">
        <f>IFERROR(VLOOKUP(A669,'Acompanhamento da Licitação'!$F$2:$N$1000,9,FALSE()),"")</f>
        <v/>
      </c>
      <c r="O669" s="1"/>
      <c r="P669" s="6"/>
    </row>
    <row r="670" spans="12:16" x14ac:dyDescent="0.2">
      <c r="L670" s="6" t="str">
        <f>IFERROR(VLOOKUP(A670,'Acompanhamento da Licitação'!$F$2:$N$1000,6,FALSE()),"")</f>
        <v/>
      </c>
      <c r="M670" s="6" t="str">
        <f>IFERROR(VLOOKUP(A670,'Acompanhamento da Licitação'!$F$2:$N$1000,7,FALSE()),"")</f>
        <v/>
      </c>
      <c r="N670" s="1" t="str">
        <f>IFERROR(VLOOKUP(A670,'Acompanhamento da Licitação'!$F$2:$N$1000,9,FALSE()),"")</f>
        <v/>
      </c>
      <c r="O670" s="1"/>
      <c r="P670" s="6"/>
    </row>
    <row r="671" spans="12:16" x14ac:dyDescent="0.2">
      <c r="L671" s="6" t="str">
        <f>IFERROR(VLOOKUP(A671,'Acompanhamento da Licitação'!$F$2:$N$1000,6,FALSE()),"")</f>
        <v/>
      </c>
      <c r="M671" s="6" t="str">
        <f>IFERROR(VLOOKUP(A671,'Acompanhamento da Licitação'!$F$2:$N$1000,7,FALSE()),"")</f>
        <v/>
      </c>
      <c r="N671" s="1" t="str">
        <f>IFERROR(VLOOKUP(A671,'Acompanhamento da Licitação'!$F$2:$N$1000,9,FALSE()),"")</f>
        <v/>
      </c>
      <c r="O671" s="1"/>
      <c r="P671" s="6"/>
    </row>
    <row r="672" spans="12:16" x14ac:dyDescent="0.2">
      <c r="L672" s="6" t="str">
        <f>IFERROR(VLOOKUP(A672,'Acompanhamento da Licitação'!$F$2:$N$1000,6,FALSE()),"")</f>
        <v/>
      </c>
      <c r="M672" s="6" t="str">
        <f>IFERROR(VLOOKUP(A672,'Acompanhamento da Licitação'!$F$2:$N$1000,7,FALSE()),"")</f>
        <v/>
      </c>
      <c r="N672" s="1" t="str">
        <f>IFERROR(VLOOKUP(A672,'Acompanhamento da Licitação'!$F$2:$N$1000,9,FALSE()),"")</f>
        <v/>
      </c>
      <c r="O672" s="1"/>
      <c r="P672" s="6"/>
    </row>
    <row r="673" spans="12:16" x14ac:dyDescent="0.2">
      <c r="L673" s="6" t="str">
        <f>IFERROR(VLOOKUP(A673,'Acompanhamento da Licitação'!$F$2:$N$1000,6,FALSE()),"")</f>
        <v/>
      </c>
      <c r="M673" s="6" t="str">
        <f>IFERROR(VLOOKUP(A673,'Acompanhamento da Licitação'!$F$2:$N$1000,7,FALSE()),"")</f>
        <v/>
      </c>
      <c r="N673" s="1" t="str">
        <f>IFERROR(VLOOKUP(A673,'Acompanhamento da Licitação'!$F$2:$N$1000,9,FALSE()),"")</f>
        <v/>
      </c>
      <c r="O673" s="1"/>
      <c r="P673" s="6"/>
    </row>
    <row r="674" spans="12:16" x14ac:dyDescent="0.2">
      <c r="L674" s="6" t="str">
        <f>IFERROR(VLOOKUP(A674,'Acompanhamento da Licitação'!$F$2:$N$1000,6,FALSE()),"")</f>
        <v/>
      </c>
      <c r="M674" s="6" t="str">
        <f>IFERROR(VLOOKUP(A674,'Acompanhamento da Licitação'!$F$2:$N$1000,7,FALSE()),"")</f>
        <v/>
      </c>
      <c r="N674" s="1" t="str">
        <f>IFERROR(VLOOKUP(A674,'Acompanhamento da Licitação'!$F$2:$N$1000,9,FALSE()),"")</f>
        <v/>
      </c>
      <c r="O674" s="1"/>
      <c r="P674" s="6"/>
    </row>
    <row r="675" spans="12:16" x14ac:dyDescent="0.2">
      <c r="L675" s="6" t="str">
        <f>IFERROR(VLOOKUP(A675,'Acompanhamento da Licitação'!$F$2:$N$1000,6,FALSE()),"")</f>
        <v/>
      </c>
      <c r="M675" s="6" t="str">
        <f>IFERROR(VLOOKUP(A675,'Acompanhamento da Licitação'!$F$2:$N$1000,7,FALSE()),"")</f>
        <v/>
      </c>
      <c r="N675" s="1" t="str">
        <f>IFERROR(VLOOKUP(A675,'Acompanhamento da Licitação'!$F$2:$N$1000,9,FALSE()),"")</f>
        <v/>
      </c>
      <c r="O675" s="1"/>
      <c r="P675" s="6"/>
    </row>
    <row r="676" spans="12:16" x14ac:dyDescent="0.2">
      <c r="L676" s="6" t="str">
        <f>IFERROR(VLOOKUP(A676,'Acompanhamento da Licitação'!$F$2:$N$1000,6,FALSE()),"")</f>
        <v/>
      </c>
      <c r="M676" s="6" t="str">
        <f>IFERROR(VLOOKUP(A676,'Acompanhamento da Licitação'!$F$2:$N$1000,7,FALSE()),"")</f>
        <v/>
      </c>
      <c r="N676" s="1" t="str">
        <f>IFERROR(VLOOKUP(A676,'Acompanhamento da Licitação'!$F$2:$N$1000,9,FALSE()),"")</f>
        <v/>
      </c>
      <c r="O676" s="1"/>
      <c r="P676" s="6"/>
    </row>
    <row r="677" spans="12:16" x14ac:dyDescent="0.2">
      <c r="L677" s="6" t="str">
        <f>IFERROR(VLOOKUP(A677,'Acompanhamento da Licitação'!$F$2:$N$1000,6,FALSE()),"")</f>
        <v/>
      </c>
      <c r="M677" s="6" t="str">
        <f>IFERROR(VLOOKUP(A677,'Acompanhamento da Licitação'!$F$2:$N$1000,7,FALSE()),"")</f>
        <v/>
      </c>
      <c r="N677" s="1" t="str">
        <f>IFERROR(VLOOKUP(A677,'Acompanhamento da Licitação'!$F$2:$N$1000,9,FALSE()),"")</f>
        <v/>
      </c>
      <c r="O677" s="1"/>
      <c r="P677" s="6"/>
    </row>
    <row r="678" spans="12:16" x14ac:dyDescent="0.2">
      <c r="L678" s="6" t="str">
        <f>IFERROR(VLOOKUP(A678,'Acompanhamento da Licitação'!$F$2:$N$1000,6,FALSE()),"")</f>
        <v/>
      </c>
      <c r="M678" s="6" t="str">
        <f>IFERROR(VLOOKUP(A678,'Acompanhamento da Licitação'!$F$2:$N$1000,7,FALSE()),"")</f>
        <v/>
      </c>
      <c r="N678" s="1" t="str">
        <f>IFERROR(VLOOKUP(A678,'Acompanhamento da Licitação'!$F$2:$N$1000,9,FALSE()),"")</f>
        <v/>
      </c>
      <c r="O678" s="1"/>
      <c r="P678" s="6"/>
    </row>
    <row r="679" spans="12:16" x14ac:dyDescent="0.2">
      <c r="L679" s="6" t="str">
        <f>IFERROR(VLOOKUP(A679,'Acompanhamento da Licitação'!$F$2:$N$1000,6,FALSE()),"")</f>
        <v/>
      </c>
      <c r="M679" s="6" t="str">
        <f>IFERROR(VLOOKUP(A679,'Acompanhamento da Licitação'!$F$2:$N$1000,7,FALSE()),"")</f>
        <v/>
      </c>
      <c r="N679" s="1" t="str">
        <f>IFERROR(VLOOKUP(A679,'Acompanhamento da Licitação'!$F$2:$N$1000,9,FALSE()),"")</f>
        <v/>
      </c>
      <c r="O679" s="1"/>
      <c r="P679" s="6"/>
    </row>
    <row r="680" spans="12:16" x14ac:dyDescent="0.2">
      <c r="L680" s="6" t="str">
        <f>IFERROR(VLOOKUP(A680,'Acompanhamento da Licitação'!$F$2:$N$1000,6,FALSE()),"")</f>
        <v/>
      </c>
      <c r="M680" s="6" t="str">
        <f>IFERROR(VLOOKUP(A680,'Acompanhamento da Licitação'!$F$2:$N$1000,7,FALSE()),"")</f>
        <v/>
      </c>
      <c r="N680" s="1" t="str">
        <f>IFERROR(VLOOKUP(A680,'Acompanhamento da Licitação'!$F$2:$N$1000,9,FALSE()),"")</f>
        <v/>
      </c>
      <c r="O680" s="1"/>
      <c r="P680" s="6"/>
    </row>
    <row r="681" spans="12:16" x14ac:dyDescent="0.2">
      <c r="L681" s="6" t="str">
        <f>IFERROR(VLOOKUP(A681,'Acompanhamento da Licitação'!$F$2:$N$1000,6,FALSE()),"")</f>
        <v/>
      </c>
      <c r="M681" s="6" t="str">
        <f>IFERROR(VLOOKUP(A681,'Acompanhamento da Licitação'!$F$2:$N$1000,7,FALSE()),"")</f>
        <v/>
      </c>
      <c r="N681" s="1" t="str">
        <f>IFERROR(VLOOKUP(A681,'Acompanhamento da Licitação'!$F$2:$N$1000,9,FALSE()),"")</f>
        <v/>
      </c>
      <c r="O681" s="1"/>
      <c r="P681" s="6"/>
    </row>
    <row r="682" spans="12:16" x14ac:dyDescent="0.2">
      <c r="L682" s="6" t="str">
        <f>IFERROR(VLOOKUP(A682,'Acompanhamento da Licitação'!$F$2:$N$1000,6,FALSE()),"")</f>
        <v/>
      </c>
      <c r="M682" s="6" t="str">
        <f>IFERROR(VLOOKUP(A682,'Acompanhamento da Licitação'!$F$2:$N$1000,7,FALSE()),"")</f>
        <v/>
      </c>
      <c r="N682" s="1" t="str">
        <f>IFERROR(VLOOKUP(A682,'Acompanhamento da Licitação'!$F$2:$N$1000,9,FALSE()),"")</f>
        <v/>
      </c>
      <c r="O682" s="1"/>
      <c r="P682" s="6"/>
    </row>
    <row r="683" spans="12:16" x14ac:dyDescent="0.2">
      <c r="L683" s="6" t="str">
        <f>IFERROR(VLOOKUP(A683,'Acompanhamento da Licitação'!$F$2:$N$1000,6,FALSE()),"")</f>
        <v/>
      </c>
      <c r="M683" s="6" t="str">
        <f>IFERROR(VLOOKUP(A683,'Acompanhamento da Licitação'!$F$2:$N$1000,7,FALSE()),"")</f>
        <v/>
      </c>
      <c r="N683" s="1" t="str">
        <f>IFERROR(VLOOKUP(A683,'Acompanhamento da Licitação'!$F$2:$N$1000,9,FALSE()),"")</f>
        <v/>
      </c>
      <c r="O683" s="1"/>
      <c r="P683" s="6"/>
    </row>
    <row r="684" spans="12:16" x14ac:dyDescent="0.2">
      <c r="L684" s="6" t="str">
        <f>IFERROR(VLOOKUP(A684,'Acompanhamento da Licitação'!$F$2:$N$1000,6,FALSE()),"")</f>
        <v/>
      </c>
      <c r="M684" s="6" t="str">
        <f>IFERROR(VLOOKUP(A684,'Acompanhamento da Licitação'!$F$2:$N$1000,7,FALSE()),"")</f>
        <v/>
      </c>
      <c r="N684" s="1" t="str">
        <f>IFERROR(VLOOKUP(A684,'Acompanhamento da Licitação'!$F$2:$N$1000,9,FALSE()),"")</f>
        <v/>
      </c>
      <c r="O684" s="1"/>
      <c r="P684" s="6"/>
    </row>
    <row r="685" spans="12:16" x14ac:dyDescent="0.2">
      <c r="L685" s="6" t="str">
        <f>IFERROR(VLOOKUP(A685,'Acompanhamento da Licitação'!$F$2:$N$1000,6,FALSE()),"")</f>
        <v/>
      </c>
      <c r="M685" s="6" t="str">
        <f>IFERROR(VLOOKUP(A685,'Acompanhamento da Licitação'!$F$2:$N$1000,7,FALSE()),"")</f>
        <v/>
      </c>
      <c r="N685" s="1" t="str">
        <f>IFERROR(VLOOKUP(A685,'Acompanhamento da Licitação'!$F$2:$N$1000,9,FALSE()),"")</f>
        <v/>
      </c>
      <c r="O685" s="1"/>
      <c r="P685" s="6"/>
    </row>
    <row r="686" spans="12:16" x14ac:dyDescent="0.2">
      <c r="L686" s="6" t="str">
        <f>IFERROR(VLOOKUP(A686,'Acompanhamento da Licitação'!$F$2:$N$1000,6,FALSE()),"")</f>
        <v/>
      </c>
      <c r="M686" s="6" t="str">
        <f>IFERROR(VLOOKUP(A686,'Acompanhamento da Licitação'!$F$2:$N$1000,7,FALSE()),"")</f>
        <v/>
      </c>
      <c r="N686" s="1" t="str">
        <f>IFERROR(VLOOKUP(A686,'Acompanhamento da Licitação'!$F$2:$N$1000,9,FALSE()),"")</f>
        <v/>
      </c>
      <c r="O686" s="1"/>
      <c r="P686" s="6"/>
    </row>
    <row r="687" spans="12:16" x14ac:dyDescent="0.2">
      <c r="L687" s="6" t="str">
        <f>IFERROR(VLOOKUP(A687,'Acompanhamento da Licitação'!$F$2:$N$1000,6,FALSE()),"")</f>
        <v/>
      </c>
      <c r="M687" s="6" t="str">
        <f>IFERROR(VLOOKUP(A687,'Acompanhamento da Licitação'!$F$2:$N$1000,7,FALSE()),"")</f>
        <v/>
      </c>
      <c r="N687" s="1" t="str">
        <f>IFERROR(VLOOKUP(A687,'Acompanhamento da Licitação'!$F$2:$N$1000,9,FALSE()),"")</f>
        <v/>
      </c>
      <c r="O687" s="1"/>
      <c r="P687" s="6"/>
    </row>
    <row r="688" spans="12:16" x14ac:dyDescent="0.2">
      <c r="L688" s="6" t="str">
        <f>IFERROR(VLOOKUP(A688,'Acompanhamento da Licitação'!$F$2:$N$1000,6,FALSE()),"")</f>
        <v/>
      </c>
      <c r="M688" s="6" t="str">
        <f>IFERROR(VLOOKUP(A688,'Acompanhamento da Licitação'!$F$2:$N$1000,7,FALSE()),"")</f>
        <v/>
      </c>
      <c r="N688" s="1" t="str">
        <f>IFERROR(VLOOKUP(A688,'Acompanhamento da Licitação'!$F$2:$N$1000,9,FALSE()),"")</f>
        <v/>
      </c>
      <c r="O688" s="1"/>
      <c r="P688" s="6"/>
    </row>
    <row r="689" spans="12:16" x14ac:dyDescent="0.2">
      <c r="L689" s="6" t="str">
        <f>IFERROR(VLOOKUP(A689,'Acompanhamento da Licitação'!$F$2:$N$1000,6,FALSE()),"")</f>
        <v/>
      </c>
      <c r="M689" s="6" t="str">
        <f>IFERROR(VLOOKUP(A689,'Acompanhamento da Licitação'!$F$2:$N$1000,7,FALSE()),"")</f>
        <v/>
      </c>
      <c r="N689" s="1" t="str">
        <f>IFERROR(VLOOKUP(A689,'Acompanhamento da Licitação'!$F$2:$N$1000,9,FALSE()),"")</f>
        <v/>
      </c>
      <c r="O689" s="1"/>
      <c r="P689" s="6"/>
    </row>
    <row r="690" spans="12:16" x14ac:dyDescent="0.2">
      <c r="L690" s="6" t="str">
        <f>IFERROR(VLOOKUP(A690,'Acompanhamento da Licitação'!$F$2:$N$1000,6,FALSE()),"")</f>
        <v/>
      </c>
      <c r="M690" s="6" t="str">
        <f>IFERROR(VLOOKUP(A690,'Acompanhamento da Licitação'!$F$2:$N$1000,7,FALSE()),"")</f>
        <v/>
      </c>
      <c r="N690" s="1" t="str">
        <f>IFERROR(VLOOKUP(A690,'Acompanhamento da Licitação'!$F$2:$N$1000,9,FALSE()),"")</f>
        <v/>
      </c>
      <c r="O690" s="1"/>
      <c r="P690" s="6"/>
    </row>
    <row r="691" spans="12:16" x14ac:dyDescent="0.2">
      <c r="L691" s="6" t="str">
        <f>IFERROR(VLOOKUP(A691,'Acompanhamento da Licitação'!$F$2:$N$1000,6,FALSE()),"")</f>
        <v/>
      </c>
      <c r="M691" s="6" t="str">
        <f>IFERROR(VLOOKUP(A691,'Acompanhamento da Licitação'!$F$2:$N$1000,7,FALSE()),"")</f>
        <v/>
      </c>
      <c r="N691" s="1" t="str">
        <f>IFERROR(VLOOKUP(A691,'Acompanhamento da Licitação'!$F$2:$N$1000,9,FALSE()),"")</f>
        <v/>
      </c>
      <c r="O691" s="1"/>
      <c r="P691" s="6"/>
    </row>
    <row r="692" spans="12:16" x14ac:dyDescent="0.2">
      <c r="L692" s="6" t="str">
        <f>IFERROR(VLOOKUP(A692,'Acompanhamento da Licitação'!$F$2:$N$1000,6,FALSE()),"")</f>
        <v/>
      </c>
      <c r="M692" s="6" t="str">
        <f>IFERROR(VLOOKUP(A692,'Acompanhamento da Licitação'!$F$2:$N$1000,7,FALSE()),"")</f>
        <v/>
      </c>
      <c r="N692" s="1" t="str">
        <f>IFERROR(VLOOKUP(A692,'Acompanhamento da Licitação'!$F$2:$N$1000,9,FALSE()),"")</f>
        <v/>
      </c>
      <c r="O692" s="1"/>
      <c r="P692" s="6"/>
    </row>
    <row r="693" spans="12:16" x14ac:dyDescent="0.2">
      <c r="L693" s="6" t="str">
        <f>IFERROR(VLOOKUP(A693,'Acompanhamento da Licitação'!$F$2:$N$1000,6,FALSE()),"")</f>
        <v/>
      </c>
      <c r="M693" s="6" t="str">
        <f>IFERROR(VLOOKUP(A693,'Acompanhamento da Licitação'!$F$2:$N$1000,7,FALSE()),"")</f>
        <v/>
      </c>
      <c r="N693" s="1" t="str">
        <f>IFERROR(VLOOKUP(A693,'Acompanhamento da Licitação'!$F$2:$N$1000,9,FALSE()),"")</f>
        <v/>
      </c>
      <c r="O693" s="1"/>
      <c r="P693" s="6"/>
    </row>
    <row r="694" spans="12:16" x14ac:dyDescent="0.2">
      <c r="L694" s="6" t="str">
        <f>IFERROR(VLOOKUP(A694,'Acompanhamento da Licitação'!$F$2:$N$1000,6,FALSE()),"")</f>
        <v/>
      </c>
      <c r="M694" s="6" t="str">
        <f>IFERROR(VLOOKUP(A694,'Acompanhamento da Licitação'!$F$2:$N$1000,7,FALSE()),"")</f>
        <v/>
      </c>
      <c r="N694" s="1" t="str">
        <f>IFERROR(VLOOKUP(A694,'Acompanhamento da Licitação'!$F$2:$N$1000,9,FALSE()),"")</f>
        <v/>
      </c>
      <c r="O694" s="1"/>
      <c r="P694" s="6"/>
    </row>
    <row r="695" spans="12:16" x14ac:dyDescent="0.2">
      <c r="L695" s="6" t="str">
        <f>IFERROR(VLOOKUP(A695,'Acompanhamento da Licitação'!$F$2:$N$1000,6,FALSE()),"")</f>
        <v/>
      </c>
      <c r="M695" s="6" t="str">
        <f>IFERROR(VLOOKUP(A695,'Acompanhamento da Licitação'!$F$2:$N$1000,7,FALSE()),"")</f>
        <v/>
      </c>
      <c r="N695" s="1" t="str">
        <f>IFERROR(VLOOKUP(A695,'Acompanhamento da Licitação'!$F$2:$N$1000,9,FALSE()),"")</f>
        <v/>
      </c>
      <c r="O695" s="1"/>
      <c r="P695" s="6"/>
    </row>
    <row r="696" spans="12:16" x14ac:dyDescent="0.2">
      <c r="L696" s="6" t="str">
        <f>IFERROR(VLOOKUP(A696,'Acompanhamento da Licitação'!$F$2:$N$1000,6,FALSE()),"")</f>
        <v/>
      </c>
      <c r="M696" s="6" t="str">
        <f>IFERROR(VLOOKUP(A696,'Acompanhamento da Licitação'!$F$2:$N$1000,7,FALSE()),"")</f>
        <v/>
      </c>
      <c r="N696" s="1" t="str">
        <f>IFERROR(VLOOKUP(A696,'Acompanhamento da Licitação'!$F$2:$N$1000,9,FALSE()),"")</f>
        <v/>
      </c>
      <c r="O696" s="1"/>
      <c r="P696" s="6"/>
    </row>
    <row r="697" spans="12:16" x14ac:dyDescent="0.2">
      <c r="L697" s="6" t="str">
        <f>IFERROR(VLOOKUP(A697,'Acompanhamento da Licitação'!$F$2:$N$1000,6,FALSE()),"")</f>
        <v/>
      </c>
      <c r="M697" s="6" t="str">
        <f>IFERROR(VLOOKUP(A697,'Acompanhamento da Licitação'!$F$2:$N$1000,7,FALSE()),"")</f>
        <v/>
      </c>
      <c r="N697" s="1" t="str">
        <f>IFERROR(VLOOKUP(A697,'Acompanhamento da Licitação'!$F$2:$N$1000,9,FALSE()),"")</f>
        <v/>
      </c>
      <c r="O697" s="1"/>
      <c r="P697" s="6"/>
    </row>
    <row r="698" spans="12:16" x14ac:dyDescent="0.2">
      <c r="L698" s="6" t="str">
        <f>IFERROR(VLOOKUP(A698,'Acompanhamento da Licitação'!$F$2:$N$1000,6,FALSE()),"")</f>
        <v/>
      </c>
      <c r="M698" s="6" t="str">
        <f>IFERROR(VLOOKUP(A698,'Acompanhamento da Licitação'!$F$2:$N$1000,7,FALSE()),"")</f>
        <v/>
      </c>
      <c r="N698" s="1" t="str">
        <f>IFERROR(VLOOKUP(A698,'Acompanhamento da Licitação'!$F$2:$N$1000,9,FALSE()),"")</f>
        <v/>
      </c>
      <c r="O698" s="1"/>
      <c r="P698" s="6"/>
    </row>
    <row r="699" spans="12:16" x14ac:dyDescent="0.2">
      <c r="L699" s="6" t="str">
        <f>IFERROR(VLOOKUP(A699,'Acompanhamento da Licitação'!$F$2:$N$1000,6,FALSE()),"")</f>
        <v/>
      </c>
      <c r="M699" s="6" t="str">
        <f>IFERROR(VLOOKUP(A699,'Acompanhamento da Licitação'!$F$2:$N$1000,7,FALSE()),"")</f>
        <v/>
      </c>
      <c r="N699" s="1" t="str">
        <f>IFERROR(VLOOKUP(A699,'Acompanhamento da Licitação'!$F$2:$N$1000,9,FALSE()),"")</f>
        <v/>
      </c>
      <c r="O699" s="1"/>
      <c r="P699" s="6"/>
    </row>
    <row r="700" spans="12:16" x14ac:dyDescent="0.2">
      <c r="L700" s="6" t="str">
        <f>IFERROR(VLOOKUP(A700,'Acompanhamento da Licitação'!$F$2:$N$1000,6,FALSE()),"")</f>
        <v/>
      </c>
      <c r="M700" s="6" t="str">
        <f>IFERROR(VLOOKUP(A700,'Acompanhamento da Licitação'!$F$2:$N$1000,7,FALSE()),"")</f>
        <v/>
      </c>
      <c r="N700" s="1" t="str">
        <f>IFERROR(VLOOKUP(A700,'Acompanhamento da Licitação'!$F$2:$N$1000,9,FALSE()),"")</f>
        <v/>
      </c>
      <c r="O700" s="1"/>
      <c r="P700" s="6"/>
    </row>
    <row r="701" spans="12:16" x14ac:dyDescent="0.2">
      <c r="L701" s="6" t="str">
        <f>IFERROR(VLOOKUP(A701,'Acompanhamento da Licitação'!$F$2:$N$1000,6,FALSE()),"")</f>
        <v/>
      </c>
      <c r="M701" s="6" t="str">
        <f>IFERROR(VLOOKUP(A701,'Acompanhamento da Licitação'!$F$2:$N$1000,7,FALSE()),"")</f>
        <v/>
      </c>
      <c r="N701" s="1" t="str">
        <f>IFERROR(VLOOKUP(A701,'Acompanhamento da Licitação'!$F$2:$N$1000,9,FALSE()),"")</f>
        <v/>
      </c>
      <c r="O701" s="1"/>
      <c r="P701" s="6"/>
    </row>
    <row r="702" spans="12:16" x14ac:dyDescent="0.2">
      <c r="L702" s="6" t="str">
        <f>IFERROR(VLOOKUP(A702,'Acompanhamento da Licitação'!$F$2:$N$1000,6,FALSE()),"")</f>
        <v/>
      </c>
      <c r="M702" s="6" t="str">
        <f>IFERROR(VLOOKUP(A702,'Acompanhamento da Licitação'!$F$2:$N$1000,7,FALSE()),"")</f>
        <v/>
      </c>
      <c r="N702" s="1" t="str">
        <f>IFERROR(VLOOKUP(A702,'Acompanhamento da Licitação'!$F$2:$N$1000,9,FALSE()),"")</f>
        <v/>
      </c>
      <c r="O702" s="1"/>
      <c r="P702" s="6"/>
    </row>
    <row r="703" spans="12:16" x14ac:dyDescent="0.2">
      <c r="L703" s="6" t="str">
        <f>IFERROR(VLOOKUP(A703,'Acompanhamento da Licitação'!$F$2:$N$1000,6,FALSE()),"")</f>
        <v/>
      </c>
      <c r="M703" s="6" t="str">
        <f>IFERROR(VLOOKUP(A703,'Acompanhamento da Licitação'!$F$2:$N$1000,7,FALSE()),"")</f>
        <v/>
      </c>
      <c r="N703" s="1" t="str">
        <f>IFERROR(VLOOKUP(A703,'Acompanhamento da Licitação'!$F$2:$N$1000,9,FALSE()),"")</f>
        <v/>
      </c>
      <c r="O703" s="1"/>
      <c r="P703" s="6"/>
    </row>
    <row r="704" spans="12:16" x14ac:dyDescent="0.2">
      <c r="L704" s="6" t="str">
        <f>IFERROR(VLOOKUP(A704,'Acompanhamento da Licitação'!$F$2:$N$1000,6,FALSE()),"")</f>
        <v/>
      </c>
      <c r="M704" s="6" t="str">
        <f>IFERROR(VLOOKUP(A704,'Acompanhamento da Licitação'!$F$2:$N$1000,7,FALSE()),"")</f>
        <v/>
      </c>
      <c r="N704" s="1" t="str">
        <f>IFERROR(VLOOKUP(A704,'Acompanhamento da Licitação'!$F$2:$N$1000,9,FALSE()),"")</f>
        <v/>
      </c>
      <c r="O704" s="1"/>
      <c r="P704" s="6"/>
    </row>
    <row r="705" spans="12:16" x14ac:dyDescent="0.2">
      <c r="L705" s="6" t="str">
        <f>IFERROR(VLOOKUP(A705,'Acompanhamento da Licitação'!$F$2:$N$1000,6,FALSE()),"")</f>
        <v/>
      </c>
      <c r="M705" s="6" t="str">
        <f>IFERROR(VLOOKUP(A705,'Acompanhamento da Licitação'!$F$2:$N$1000,7,FALSE()),"")</f>
        <v/>
      </c>
      <c r="N705" s="1" t="str">
        <f>IFERROR(VLOOKUP(A705,'Acompanhamento da Licitação'!$F$2:$N$1000,9,FALSE()),"")</f>
        <v/>
      </c>
      <c r="O705" s="1"/>
      <c r="P705" s="6"/>
    </row>
    <row r="706" spans="12:16" x14ac:dyDescent="0.2">
      <c r="L706" s="6" t="str">
        <f>IFERROR(VLOOKUP(A706,'Acompanhamento da Licitação'!$F$2:$N$1000,6,FALSE()),"")</f>
        <v/>
      </c>
      <c r="M706" s="6" t="str">
        <f>IFERROR(VLOOKUP(A706,'Acompanhamento da Licitação'!$F$2:$N$1000,7,FALSE()),"")</f>
        <v/>
      </c>
      <c r="N706" s="1" t="str">
        <f>IFERROR(VLOOKUP(A706,'Acompanhamento da Licitação'!$F$2:$N$1000,9,FALSE()),"")</f>
        <v/>
      </c>
      <c r="O706" s="1"/>
      <c r="P706" s="6"/>
    </row>
    <row r="707" spans="12:16" x14ac:dyDescent="0.2">
      <c r="L707" s="6" t="str">
        <f>IFERROR(VLOOKUP(A707,'Acompanhamento da Licitação'!$F$2:$N$1000,6,FALSE()),"")</f>
        <v/>
      </c>
      <c r="M707" s="6" t="str">
        <f>IFERROR(VLOOKUP(A707,'Acompanhamento da Licitação'!$F$2:$N$1000,7,FALSE()),"")</f>
        <v/>
      </c>
      <c r="N707" s="1" t="str">
        <f>IFERROR(VLOOKUP(A707,'Acompanhamento da Licitação'!$F$2:$N$1000,9,FALSE()),"")</f>
        <v/>
      </c>
      <c r="O707" s="1"/>
      <c r="P707" s="6"/>
    </row>
    <row r="708" spans="12:16" x14ac:dyDescent="0.2">
      <c r="L708" s="6" t="str">
        <f>IFERROR(VLOOKUP(A708,'Acompanhamento da Licitação'!$F$2:$N$1000,6,FALSE()),"")</f>
        <v/>
      </c>
      <c r="M708" s="6" t="str">
        <f>IFERROR(VLOOKUP(A708,'Acompanhamento da Licitação'!$F$2:$N$1000,7,FALSE()),"")</f>
        <v/>
      </c>
      <c r="N708" s="1" t="str">
        <f>IFERROR(VLOOKUP(A708,'Acompanhamento da Licitação'!$F$2:$N$1000,9,FALSE()),"")</f>
        <v/>
      </c>
      <c r="O708" s="1"/>
      <c r="P708" s="6"/>
    </row>
    <row r="709" spans="12:16" x14ac:dyDescent="0.2">
      <c r="L709" s="6" t="str">
        <f>IFERROR(VLOOKUP(A709,'Acompanhamento da Licitação'!$F$2:$N$1000,6,FALSE()),"")</f>
        <v/>
      </c>
      <c r="M709" s="6" t="str">
        <f>IFERROR(VLOOKUP(A709,'Acompanhamento da Licitação'!$F$2:$N$1000,7,FALSE()),"")</f>
        <v/>
      </c>
      <c r="N709" s="1" t="str">
        <f>IFERROR(VLOOKUP(A709,'Acompanhamento da Licitação'!$F$2:$N$1000,9,FALSE()),"")</f>
        <v/>
      </c>
      <c r="O709" s="1"/>
      <c r="P709" s="6"/>
    </row>
    <row r="710" spans="12:16" x14ac:dyDescent="0.2">
      <c r="L710" s="6" t="str">
        <f>IFERROR(VLOOKUP(A710,'Acompanhamento da Licitação'!$F$2:$N$1000,6,FALSE()),"")</f>
        <v/>
      </c>
      <c r="M710" s="6" t="str">
        <f>IFERROR(VLOOKUP(A710,'Acompanhamento da Licitação'!$F$2:$N$1000,7,FALSE()),"")</f>
        <v/>
      </c>
      <c r="N710" s="1" t="str">
        <f>IFERROR(VLOOKUP(A710,'Acompanhamento da Licitação'!$F$2:$N$1000,9,FALSE()),"")</f>
        <v/>
      </c>
      <c r="O710" s="1"/>
      <c r="P710" s="6"/>
    </row>
    <row r="711" spans="12:16" x14ac:dyDescent="0.2">
      <c r="L711" s="6" t="str">
        <f>IFERROR(VLOOKUP(A711,'Acompanhamento da Licitação'!$F$2:$N$1000,6,FALSE()),"")</f>
        <v/>
      </c>
      <c r="M711" s="6" t="str">
        <f>IFERROR(VLOOKUP(A711,'Acompanhamento da Licitação'!$F$2:$N$1000,7,FALSE()),"")</f>
        <v/>
      </c>
      <c r="N711" s="1" t="str">
        <f>IFERROR(VLOOKUP(A711,'Acompanhamento da Licitação'!$F$2:$N$1000,9,FALSE()),"")</f>
        <v/>
      </c>
      <c r="O711" s="1"/>
      <c r="P711" s="6"/>
    </row>
    <row r="712" spans="12:16" x14ac:dyDescent="0.2">
      <c r="L712" s="6" t="str">
        <f>IFERROR(VLOOKUP(A712,'Acompanhamento da Licitação'!$F$2:$N$1000,6,FALSE()),"")</f>
        <v/>
      </c>
      <c r="M712" s="6" t="str">
        <f>IFERROR(VLOOKUP(A712,'Acompanhamento da Licitação'!$F$2:$N$1000,7,FALSE()),"")</f>
        <v/>
      </c>
      <c r="N712" s="1" t="str">
        <f>IFERROR(VLOOKUP(A712,'Acompanhamento da Licitação'!$F$2:$N$1000,9,FALSE()),"")</f>
        <v/>
      </c>
      <c r="O712" s="1"/>
      <c r="P712" s="6"/>
    </row>
    <row r="713" spans="12:16" x14ac:dyDescent="0.2">
      <c r="L713" s="6" t="str">
        <f>IFERROR(VLOOKUP(A713,'Acompanhamento da Licitação'!$F$2:$N$1000,6,FALSE()),"")</f>
        <v/>
      </c>
      <c r="M713" s="6" t="str">
        <f>IFERROR(VLOOKUP(A713,'Acompanhamento da Licitação'!$F$2:$N$1000,7,FALSE()),"")</f>
        <v/>
      </c>
      <c r="N713" s="1" t="str">
        <f>IFERROR(VLOOKUP(A713,'Acompanhamento da Licitação'!$F$2:$N$1000,9,FALSE()),"")</f>
        <v/>
      </c>
      <c r="O713" s="1"/>
      <c r="P713" s="6"/>
    </row>
    <row r="714" spans="12:16" x14ac:dyDescent="0.2">
      <c r="L714" s="6" t="str">
        <f>IFERROR(VLOOKUP(A714,'Acompanhamento da Licitação'!$F$2:$N$1000,6,FALSE()),"")</f>
        <v/>
      </c>
      <c r="M714" s="6" t="str">
        <f>IFERROR(VLOOKUP(A714,'Acompanhamento da Licitação'!$F$2:$N$1000,7,FALSE()),"")</f>
        <v/>
      </c>
      <c r="N714" s="1" t="str">
        <f>IFERROR(VLOOKUP(A714,'Acompanhamento da Licitação'!$F$2:$N$1000,9,FALSE()),"")</f>
        <v/>
      </c>
      <c r="O714" s="1"/>
      <c r="P714" s="6"/>
    </row>
    <row r="715" spans="12:16" x14ac:dyDescent="0.2">
      <c r="L715" s="6" t="str">
        <f>IFERROR(VLOOKUP(A715,'Acompanhamento da Licitação'!$F$2:$N$1000,6,FALSE()),"")</f>
        <v/>
      </c>
      <c r="M715" s="6" t="str">
        <f>IFERROR(VLOOKUP(A715,'Acompanhamento da Licitação'!$F$2:$N$1000,7,FALSE()),"")</f>
        <v/>
      </c>
      <c r="N715" s="1" t="str">
        <f>IFERROR(VLOOKUP(A715,'Acompanhamento da Licitação'!$F$2:$N$1000,9,FALSE()),"")</f>
        <v/>
      </c>
      <c r="O715" s="1"/>
      <c r="P715" s="6"/>
    </row>
    <row r="716" spans="12:16" x14ac:dyDescent="0.2">
      <c r="L716" s="6" t="str">
        <f>IFERROR(VLOOKUP(A716,'Acompanhamento da Licitação'!$F$2:$N$1000,6,FALSE()),"")</f>
        <v/>
      </c>
      <c r="M716" s="6" t="str">
        <f>IFERROR(VLOOKUP(A716,'Acompanhamento da Licitação'!$F$2:$N$1000,7,FALSE()),"")</f>
        <v/>
      </c>
      <c r="N716" s="1" t="str">
        <f>IFERROR(VLOOKUP(A716,'Acompanhamento da Licitação'!$F$2:$N$1000,9,FALSE()),"")</f>
        <v/>
      </c>
      <c r="O716" s="1"/>
      <c r="P716" s="6"/>
    </row>
    <row r="717" spans="12:16" x14ac:dyDescent="0.2">
      <c r="L717" s="6" t="str">
        <f>IFERROR(VLOOKUP(A717,'Acompanhamento da Licitação'!$F$2:$N$1000,6,FALSE()),"")</f>
        <v/>
      </c>
      <c r="M717" s="6" t="str">
        <f>IFERROR(VLOOKUP(A717,'Acompanhamento da Licitação'!$F$2:$N$1000,7,FALSE()),"")</f>
        <v/>
      </c>
      <c r="N717" s="1" t="str">
        <f>IFERROR(VLOOKUP(A717,'Acompanhamento da Licitação'!$F$2:$N$1000,9,FALSE()),"")</f>
        <v/>
      </c>
      <c r="O717" s="1"/>
      <c r="P717" s="6"/>
    </row>
    <row r="718" spans="12:16" x14ac:dyDescent="0.2">
      <c r="L718" s="6" t="str">
        <f>IFERROR(VLOOKUP(A718,'Acompanhamento da Licitação'!$F$2:$N$1000,6,FALSE()),"")</f>
        <v/>
      </c>
      <c r="M718" s="6" t="str">
        <f>IFERROR(VLOOKUP(A718,'Acompanhamento da Licitação'!$F$2:$N$1000,7,FALSE()),"")</f>
        <v/>
      </c>
      <c r="N718" s="1" t="str">
        <f>IFERROR(VLOOKUP(A718,'Acompanhamento da Licitação'!$F$2:$N$1000,9,FALSE()),"")</f>
        <v/>
      </c>
      <c r="O718" s="1"/>
      <c r="P718" s="6"/>
    </row>
    <row r="719" spans="12:16" x14ac:dyDescent="0.2">
      <c r="L719" s="6" t="str">
        <f>IFERROR(VLOOKUP(A719,'Acompanhamento da Licitação'!$F$2:$N$1000,6,FALSE()),"")</f>
        <v/>
      </c>
      <c r="M719" s="6" t="str">
        <f>IFERROR(VLOOKUP(A719,'Acompanhamento da Licitação'!$F$2:$N$1000,7,FALSE()),"")</f>
        <v/>
      </c>
      <c r="N719" s="1" t="str">
        <f>IFERROR(VLOOKUP(A719,'Acompanhamento da Licitação'!$F$2:$N$1000,9,FALSE()),"")</f>
        <v/>
      </c>
      <c r="O719" s="1"/>
      <c r="P719" s="6"/>
    </row>
    <row r="720" spans="12:16" x14ac:dyDescent="0.2">
      <c r="L720" s="6" t="str">
        <f>IFERROR(VLOOKUP(A720,'Acompanhamento da Licitação'!$F$2:$N$1000,6,FALSE()),"")</f>
        <v/>
      </c>
      <c r="M720" s="6" t="str">
        <f>IFERROR(VLOOKUP(A720,'Acompanhamento da Licitação'!$F$2:$N$1000,7,FALSE()),"")</f>
        <v/>
      </c>
      <c r="N720" s="1" t="str">
        <f>IFERROR(VLOOKUP(A720,'Acompanhamento da Licitação'!$F$2:$N$1000,9,FALSE()),"")</f>
        <v/>
      </c>
      <c r="O720" s="1"/>
      <c r="P720" s="6"/>
    </row>
    <row r="721" spans="12:16" x14ac:dyDescent="0.2">
      <c r="L721" s="6" t="str">
        <f>IFERROR(VLOOKUP(A721,'Acompanhamento da Licitação'!$F$2:$N$1000,6,FALSE()),"")</f>
        <v/>
      </c>
      <c r="M721" s="6" t="str">
        <f>IFERROR(VLOOKUP(A721,'Acompanhamento da Licitação'!$F$2:$N$1000,7,FALSE()),"")</f>
        <v/>
      </c>
      <c r="N721" s="1" t="str">
        <f>IFERROR(VLOOKUP(A721,'Acompanhamento da Licitação'!$F$2:$N$1000,9,FALSE()),"")</f>
        <v/>
      </c>
      <c r="O721" s="1"/>
      <c r="P721" s="6"/>
    </row>
    <row r="722" spans="12:16" x14ac:dyDescent="0.2">
      <c r="L722" s="6" t="str">
        <f>IFERROR(VLOOKUP(A722,'Acompanhamento da Licitação'!$F$2:$N$1000,6,FALSE()),"")</f>
        <v/>
      </c>
      <c r="M722" s="6" t="str">
        <f>IFERROR(VLOOKUP(A722,'Acompanhamento da Licitação'!$F$2:$N$1000,7,FALSE()),"")</f>
        <v/>
      </c>
      <c r="N722" s="1" t="str">
        <f>IFERROR(VLOOKUP(A722,'Acompanhamento da Licitação'!$F$2:$N$1000,9,FALSE()),"")</f>
        <v/>
      </c>
      <c r="O722" s="1"/>
      <c r="P722" s="6"/>
    </row>
    <row r="723" spans="12:16" x14ac:dyDescent="0.2">
      <c r="L723" s="6" t="str">
        <f>IFERROR(VLOOKUP(A723,'Acompanhamento da Licitação'!$F$2:$N$1000,6,FALSE()),"")</f>
        <v/>
      </c>
      <c r="M723" s="6" t="str">
        <f>IFERROR(VLOOKUP(A723,'Acompanhamento da Licitação'!$F$2:$N$1000,7,FALSE()),"")</f>
        <v/>
      </c>
      <c r="N723" s="1" t="str">
        <f>IFERROR(VLOOKUP(A723,'Acompanhamento da Licitação'!$F$2:$N$1000,9,FALSE()),"")</f>
        <v/>
      </c>
      <c r="O723" s="1"/>
      <c r="P723" s="6"/>
    </row>
    <row r="724" spans="12:16" x14ac:dyDescent="0.2">
      <c r="L724" s="6" t="str">
        <f>IFERROR(VLOOKUP(A724,'Acompanhamento da Licitação'!$F$2:$N$1000,6,FALSE()),"")</f>
        <v/>
      </c>
      <c r="M724" s="6" t="str">
        <f>IFERROR(VLOOKUP(A724,'Acompanhamento da Licitação'!$F$2:$N$1000,7,FALSE()),"")</f>
        <v/>
      </c>
      <c r="N724" s="1" t="str">
        <f>IFERROR(VLOOKUP(A724,'Acompanhamento da Licitação'!$F$2:$N$1000,9,FALSE()),"")</f>
        <v/>
      </c>
      <c r="O724" s="1"/>
      <c r="P724" s="6"/>
    </row>
    <row r="725" spans="12:16" x14ac:dyDescent="0.2">
      <c r="L725" s="6" t="str">
        <f>IFERROR(VLOOKUP(A725,'Acompanhamento da Licitação'!$F$2:$N$1000,6,FALSE()),"")</f>
        <v/>
      </c>
      <c r="M725" s="6" t="str">
        <f>IFERROR(VLOOKUP(A725,'Acompanhamento da Licitação'!$F$2:$N$1000,7,FALSE()),"")</f>
        <v/>
      </c>
      <c r="N725" s="1" t="str">
        <f>IFERROR(VLOOKUP(A725,'Acompanhamento da Licitação'!$F$2:$N$1000,9,FALSE()),"")</f>
        <v/>
      </c>
      <c r="O725" s="1"/>
      <c r="P725" s="6"/>
    </row>
    <row r="726" spans="12:16" x14ac:dyDescent="0.2">
      <c r="L726" s="6" t="str">
        <f>IFERROR(VLOOKUP(A726,'Acompanhamento da Licitação'!$F$2:$N$1000,6,FALSE()),"")</f>
        <v/>
      </c>
      <c r="M726" s="6" t="str">
        <f>IFERROR(VLOOKUP(A726,'Acompanhamento da Licitação'!$F$2:$N$1000,7,FALSE()),"")</f>
        <v/>
      </c>
      <c r="N726" s="1" t="str">
        <f>IFERROR(VLOOKUP(A726,'Acompanhamento da Licitação'!$F$2:$N$1000,9,FALSE()),"")</f>
        <v/>
      </c>
      <c r="O726" s="1"/>
      <c r="P726" s="6"/>
    </row>
    <row r="727" spans="12:16" x14ac:dyDescent="0.2">
      <c r="L727" s="6" t="str">
        <f>IFERROR(VLOOKUP(A727,'Acompanhamento da Licitação'!$F$2:$N$1000,6,FALSE()),"")</f>
        <v/>
      </c>
      <c r="M727" s="6" t="str">
        <f>IFERROR(VLOOKUP(A727,'Acompanhamento da Licitação'!$F$2:$N$1000,7,FALSE()),"")</f>
        <v/>
      </c>
      <c r="N727" s="1" t="str">
        <f>IFERROR(VLOOKUP(A727,'Acompanhamento da Licitação'!$F$2:$N$1000,9,FALSE()),"")</f>
        <v/>
      </c>
      <c r="O727" s="1"/>
      <c r="P727" s="6"/>
    </row>
    <row r="728" spans="12:16" x14ac:dyDescent="0.2">
      <c r="L728" s="6" t="str">
        <f>IFERROR(VLOOKUP(A728,'Acompanhamento da Licitação'!$F$2:$N$1000,6,FALSE()),"")</f>
        <v/>
      </c>
      <c r="M728" s="6" t="str">
        <f>IFERROR(VLOOKUP(A728,'Acompanhamento da Licitação'!$F$2:$N$1000,7,FALSE()),"")</f>
        <v/>
      </c>
      <c r="N728" s="1" t="str">
        <f>IFERROR(VLOOKUP(A728,'Acompanhamento da Licitação'!$F$2:$N$1000,9,FALSE()),"")</f>
        <v/>
      </c>
      <c r="O728" s="1"/>
      <c r="P728" s="6"/>
    </row>
    <row r="729" spans="12:16" x14ac:dyDescent="0.2">
      <c r="L729" s="6" t="str">
        <f>IFERROR(VLOOKUP(A729,'Acompanhamento da Licitação'!$F$2:$N$1000,6,FALSE()),"")</f>
        <v/>
      </c>
      <c r="M729" s="6" t="str">
        <f>IFERROR(VLOOKUP(A729,'Acompanhamento da Licitação'!$F$2:$N$1000,7,FALSE()),"")</f>
        <v/>
      </c>
      <c r="N729" s="1" t="str">
        <f>IFERROR(VLOOKUP(A729,'Acompanhamento da Licitação'!$F$2:$N$1000,9,FALSE()),"")</f>
        <v/>
      </c>
      <c r="O729" s="1"/>
      <c r="P729" s="6"/>
    </row>
    <row r="730" spans="12:16" x14ac:dyDescent="0.2">
      <c r="L730" s="6" t="str">
        <f>IFERROR(VLOOKUP(A730,'Acompanhamento da Licitação'!$F$2:$N$1000,6,FALSE()),"")</f>
        <v/>
      </c>
      <c r="M730" s="6" t="str">
        <f>IFERROR(VLOOKUP(A730,'Acompanhamento da Licitação'!$F$2:$N$1000,7,FALSE()),"")</f>
        <v/>
      </c>
      <c r="N730" s="1" t="str">
        <f>IFERROR(VLOOKUP(A730,'Acompanhamento da Licitação'!$F$2:$N$1000,9,FALSE()),"")</f>
        <v/>
      </c>
      <c r="O730" s="1"/>
      <c r="P730" s="6"/>
    </row>
    <row r="731" spans="12:16" x14ac:dyDescent="0.2">
      <c r="L731" s="6" t="str">
        <f>IFERROR(VLOOKUP(A731,'Acompanhamento da Licitação'!$F$2:$N$1000,6,FALSE()),"")</f>
        <v/>
      </c>
      <c r="M731" s="6" t="str">
        <f>IFERROR(VLOOKUP(A731,'Acompanhamento da Licitação'!$F$2:$N$1000,7,FALSE()),"")</f>
        <v/>
      </c>
      <c r="N731" s="1" t="str">
        <f>IFERROR(VLOOKUP(A731,'Acompanhamento da Licitação'!$F$2:$N$1000,9,FALSE()),"")</f>
        <v/>
      </c>
      <c r="O731" s="1"/>
      <c r="P731" s="6"/>
    </row>
    <row r="732" spans="12:16" x14ac:dyDescent="0.2">
      <c r="L732" s="6" t="str">
        <f>IFERROR(VLOOKUP(A732,'Acompanhamento da Licitação'!$F$2:$N$1000,6,FALSE()),"")</f>
        <v/>
      </c>
      <c r="M732" s="6" t="str">
        <f>IFERROR(VLOOKUP(A732,'Acompanhamento da Licitação'!$F$2:$N$1000,7,FALSE()),"")</f>
        <v/>
      </c>
      <c r="N732" s="1" t="str">
        <f>IFERROR(VLOOKUP(A732,'Acompanhamento da Licitação'!$F$2:$N$1000,9,FALSE()),"")</f>
        <v/>
      </c>
      <c r="O732" s="1"/>
      <c r="P732" s="6"/>
    </row>
    <row r="733" spans="12:16" x14ac:dyDescent="0.2">
      <c r="L733" s="6" t="str">
        <f>IFERROR(VLOOKUP(A733,'Acompanhamento da Licitação'!$F$2:$N$1000,6,FALSE()),"")</f>
        <v/>
      </c>
      <c r="M733" s="6" t="str">
        <f>IFERROR(VLOOKUP(A733,'Acompanhamento da Licitação'!$F$2:$N$1000,7,FALSE()),"")</f>
        <v/>
      </c>
      <c r="N733" s="1" t="str">
        <f>IFERROR(VLOOKUP(A733,'Acompanhamento da Licitação'!$F$2:$N$1000,9,FALSE()),"")</f>
        <v/>
      </c>
      <c r="O733" s="1"/>
      <c r="P733" s="6"/>
    </row>
    <row r="734" spans="12:16" x14ac:dyDescent="0.2">
      <c r="L734" s="6" t="str">
        <f>IFERROR(VLOOKUP(A734,'Acompanhamento da Licitação'!$F$2:$N$1000,6,FALSE()),"")</f>
        <v/>
      </c>
      <c r="M734" s="6" t="str">
        <f>IFERROR(VLOOKUP(A734,'Acompanhamento da Licitação'!$F$2:$N$1000,7,FALSE()),"")</f>
        <v/>
      </c>
      <c r="N734" s="1" t="str">
        <f>IFERROR(VLOOKUP(A734,'Acompanhamento da Licitação'!$F$2:$N$1000,9,FALSE()),"")</f>
        <v/>
      </c>
      <c r="O734" s="1"/>
      <c r="P734" s="6"/>
    </row>
    <row r="735" spans="12:16" x14ac:dyDescent="0.2">
      <c r="L735" s="6" t="str">
        <f>IFERROR(VLOOKUP(A735,'Acompanhamento da Licitação'!$F$2:$N$1000,6,FALSE()),"")</f>
        <v/>
      </c>
      <c r="M735" s="6" t="str">
        <f>IFERROR(VLOOKUP(A735,'Acompanhamento da Licitação'!$F$2:$N$1000,7,FALSE()),"")</f>
        <v/>
      </c>
      <c r="N735" s="1" t="str">
        <f>IFERROR(VLOOKUP(A735,'Acompanhamento da Licitação'!$F$2:$N$1000,9,FALSE()),"")</f>
        <v/>
      </c>
      <c r="O735" s="1"/>
      <c r="P735" s="6"/>
    </row>
    <row r="736" spans="12:16" x14ac:dyDescent="0.2">
      <c r="L736" s="6" t="str">
        <f>IFERROR(VLOOKUP(A736,'Acompanhamento da Licitação'!$F$2:$N$1000,6,FALSE()),"")</f>
        <v/>
      </c>
      <c r="M736" s="6" t="str">
        <f>IFERROR(VLOOKUP(A736,'Acompanhamento da Licitação'!$F$2:$N$1000,7,FALSE()),"")</f>
        <v/>
      </c>
      <c r="N736" s="1" t="str">
        <f>IFERROR(VLOOKUP(A736,'Acompanhamento da Licitação'!$F$2:$N$1000,9,FALSE()),"")</f>
        <v/>
      </c>
      <c r="O736" s="1"/>
      <c r="P736" s="6"/>
    </row>
    <row r="737" spans="12:16" x14ac:dyDescent="0.2">
      <c r="L737" s="6" t="str">
        <f>IFERROR(VLOOKUP(A737,'Acompanhamento da Licitação'!$F$2:$N$1000,6,FALSE()),"")</f>
        <v/>
      </c>
      <c r="M737" s="6" t="str">
        <f>IFERROR(VLOOKUP(A737,'Acompanhamento da Licitação'!$F$2:$N$1000,7,FALSE()),"")</f>
        <v/>
      </c>
      <c r="N737" s="1" t="str">
        <f>IFERROR(VLOOKUP(A737,'Acompanhamento da Licitação'!$F$2:$N$1000,9,FALSE()),"")</f>
        <v/>
      </c>
      <c r="O737" s="1"/>
      <c r="P737" s="6"/>
    </row>
    <row r="738" spans="12:16" x14ac:dyDescent="0.2">
      <c r="L738" s="6" t="str">
        <f>IFERROR(VLOOKUP(A738,'Acompanhamento da Licitação'!$F$2:$N$1000,6,FALSE()),"")</f>
        <v/>
      </c>
      <c r="M738" s="6" t="str">
        <f>IFERROR(VLOOKUP(A738,'Acompanhamento da Licitação'!$F$2:$N$1000,7,FALSE()),"")</f>
        <v/>
      </c>
      <c r="N738" s="1" t="str">
        <f>IFERROR(VLOOKUP(A738,'Acompanhamento da Licitação'!$F$2:$N$1000,9,FALSE()),"")</f>
        <v/>
      </c>
      <c r="O738" s="1"/>
      <c r="P738" s="6"/>
    </row>
    <row r="739" spans="12:16" x14ac:dyDescent="0.2">
      <c r="L739" s="6" t="str">
        <f>IFERROR(VLOOKUP(A739,'Acompanhamento da Licitação'!$F$2:$N$1000,6,FALSE()),"")</f>
        <v/>
      </c>
      <c r="M739" s="6" t="str">
        <f>IFERROR(VLOOKUP(A739,'Acompanhamento da Licitação'!$F$2:$N$1000,7,FALSE()),"")</f>
        <v/>
      </c>
      <c r="N739" s="1" t="str">
        <f>IFERROR(VLOOKUP(A739,'Acompanhamento da Licitação'!$F$2:$N$1000,9,FALSE()),"")</f>
        <v/>
      </c>
      <c r="O739" s="1"/>
      <c r="P739" s="6"/>
    </row>
    <row r="740" spans="12:16" x14ac:dyDescent="0.2">
      <c r="L740" s="6" t="str">
        <f>IFERROR(VLOOKUP(A740,'Acompanhamento da Licitação'!$F$2:$N$1000,6,FALSE()),"")</f>
        <v/>
      </c>
      <c r="M740" s="6" t="str">
        <f>IFERROR(VLOOKUP(A740,'Acompanhamento da Licitação'!$F$2:$N$1000,7,FALSE()),"")</f>
        <v/>
      </c>
      <c r="N740" s="1" t="str">
        <f>IFERROR(VLOOKUP(A740,'Acompanhamento da Licitação'!$F$2:$N$1000,9,FALSE()),"")</f>
        <v/>
      </c>
      <c r="O740" s="1"/>
      <c r="P740" s="6"/>
    </row>
    <row r="741" spans="12:16" x14ac:dyDescent="0.2">
      <c r="L741" s="6" t="str">
        <f>IFERROR(VLOOKUP(A741,'Acompanhamento da Licitação'!$F$2:$N$1000,6,FALSE()),"")</f>
        <v/>
      </c>
      <c r="M741" s="6" t="str">
        <f>IFERROR(VLOOKUP(A741,'Acompanhamento da Licitação'!$F$2:$N$1000,7,FALSE()),"")</f>
        <v/>
      </c>
      <c r="N741" s="1" t="str">
        <f>IFERROR(VLOOKUP(A741,'Acompanhamento da Licitação'!$F$2:$N$1000,9,FALSE()),"")</f>
        <v/>
      </c>
      <c r="O741" s="1"/>
      <c r="P741" s="6"/>
    </row>
    <row r="742" spans="12:16" x14ac:dyDescent="0.2">
      <c r="L742" s="6" t="str">
        <f>IFERROR(VLOOKUP(A742,'Acompanhamento da Licitação'!$F$2:$N$1000,6,FALSE()),"")</f>
        <v/>
      </c>
      <c r="M742" s="6" t="str">
        <f>IFERROR(VLOOKUP(A742,'Acompanhamento da Licitação'!$F$2:$N$1000,7,FALSE()),"")</f>
        <v/>
      </c>
      <c r="N742" s="1" t="str">
        <f>IFERROR(VLOOKUP(A742,'Acompanhamento da Licitação'!$F$2:$N$1000,9,FALSE()),"")</f>
        <v/>
      </c>
      <c r="O742" s="1"/>
      <c r="P742" s="6"/>
    </row>
    <row r="743" spans="12:16" x14ac:dyDescent="0.2">
      <c r="L743" s="6" t="str">
        <f>IFERROR(VLOOKUP(A743,'Acompanhamento da Licitação'!$F$2:$N$1000,6,FALSE()),"")</f>
        <v/>
      </c>
      <c r="M743" s="6" t="str">
        <f>IFERROR(VLOOKUP(A743,'Acompanhamento da Licitação'!$F$2:$N$1000,7,FALSE()),"")</f>
        <v/>
      </c>
      <c r="N743" s="1" t="str">
        <f>IFERROR(VLOOKUP(A743,'Acompanhamento da Licitação'!$F$2:$N$1000,9,FALSE()),"")</f>
        <v/>
      </c>
      <c r="O743" s="1"/>
      <c r="P743" s="6"/>
    </row>
    <row r="744" spans="12:16" x14ac:dyDescent="0.2">
      <c r="L744" s="6" t="str">
        <f>IFERROR(VLOOKUP(A744,'Acompanhamento da Licitação'!$F$2:$N$1000,6,FALSE()),"")</f>
        <v/>
      </c>
      <c r="M744" s="6" t="str">
        <f>IFERROR(VLOOKUP(A744,'Acompanhamento da Licitação'!$F$2:$N$1000,7,FALSE()),"")</f>
        <v/>
      </c>
      <c r="N744" s="1" t="str">
        <f>IFERROR(VLOOKUP(A744,'Acompanhamento da Licitação'!$F$2:$N$1000,9,FALSE()),"")</f>
        <v/>
      </c>
      <c r="O744" s="1"/>
      <c r="P744" s="6"/>
    </row>
    <row r="745" spans="12:16" x14ac:dyDescent="0.2">
      <c r="L745" s="6" t="str">
        <f>IFERROR(VLOOKUP(A745,'Acompanhamento da Licitação'!$F$2:$N$1000,6,FALSE()),"")</f>
        <v/>
      </c>
      <c r="M745" s="6" t="str">
        <f>IFERROR(VLOOKUP(A745,'Acompanhamento da Licitação'!$F$2:$N$1000,7,FALSE()),"")</f>
        <v/>
      </c>
      <c r="N745" s="1" t="str">
        <f>IFERROR(VLOOKUP(A745,'Acompanhamento da Licitação'!$F$2:$N$1000,9,FALSE()),"")</f>
        <v/>
      </c>
      <c r="O745" s="1"/>
      <c r="P745" s="6"/>
    </row>
    <row r="746" spans="12:16" x14ac:dyDescent="0.2">
      <c r="L746" s="6" t="str">
        <f>IFERROR(VLOOKUP(A746,'Acompanhamento da Licitação'!$F$2:$N$1000,6,FALSE()),"")</f>
        <v/>
      </c>
      <c r="M746" s="6" t="str">
        <f>IFERROR(VLOOKUP(A746,'Acompanhamento da Licitação'!$F$2:$N$1000,7,FALSE()),"")</f>
        <v/>
      </c>
      <c r="N746" s="1" t="str">
        <f>IFERROR(VLOOKUP(A746,'Acompanhamento da Licitação'!$F$2:$N$1000,9,FALSE()),"")</f>
        <v/>
      </c>
      <c r="O746" s="1"/>
      <c r="P746" s="6"/>
    </row>
    <row r="747" spans="12:16" x14ac:dyDescent="0.2">
      <c r="L747" s="6" t="str">
        <f>IFERROR(VLOOKUP(A747,'Acompanhamento da Licitação'!$F$2:$N$1000,6,FALSE()),"")</f>
        <v/>
      </c>
      <c r="M747" s="6" t="str">
        <f>IFERROR(VLOOKUP(A747,'Acompanhamento da Licitação'!$F$2:$N$1000,7,FALSE()),"")</f>
        <v/>
      </c>
      <c r="N747" s="1" t="str">
        <f>IFERROR(VLOOKUP(A747,'Acompanhamento da Licitação'!$F$2:$N$1000,9,FALSE()),"")</f>
        <v/>
      </c>
      <c r="O747" s="1"/>
      <c r="P747" s="6"/>
    </row>
    <row r="748" spans="12:16" x14ac:dyDescent="0.2">
      <c r="L748" s="6" t="str">
        <f>IFERROR(VLOOKUP(A748,'Acompanhamento da Licitação'!$F$2:$N$1000,6,FALSE()),"")</f>
        <v/>
      </c>
      <c r="M748" s="6" t="str">
        <f>IFERROR(VLOOKUP(A748,'Acompanhamento da Licitação'!$F$2:$N$1000,7,FALSE()),"")</f>
        <v/>
      </c>
      <c r="N748" s="1" t="str">
        <f>IFERROR(VLOOKUP(A748,'Acompanhamento da Licitação'!$F$2:$N$1000,9,FALSE()),"")</f>
        <v/>
      </c>
      <c r="O748" s="1"/>
      <c r="P748" s="6"/>
    </row>
    <row r="749" spans="12:16" x14ac:dyDescent="0.2">
      <c r="L749" s="6" t="str">
        <f>IFERROR(VLOOKUP(A749,'Acompanhamento da Licitação'!$F$2:$N$1000,6,FALSE()),"")</f>
        <v/>
      </c>
      <c r="M749" s="6" t="str">
        <f>IFERROR(VLOOKUP(A749,'Acompanhamento da Licitação'!$F$2:$N$1000,7,FALSE()),"")</f>
        <v/>
      </c>
      <c r="N749" s="1" t="str">
        <f>IFERROR(VLOOKUP(A749,'Acompanhamento da Licitação'!$F$2:$N$1000,9,FALSE()),"")</f>
        <v/>
      </c>
      <c r="O749" s="1"/>
      <c r="P749" s="6"/>
    </row>
    <row r="750" spans="12:16" x14ac:dyDescent="0.2">
      <c r="L750" s="6" t="str">
        <f>IFERROR(VLOOKUP(A750,'Acompanhamento da Licitação'!$F$2:$N$1000,6,FALSE()),"")</f>
        <v/>
      </c>
      <c r="M750" s="6" t="str">
        <f>IFERROR(VLOOKUP(A750,'Acompanhamento da Licitação'!$F$2:$N$1000,7,FALSE()),"")</f>
        <v/>
      </c>
      <c r="N750" s="1" t="str">
        <f>IFERROR(VLOOKUP(A750,'Acompanhamento da Licitação'!$F$2:$N$1000,9,FALSE()),"")</f>
        <v/>
      </c>
      <c r="O750" s="1"/>
      <c r="P750" s="6"/>
    </row>
    <row r="751" spans="12:16" x14ac:dyDescent="0.2">
      <c r="L751" s="6" t="str">
        <f>IFERROR(VLOOKUP(A751,'Acompanhamento da Licitação'!$F$2:$N$1000,6,FALSE()),"")</f>
        <v/>
      </c>
      <c r="M751" s="6" t="str">
        <f>IFERROR(VLOOKUP(A751,'Acompanhamento da Licitação'!$F$2:$N$1000,7,FALSE()),"")</f>
        <v/>
      </c>
      <c r="N751" s="1" t="str">
        <f>IFERROR(VLOOKUP(A751,'Acompanhamento da Licitação'!$F$2:$N$1000,9,FALSE()),"")</f>
        <v/>
      </c>
      <c r="O751" s="1"/>
      <c r="P751" s="6"/>
    </row>
    <row r="752" spans="12:16" x14ac:dyDescent="0.2">
      <c r="L752" s="6" t="str">
        <f>IFERROR(VLOOKUP(A752,'Acompanhamento da Licitação'!$F$2:$N$1000,6,FALSE()),"")</f>
        <v/>
      </c>
      <c r="M752" s="6" t="str">
        <f>IFERROR(VLOOKUP(A752,'Acompanhamento da Licitação'!$F$2:$N$1000,7,FALSE()),"")</f>
        <v/>
      </c>
      <c r="N752" s="1" t="str">
        <f>IFERROR(VLOOKUP(A752,'Acompanhamento da Licitação'!$F$2:$N$1000,9,FALSE()),"")</f>
        <v/>
      </c>
      <c r="O752" s="1"/>
      <c r="P752" s="6"/>
    </row>
    <row r="753" spans="12:16" x14ac:dyDescent="0.2">
      <c r="L753" s="6" t="str">
        <f>IFERROR(VLOOKUP(A753,'Acompanhamento da Licitação'!$F$2:$N$1000,6,FALSE()),"")</f>
        <v/>
      </c>
      <c r="M753" s="6" t="str">
        <f>IFERROR(VLOOKUP(A753,'Acompanhamento da Licitação'!$F$2:$N$1000,7,FALSE()),"")</f>
        <v/>
      </c>
      <c r="N753" s="1" t="str">
        <f>IFERROR(VLOOKUP(A753,'Acompanhamento da Licitação'!$F$2:$N$1000,9,FALSE()),"")</f>
        <v/>
      </c>
      <c r="O753" s="1"/>
      <c r="P753" s="6"/>
    </row>
    <row r="754" spans="12:16" x14ac:dyDescent="0.2">
      <c r="L754" s="6" t="str">
        <f>IFERROR(VLOOKUP(A754,'Acompanhamento da Licitação'!$F$2:$N$1000,6,FALSE()),"")</f>
        <v/>
      </c>
      <c r="M754" s="6" t="str">
        <f>IFERROR(VLOOKUP(A754,'Acompanhamento da Licitação'!$F$2:$N$1000,7,FALSE()),"")</f>
        <v/>
      </c>
      <c r="N754" s="1" t="str">
        <f>IFERROR(VLOOKUP(A754,'Acompanhamento da Licitação'!$F$2:$N$1000,9,FALSE()),"")</f>
        <v/>
      </c>
      <c r="O754" s="1"/>
      <c r="P754" s="6"/>
    </row>
    <row r="755" spans="12:16" x14ac:dyDescent="0.2">
      <c r="L755" s="6" t="str">
        <f>IFERROR(VLOOKUP(A755,'Acompanhamento da Licitação'!$F$2:$N$1000,6,FALSE()),"")</f>
        <v/>
      </c>
      <c r="M755" s="6" t="str">
        <f>IFERROR(VLOOKUP(A755,'Acompanhamento da Licitação'!$F$2:$N$1000,7,FALSE()),"")</f>
        <v/>
      </c>
      <c r="N755" s="1" t="str">
        <f>IFERROR(VLOOKUP(A755,'Acompanhamento da Licitação'!$F$2:$N$1000,9,FALSE()),"")</f>
        <v/>
      </c>
      <c r="O755" s="1"/>
      <c r="P755" s="6"/>
    </row>
    <row r="756" spans="12:16" x14ac:dyDescent="0.2">
      <c r="L756" s="6" t="str">
        <f>IFERROR(VLOOKUP(A756,'Acompanhamento da Licitação'!$F$2:$N$1000,6,FALSE()),"")</f>
        <v/>
      </c>
      <c r="M756" s="6" t="str">
        <f>IFERROR(VLOOKUP(A756,'Acompanhamento da Licitação'!$F$2:$N$1000,7,FALSE()),"")</f>
        <v/>
      </c>
      <c r="N756" s="1" t="str">
        <f>IFERROR(VLOOKUP(A756,'Acompanhamento da Licitação'!$F$2:$N$1000,9,FALSE()),"")</f>
        <v/>
      </c>
      <c r="O756" s="1"/>
      <c r="P756" s="6"/>
    </row>
    <row r="757" spans="12:16" x14ac:dyDescent="0.2">
      <c r="L757" s="6" t="str">
        <f>IFERROR(VLOOKUP(A757,'Acompanhamento da Licitação'!$F$2:$N$1000,6,FALSE()),"")</f>
        <v/>
      </c>
      <c r="M757" s="6" t="str">
        <f>IFERROR(VLOOKUP(A757,'Acompanhamento da Licitação'!$F$2:$N$1000,7,FALSE()),"")</f>
        <v/>
      </c>
      <c r="N757" s="1" t="str">
        <f>IFERROR(VLOOKUP(A757,'Acompanhamento da Licitação'!$F$2:$N$1000,9,FALSE()),"")</f>
        <v/>
      </c>
      <c r="O757" s="1"/>
      <c r="P757" s="6"/>
    </row>
    <row r="758" spans="12:16" x14ac:dyDescent="0.2">
      <c r="L758" s="6" t="str">
        <f>IFERROR(VLOOKUP(A758,'Acompanhamento da Licitação'!$F$2:$N$1000,6,FALSE()),"")</f>
        <v/>
      </c>
      <c r="M758" s="6" t="str">
        <f>IFERROR(VLOOKUP(A758,'Acompanhamento da Licitação'!$F$2:$N$1000,7,FALSE()),"")</f>
        <v/>
      </c>
      <c r="N758" s="1" t="str">
        <f>IFERROR(VLOOKUP(A758,'Acompanhamento da Licitação'!$F$2:$N$1000,9,FALSE()),"")</f>
        <v/>
      </c>
      <c r="O758" s="1"/>
      <c r="P758" s="6"/>
    </row>
    <row r="759" spans="12:16" x14ac:dyDescent="0.2">
      <c r="L759" s="6" t="str">
        <f>IFERROR(VLOOKUP(A759,'Acompanhamento da Licitação'!$F$2:$N$1000,6,FALSE()),"")</f>
        <v/>
      </c>
      <c r="M759" s="6" t="str">
        <f>IFERROR(VLOOKUP(A759,'Acompanhamento da Licitação'!$F$2:$N$1000,7,FALSE()),"")</f>
        <v/>
      </c>
      <c r="N759" s="1" t="str">
        <f>IFERROR(VLOOKUP(A759,'Acompanhamento da Licitação'!$F$2:$N$1000,9,FALSE()),"")</f>
        <v/>
      </c>
      <c r="O759" s="1"/>
      <c r="P759" s="6"/>
    </row>
    <row r="760" spans="12:16" x14ac:dyDescent="0.2">
      <c r="L760" s="6" t="str">
        <f>IFERROR(VLOOKUP(A760,'Acompanhamento da Licitação'!$F$2:$N$1000,6,FALSE()),"")</f>
        <v/>
      </c>
      <c r="M760" s="6" t="str">
        <f>IFERROR(VLOOKUP(A760,'Acompanhamento da Licitação'!$F$2:$N$1000,7,FALSE()),"")</f>
        <v/>
      </c>
      <c r="N760" s="1" t="str">
        <f>IFERROR(VLOOKUP(A760,'Acompanhamento da Licitação'!$F$2:$N$1000,9,FALSE()),"")</f>
        <v/>
      </c>
      <c r="O760" s="1"/>
      <c r="P760" s="6"/>
    </row>
    <row r="761" spans="12:16" x14ac:dyDescent="0.2">
      <c r="L761" s="6" t="str">
        <f>IFERROR(VLOOKUP(A761,'Acompanhamento da Licitação'!$F$2:$N$1000,6,FALSE()),"")</f>
        <v/>
      </c>
      <c r="M761" s="6" t="str">
        <f>IFERROR(VLOOKUP(A761,'Acompanhamento da Licitação'!$F$2:$N$1000,7,FALSE()),"")</f>
        <v/>
      </c>
      <c r="N761" s="1" t="str">
        <f>IFERROR(VLOOKUP(A761,'Acompanhamento da Licitação'!$F$2:$N$1000,9,FALSE()),"")</f>
        <v/>
      </c>
      <c r="O761" s="1"/>
      <c r="P761" s="6"/>
    </row>
    <row r="762" spans="12:16" x14ac:dyDescent="0.2">
      <c r="L762" s="6" t="str">
        <f>IFERROR(VLOOKUP(A762,'Acompanhamento da Licitação'!$F$2:$N$1000,6,FALSE()),"")</f>
        <v/>
      </c>
      <c r="M762" s="6" t="str">
        <f>IFERROR(VLOOKUP(A762,'Acompanhamento da Licitação'!$F$2:$N$1000,7,FALSE()),"")</f>
        <v/>
      </c>
      <c r="N762" s="1" t="str">
        <f>IFERROR(VLOOKUP(A762,'Acompanhamento da Licitação'!$F$2:$N$1000,9,FALSE()),"")</f>
        <v/>
      </c>
      <c r="O762" s="1"/>
      <c r="P762" s="6"/>
    </row>
    <row r="763" spans="12:16" x14ac:dyDescent="0.2">
      <c r="L763" s="6" t="str">
        <f>IFERROR(VLOOKUP(A763,'Acompanhamento da Licitação'!$F$2:$N$1000,6,FALSE()),"")</f>
        <v/>
      </c>
      <c r="M763" s="6" t="str">
        <f>IFERROR(VLOOKUP(A763,'Acompanhamento da Licitação'!$F$2:$N$1000,7,FALSE()),"")</f>
        <v/>
      </c>
      <c r="N763" s="1" t="str">
        <f>IFERROR(VLOOKUP(A763,'Acompanhamento da Licitação'!$F$2:$N$1000,9,FALSE()),"")</f>
        <v/>
      </c>
      <c r="O763" s="1"/>
      <c r="P763" s="6"/>
    </row>
    <row r="764" spans="12:16" x14ac:dyDescent="0.2">
      <c r="L764" s="6" t="str">
        <f>IFERROR(VLOOKUP(A764,'Acompanhamento da Licitação'!$F$2:$N$1000,6,FALSE()),"")</f>
        <v/>
      </c>
      <c r="M764" s="6" t="str">
        <f>IFERROR(VLOOKUP(A764,'Acompanhamento da Licitação'!$F$2:$N$1000,7,FALSE()),"")</f>
        <v/>
      </c>
      <c r="N764" s="1" t="str">
        <f>IFERROR(VLOOKUP(A764,'Acompanhamento da Licitação'!$F$2:$N$1000,9,FALSE()),"")</f>
        <v/>
      </c>
      <c r="O764" s="1"/>
      <c r="P764" s="6"/>
    </row>
    <row r="765" spans="12:16" x14ac:dyDescent="0.2">
      <c r="L765" s="6" t="str">
        <f>IFERROR(VLOOKUP(A765,'Acompanhamento da Licitação'!$F$2:$N$1000,6,FALSE()),"")</f>
        <v/>
      </c>
      <c r="M765" s="6" t="str">
        <f>IFERROR(VLOOKUP(A765,'Acompanhamento da Licitação'!$F$2:$N$1000,7,FALSE()),"")</f>
        <v/>
      </c>
      <c r="N765" s="1" t="str">
        <f>IFERROR(VLOOKUP(A765,'Acompanhamento da Licitação'!$F$2:$N$1000,9,FALSE()),"")</f>
        <v/>
      </c>
      <c r="O765" s="1"/>
      <c r="P765" s="6"/>
    </row>
    <row r="766" spans="12:16" x14ac:dyDescent="0.2">
      <c r="L766" s="6" t="str">
        <f>IFERROR(VLOOKUP(A766,'Acompanhamento da Licitação'!$F$2:$N$1000,6,FALSE()),"")</f>
        <v/>
      </c>
      <c r="M766" s="6" t="str">
        <f>IFERROR(VLOOKUP(A766,'Acompanhamento da Licitação'!$F$2:$N$1000,7,FALSE()),"")</f>
        <v/>
      </c>
      <c r="N766" s="1" t="str">
        <f>IFERROR(VLOOKUP(A766,'Acompanhamento da Licitação'!$F$2:$N$1000,9,FALSE()),"")</f>
        <v/>
      </c>
      <c r="O766" s="1"/>
      <c r="P766" s="6"/>
    </row>
    <row r="767" spans="12:16" x14ac:dyDescent="0.2">
      <c r="L767" s="6" t="str">
        <f>IFERROR(VLOOKUP(A767,'Acompanhamento da Licitação'!$F$2:$N$1000,6,FALSE()),"")</f>
        <v/>
      </c>
      <c r="M767" s="6" t="str">
        <f>IFERROR(VLOOKUP(A767,'Acompanhamento da Licitação'!$F$2:$N$1000,7,FALSE()),"")</f>
        <v/>
      </c>
      <c r="N767" s="1" t="str">
        <f>IFERROR(VLOOKUP(A767,'Acompanhamento da Licitação'!$F$2:$N$1000,9,FALSE()),"")</f>
        <v/>
      </c>
      <c r="O767" s="1"/>
      <c r="P767" s="6"/>
    </row>
    <row r="768" spans="12:16" x14ac:dyDescent="0.2">
      <c r="L768" s="6" t="str">
        <f>IFERROR(VLOOKUP(A768,'Acompanhamento da Licitação'!$F$2:$N$1000,6,FALSE()),"")</f>
        <v/>
      </c>
      <c r="M768" s="6" t="str">
        <f>IFERROR(VLOOKUP(A768,'Acompanhamento da Licitação'!$F$2:$N$1000,7,FALSE()),"")</f>
        <v/>
      </c>
      <c r="N768" s="1" t="str">
        <f>IFERROR(VLOOKUP(A768,'Acompanhamento da Licitação'!$F$2:$N$1000,9,FALSE()),"")</f>
        <v/>
      </c>
      <c r="O768" s="1"/>
      <c r="P768" s="6"/>
    </row>
    <row r="769" spans="12:16" x14ac:dyDescent="0.2">
      <c r="L769" s="6" t="str">
        <f>IFERROR(VLOOKUP(A769,'Acompanhamento da Licitação'!$F$2:$N$1000,6,FALSE()),"")</f>
        <v/>
      </c>
      <c r="M769" s="6" t="str">
        <f>IFERROR(VLOOKUP(A769,'Acompanhamento da Licitação'!$F$2:$N$1000,7,FALSE()),"")</f>
        <v/>
      </c>
      <c r="N769" s="1" t="str">
        <f>IFERROR(VLOOKUP(A769,'Acompanhamento da Licitação'!$F$2:$N$1000,9,FALSE()),"")</f>
        <v/>
      </c>
      <c r="O769" s="1"/>
      <c r="P769" s="6"/>
    </row>
    <row r="770" spans="12:16" x14ac:dyDescent="0.2">
      <c r="L770" s="6" t="str">
        <f>IFERROR(VLOOKUP(A770,'Acompanhamento da Licitação'!$F$2:$N$1000,6,FALSE()),"")</f>
        <v/>
      </c>
      <c r="M770" s="6" t="str">
        <f>IFERROR(VLOOKUP(A770,'Acompanhamento da Licitação'!$F$2:$N$1000,7,FALSE()),"")</f>
        <v/>
      </c>
      <c r="N770" s="1" t="str">
        <f>IFERROR(VLOOKUP(A770,'Acompanhamento da Licitação'!$F$2:$N$1000,9,FALSE()),"")</f>
        <v/>
      </c>
      <c r="O770" s="1"/>
      <c r="P770" s="6"/>
    </row>
    <row r="771" spans="12:16" x14ac:dyDescent="0.2">
      <c r="L771" s="6" t="str">
        <f>IFERROR(VLOOKUP(A771,'Acompanhamento da Licitação'!$F$2:$N$1000,6,FALSE()),"")</f>
        <v/>
      </c>
      <c r="M771" s="6" t="str">
        <f>IFERROR(VLOOKUP(A771,'Acompanhamento da Licitação'!$F$2:$N$1000,7,FALSE()),"")</f>
        <v/>
      </c>
      <c r="N771" s="1" t="str">
        <f>IFERROR(VLOOKUP(A771,'Acompanhamento da Licitação'!$F$2:$N$1000,9,FALSE()),"")</f>
        <v/>
      </c>
      <c r="O771" s="1"/>
      <c r="P771" s="6"/>
    </row>
    <row r="772" spans="12:16" x14ac:dyDescent="0.2">
      <c r="L772" s="6" t="str">
        <f>IFERROR(VLOOKUP(A772,'Acompanhamento da Licitação'!$F$2:$N$1000,6,FALSE()),"")</f>
        <v/>
      </c>
      <c r="M772" s="6" t="str">
        <f>IFERROR(VLOOKUP(A772,'Acompanhamento da Licitação'!$F$2:$N$1000,7,FALSE()),"")</f>
        <v/>
      </c>
      <c r="N772" s="1" t="str">
        <f>IFERROR(VLOOKUP(A772,'Acompanhamento da Licitação'!$F$2:$N$1000,9,FALSE()),"")</f>
        <v/>
      </c>
      <c r="O772" s="1"/>
      <c r="P772" s="6"/>
    </row>
    <row r="773" spans="12:16" x14ac:dyDescent="0.2">
      <c r="L773" s="6" t="str">
        <f>IFERROR(VLOOKUP(A773,'Acompanhamento da Licitação'!$F$2:$N$1000,6,FALSE()),"")</f>
        <v/>
      </c>
      <c r="M773" s="6" t="str">
        <f>IFERROR(VLOOKUP(A773,'Acompanhamento da Licitação'!$F$2:$N$1000,7,FALSE()),"")</f>
        <v/>
      </c>
      <c r="N773" s="1" t="str">
        <f>IFERROR(VLOOKUP(A773,'Acompanhamento da Licitação'!$F$2:$N$1000,9,FALSE()),"")</f>
        <v/>
      </c>
      <c r="O773" s="1"/>
      <c r="P773" s="6"/>
    </row>
    <row r="774" spans="12:16" x14ac:dyDescent="0.2">
      <c r="L774" s="6" t="str">
        <f>IFERROR(VLOOKUP(A774,'Acompanhamento da Licitação'!$F$2:$N$1000,6,FALSE()),"")</f>
        <v/>
      </c>
      <c r="M774" s="6" t="str">
        <f>IFERROR(VLOOKUP(A774,'Acompanhamento da Licitação'!$F$2:$N$1000,7,FALSE()),"")</f>
        <v/>
      </c>
      <c r="N774" s="1" t="str">
        <f>IFERROR(VLOOKUP(A774,'Acompanhamento da Licitação'!$F$2:$N$1000,9,FALSE()),"")</f>
        <v/>
      </c>
      <c r="O774" s="1"/>
      <c r="P774" s="6"/>
    </row>
    <row r="775" spans="12:16" x14ac:dyDescent="0.2">
      <c r="L775" s="6" t="str">
        <f>IFERROR(VLOOKUP(A775,'Acompanhamento da Licitação'!$F$2:$N$1000,6,FALSE()),"")</f>
        <v/>
      </c>
      <c r="M775" s="6" t="str">
        <f>IFERROR(VLOOKUP(A775,'Acompanhamento da Licitação'!$F$2:$N$1000,7,FALSE()),"")</f>
        <v/>
      </c>
      <c r="N775" s="1" t="str">
        <f>IFERROR(VLOOKUP(A775,'Acompanhamento da Licitação'!$F$2:$N$1000,9,FALSE()),"")</f>
        <v/>
      </c>
      <c r="O775" s="1"/>
      <c r="P775" s="6"/>
    </row>
    <row r="776" spans="12:16" x14ac:dyDescent="0.2">
      <c r="L776" s="6" t="str">
        <f>IFERROR(VLOOKUP(A776,'Acompanhamento da Licitação'!$F$2:$N$1000,6,FALSE()),"")</f>
        <v/>
      </c>
      <c r="M776" s="6" t="str">
        <f>IFERROR(VLOOKUP(A776,'Acompanhamento da Licitação'!$F$2:$N$1000,7,FALSE()),"")</f>
        <v/>
      </c>
      <c r="N776" s="1" t="str">
        <f>IFERROR(VLOOKUP(A776,'Acompanhamento da Licitação'!$F$2:$N$1000,9,FALSE()),"")</f>
        <v/>
      </c>
      <c r="O776" s="1"/>
      <c r="P776" s="6"/>
    </row>
    <row r="777" spans="12:16" x14ac:dyDescent="0.2">
      <c r="L777" s="6" t="str">
        <f>IFERROR(VLOOKUP(A777,'Acompanhamento da Licitação'!$F$2:$N$1000,6,FALSE()),"")</f>
        <v/>
      </c>
      <c r="M777" s="6" t="str">
        <f>IFERROR(VLOOKUP(A777,'Acompanhamento da Licitação'!$F$2:$N$1000,7,FALSE()),"")</f>
        <v/>
      </c>
      <c r="N777" s="1" t="str">
        <f>IFERROR(VLOOKUP(A777,'Acompanhamento da Licitação'!$F$2:$N$1000,9,FALSE()),"")</f>
        <v/>
      </c>
      <c r="O777" s="1"/>
      <c r="P777" s="6"/>
    </row>
    <row r="778" spans="12:16" x14ac:dyDescent="0.2">
      <c r="L778" s="6" t="str">
        <f>IFERROR(VLOOKUP(A778,'Acompanhamento da Licitação'!$F$2:$N$1000,6,FALSE()),"")</f>
        <v/>
      </c>
      <c r="M778" s="6" t="str">
        <f>IFERROR(VLOOKUP(A778,'Acompanhamento da Licitação'!$F$2:$N$1000,7,FALSE()),"")</f>
        <v/>
      </c>
      <c r="N778" s="1" t="str">
        <f>IFERROR(VLOOKUP(A778,'Acompanhamento da Licitação'!$F$2:$N$1000,9,FALSE()),"")</f>
        <v/>
      </c>
      <c r="O778" s="1"/>
      <c r="P778" s="6"/>
    </row>
    <row r="779" spans="12:16" x14ac:dyDescent="0.2">
      <c r="L779" s="6" t="str">
        <f>IFERROR(VLOOKUP(A779,'Acompanhamento da Licitação'!$F$2:$N$1000,6,FALSE()),"")</f>
        <v/>
      </c>
      <c r="M779" s="6" t="str">
        <f>IFERROR(VLOOKUP(A779,'Acompanhamento da Licitação'!$F$2:$N$1000,7,FALSE()),"")</f>
        <v/>
      </c>
      <c r="N779" s="1" t="str">
        <f>IFERROR(VLOOKUP(A779,'Acompanhamento da Licitação'!$F$2:$N$1000,9,FALSE()),"")</f>
        <v/>
      </c>
      <c r="O779" s="1"/>
      <c r="P779" s="6"/>
    </row>
    <row r="780" spans="12:16" x14ac:dyDescent="0.2">
      <c r="L780" s="6" t="str">
        <f>IFERROR(VLOOKUP(A780,'Acompanhamento da Licitação'!$F$2:$N$1000,6,FALSE()),"")</f>
        <v/>
      </c>
      <c r="M780" s="6" t="str">
        <f>IFERROR(VLOOKUP(A780,'Acompanhamento da Licitação'!$F$2:$N$1000,7,FALSE()),"")</f>
        <v/>
      </c>
      <c r="N780" s="1" t="str">
        <f>IFERROR(VLOOKUP(A780,'Acompanhamento da Licitação'!$F$2:$N$1000,9,FALSE()),"")</f>
        <v/>
      </c>
      <c r="O780" s="1"/>
      <c r="P780" s="6"/>
    </row>
    <row r="781" spans="12:16" x14ac:dyDescent="0.2">
      <c r="L781" s="6" t="str">
        <f>IFERROR(VLOOKUP(A781,'Acompanhamento da Licitação'!$F$2:$N$1000,6,FALSE()),"")</f>
        <v/>
      </c>
      <c r="M781" s="6" t="str">
        <f>IFERROR(VLOOKUP(A781,'Acompanhamento da Licitação'!$F$2:$N$1000,7,FALSE()),"")</f>
        <v/>
      </c>
      <c r="N781" s="1" t="str">
        <f>IFERROR(VLOOKUP(A781,'Acompanhamento da Licitação'!$F$2:$N$1000,9,FALSE()),"")</f>
        <v/>
      </c>
      <c r="O781" s="1"/>
      <c r="P781" s="6"/>
    </row>
    <row r="782" spans="12:16" x14ac:dyDescent="0.2">
      <c r="L782" s="6" t="str">
        <f>IFERROR(VLOOKUP(A782,'Acompanhamento da Licitação'!$F$2:$N$1000,6,FALSE()),"")</f>
        <v/>
      </c>
      <c r="M782" s="6" t="str">
        <f>IFERROR(VLOOKUP(A782,'Acompanhamento da Licitação'!$F$2:$N$1000,7,FALSE()),"")</f>
        <v/>
      </c>
      <c r="N782" s="1" t="str">
        <f>IFERROR(VLOOKUP(A782,'Acompanhamento da Licitação'!$F$2:$N$1000,9,FALSE()),"")</f>
        <v/>
      </c>
      <c r="O782" s="1"/>
      <c r="P782" s="6"/>
    </row>
    <row r="783" spans="12:16" x14ac:dyDescent="0.2">
      <c r="L783" s="6" t="str">
        <f>IFERROR(VLOOKUP(A783,'Acompanhamento da Licitação'!$F$2:$N$1000,6,FALSE()),"")</f>
        <v/>
      </c>
      <c r="M783" s="6" t="str">
        <f>IFERROR(VLOOKUP(A783,'Acompanhamento da Licitação'!$F$2:$N$1000,7,FALSE()),"")</f>
        <v/>
      </c>
      <c r="N783" s="1" t="str">
        <f>IFERROR(VLOOKUP(A783,'Acompanhamento da Licitação'!$F$2:$N$1000,9,FALSE()),"")</f>
        <v/>
      </c>
      <c r="O783" s="1"/>
      <c r="P783" s="6"/>
    </row>
    <row r="784" spans="12:16" x14ac:dyDescent="0.2">
      <c r="L784" s="6" t="str">
        <f>IFERROR(VLOOKUP(A784,'Acompanhamento da Licitação'!$F$2:$N$1000,6,FALSE()),"")</f>
        <v/>
      </c>
      <c r="M784" s="6" t="str">
        <f>IFERROR(VLOOKUP(A784,'Acompanhamento da Licitação'!$F$2:$N$1000,7,FALSE()),"")</f>
        <v/>
      </c>
      <c r="N784" s="1" t="str">
        <f>IFERROR(VLOOKUP(A784,'Acompanhamento da Licitação'!$F$2:$N$1000,9,FALSE()),"")</f>
        <v/>
      </c>
      <c r="O784" s="1"/>
      <c r="P784" s="6"/>
    </row>
    <row r="785" spans="12:16" x14ac:dyDescent="0.2">
      <c r="L785" s="6" t="str">
        <f>IFERROR(VLOOKUP(A785,'Acompanhamento da Licitação'!$F$2:$N$1000,6,FALSE()),"")</f>
        <v/>
      </c>
      <c r="M785" s="6" t="str">
        <f>IFERROR(VLOOKUP(A785,'Acompanhamento da Licitação'!$F$2:$N$1000,7,FALSE()),"")</f>
        <v/>
      </c>
      <c r="N785" s="1" t="str">
        <f>IFERROR(VLOOKUP(A785,'Acompanhamento da Licitação'!$F$2:$N$1000,9,FALSE()),"")</f>
        <v/>
      </c>
      <c r="O785" s="1"/>
      <c r="P785" s="6"/>
    </row>
    <row r="786" spans="12:16" x14ac:dyDescent="0.2">
      <c r="L786" s="6" t="str">
        <f>IFERROR(VLOOKUP(A786,'Acompanhamento da Licitação'!$F$2:$N$1000,6,FALSE()),"")</f>
        <v/>
      </c>
      <c r="M786" s="6" t="str">
        <f>IFERROR(VLOOKUP(A786,'Acompanhamento da Licitação'!$F$2:$N$1000,7,FALSE()),"")</f>
        <v/>
      </c>
      <c r="N786" s="1" t="str">
        <f>IFERROR(VLOOKUP(A786,'Acompanhamento da Licitação'!$F$2:$N$1000,9,FALSE()),"")</f>
        <v/>
      </c>
      <c r="O786" s="1"/>
      <c r="P786" s="6"/>
    </row>
    <row r="787" spans="12:16" x14ac:dyDescent="0.2">
      <c r="L787" s="6" t="str">
        <f>IFERROR(VLOOKUP(A787,'Acompanhamento da Licitação'!$F$2:$N$1000,6,FALSE()),"")</f>
        <v/>
      </c>
      <c r="M787" s="6" t="str">
        <f>IFERROR(VLOOKUP(A787,'Acompanhamento da Licitação'!$F$2:$N$1000,7,FALSE()),"")</f>
        <v/>
      </c>
      <c r="N787" s="1" t="str">
        <f>IFERROR(VLOOKUP(A787,'Acompanhamento da Licitação'!$F$2:$N$1000,9,FALSE()),"")</f>
        <v/>
      </c>
      <c r="O787" s="1"/>
      <c r="P787" s="6"/>
    </row>
    <row r="788" spans="12:16" x14ac:dyDescent="0.2">
      <c r="L788" s="6" t="str">
        <f>IFERROR(VLOOKUP(A788,'Acompanhamento da Licitação'!$F$2:$N$1000,6,FALSE()),"")</f>
        <v/>
      </c>
      <c r="M788" s="6" t="str">
        <f>IFERROR(VLOOKUP(A788,'Acompanhamento da Licitação'!$F$2:$N$1000,7,FALSE()),"")</f>
        <v/>
      </c>
      <c r="N788" s="1" t="str">
        <f>IFERROR(VLOOKUP(A788,'Acompanhamento da Licitação'!$F$2:$N$1000,9,FALSE()),"")</f>
        <v/>
      </c>
      <c r="O788" s="1"/>
      <c r="P788" s="6"/>
    </row>
    <row r="789" spans="12:16" x14ac:dyDescent="0.2">
      <c r="L789" s="6" t="str">
        <f>IFERROR(VLOOKUP(A789,'Acompanhamento da Licitação'!$F$2:$N$1000,6,FALSE()),"")</f>
        <v/>
      </c>
      <c r="M789" s="6" t="str">
        <f>IFERROR(VLOOKUP(A789,'Acompanhamento da Licitação'!$F$2:$N$1000,7,FALSE()),"")</f>
        <v/>
      </c>
      <c r="N789" s="1" t="str">
        <f>IFERROR(VLOOKUP(A789,'Acompanhamento da Licitação'!$F$2:$N$1000,9,FALSE()),"")</f>
        <v/>
      </c>
      <c r="O789" s="1"/>
      <c r="P789" s="6"/>
    </row>
    <row r="790" spans="12:16" x14ac:dyDescent="0.2">
      <c r="L790" s="6" t="str">
        <f>IFERROR(VLOOKUP(A790,'Acompanhamento da Licitação'!$F$2:$N$1000,6,FALSE()),"")</f>
        <v/>
      </c>
      <c r="M790" s="6" t="str">
        <f>IFERROR(VLOOKUP(A790,'Acompanhamento da Licitação'!$F$2:$N$1000,7,FALSE()),"")</f>
        <v/>
      </c>
      <c r="N790" s="1" t="str">
        <f>IFERROR(VLOOKUP(A790,'Acompanhamento da Licitação'!$F$2:$N$1000,9,FALSE()),"")</f>
        <v/>
      </c>
      <c r="O790" s="1"/>
      <c r="P790" s="6"/>
    </row>
    <row r="791" spans="12:16" x14ac:dyDescent="0.2">
      <c r="L791" s="6" t="str">
        <f>IFERROR(VLOOKUP(A791,'Acompanhamento da Licitação'!$F$2:$N$1000,6,FALSE()),"")</f>
        <v/>
      </c>
      <c r="M791" s="6" t="str">
        <f>IFERROR(VLOOKUP(A791,'Acompanhamento da Licitação'!$F$2:$N$1000,7,FALSE()),"")</f>
        <v/>
      </c>
      <c r="N791" s="1" t="str">
        <f>IFERROR(VLOOKUP(A791,'Acompanhamento da Licitação'!$F$2:$N$1000,9,FALSE()),"")</f>
        <v/>
      </c>
      <c r="O791" s="1"/>
      <c r="P791" s="6"/>
    </row>
    <row r="792" spans="12:16" x14ac:dyDescent="0.2">
      <c r="L792" s="6" t="str">
        <f>IFERROR(VLOOKUP(A792,'Acompanhamento da Licitação'!$F$2:$N$1000,6,FALSE()),"")</f>
        <v/>
      </c>
      <c r="M792" s="6" t="str">
        <f>IFERROR(VLOOKUP(A792,'Acompanhamento da Licitação'!$F$2:$N$1000,7,FALSE()),"")</f>
        <v/>
      </c>
      <c r="N792" s="1" t="str">
        <f>IFERROR(VLOOKUP(A792,'Acompanhamento da Licitação'!$F$2:$N$1000,9,FALSE()),"")</f>
        <v/>
      </c>
      <c r="O792" s="1"/>
      <c r="P792" s="6"/>
    </row>
    <row r="793" spans="12:16" x14ac:dyDescent="0.2">
      <c r="L793" s="6" t="str">
        <f>IFERROR(VLOOKUP(A793,'Acompanhamento da Licitação'!$F$2:$N$1000,6,FALSE()),"")</f>
        <v/>
      </c>
      <c r="M793" s="6" t="str">
        <f>IFERROR(VLOOKUP(A793,'Acompanhamento da Licitação'!$F$2:$N$1000,7,FALSE()),"")</f>
        <v/>
      </c>
      <c r="N793" s="1" t="str">
        <f>IFERROR(VLOOKUP(A793,'Acompanhamento da Licitação'!$F$2:$N$1000,9,FALSE()),"")</f>
        <v/>
      </c>
      <c r="O793" s="1"/>
      <c r="P793" s="6"/>
    </row>
    <row r="794" spans="12:16" x14ac:dyDescent="0.2">
      <c r="L794" s="6" t="str">
        <f>IFERROR(VLOOKUP(A794,'Acompanhamento da Licitação'!$F$2:$N$1000,6,FALSE()),"")</f>
        <v/>
      </c>
      <c r="M794" s="6" t="str">
        <f>IFERROR(VLOOKUP(A794,'Acompanhamento da Licitação'!$F$2:$N$1000,7,FALSE()),"")</f>
        <v/>
      </c>
      <c r="N794" s="1" t="str">
        <f>IFERROR(VLOOKUP(A794,'Acompanhamento da Licitação'!$F$2:$N$1000,9,FALSE()),"")</f>
        <v/>
      </c>
      <c r="O794" s="1"/>
      <c r="P794" s="6"/>
    </row>
    <row r="795" spans="12:16" x14ac:dyDescent="0.2">
      <c r="L795" s="6" t="str">
        <f>IFERROR(VLOOKUP(A795,'Acompanhamento da Licitação'!$F$2:$N$1000,6,FALSE()),"")</f>
        <v/>
      </c>
      <c r="M795" s="6" t="str">
        <f>IFERROR(VLOOKUP(A795,'Acompanhamento da Licitação'!$F$2:$N$1000,7,FALSE()),"")</f>
        <v/>
      </c>
      <c r="N795" s="1" t="str">
        <f>IFERROR(VLOOKUP(A795,'Acompanhamento da Licitação'!$F$2:$N$1000,9,FALSE()),"")</f>
        <v/>
      </c>
      <c r="O795" s="1"/>
      <c r="P795" s="6"/>
    </row>
    <row r="796" spans="12:16" x14ac:dyDescent="0.2">
      <c r="L796" s="6" t="str">
        <f>IFERROR(VLOOKUP(A796,'Acompanhamento da Licitação'!$F$2:$N$1000,6,FALSE()),"")</f>
        <v/>
      </c>
      <c r="M796" s="6" t="str">
        <f>IFERROR(VLOOKUP(A796,'Acompanhamento da Licitação'!$F$2:$N$1000,7,FALSE()),"")</f>
        <v/>
      </c>
      <c r="N796" s="1" t="str">
        <f>IFERROR(VLOOKUP(A796,'Acompanhamento da Licitação'!$F$2:$N$1000,9,FALSE()),"")</f>
        <v/>
      </c>
      <c r="O796" s="1"/>
      <c r="P796" s="6"/>
    </row>
    <row r="797" spans="12:16" x14ac:dyDescent="0.2">
      <c r="L797" s="6" t="str">
        <f>IFERROR(VLOOKUP(A797,'Acompanhamento da Licitação'!$F$2:$N$1000,6,FALSE()),"")</f>
        <v/>
      </c>
      <c r="M797" s="6" t="str">
        <f>IFERROR(VLOOKUP(A797,'Acompanhamento da Licitação'!$F$2:$N$1000,7,FALSE()),"")</f>
        <v/>
      </c>
      <c r="N797" s="1" t="str">
        <f>IFERROR(VLOOKUP(A797,'Acompanhamento da Licitação'!$F$2:$N$1000,9,FALSE()),"")</f>
        <v/>
      </c>
      <c r="O797" s="1"/>
      <c r="P797" s="6"/>
    </row>
    <row r="798" spans="12:16" x14ac:dyDescent="0.2">
      <c r="L798" s="6" t="str">
        <f>IFERROR(VLOOKUP(A798,'Acompanhamento da Licitação'!$F$2:$N$1000,6,FALSE()),"")</f>
        <v/>
      </c>
      <c r="M798" s="6" t="str">
        <f>IFERROR(VLOOKUP(A798,'Acompanhamento da Licitação'!$F$2:$N$1000,7,FALSE()),"")</f>
        <v/>
      </c>
      <c r="N798" s="1" t="str">
        <f>IFERROR(VLOOKUP(A798,'Acompanhamento da Licitação'!$F$2:$N$1000,9,FALSE()),"")</f>
        <v/>
      </c>
      <c r="O798" s="1"/>
      <c r="P798" s="6"/>
    </row>
    <row r="799" spans="12:16" x14ac:dyDescent="0.2">
      <c r="L799" s="6" t="str">
        <f>IFERROR(VLOOKUP(A799,'Acompanhamento da Licitação'!$F$2:$N$1000,6,FALSE()),"")</f>
        <v/>
      </c>
      <c r="M799" s="6" t="str">
        <f>IFERROR(VLOOKUP(A799,'Acompanhamento da Licitação'!$F$2:$N$1000,7,FALSE()),"")</f>
        <v/>
      </c>
      <c r="N799" s="1" t="str">
        <f>IFERROR(VLOOKUP(A799,'Acompanhamento da Licitação'!$F$2:$N$1000,9,FALSE()),"")</f>
        <v/>
      </c>
      <c r="O799" s="1"/>
      <c r="P799" s="6"/>
    </row>
    <row r="800" spans="12:16" x14ac:dyDescent="0.2">
      <c r="L800" s="6" t="str">
        <f>IFERROR(VLOOKUP(A800,'Acompanhamento da Licitação'!$F$2:$N$1000,6,FALSE()),"")</f>
        <v/>
      </c>
      <c r="M800" s="6" t="str">
        <f>IFERROR(VLOOKUP(A800,'Acompanhamento da Licitação'!$F$2:$N$1000,7,FALSE()),"")</f>
        <v/>
      </c>
      <c r="N800" s="1" t="str">
        <f>IFERROR(VLOOKUP(A800,'Acompanhamento da Licitação'!$F$2:$N$1000,9,FALSE()),"")</f>
        <v/>
      </c>
      <c r="O800" s="1"/>
      <c r="P800" s="6"/>
    </row>
    <row r="801" spans="12:16" x14ac:dyDescent="0.2">
      <c r="L801" s="6" t="str">
        <f>IFERROR(VLOOKUP(A801,'Acompanhamento da Licitação'!$F$2:$N$1000,6,FALSE()),"")</f>
        <v/>
      </c>
      <c r="M801" s="6" t="str">
        <f>IFERROR(VLOOKUP(A801,'Acompanhamento da Licitação'!$F$2:$N$1000,7,FALSE()),"")</f>
        <v/>
      </c>
      <c r="N801" s="1" t="str">
        <f>IFERROR(VLOOKUP(A801,'Acompanhamento da Licitação'!$F$2:$N$1000,9,FALSE()),"")</f>
        <v/>
      </c>
      <c r="O801" s="1"/>
      <c r="P801" s="6"/>
    </row>
    <row r="802" spans="12:16" x14ac:dyDescent="0.2">
      <c r="L802" s="6" t="str">
        <f>IFERROR(VLOOKUP(A802,'Acompanhamento da Licitação'!$F$2:$N$1000,6,FALSE()),"")</f>
        <v/>
      </c>
      <c r="M802" s="6" t="str">
        <f>IFERROR(VLOOKUP(A802,'Acompanhamento da Licitação'!$F$2:$N$1000,7,FALSE()),"")</f>
        <v/>
      </c>
      <c r="N802" s="1" t="str">
        <f>IFERROR(VLOOKUP(A802,'Acompanhamento da Licitação'!$F$2:$N$1000,9,FALSE()),"")</f>
        <v/>
      </c>
      <c r="O802" s="1"/>
      <c r="P802" s="6"/>
    </row>
    <row r="803" spans="12:16" x14ac:dyDescent="0.2">
      <c r="L803" s="6" t="str">
        <f>IFERROR(VLOOKUP(A803,'Acompanhamento da Licitação'!$F$2:$N$1000,6,FALSE()),"")</f>
        <v/>
      </c>
      <c r="M803" s="6" t="str">
        <f>IFERROR(VLOOKUP(A803,'Acompanhamento da Licitação'!$F$2:$N$1000,7,FALSE()),"")</f>
        <v/>
      </c>
      <c r="N803" s="1" t="str">
        <f>IFERROR(VLOOKUP(A803,'Acompanhamento da Licitação'!$F$2:$N$1000,9,FALSE()),"")</f>
        <v/>
      </c>
      <c r="O803" s="1"/>
      <c r="P803" s="6"/>
    </row>
    <row r="804" spans="12:16" x14ac:dyDescent="0.2">
      <c r="L804" s="6" t="str">
        <f>IFERROR(VLOOKUP(A804,'Acompanhamento da Licitação'!$F$2:$N$1000,6,FALSE()),"")</f>
        <v/>
      </c>
      <c r="M804" s="6" t="str">
        <f>IFERROR(VLOOKUP(A804,'Acompanhamento da Licitação'!$F$2:$N$1000,7,FALSE()),"")</f>
        <v/>
      </c>
      <c r="N804" s="1" t="str">
        <f>IFERROR(VLOOKUP(A804,'Acompanhamento da Licitação'!$F$2:$N$1000,9,FALSE()),"")</f>
        <v/>
      </c>
      <c r="O804" s="1"/>
      <c r="P804" s="6"/>
    </row>
    <row r="805" spans="12:16" x14ac:dyDescent="0.2">
      <c r="L805" s="6" t="str">
        <f>IFERROR(VLOOKUP(A805,'Acompanhamento da Licitação'!$F$2:$N$1000,6,FALSE()),"")</f>
        <v/>
      </c>
      <c r="M805" s="6" t="str">
        <f>IFERROR(VLOOKUP(A805,'Acompanhamento da Licitação'!$F$2:$N$1000,7,FALSE()),"")</f>
        <v/>
      </c>
      <c r="N805" s="1" t="str">
        <f>IFERROR(VLOOKUP(A805,'Acompanhamento da Licitação'!$F$2:$N$1000,9,FALSE()),"")</f>
        <v/>
      </c>
      <c r="O805" s="1"/>
      <c r="P805" s="6"/>
    </row>
    <row r="806" spans="12:16" x14ac:dyDescent="0.2">
      <c r="L806" s="6" t="str">
        <f>IFERROR(VLOOKUP(A806,'Acompanhamento da Licitação'!$F$2:$N$1000,6,FALSE()),"")</f>
        <v/>
      </c>
      <c r="M806" s="6" t="str">
        <f>IFERROR(VLOOKUP(A806,'Acompanhamento da Licitação'!$F$2:$N$1000,7,FALSE()),"")</f>
        <v/>
      </c>
      <c r="N806" s="1" t="str">
        <f>IFERROR(VLOOKUP(A806,'Acompanhamento da Licitação'!$F$2:$N$1000,9,FALSE()),"")</f>
        <v/>
      </c>
      <c r="O806" s="1"/>
      <c r="P806" s="6"/>
    </row>
    <row r="807" spans="12:16" x14ac:dyDescent="0.2">
      <c r="L807" s="6" t="str">
        <f>IFERROR(VLOOKUP(A807,'Acompanhamento da Licitação'!$F$2:$N$1000,6,FALSE()),"")</f>
        <v/>
      </c>
      <c r="M807" s="6" t="str">
        <f>IFERROR(VLOOKUP(A807,'Acompanhamento da Licitação'!$F$2:$N$1000,7,FALSE()),"")</f>
        <v/>
      </c>
      <c r="N807" s="1" t="str">
        <f>IFERROR(VLOOKUP(A807,'Acompanhamento da Licitação'!$F$2:$N$1000,9,FALSE()),"")</f>
        <v/>
      </c>
      <c r="O807" s="1"/>
      <c r="P807" s="6"/>
    </row>
    <row r="808" spans="12:16" x14ac:dyDescent="0.2">
      <c r="L808" s="6" t="str">
        <f>IFERROR(VLOOKUP(A808,'Acompanhamento da Licitação'!$F$2:$N$1000,6,FALSE()),"")</f>
        <v/>
      </c>
      <c r="M808" s="6" t="str">
        <f>IFERROR(VLOOKUP(A808,'Acompanhamento da Licitação'!$F$2:$N$1000,7,FALSE()),"")</f>
        <v/>
      </c>
      <c r="N808" s="1" t="str">
        <f>IFERROR(VLOOKUP(A808,'Acompanhamento da Licitação'!$F$2:$N$1000,9,FALSE()),"")</f>
        <v/>
      </c>
      <c r="O808" s="1"/>
      <c r="P808" s="6"/>
    </row>
    <row r="809" spans="12:16" x14ac:dyDescent="0.2">
      <c r="L809" s="6" t="str">
        <f>IFERROR(VLOOKUP(A809,'Acompanhamento da Licitação'!$F$2:$N$1000,6,FALSE()),"")</f>
        <v/>
      </c>
      <c r="M809" s="6" t="str">
        <f>IFERROR(VLOOKUP(A809,'Acompanhamento da Licitação'!$F$2:$N$1000,7,FALSE()),"")</f>
        <v/>
      </c>
      <c r="N809" s="1" t="str">
        <f>IFERROR(VLOOKUP(A809,'Acompanhamento da Licitação'!$F$2:$N$1000,9,FALSE()),"")</f>
        <v/>
      </c>
      <c r="O809" s="1"/>
      <c r="P809" s="6"/>
    </row>
    <row r="810" spans="12:16" x14ac:dyDescent="0.2">
      <c r="L810" s="6" t="str">
        <f>IFERROR(VLOOKUP(A810,'Acompanhamento da Licitação'!$F$2:$N$1000,6,FALSE()),"")</f>
        <v/>
      </c>
      <c r="M810" s="6" t="str">
        <f>IFERROR(VLOOKUP(A810,'Acompanhamento da Licitação'!$F$2:$N$1000,7,FALSE()),"")</f>
        <v/>
      </c>
      <c r="N810" s="1" t="str">
        <f>IFERROR(VLOOKUP(A810,'Acompanhamento da Licitação'!$F$2:$N$1000,9,FALSE()),"")</f>
        <v/>
      </c>
      <c r="O810" s="1"/>
      <c r="P810" s="6"/>
    </row>
    <row r="811" spans="12:16" x14ac:dyDescent="0.2">
      <c r="L811" s="6" t="str">
        <f>IFERROR(VLOOKUP(A811,'Acompanhamento da Licitação'!$F$2:$N$1000,6,FALSE()),"")</f>
        <v/>
      </c>
      <c r="M811" s="6" t="str">
        <f>IFERROR(VLOOKUP(A811,'Acompanhamento da Licitação'!$F$2:$N$1000,7,FALSE()),"")</f>
        <v/>
      </c>
      <c r="N811" s="1" t="str">
        <f>IFERROR(VLOOKUP(A811,'Acompanhamento da Licitação'!$F$2:$N$1000,9,FALSE()),"")</f>
        <v/>
      </c>
      <c r="O811" s="1"/>
      <c r="P811" s="6"/>
    </row>
    <row r="812" spans="12:16" x14ac:dyDescent="0.2">
      <c r="L812" s="6" t="str">
        <f>IFERROR(VLOOKUP(A812,'Acompanhamento da Licitação'!$F$2:$N$1000,6,FALSE()),"")</f>
        <v/>
      </c>
      <c r="M812" s="6" t="str">
        <f>IFERROR(VLOOKUP(A812,'Acompanhamento da Licitação'!$F$2:$N$1000,7,FALSE()),"")</f>
        <v/>
      </c>
      <c r="N812" s="1" t="str">
        <f>IFERROR(VLOOKUP(A812,'Acompanhamento da Licitação'!$F$2:$N$1000,9,FALSE()),"")</f>
        <v/>
      </c>
      <c r="O812" s="1"/>
      <c r="P812" s="6"/>
    </row>
    <row r="813" spans="12:16" x14ac:dyDescent="0.2">
      <c r="L813" s="6" t="str">
        <f>IFERROR(VLOOKUP(A813,'Acompanhamento da Licitação'!$F$2:$N$1000,6,FALSE()),"")</f>
        <v/>
      </c>
      <c r="M813" s="6" t="str">
        <f>IFERROR(VLOOKUP(A813,'Acompanhamento da Licitação'!$F$2:$N$1000,7,FALSE()),"")</f>
        <v/>
      </c>
      <c r="N813" s="1" t="str">
        <f>IFERROR(VLOOKUP(A813,'Acompanhamento da Licitação'!$F$2:$N$1000,9,FALSE()),"")</f>
        <v/>
      </c>
      <c r="O813" s="1"/>
      <c r="P813" s="6"/>
    </row>
    <row r="814" spans="12:16" x14ac:dyDescent="0.2">
      <c r="L814" s="6" t="str">
        <f>IFERROR(VLOOKUP(A814,'Acompanhamento da Licitação'!$F$2:$N$1000,6,FALSE()),"")</f>
        <v/>
      </c>
      <c r="M814" s="6" t="str">
        <f>IFERROR(VLOOKUP(A814,'Acompanhamento da Licitação'!$F$2:$N$1000,7,FALSE()),"")</f>
        <v/>
      </c>
      <c r="N814" s="1" t="str">
        <f>IFERROR(VLOOKUP(A814,'Acompanhamento da Licitação'!$F$2:$N$1000,9,FALSE()),"")</f>
        <v/>
      </c>
      <c r="O814" s="1"/>
      <c r="P814" s="6"/>
    </row>
    <row r="815" spans="12:16" x14ac:dyDescent="0.2">
      <c r="L815" s="6" t="str">
        <f>IFERROR(VLOOKUP(A815,'Acompanhamento da Licitação'!$F$2:$N$1000,6,FALSE()),"")</f>
        <v/>
      </c>
      <c r="M815" s="6" t="str">
        <f>IFERROR(VLOOKUP(A815,'Acompanhamento da Licitação'!$F$2:$N$1000,7,FALSE()),"")</f>
        <v/>
      </c>
      <c r="N815" s="1" t="str">
        <f>IFERROR(VLOOKUP(A815,'Acompanhamento da Licitação'!$F$2:$N$1000,9,FALSE()),"")</f>
        <v/>
      </c>
      <c r="O815" s="1"/>
      <c r="P815" s="6"/>
    </row>
    <row r="816" spans="12:16" x14ac:dyDescent="0.2">
      <c r="L816" s="6" t="str">
        <f>IFERROR(VLOOKUP(A816,'Acompanhamento da Licitação'!$F$2:$N$1000,6,FALSE()),"")</f>
        <v/>
      </c>
      <c r="M816" s="6" t="str">
        <f>IFERROR(VLOOKUP(A816,'Acompanhamento da Licitação'!$F$2:$N$1000,7,FALSE()),"")</f>
        <v/>
      </c>
      <c r="N816" s="1" t="str">
        <f>IFERROR(VLOOKUP(A816,'Acompanhamento da Licitação'!$F$2:$N$1000,9,FALSE()),"")</f>
        <v/>
      </c>
      <c r="O816" s="1"/>
      <c r="P816" s="6"/>
    </row>
    <row r="817" spans="12:16" x14ac:dyDescent="0.2">
      <c r="L817" s="6" t="str">
        <f>IFERROR(VLOOKUP(A817,'Acompanhamento da Licitação'!$F$2:$N$1000,6,FALSE()),"")</f>
        <v/>
      </c>
      <c r="M817" s="6" t="str">
        <f>IFERROR(VLOOKUP(A817,'Acompanhamento da Licitação'!$F$2:$N$1000,7,FALSE()),"")</f>
        <v/>
      </c>
      <c r="N817" s="1" t="str">
        <f>IFERROR(VLOOKUP(A817,'Acompanhamento da Licitação'!$F$2:$N$1000,9,FALSE()),"")</f>
        <v/>
      </c>
      <c r="O817" s="1"/>
      <c r="P817" s="6"/>
    </row>
    <row r="818" spans="12:16" x14ac:dyDescent="0.2">
      <c r="L818" s="6" t="str">
        <f>IFERROR(VLOOKUP(A818,'Acompanhamento da Licitação'!$F$2:$N$1000,6,FALSE()),"")</f>
        <v/>
      </c>
      <c r="M818" s="6" t="str">
        <f>IFERROR(VLOOKUP(A818,'Acompanhamento da Licitação'!$F$2:$N$1000,7,FALSE()),"")</f>
        <v/>
      </c>
      <c r="N818" s="1" t="str">
        <f>IFERROR(VLOOKUP(A818,'Acompanhamento da Licitação'!$F$2:$N$1000,9,FALSE()),"")</f>
        <v/>
      </c>
      <c r="O818" s="1"/>
      <c r="P818" s="6"/>
    </row>
    <row r="819" spans="12:16" x14ac:dyDescent="0.2">
      <c r="L819" s="6" t="str">
        <f>IFERROR(VLOOKUP(A819,'Acompanhamento da Licitação'!$F$2:$N$1000,6,FALSE()),"")</f>
        <v/>
      </c>
      <c r="M819" s="6" t="str">
        <f>IFERROR(VLOOKUP(A819,'Acompanhamento da Licitação'!$F$2:$N$1000,7,FALSE()),"")</f>
        <v/>
      </c>
      <c r="N819" s="1" t="str">
        <f>IFERROR(VLOOKUP(A819,'Acompanhamento da Licitação'!$F$2:$N$1000,9,FALSE()),"")</f>
        <v/>
      </c>
      <c r="O819" s="1"/>
      <c r="P819" s="6"/>
    </row>
    <row r="820" spans="12:16" x14ac:dyDescent="0.2">
      <c r="L820" s="6" t="str">
        <f>IFERROR(VLOOKUP(A820,'Acompanhamento da Licitação'!$F$2:$N$1000,6,FALSE()),"")</f>
        <v/>
      </c>
      <c r="M820" s="6" t="str">
        <f>IFERROR(VLOOKUP(A820,'Acompanhamento da Licitação'!$F$2:$N$1000,7,FALSE()),"")</f>
        <v/>
      </c>
      <c r="N820" s="1" t="str">
        <f>IFERROR(VLOOKUP(A820,'Acompanhamento da Licitação'!$F$2:$N$1000,9,FALSE()),"")</f>
        <v/>
      </c>
      <c r="O820" s="1"/>
      <c r="P820" s="6"/>
    </row>
    <row r="821" spans="12:16" x14ac:dyDescent="0.2">
      <c r="L821" s="6" t="str">
        <f>IFERROR(VLOOKUP(A821,'Acompanhamento da Licitação'!$F$2:$N$1000,6,FALSE()),"")</f>
        <v/>
      </c>
      <c r="M821" s="6" t="str">
        <f>IFERROR(VLOOKUP(A821,'Acompanhamento da Licitação'!$F$2:$N$1000,7,FALSE()),"")</f>
        <v/>
      </c>
      <c r="N821" s="1" t="str">
        <f>IFERROR(VLOOKUP(A821,'Acompanhamento da Licitação'!$F$2:$N$1000,9,FALSE()),"")</f>
        <v/>
      </c>
      <c r="O821" s="1"/>
      <c r="P821" s="6"/>
    </row>
    <row r="822" spans="12:16" x14ac:dyDescent="0.2">
      <c r="L822" s="6" t="str">
        <f>IFERROR(VLOOKUP(A822,'Acompanhamento da Licitação'!$F$2:$N$1000,6,FALSE()),"")</f>
        <v/>
      </c>
      <c r="M822" s="6" t="str">
        <f>IFERROR(VLOOKUP(A822,'Acompanhamento da Licitação'!$F$2:$N$1000,7,FALSE()),"")</f>
        <v/>
      </c>
      <c r="N822" s="1" t="str">
        <f>IFERROR(VLOOKUP(A822,'Acompanhamento da Licitação'!$F$2:$N$1000,9,FALSE()),"")</f>
        <v/>
      </c>
      <c r="O822" s="1"/>
      <c r="P822" s="6"/>
    </row>
    <row r="823" spans="12:16" x14ac:dyDescent="0.2">
      <c r="L823" s="6" t="str">
        <f>IFERROR(VLOOKUP(A823,'Acompanhamento da Licitação'!$F$2:$N$1000,6,FALSE()),"")</f>
        <v/>
      </c>
      <c r="M823" s="6" t="str">
        <f>IFERROR(VLOOKUP(A823,'Acompanhamento da Licitação'!$F$2:$N$1000,7,FALSE()),"")</f>
        <v/>
      </c>
      <c r="N823" s="1" t="str">
        <f>IFERROR(VLOOKUP(A823,'Acompanhamento da Licitação'!$F$2:$N$1000,9,FALSE()),"")</f>
        <v/>
      </c>
      <c r="O823" s="1"/>
      <c r="P823" s="6"/>
    </row>
    <row r="824" spans="12:16" x14ac:dyDescent="0.2">
      <c r="L824" s="6" t="str">
        <f>IFERROR(VLOOKUP(A824,'Acompanhamento da Licitação'!$F$2:$N$1000,6,FALSE()),"")</f>
        <v/>
      </c>
      <c r="M824" s="6" t="str">
        <f>IFERROR(VLOOKUP(A824,'Acompanhamento da Licitação'!$F$2:$N$1000,7,FALSE()),"")</f>
        <v/>
      </c>
      <c r="N824" s="1" t="str">
        <f>IFERROR(VLOOKUP(A824,'Acompanhamento da Licitação'!$F$2:$N$1000,9,FALSE()),"")</f>
        <v/>
      </c>
      <c r="O824" s="1"/>
      <c r="P824" s="6"/>
    </row>
    <row r="825" spans="12:16" x14ac:dyDescent="0.2">
      <c r="L825" s="6" t="str">
        <f>IFERROR(VLOOKUP(A825,'Acompanhamento da Licitação'!$F$2:$N$1000,6,FALSE()),"")</f>
        <v/>
      </c>
      <c r="M825" s="6" t="str">
        <f>IFERROR(VLOOKUP(A825,'Acompanhamento da Licitação'!$F$2:$N$1000,7,FALSE()),"")</f>
        <v/>
      </c>
      <c r="N825" s="1" t="str">
        <f>IFERROR(VLOOKUP(A825,'Acompanhamento da Licitação'!$F$2:$N$1000,9,FALSE()),"")</f>
        <v/>
      </c>
      <c r="O825" s="1"/>
      <c r="P825" s="6"/>
    </row>
    <row r="826" spans="12:16" x14ac:dyDescent="0.2">
      <c r="L826" s="6" t="str">
        <f>IFERROR(VLOOKUP(A826,'Acompanhamento da Licitação'!$F$2:$N$1000,6,FALSE()),"")</f>
        <v/>
      </c>
      <c r="M826" s="6" t="str">
        <f>IFERROR(VLOOKUP(A826,'Acompanhamento da Licitação'!$F$2:$N$1000,7,FALSE()),"")</f>
        <v/>
      </c>
      <c r="N826" s="1" t="str">
        <f>IFERROR(VLOOKUP(A826,'Acompanhamento da Licitação'!$F$2:$N$1000,9,FALSE()),"")</f>
        <v/>
      </c>
      <c r="O826" s="1"/>
      <c r="P826" s="6"/>
    </row>
    <row r="827" spans="12:16" x14ac:dyDescent="0.2">
      <c r="L827" s="6" t="str">
        <f>IFERROR(VLOOKUP(A827,'Acompanhamento da Licitação'!$F$2:$N$1000,6,FALSE()),"")</f>
        <v/>
      </c>
      <c r="M827" s="6" t="str">
        <f>IFERROR(VLOOKUP(A827,'Acompanhamento da Licitação'!$F$2:$N$1000,7,FALSE()),"")</f>
        <v/>
      </c>
      <c r="N827" s="1" t="str">
        <f>IFERROR(VLOOKUP(A827,'Acompanhamento da Licitação'!$F$2:$N$1000,9,FALSE()),"")</f>
        <v/>
      </c>
      <c r="O827" s="1"/>
      <c r="P827" s="6"/>
    </row>
    <row r="828" spans="12:16" x14ac:dyDescent="0.2">
      <c r="L828" s="6" t="str">
        <f>IFERROR(VLOOKUP(A828,'Acompanhamento da Licitação'!$F$2:$N$1000,6,FALSE()),"")</f>
        <v/>
      </c>
      <c r="M828" s="6" t="str">
        <f>IFERROR(VLOOKUP(A828,'Acompanhamento da Licitação'!$F$2:$N$1000,7,FALSE()),"")</f>
        <v/>
      </c>
      <c r="N828" s="1" t="str">
        <f>IFERROR(VLOOKUP(A828,'Acompanhamento da Licitação'!$F$2:$N$1000,9,FALSE()),"")</f>
        <v/>
      </c>
      <c r="O828" s="1"/>
      <c r="P828" s="6"/>
    </row>
    <row r="829" spans="12:16" x14ac:dyDescent="0.2">
      <c r="L829" s="6" t="str">
        <f>IFERROR(VLOOKUP(A829,'Acompanhamento da Licitação'!$F$2:$N$1000,6,FALSE()),"")</f>
        <v/>
      </c>
      <c r="M829" s="6" t="str">
        <f>IFERROR(VLOOKUP(A829,'Acompanhamento da Licitação'!$F$2:$N$1000,7,FALSE()),"")</f>
        <v/>
      </c>
      <c r="N829" s="1" t="str">
        <f>IFERROR(VLOOKUP(A829,'Acompanhamento da Licitação'!$F$2:$N$1000,9,FALSE()),"")</f>
        <v/>
      </c>
      <c r="O829" s="1"/>
      <c r="P829" s="6"/>
    </row>
    <row r="830" spans="12:16" x14ac:dyDescent="0.2">
      <c r="L830" s="6" t="str">
        <f>IFERROR(VLOOKUP(A830,'Acompanhamento da Licitação'!$F$2:$N$1000,6,FALSE()),"")</f>
        <v/>
      </c>
      <c r="M830" s="6" t="str">
        <f>IFERROR(VLOOKUP(A830,'Acompanhamento da Licitação'!$F$2:$N$1000,7,FALSE()),"")</f>
        <v/>
      </c>
      <c r="N830" s="1" t="str">
        <f>IFERROR(VLOOKUP(A830,'Acompanhamento da Licitação'!$F$2:$N$1000,9,FALSE()),"")</f>
        <v/>
      </c>
      <c r="O830" s="1"/>
      <c r="P830" s="6"/>
    </row>
    <row r="831" spans="12:16" x14ac:dyDescent="0.2">
      <c r="L831" s="6" t="str">
        <f>IFERROR(VLOOKUP(A831,'Acompanhamento da Licitação'!$F$2:$N$1000,6,FALSE()),"")</f>
        <v/>
      </c>
      <c r="M831" s="6" t="str">
        <f>IFERROR(VLOOKUP(A831,'Acompanhamento da Licitação'!$F$2:$N$1000,7,FALSE()),"")</f>
        <v/>
      </c>
      <c r="N831" s="1" t="str">
        <f>IFERROR(VLOOKUP(A831,'Acompanhamento da Licitação'!$F$2:$N$1000,9,FALSE()),"")</f>
        <v/>
      </c>
      <c r="O831" s="1"/>
      <c r="P831" s="6"/>
    </row>
    <row r="832" spans="12:16" x14ac:dyDescent="0.2">
      <c r="L832" s="6" t="str">
        <f>IFERROR(VLOOKUP(A832,'Acompanhamento da Licitação'!$F$2:$N$1000,6,FALSE()),"")</f>
        <v/>
      </c>
      <c r="M832" s="6" t="str">
        <f>IFERROR(VLOOKUP(A832,'Acompanhamento da Licitação'!$F$2:$N$1000,7,FALSE()),"")</f>
        <v/>
      </c>
      <c r="N832" s="1" t="str">
        <f>IFERROR(VLOOKUP(A832,'Acompanhamento da Licitação'!$F$2:$N$1000,9,FALSE()),"")</f>
        <v/>
      </c>
      <c r="O832" s="1"/>
      <c r="P832" s="6"/>
    </row>
    <row r="833" spans="12:16" x14ac:dyDescent="0.2">
      <c r="L833" s="6" t="str">
        <f>IFERROR(VLOOKUP(A833,'Acompanhamento da Licitação'!$F$2:$N$1000,6,FALSE()),"")</f>
        <v/>
      </c>
      <c r="M833" s="6" t="str">
        <f>IFERROR(VLOOKUP(A833,'Acompanhamento da Licitação'!$F$2:$N$1000,7,FALSE()),"")</f>
        <v/>
      </c>
      <c r="N833" s="1" t="str">
        <f>IFERROR(VLOOKUP(A833,'Acompanhamento da Licitação'!$F$2:$N$1000,9,FALSE()),"")</f>
        <v/>
      </c>
      <c r="O833" s="1"/>
      <c r="P833" s="6"/>
    </row>
    <row r="834" spans="12:16" x14ac:dyDescent="0.2">
      <c r="L834" s="6" t="str">
        <f>IFERROR(VLOOKUP(A834,'Acompanhamento da Licitação'!$F$2:$N$1000,6,FALSE()),"")</f>
        <v/>
      </c>
      <c r="M834" s="6" t="str">
        <f>IFERROR(VLOOKUP(A834,'Acompanhamento da Licitação'!$F$2:$N$1000,7,FALSE()),"")</f>
        <v/>
      </c>
      <c r="N834" s="1" t="str">
        <f>IFERROR(VLOOKUP(A834,'Acompanhamento da Licitação'!$F$2:$N$1000,9,FALSE()),"")</f>
        <v/>
      </c>
      <c r="O834" s="1"/>
      <c r="P834" s="6"/>
    </row>
    <row r="835" spans="12:16" x14ac:dyDescent="0.2">
      <c r="L835" s="6" t="str">
        <f>IFERROR(VLOOKUP(A835,'Acompanhamento da Licitação'!$F$2:$N$1000,6,FALSE()),"")</f>
        <v/>
      </c>
      <c r="M835" s="6" t="str">
        <f>IFERROR(VLOOKUP(A835,'Acompanhamento da Licitação'!$F$2:$N$1000,7,FALSE()),"")</f>
        <v/>
      </c>
      <c r="N835" s="1" t="str">
        <f>IFERROR(VLOOKUP(A835,'Acompanhamento da Licitação'!$F$2:$N$1000,9,FALSE()),"")</f>
        <v/>
      </c>
      <c r="O835" s="1"/>
      <c r="P835" s="6"/>
    </row>
    <row r="836" spans="12:16" x14ac:dyDescent="0.2">
      <c r="L836" s="6" t="str">
        <f>IFERROR(VLOOKUP(A836,'Acompanhamento da Licitação'!$F$2:$N$1000,6,FALSE()),"")</f>
        <v/>
      </c>
      <c r="M836" s="6" t="str">
        <f>IFERROR(VLOOKUP(A836,'Acompanhamento da Licitação'!$F$2:$N$1000,7,FALSE()),"")</f>
        <v/>
      </c>
      <c r="N836" s="1" t="str">
        <f>IFERROR(VLOOKUP(A836,'Acompanhamento da Licitação'!$F$2:$N$1000,9,FALSE()),"")</f>
        <v/>
      </c>
      <c r="O836" s="1"/>
      <c r="P836" s="6"/>
    </row>
    <row r="837" spans="12:16" x14ac:dyDescent="0.2">
      <c r="L837" s="6" t="str">
        <f>IFERROR(VLOOKUP(A837,'Acompanhamento da Licitação'!$F$2:$N$1000,6,FALSE()),"")</f>
        <v/>
      </c>
      <c r="M837" s="6" t="str">
        <f>IFERROR(VLOOKUP(A837,'Acompanhamento da Licitação'!$F$2:$N$1000,7,FALSE()),"")</f>
        <v/>
      </c>
      <c r="N837" s="1" t="str">
        <f>IFERROR(VLOOKUP(A837,'Acompanhamento da Licitação'!$F$2:$N$1000,9,FALSE()),"")</f>
        <v/>
      </c>
      <c r="O837" s="1"/>
      <c r="P837" s="6"/>
    </row>
    <row r="838" spans="12:16" x14ac:dyDescent="0.2">
      <c r="L838" s="6" t="str">
        <f>IFERROR(VLOOKUP(A838,'Acompanhamento da Licitação'!$F$2:$N$1000,6,FALSE()),"")</f>
        <v/>
      </c>
      <c r="M838" s="6" t="str">
        <f>IFERROR(VLOOKUP(A838,'Acompanhamento da Licitação'!$F$2:$N$1000,7,FALSE()),"")</f>
        <v/>
      </c>
      <c r="N838" s="1" t="str">
        <f>IFERROR(VLOOKUP(A838,'Acompanhamento da Licitação'!$F$2:$N$1000,9,FALSE()),"")</f>
        <v/>
      </c>
      <c r="O838" s="1"/>
      <c r="P838" s="6"/>
    </row>
    <row r="839" spans="12:16" x14ac:dyDescent="0.2">
      <c r="L839" s="6" t="str">
        <f>IFERROR(VLOOKUP(A839,'Acompanhamento da Licitação'!$F$2:$N$1000,6,FALSE()),"")</f>
        <v/>
      </c>
      <c r="M839" s="6" t="str">
        <f>IFERROR(VLOOKUP(A839,'Acompanhamento da Licitação'!$F$2:$N$1000,7,FALSE()),"")</f>
        <v/>
      </c>
      <c r="N839" s="1" t="str">
        <f>IFERROR(VLOOKUP(A839,'Acompanhamento da Licitação'!$F$2:$N$1000,9,FALSE()),"")</f>
        <v/>
      </c>
      <c r="O839" s="1"/>
      <c r="P839" s="6"/>
    </row>
    <row r="840" spans="12:16" x14ac:dyDescent="0.2">
      <c r="L840" s="6" t="str">
        <f>IFERROR(VLOOKUP(A840,'Acompanhamento da Licitação'!$F$2:$N$1000,6,FALSE()),"")</f>
        <v/>
      </c>
      <c r="M840" s="6" t="str">
        <f>IFERROR(VLOOKUP(A840,'Acompanhamento da Licitação'!$F$2:$N$1000,7,FALSE()),"")</f>
        <v/>
      </c>
      <c r="N840" s="1" t="str">
        <f>IFERROR(VLOOKUP(A840,'Acompanhamento da Licitação'!$F$2:$N$1000,9,FALSE()),"")</f>
        <v/>
      </c>
      <c r="O840" s="1"/>
      <c r="P840" s="6"/>
    </row>
    <row r="841" spans="12:16" x14ac:dyDescent="0.2">
      <c r="L841" s="6" t="str">
        <f>IFERROR(VLOOKUP(A841,'Acompanhamento da Licitação'!$F$2:$N$1000,6,FALSE()),"")</f>
        <v/>
      </c>
      <c r="M841" s="6" t="str">
        <f>IFERROR(VLOOKUP(A841,'Acompanhamento da Licitação'!$F$2:$N$1000,7,FALSE()),"")</f>
        <v/>
      </c>
      <c r="N841" s="1" t="str">
        <f>IFERROR(VLOOKUP(A841,'Acompanhamento da Licitação'!$F$2:$N$1000,9,FALSE()),"")</f>
        <v/>
      </c>
      <c r="O841" s="1"/>
      <c r="P841" s="6"/>
    </row>
    <row r="842" spans="12:16" x14ac:dyDescent="0.2">
      <c r="L842" s="6" t="str">
        <f>IFERROR(VLOOKUP(A842,'Acompanhamento da Licitação'!$F$2:$N$1000,6,FALSE()),"")</f>
        <v/>
      </c>
      <c r="M842" s="6" t="str">
        <f>IFERROR(VLOOKUP(A842,'Acompanhamento da Licitação'!$F$2:$N$1000,7,FALSE()),"")</f>
        <v/>
      </c>
      <c r="N842" s="1" t="str">
        <f>IFERROR(VLOOKUP(A842,'Acompanhamento da Licitação'!$F$2:$N$1000,9,FALSE()),"")</f>
        <v/>
      </c>
      <c r="O842" s="1"/>
      <c r="P842" s="6"/>
    </row>
    <row r="843" spans="12:16" x14ac:dyDescent="0.2">
      <c r="L843" s="6" t="str">
        <f>IFERROR(VLOOKUP(A843,'Acompanhamento da Licitação'!$F$2:$N$1000,6,FALSE()),"")</f>
        <v/>
      </c>
      <c r="M843" s="6" t="str">
        <f>IFERROR(VLOOKUP(A843,'Acompanhamento da Licitação'!$F$2:$N$1000,7,FALSE()),"")</f>
        <v/>
      </c>
      <c r="N843" s="1" t="str">
        <f>IFERROR(VLOOKUP(A843,'Acompanhamento da Licitação'!$F$2:$N$1000,9,FALSE()),"")</f>
        <v/>
      </c>
      <c r="O843" s="1"/>
      <c r="P843" s="6"/>
    </row>
    <row r="844" spans="12:16" x14ac:dyDescent="0.2">
      <c r="L844" s="6" t="str">
        <f>IFERROR(VLOOKUP(A844,'Acompanhamento da Licitação'!$F$2:$N$1000,6,FALSE()),"")</f>
        <v/>
      </c>
      <c r="M844" s="6" t="str">
        <f>IFERROR(VLOOKUP(A844,'Acompanhamento da Licitação'!$F$2:$N$1000,7,FALSE()),"")</f>
        <v/>
      </c>
      <c r="N844" s="1" t="str">
        <f>IFERROR(VLOOKUP(A844,'Acompanhamento da Licitação'!$F$2:$N$1000,9,FALSE()),"")</f>
        <v/>
      </c>
      <c r="O844" s="1"/>
      <c r="P844" s="6"/>
    </row>
    <row r="845" spans="12:16" x14ac:dyDescent="0.2">
      <c r="L845" s="6" t="str">
        <f>IFERROR(VLOOKUP(A845,'Acompanhamento da Licitação'!$F$2:$N$1000,6,FALSE()),"")</f>
        <v/>
      </c>
      <c r="M845" s="6" t="str">
        <f>IFERROR(VLOOKUP(A845,'Acompanhamento da Licitação'!$F$2:$N$1000,7,FALSE()),"")</f>
        <v/>
      </c>
      <c r="N845" s="1" t="str">
        <f>IFERROR(VLOOKUP(A845,'Acompanhamento da Licitação'!$F$2:$N$1000,9,FALSE()),"")</f>
        <v/>
      </c>
      <c r="O845" s="1"/>
      <c r="P845" s="6"/>
    </row>
    <row r="846" spans="12:16" x14ac:dyDescent="0.2">
      <c r="L846" s="6" t="str">
        <f>IFERROR(VLOOKUP(A846,'Acompanhamento da Licitação'!$F$2:$N$1000,6,FALSE()),"")</f>
        <v/>
      </c>
      <c r="M846" s="6" t="str">
        <f>IFERROR(VLOOKUP(A846,'Acompanhamento da Licitação'!$F$2:$N$1000,7,FALSE()),"")</f>
        <v/>
      </c>
      <c r="N846" s="1" t="str">
        <f>IFERROR(VLOOKUP(A846,'Acompanhamento da Licitação'!$F$2:$N$1000,9,FALSE()),"")</f>
        <v/>
      </c>
      <c r="O846" s="1"/>
      <c r="P846" s="6"/>
    </row>
    <row r="847" spans="12:16" x14ac:dyDescent="0.2">
      <c r="L847" s="6" t="str">
        <f>IFERROR(VLOOKUP(A847,'Acompanhamento da Licitação'!$F$2:$N$1000,6,FALSE()),"")</f>
        <v/>
      </c>
      <c r="M847" s="6" t="str">
        <f>IFERROR(VLOOKUP(A847,'Acompanhamento da Licitação'!$F$2:$N$1000,7,FALSE()),"")</f>
        <v/>
      </c>
      <c r="N847" s="1" t="str">
        <f>IFERROR(VLOOKUP(A847,'Acompanhamento da Licitação'!$F$2:$N$1000,9,FALSE()),"")</f>
        <v/>
      </c>
      <c r="O847" s="1"/>
      <c r="P847" s="6"/>
    </row>
    <row r="848" spans="12:16" x14ac:dyDescent="0.2">
      <c r="L848" s="6" t="str">
        <f>IFERROR(VLOOKUP(A848,'Acompanhamento da Licitação'!$F$2:$N$1000,6,FALSE()),"")</f>
        <v/>
      </c>
      <c r="M848" s="6" t="str">
        <f>IFERROR(VLOOKUP(A848,'Acompanhamento da Licitação'!$F$2:$N$1000,7,FALSE()),"")</f>
        <v/>
      </c>
      <c r="N848" s="1" t="str">
        <f>IFERROR(VLOOKUP(A848,'Acompanhamento da Licitação'!$F$2:$N$1000,9,FALSE()),"")</f>
        <v/>
      </c>
      <c r="O848" s="1"/>
      <c r="P848" s="6"/>
    </row>
    <row r="849" spans="12:16" x14ac:dyDescent="0.2">
      <c r="L849" s="6" t="str">
        <f>IFERROR(VLOOKUP(A849,'Acompanhamento da Licitação'!$F$2:$N$1000,6,FALSE()),"")</f>
        <v/>
      </c>
      <c r="M849" s="6" t="str">
        <f>IFERROR(VLOOKUP(A849,'Acompanhamento da Licitação'!$F$2:$N$1000,7,FALSE()),"")</f>
        <v/>
      </c>
      <c r="N849" s="1" t="str">
        <f>IFERROR(VLOOKUP(A849,'Acompanhamento da Licitação'!$F$2:$N$1000,9,FALSE()),"")</f>
        <v/>
      </c>
      <c r="O849" s="1"/>
      <c r="P849" s="6"/>
    </row>
    <row r="850" spans="12:16" x14ac:dyDescent="0.2">
      <c r="L850" s="6" t="str">
        <f>IFERROR(VLOOKUP(A850,'Acompanhamento da Licitação'!$F$2:$N$1000,6,FALSE()),"")</f>
        <v/>
      </c>
      <c r="M850" s="6" t="str">
        <f>IFERROR(VLOOKUP(A850,'Acompanhamento da Licitação'!$F$2:$N$1000,7,FALSE()),"")</f>
        <v/>
      </c>
      <c r="N850" s="1" t="str">
        <f>IFERROR(VLOOKUP(A850,'Acompanhamento da Licitação'!$F$2:$N$1000,9,FALSE()),"")</f>
        <v/>
      </c>
      <c r="O850" s="1"/>
      <c r="P850" s="6"/>
    </row>
    <row r="851" spans="12:16" x14ac:dyDescent="0.2">
      <c r="L851" s="6" t="str">
        <f>IFERROR(VLOOKUP(A851,'Acompanhamento da Licitação'!$F$2:$N$1000,6,FALSE()),"")</f>
        <v/>
      </c>
      <c r="M851" s="6" t="str">
        <f>IFERROR(VLOOKUP(A851,'Acompanhamento da Licitação'!$F$2:$N$1000,7,FALSE()),"")</f>
        <v/>
      </c>
      <c r="N851" s="1" t="str">
        <f>IFERROR(VLOOKUP(A851,'Acompanhamento da Licitação'!$F$2:$N$1000,9,FALSE()),"")</f>
        <v/>
      </c>
      <c r="O851" s="1"/>
      <c r="P851" s="6"/>
    </row>
    <row r="852" spans="12:16" x14ac:dyDescent="0.2">
      <c r="L852" s="6" t="str">
        <f>IFERROR(VLOOKUP(A852,'Acompanhamento da Licitação'!$F$2:$N$1000,6,FALSE()),"")</f>
        <v/>
      </c>
      <c r="M852" s="6" t="str">
        <f>IFERROR(VLOOKUP(A852,'Acompanhamento da Licitação'!$F$2:$N$1000,7,FALSE()),"")</f>
        <v/>
      </c>
      <c r="N852" s="1" t="str">
        <f>IFERROR(VLOOKUP(A852,'Acompanhamento da Licitação'!$F$2:$N$1000,9,FALSE()),"")</f>
        <v/>
      </c>
      <c r="O852" s="1"/>
      <c r="P852" s="6"/>
    </row>
    <row r="853" spans="12:16" x14ac:dyDescent="0.2">
      <c r="L853" s="6" t="str">
        <f>IFERROR(VLOOKUP(A853,'Acompanhamento da Licitação'!$F$2:$N$1000,6,FALSE()),"")</f>
        <v/>
      </c>
      <c r="M853" s="6" t="str">
        <f>IFERROR(VLOOKUP(A853,'Acompanhamento da Licitação'!$F$2:$N$1000,7,FALSE()),"")</f>
        <v/>
      </c>
      <c r="N853" s="1" t="str">
        <f>IFERROR(VLOOKUP(A853,'Acompanhamento da Licitação'!$F$2:$N$1000,9,FALSE()),"")</f>
        <v/>
      </c>
      <c r="O853" s="1"/>
      <c r="P853" s="6"/>
    </row>
    <row r="854" spans="12:16" x14ac:dyDescent="0.2">
      <c r="L854" s="6" t="str">
        <f>IFERROR(VLOOKUP(A854,'Acompanhamento da Licitação'!$F$2:$N$1000,6,FALSE()),"")</f>
        <v/>
      </c>
      <c r="M854" s="6" t="str">
        <f>IFERROR(VLOOKUP(A854,'Acompanhamento da Licitação'!$F$2:$N$1000,7,FALSE()),"")</f>
        <v/>
      </c>
      <c r="N854" s="1" t="str">
        <f>IFERROR(VLOOKUP(A854,'Acompanhamento da Licitação'!$F$2:$N$1000,9,FALSE()),"")</f>
        <v/>
      </c>
      <c r="O854" s="1"/>
      <c r="P854" s="6"/>
    </row>
    <row r="855" spans="12:16" x14ac:dyDescent="0.2">
      <c r="L855" s="6" t="str">
        <f>IFERROR(VLOOKUP(A855,'Acompanhamento da Licitação'!$F$2:$N$1000,6,FALSE()),"")</f>
        <v/>
      </c>
      <c r="M855" s="6" t="str">
        <f>IFERROR(VLOOKUP(A855,'Acompanhamento da Licitação'!$F$2:$N$1000,7,FALSE()),"")</f>
        <v/>
      </c>
      <c r="N855" s="1" t="str">
        <f>IFERROR(VLOOKUP(A855,'Acompanhamento da Licitação'!$F$2:$N$1000,9,FALSE()),"")</f>
        <v/>
      </c>
      <c r="O855" s="1"/>
      <c r="P855" s="6"/>
    </row>
    <row r="856" spans="12:16" x14ac:dyDescent="0.2">
      <c r="L856" s="6" t="str">
        <f>IFERROR(VLOOKUP(A856,'Acompanhamento da Licitação'!$F$2:$N$1000,6,FALSE()),"")</f>
        <v/>
      </c>
      <c r="M856" s="6" t="str">
        <f>IFERROR(VLOOKUP(A856,'Acompanhamento da Licitação'!$F$2:$N$1000,7,FALSE()),"")</f>
        <v/>
      </c>
      <c r="N856" s="1" t="str">
        <f>IFERROR(VLOOKUP(A856,'Acompanhamento da Licitação'!$F$2:$N$1000,9,FALSE()),"")</f>
        <v/>
      </c>
      <c r="O856" s="1"/>
      <c r="P856" s="6"/>
    </row>
    <row r="857" spans="12:16" x14ac:dyDescent="0.2">
      <c r="L857" s="6" t="str">
        <f>IFERROR(VLOOKUP(A857,'Acompanhamento da Licitação'!$F$2:$N$1000,6,FALSE()),"")</f>
        <v/>
      </c>
      <c r="M857" s="6" t="str">
        <f>IFERROR(VLOOKUP(A857,'Acompanhamento da Licitação'!$F$2:$N$1000,7,FALSE()),"")</f>
        <v/>
      </c>
      <c r="N857" s="1" t="str">
        <f>IFERROR(VLOOKUP(A857,'Acompanhamento da Licitação'!$F$2:$N$1000,9,FALSE()),"")</f>
        <v/>
      </c>
      <c r="O857" s="1"/>
      <c r="P857" s="6"/>
    </row>
    <row r="858" spans="12:16" x14ac:dyDescent="0.2">
      <c r="L858" s="6" t="str">
        <f>IFERROR(VLOOKUP(A858,'Acompanhamento da Licitação'!$F$2:$N$1000,6,FALSE()),"")</f>
        <v/>
      </c>
      <c r="M858" s="6" t="str">
        <f>IFERROR(VLOOKUP(A858,'Acompanhamento da Licitação'!$F$2:$N$1000,7,FALSE()),"")</f>
        <v/>
      </c>
      <c r="N858" s="1" t="str">
        <f>IFERROR(VLOOKUP(A858,'Acompanhamento da Licitação'!$F$2:$N$1000,9,FALSE()),"")</f>
        <v/>
      </c>
      <c r="O858" s="1"/>
      <c r="P858" s="6"/>
    </row>
    <row r="859" spans="12:16" x14ac:dyDescent="0.2">
      <c r="L859" s="6" t="str">
        <f>IFERROR(VLOOKUP(A859,'Acompanhamento da Licitação'!$F$2:$N$1000,6,FALSE()),"")</f>
        <v/>
      </c>
      <c r="M859" s="6" t="str">
        <f>IFERROR(VLOOKUP(A859,'Acompanhamento da Licitação'!$F$2:$N$1000,7,FALSE()),"")</f>
        <v/>
      </c>
      <c r="N859" s="1" t="str">
        <f>IFERROR(VLOOKUP(A859,'Acompanhamento da Licitação'!$F$2:$N$1000,9,FALSE()),"")</f>
        <v/>
      </c>
      <c r="O859" s="1"/>
      <c r="P859" s="6"/>
    </row>
    <row r="860" spans="12:16" x14ac:dyDescent="0.2">
      <c r="L860" s="6" t="str">
        <f>IFERROR(VLOOKUP(A860,'Acompanhamento da Licitação'!$F$2:$N$1000,6,FALSE()),"")</f>
        <v/>
      </c>
      <c r="M860" s="6" t="str">
        <f>IFERROR(VLOOKUP(A860,'Acompanhamento da Licitação'!$F$2:$N$1000,7,FALSE()),"")</f>
        <v/>
      </c>
      <c r="N860" s="1" t="str">
        <f>IFERROR(VLOOKUP(A860,'Acompanhamento da Licitação'!$F$2:$N$1000,9,FALSE()),"")</f>
        <v/>
      </c>
      <c r="O860" s="1"/>
      <c r="P860" s="6"/>
    </row>
    <row r="861" spans="12:16" x14ac:dyDescent="0.2">
      <c r="L861" s="6" t="str">
        <f>IFERROR(VLOOKUP(A861,'Acompanhamento da Licitação'!$F$2:$N$1000,6,FALSE()),"")</f>
        <v/>
      </c>
      <c r="M861" s="6" t="str">
        <f>IFERROR(VLOOKUP(A861,'Acompanhamento da Licitação'!$F$2:$N$1000,7,FALSE()),"")</f>
        <v/>
      </c>
      <c r="N861" s="1" t="str">
        <f>IFERROR(VLOOKUP(A861,'Acompanhamento da Licitação'!$F$2:$N$1000,9,FALSE()),"")</f>
        <v/>
      </c>
      <c r="O861" s="1"/>
      <c r="P861" s="6"/>
    </row>
    <row r="862" spans="12:16" x14ac:dyDescent="0.2">
      <c r="L862" s="6" t="str">
        <f>IFERROR(VLOOKUP(A862,'Acompanhamento da Licitação'!$F$2:$N$1000,6,FALSE()),"")</f>
        <v/>
      </c>
      <c r="M862" s="6" t="str">
        <f>IFERROR(VLOOKUP(A862,'Acompanhamento da Licitação'!$F$2:$N$1000,7,FALSE()),"")</f>
        <v/>
      </c>
      <c r="N862" s="1" t="str">
        <f>IFERROR(VLOOKUP(A862,'Acompanhamento da Licitação'!$F$2:$N$1000,9,FALSE()),"")</f>
        <v/>
      </c>
      <c r="O862" s="1"/>
      <c r="P862" s="6"/>
    </row>
    <row r="863" spans="12:16" x14ac:dyDescent="0.2">
      <c r="L863" s="6" t="str">
        <f>IFERROR(VLOOKUP(A863,'Acompanhamento da Licitação'!$F$2:$N$1000,6,FALSE()),"")</f>
        <v/>
      </c>
      <c r="M863" s="6" t="str">
        <f>IFERROR(VLOOKUP(A863,'Acompanhamento da Licitação'!$F$2:$N$1000,7,FALSE()),"")</f>
        <v/>
      </c>
      <c r="N863" s="1" t="str">
        <f>IFERROR(VLOOKUP(A863,'Acompanhamento da Licitação'!$F$2:$N$1000,9,FALSE()),"")</f>
        <v/>
      </c>
      <c r="O863" s="1"/>
      <c r="P863" s="6"/>
    </row>
    <row r="864" spans="12:16" x14ac:dyDescent="0.2">
      <c r="L864" s="6" t="str">
        <f>IFERROR(VLOOKUP(A864,'Acompanhamento da Licitação'!$F$2:$N$1000,6,FALSE()),"")</f>
        <v/>
      </c>
      <c r="M864" s="6" t="str">
        <f>IFERROR(VLOOKUP(A864,'Acompanhamento da Licitação'!$F$2:$N$1000,7,FALSE()),"")</f>
        <v/>
      </c>
      <c r="N864" s="1" t="str">
        <f>IFERROR(VLOOKUP(A864,'Acompanhamento da Licitação'!$F$2:$N$1000,9,FALSE()),"")</f>
        <v/>
      </c>
      <c r="O864" s="1"/>
      <c r="P864" s="6"/>
    </row>
    <row r="865" spans="12:16" x14ac:dyDescent="0.2">
      <c r="L865" s="6" t="str">
        <f>IFERROR(VLOOKUP(A865,'Acompanhamento da Licitação'!$F$2:$N$1000,6,FALSE()),"")</f>
        <v/>
      </c>
      <c r="M865" s="6" t="str">
        <f>IFERROR(VLOOKUP(A865,'Acompanhamento da Licitação'!$F$2:$N$1000,7,FALSE()),"")</f>
        <v/>
      </c>
      <c r="N865" s="1" t="str">
        <f>IFERROR(VLOOKUP(A865,'Acompanhamento da Licitação'!$F$2:$N$1000,9,FALSE()),"")</f>
        <v/>
      </c>
      <c r="O865" s="1"/>
      <c r="P865" s="6"/>
    </row>
    <row r="866" spans="12:16" x14ac:dyDescent="0.2">
      <c r="L866" s="6" t="str">
        <f>IFERROR(VLOOKUP(A866,'Acompanhamento da Licitação'!$F$2:$N$1000,6,FALSE()),"")</f>
        <v/>
      </c>
      <c r="M866" s="6" t="str">
        <f>IFERROR(VLOOKUP(A866,'Acompanhamento da Licitação'!$F$2:$N$1000,7,FALSE()),"")</f>
        <v/>
      </c>
      <c r="N866" s="1" t="str">
        <f>IFERROR(VLOOKUP(A866,'Acompanhamento da Licitação'!$F$2:$N$1000,9,FALSE()),"")</f>
        <v/>
      </c>
      <c r="O866" s="1"/>
      <c r="P866" s="6"/>
    </row>
    <row r="867" spans="12:16" x14ac:dyDescent="0.2">
      <c r="L867" s="6" t="str">
        <f>IFERROR(VLOOKUP(A867,'Acompanhamento da Licitação'!$F$2:$N$1000,6,FALSE()),"")</f>
        <v/>
      </c>
      <c r="M867" s="6" t="str">
        <f>IFERROR(VLOOKUP(A867,'Acompanhamento da Licitação'!$F$2:$N$1000,7,FALSE()),"")</f>
        <v/>
      </c>
      <c r="N867" s="1" t="str">
        <f>IFERROR(VLOOKUP(A867,'Acompanhamento da Licitação'!$F$2:$N$1000,9,FALSE()),"")</f>
        <v/>
      </c>
      <c r="O867" s="1"/>
      <c r="P867" s="6"/>
    </row>
    <row r="868" spans="12:16" x14ac:dyDescent="0.2">
      <c r="L868" s="6" t="str">
        <f>IFERROR(VLOOKUP(A868,'Acompanhamento da Licitação'!$F$2:$N$1000,6,FALSE()),"")</f>
        <v/>
      </c>
      <c r="M868" s="6" t="str">
        <f>IFERROR(VLOOKUP(A868,'Acompanhamento da Licitação'!$F$2:$N$1000,7,FALSE()),"")</f>
        <v/>
      </c>
      <c r="N868" s="1" t="str">
        <f>IFERROR(VLOOKUP(A868,'Acompanhamento da Licitação'!$F$2:$N$1000,9,FALSE()),"")</f>
        <v/>
      </c>
      <c r="O868" s="1"/>
      <c r="P868" s="6"/>
    </row>
    <row r="869" spans="12:16" x14ac:dyDescent="0.2">
      <c r="L869" s="6" t="str">
        <f>IFERROR(VLOOKUP(A869,'Acompanhamento da Licitação'!$F$2:$N$1000,6,FALSE()),"")</f>
        <v/>
      </c>
      <c r="M869" s="6" t="str">
        <f>IFERROR(VLOOKUP(A869,'Acompanhamento da Licitação'!$F$2:$N$1000,7,FALSE()),"")</f>
        <v/>
      </c>
      <c r="N869" s="1" t="str">
        <f>IFERROR(VLOOKUP(A869,'Acompanhamento da Licitação'!$F$2:$N$1000,9,FALSE()),"")</f>
        <v/>
      </c>
      <c r="O869" s="1"/>
      <c r="P869" s="6"/>
    </row>
    <row r="870" spans="12:16" x14ac:dyDescent="0.2">
      <c r="L870" s="6" t="str">
        <f>IFERROR(VLOOKUP(A870,'Acompanhamento da Licitação'!$F$2:$N$1000,6,FALSE()),"")</f>
        <v/>
      </c>
      <c r="M870" s="6" t="str">
        <f>IFERROR(VLOOKUP(A870,'Acompanhamento da Licitação'!$F$2:$N$1000,7,FALSE()),"")</f>
        <v/>
      </c>
      <c r="N870" s="1" t="str">
        <f>IFERROR(VLOOKUP(A870,'Acompanhamento da Licitação'!$F$2:$N$1000,9,FALSE()),"")</f>
        <v/>
      </c>
      <c r="O870" s="1"/>
      <c r="P870" s="6"/>
    </row>
    <row r="871" spans="12:16" x14ac:dyDescent="0.2">
      <c r="L871" s="6" t="str">
        <f>IFERROR(VLOOKUP(A871,'Acompanhamento da Licitação'!$F$2:$N$1000,6,FALSE()),"")</f>
        <v/>
      </c>
      <c r="M871" s="6" t="str">
        <f>IFERROR(VLOOKUP(A871,'Acompanhamento da Licitação'!$F$2:$N$1000,7,FALSE()),"")</f>
        <v/>
      </c>
      <c r="N871" s="1" t="str">
        <f>IFERROR(VLOOKUP(A871,'Acompanhamento da Licitação'!$F$2:$N$1000,9,FALSE()),"")</f>
        <v/>
      </c>
      <c r="O871" s="1"/>
      <c r="P871" s="6"/>
    </row>
    <row r="872" spans="12:16" x14ac:dyDescent="0.2">
      <c r="L872" s="6" t="str">
        <f>IFERROR(VLOOKUP(A872,'Acompanhamento da Licitação'!$F$2:$N$1000,6,FALSE()),"")</f>
        <v/>
      </c>
      <c r="M872" s="6" t="str">
        <f>IFERROR(VLOOKUP(A872,'Acompanhamento da Licitação'!$F$2:$N$1000,7,FALSE()),"")</f>
        <v/>
      </c>
      <c r="N872" s="1" t="str">
        <f>IFERROR(VLOOKUP(A872,'Acompanhamento da Licitação'!$F$2:$N$1000,9,FALSE()),"")</f>
        <v/>
      </c>
      <c r="O872" s="1"/>
      <c r="P872" s="6"/>
    </row>
    <row r="873" spans="12:16" x14ac:dyDescent="0.2">
      <c r="L873" s="6" t="str">
        <f>IFERROR(VLOOKUP(A873,'Acompanhamento da Licitação'!$F$2:$N$1000,6,FALSE()),"")</f>
        <v/>
      </c>
      <c r="M873" s="6" t="str">
        <f>IFERROR(VLOOKUP(A873,'Acompanhamento da Licitação'!$F$2:$N$1000,7,FALSE()),"")</f>
        <v/>
      </c>
      <c r="N873" s="1" t="str">
        <f>IFERROR(VLOOKUP(A873,'Acompanhamento da Licitação'!$F$2:$N$1000,9,FALSE()),"")</f>
        <v/>
      </c>
      <c r="O873" s="1"/>
      <c r="P873" s="6"/>
    </row>
    <row r="874" spans="12:16" x14ac:dyDescent="0.2">
      <c r="L874" s="6" t="str">
        <f>IFERROR(VLOOKUP(A874,'Acompanhamento da Licitação'!$F$2:$N$1000,6,FALSE()),"")</f>
        <v/>
      </c>
      <c r="M874" s="6" t="str">
        <f>IFERROR(VLOOKUP(A874,'Acompanhamento da Licitação'!$F$2:$N$1000,7,FALSE()),"")</f>
        <v/>
      </c>
      <c r="N874" s="1" t="str">
        <f>IFERROR(VLOOKUP(A874,'Acompanhamento da Licitação'!$F$2:$N$1000,9,FALSE()),"")</f>
        <v/>
      </c>
      <c r="O874" s="1"/>
      <c r="P874" s="6"/>
    </row>
    <row r="875" spans="12:16" x14ac:dyDescent="0.2">
      <c r="L875" s="6" t="str">
        <f>IFERROR(VLOOKUP(A875,'Acompanhamento da Licitação'!$F$2:$N$1000,6,FALSE()),"")</f>
        <v/>
      </c>
      <c r="M875" s="6" t="str">
        <f>IFERROR(VLOOKUP(A875,'Acompanhamento da Licitação'!$F$2:$N$1000,7,FALSE()),"")</f>
        <v/>
      </c>
      <c r="N875" s="1" t="str">
        <f>IFERROR(VLOOKUP(A875,'Acompanhamento da Licitação'!$F$2:$N$1000,9,FALSE()),"")</f>
        <v/>
      </c>
      <c r="O875" s="1"/>
      <c r="P875" s="6"/>
    </row>
    <row r="876" spans="12:16" x14ac:dyDescent="0.2">
      <c r="L876" s="6" t="str">
        <f>IFERROR(VLOOKUP(A876,'Acompanhamento da Licitação'!$F$2:$N$1000,6,FALSE()),"")</f>
        <v/>
      </c>
      <c r="M876" s="6" t="str">
        <f>IFERROR(VLOOKUP(A876,'Acompanhamento da Licitação'!$F$2:$N$1000,7,FALSE()),"")</f>
        <v/>
      </c>
      <c r="N876" s="1" t="str">
        <f>IFERROR(VLOOKUP(A876,'Acompanhamento da Licitação'!$F$2:$N$1000,9,FALSE()),"")</f>
        <v/>
      </c>
      <c r="O876" s="1"/>
      <c r="P876" s="6"/>
    </row>
    <row r="877" spans="12:16" x14ac:dyDescent="0.2">
      <c r="L877" s="6" t="str">
        <f>IFERROR(VLOOKUP(A877,'Acompanhamento da Licitação'!$F$2:$N$1000,6,FALSE()),"")</f>
        <v/>
      </c>
      <c r="M877" s="6" t="str">
        <f>IFERROR(VLOOKUP(A877,'Acompanhamento da Licitação'!$F$2:$N$1000,7,FALSE()),"")</f>
        <v/>
      </c>
      <c r="N877" s="1" t="str">
        <f>IFERROR(VLOOKUP(A877,'Acompanhamento da Licitação'!$F$2:$N$1000,9,FALSE()),"")</f>
        <v/>
      </c>
      <c r="O877" s="1"/>
      <c r="P877" s="6"/>
    </row>
    <row r="878" spans="12:16" x14ac:dyDescent="0.2">
      <c r="L878" s="6" t="str">
        <f>IFERROR(VLOOKUP(A878,'Acompanhamento da Licitação'!$F$2:$N$1000,6,FALSE()),"")</f>
        <v/>
      </c>
      <c r="M878" s="6" t="str">
        <f>IFERROR(VLOOKUP(A878,'Acompanhamento da Licitação'!$F$2:$N$1000,7,FALSE()),"")</f>
        <v/>
      </c>
      <c r="N878" s="1" t="str">
        <f>IFERROR(VLOOKUP(A878,'Acompanhamento da Licitação'!$F$2:$N$1000,9,FALSE()),"")</f>
        <v/>
      </c>
      <c r="O878" s="1"/>
      <c r="P878" s="6"/>
    </row>
    <row r="879" spans="12:16" x14ac:dyDescent="0.2">
      <c r="L879" s="6" t="str">
        <f>IFERROR(VLOOKUP(A879,'Acompanhamento da Licitação'!$F$2:$N$1000,6,FALSE()),"")</f>
        <v/>
      </c>
      <c r="M879" s="6" t="str">
        <f>IFERROR(VLOOKUP(A879,'Acompanhamento da Licitação'!$F$2:$N$1000,7,FALSE()),"")</f>
        <v/>
      </c>
      <c r="N879" s="1" t="str">
        <f>IFERROR(VLOOKUP(A879,'Acompanhamento da Licitação'!$F$2:$N$1000,9,FALSE()),"")</f>
        <v/>
      </c>
      <c r="O879" s="1"/>
      <c r="P879" s="6"/>
    </row>
    <row r="880" spans="12:16" x14ac:dyDescent="0.2">
      <c r="L880" s="6" t="str">
        <f>IFERROR(VLOOKUP(A880,'Acompanhamento da Licitação'!$F$2:$N$1000,6,FALSE()),"")</f>
        <v/>
      </c>
      <c r="M880" s="6" t="str">
        <f>IFERROR(VLOOKUP(A880,'Acompanhamento da Licitação'!$F$2:$N$1000,7,FALSE()),"")</f>
        <v/>
      </c>
      <c r="N880" s="1" t="str">
        <f>IFERROR(VLOOKUP(A880,'Acompanhamento da Licitação'!$F$2:$N$1000,9,FALSE()),"")</f>
        <v/>
      </c>
      <c r="O880" s="1"/>
      <c r="P880" s="6"/>
    </row>
    <row r="881" spans="12:16" x14ac:dyDescent="0.2">
      <c r="L881" s="6" t="str">
        <f>IFERROR(VLOOKUP(A881,'Acompanhamento da Licitação'!$F$2:$N$1000,6,FALSE()),"")</f>
        <v/>
      </c>
      <c r="M881" s="6" t="str">
        <f>IFERROR(VLOOKUP(A881,'Acompanhamento da Licitação'!$F$2:$N$1000,7,FALSE()),"")</f>
        <v/>
      </c>
      <c r="N881" s="1" t="str">
        <f>IFERROR(VLOOKUP(A881,'Acompanhamento da Licitação'!$F$2:$N$1000,9,FALSE()),"")</f>
        <v/>
      </c>
      <c r="O881" s="1"/>
      <c r="P881" s="6"/>
    </row>
    <row r="882" spans="12:16" x14ac:dyDescent="0.2">
      <c r="L882" s="6" t="str">
        <f>IFERROR(VLOOKUP(A882,'Acompanhamento da Licitação'!$F$2:$N$1000,6,FALSE()),"")</f>
        <v/>
      </c>
      <c r="M882" s="6" t="str">
        <f>IFERROR(VLOOKUP(A882,'Acompanhamento da Licitação'!$F$2:$N$1000,7,FALSE()),"")</f>
        <v/>
      </c>
      <c r="N882" s="1" t="str">
        <f>IFERROR(VLOOKUP(A882,'Acompanhamento da Licitação'!$F$2:$N$1000,9,FALSE()),"")</f>
        <v/>
      </c>
      <c r="O882" s="1"/>
      <c r="P882" s="6"/>
    </row>
    <row r="883" spans="12:16" x14ac:dyDescent="0.2">
      <c r="L883" s="6" t="str">
        <f>IFERROR(VLOOKUP(A883,'Acompanhamento da Licitação'!$F$2:$N$1000,6,FALSE()),"")</f>
        <v/>
      </c>
      <c r="M883" s="6" t="str">
        <f>IFERROR(VLOOKUP(A883,'Acompanhamento da Licitação'!$F$2:$N$1000,7,FALSE()),"")</f>
        <v/>
      </c>
      <c r="N883" s="1" t="str">
        <f>IFERROR(VLOOKUP(A883,'Acompanhamento da Licitação'!$F$2:$N$1000,9,FALSE()),"")</f>
        <v/>
      </c>
      <c r="O883" s="1"/>
      <c r="P883" s="6"/>
    </row>
    <row r="884" spans="12:16" x14ac:dyDescent="0.2">
      <c r="L884" s="6" t="str">
        <f>IFERROR(VLOOKUP(A884,'Acompanhamento da Licitação'!$F$2:$N$1000,6,FALSE()),"")</f>
        <v/>
      </c>
      <c r="M884" s="6" t="str">
        <f>IFERROR(VLOOKUP(A884,'Acompanhamento da Licitação'!$F$2:$N$1000,7,FALSE()),"")</f>
        <v/>
      </c>
      <c r="N884" s="1" t="str">
        <f>IFERROR(VLOOKUP(A884,'Acompanhamento da Licitação'!$F$2:$N$1000,9,FALSE()),"")</f>
        <v/>
      </c>
      <c r="O884" s="1"/>
      <c r="P884" s="6"/>
    </row>
    <row r="885" spans="12:16" x14ac:dyDescent="0.2">
      <c r="L885" s="6" t="str">
        <f>IFERROR(VLOOKUP(A885,'Acompanhamento da Licitação'!$F$2:$N$1000,6,FALSE()),"")</f>
        <v/>
      </c>
      <c r="M885" s="6" t="str">
        <f>IFERROR(VLOOKUP(A885,'Acompanhamento da Licitação'!$F$2:$N$1000,7,FALSE()),"")</f>
        <v/>
      </c>
      <c r="N885" s="1" t="str">
        <f>IFERROR(VLOOKUP(A885,'Acompanhamento da Licitação'!$F$2:$N$1000,9,FALSE()),"")</f>
        <v/>
      </c>
      <c r="O885" s="1"/>
      <c r="P885" s="6"/>
    </row>
    <row r="886" spans="12:16" x14ac:dyDescent="0.2">
      <c r="L886" s="6" t="str">
        <f>IFERROR(VLOOKUP(A886,'Acompanhamento da Licitação'!$F$2:$N$1000,6,FALSE()),"")</f>
        <v/>
      </c>
      <c r="M886" s="6" t="str">
        <f>IFERROR(VLOOKUP(A886,'Acompanhamento da Licitação'!$F$2:$N$1000,7,FALSE()),"")</f>
        <v/>
      </c>
      <c r="N886" s="1" t="str">
        <f>IFERROR(VLOOKUP(A886,'Acompanhamento da Licitação'!$F$2:$N$1000,9,FALSE()),"")</f>
        <v/>
      </c>
      <c r="O886" s="1"/>
      <c r="P886" s="6"/>
    </row>
    <row r="887" spans="12:16" x14ac:dyDescent="0.2">
      <c r="L887" s="6" t="str">
        <f>IFERROR(VLOOKUP(A887,'Acompanhamento da Licitação'!$F$2:$N$1000,6,FALSE()),"")</f>
        <v/>
      </c>
      <c r="M887" s="6" t="str">
        <f>IFERROR(VLOOKUP(A887,'Acompanhamento da Licitação'!$F$2:$N$1000,7,FALSE()),"")</f>
        <v/>
      </c>
      <c r="N887" s="1" t="str">
        <f>IFERROR(VLOOKUP(A887,'Acompanhamento da Licitação'!$F$2:$N$1000,9,FALSE()),"")</f>
        <v/>
      </c>
      <c r="O887" s="1"/>
      <c r="P887" s="6"/>
    </row>
    <row r="888" spans="12:16" x14ac:dyDescent="0.2">
      <c r="L888" s="6" t="str">
        <f>IFERROR(VLOOKUP(A888,'Acompanhamento da Licitação'!$F$2:$N$1000,6,FALSE()),"")</f>
        <v/>
      </c>
      <c r="M888" s="6" t="str">
        <f>IFERROR(VLOOKUP(A888,'Acompanhamento da Licitação'!$F$2:$N$1000,7,FALSE()),"")</f>
        <v/>
      </c>
      <c r="N888" s="1" t="str">
        <f>IFERROR(VLOOKUP(A888,'Acompanhamento da Licitação'!$F$2:$N$1000,9,FALSE()),"")</f>
        <v/>
      </c>
      <c r="O888" s="1"/>
      <c r="P888" s="6"/>
    </row>
    <row r="889" spans="12:16" x14ac:dyDescent="0.2">
      <c r="L889" s="6" t="str">
        <f>IFERROR(VLOOKUP(A889,'Acompanhamento da Licitação'!$F$2:$N$1000,6,FALSE()),"")</f>
        <v/>
      </c>
      <c r="M889" s="6" t="str">
        <f>IFERROR(VLOOKUP(A889,'Acompanhamento da Licitação'!$F$2:$N$1000,7,FALSE()),"")</f>
        <v/>
      </c>
      <c r="N889" s="1" t="str">
        <f>IFERROR(VLOOKUP(A889,'Acompanhamento da Licitação'!$F$2:$N$1000,9,FALSE()),"")</f>
        <v/>
      </c>
      <c r="O889" s="1"/>
      <c r="P889" s="6"/>
    </row>
    <row r="890" spans="12:16" x14ac:dyDescent="0.2">
      <c r="L890" s="6" t="str">
        <f>IFERROR(VLOOKUP(A890,'Acompanhamento da Licitação'!$F$2:$N$1000,6,FALSE()),"")</f>
        <v/>
      </c>
      <c r="M890" s="6" t="str">
        <f>IFERROR(VLOOKUP(A890,'Acompanhamento da Licitação'!$F$2:$N$1000,7,FALSE()),"")</f>
        <v/>
      </c>
      <c r="N890" s="1" t="str">
        <f>IFERROR(VLOOKUP(A890,'Acompanhamento da Licitação'!$F$2:$N$1000,9,FALSE()),"")</f>
        <v/>
      </c>
      <c r="O890" s="1"/>
      <c r="P890" s="6"/>
    </row>
    <row r="891" spans="12:16" x14ac:dyDescent="0.2">
      <c r="L891" s="6" t="str">
        <f>IFERROR(VLOOKUP(A891,'Acompanhamento da Licitação'!$F$2:$N$1000,6,FALSE()),"")</f>
        <v/>
      </c>
      <c r="M891" s="6" t="str">
        <f>IFERROR(VLOOKUP(A891,'Acompanhamento da Licitação'!$F$2:$N$1000,7,FALSE()),"")</f>
        <v/>
      </c>
      <c r="N891" s="1" t="str">
        <f>IFERROR(VLOOKUP(A891,'Acompanhamento da Licitação'!$F$2:$N$1000,9,FALSE()),"")</f>
        <v/>
      </c>
      <c r="O891" s="1"/>
      <c r="P891" s="6"/>
    </row>
    <row r="892" spans="12:16" x14ac:dyDescent="0.2">
      <c r="L892" s="6" t="str">
        <f>IFERROR(VLOOKUP(A892,'Acompanhamento da Licitação'!$F$2:$N$1000,6,FALSE()),"")</f>
        <v/>
      </c>
      <c r="M892" s="6" t="str">
        <f>IFERROR(VLOOKUP(A892,'Acompanhamento da Licitação'!$F$2:$N$1000,7,FALSE()),"")</f>
        <v/>
      </c>
      <c r="N892" s="1" t="str">
        <f>IFERROR(VLOOKUP(A892,'Acompanhamento da Licitação'!$F$2:$N$1000,9,FALSE()),"")</f>
        <v/>
      </c>
      <c r="O892" s="1"/>
      <c r="P892" s="6"/>
    </row>
    <row r="893" spans="12:16" x14ac:dyDescent="0.2">
      <c r="L893" s="6" t="str">
        <f>IFERROR(VLOOKUP(A893,'Acompanhamento da Licitação'!$F$2:$N$1000,6,FALSE()),"")</f>
        <v/>
      </c>
      <c r="M893" s="6" t="str">
        <f>IFERROR(VLOOKUP(A893,'Acompanhamento da Licitação'!$F$2:$N$1000,7,FALSE()),"")</f>
        <v/>
      </c>
      <c r="N893" s="1" t="str">
        <f>IFERROR(VLOOKUP(A893,'Acompanhamento da Licitação'!$F$2:$N$1000,9,FALSE()),"")</f>
        <v/>
      </c>
      <c r="O893" s="1"/>
      <c r="P893" s="6"/>
    </row>
    <row r="894" spans="12:16" x14ac:dyDescent="0.2">
      <c r="L894" s="6" t="str">
        <f>IFERROR(VLOOKUP(A894,'Acompanhamento da Licitação'!$F$2:$N$1000,6,FALSE()),"")</f>
        <v/>
      </c>
      <c r="M894" s="6" t="str">
        <f>IFERROR(VLOOKUP(A894,'Acompanhamento da Licitação'!$F$2:$N$1000,7,FALSE()),"")</f>
        <v/>
      </c>
      <c r="N894" s="1" t="str">
        <f>IFERROR(VLOOKUP(A894,'Acompanhamento da Licitação'!$F$2:$N$1000,9,FALSE()),"")</f>
        <v/>
      </c>
      <c r="O894" s="1"/>
      <c r="P894" s="6"/>
    </row>
    <row r="895" spans="12:16" x14ac:dyDescent="0.2">
      <c r="L895" s="6" t="str">
        <f>IFERROR(VLOOKUP(A895,'Acompanhamento da Licitação'!$F$2:$N$1000,6,FALSE()),"")</f>
        <v/>
      </c>
      <c r="M895" s="6" t="str">
        <f>IFERROR(VLOOKUP(A895,'Acompanhamento da Licitação'!$F$2:$N$1000,7,FALSE()),"")</f>
        <v/>
      </c>
      <c r="N895" s="1" t="str">
        <f>IFERROR(VLOOKUP(A895,'Acompanhamento da Licitação'!$F$2:$N$1000,9,FALSE()),"")</f>
        <v/>
      </c>
      <c r="O895" s="1"/>
      <c r="P895" s="6"/>
    </row>
    <row r="896" spans="12:16" x14ac:dyDescent="0.2">
      <c r="L896" s="6" t="str">
        <f>IFERROR(VLOOKUP(A896,'Acompanhamento da Licitação'!$F$2:$N$1000,6,FALSE()),"")</f>
        <v/>
      </c>
      <c r="M896" s="6" t="str">
        <f>IFERROR(VLOOKUP(A896,'Acompanhamento da Licitação'!$F$2:$N$1000,7,FALSE()),"")</f>
        <v/>
      </c>
      <c r="N896" s="1" t="str">
        <f>IFERROR(VLOOKUP(A896,'Acompanhamento da Licitação'!$F$2:$N$1000,9,FALSE()),"")</f>
        <v/>
      </c>
      <c r="O896" s="1"/>
      <c r="P896" s="6"/>
    </row>
    <row r="897" spans="12:16" x14ac:dyDescent="0.2">
      <c r="L897" s="6" t="str">
        <f>IFERROR(VLOOKUP(A897,'Acompanhamento da Licitação'!$F$2:$N$1000,6,FALSE()),"")</f>
        <v/>
      </c>
      <c r="M897" s="6" t="str">
        <f>IFERROR(VLOOKUP(A897,'Acompanhamento da Licitação'!$F$2:$N$1000,7,FALSE()),"")</f>
        <v/>
      </c>
      <c r="N897" s="1" t="str">
        <f>IFERROR(VLOOKUP(A897,'Acompanhamento da Licitação'!$F$2:$N$1000,9,FALSE()),"")</f>
        <v/>
      </c>
      <c r="O897" s="1"/>
      <c r="P897" s="6"/>
    </row>
    <row r="898" spans="12:16" x14ac:dyDescent="0.2">
      <c r="L898" s="6" t="str">
        <f>IFERROR(VLOOKUP(A898,'Acompanhamento da Licitação'!$F$2:$N$1000,6,FALSE()),"")</f>
        <v/>
      </c>
      <c r="M898" s="6" t="str">
        <f>IFERROR(VLOOKUP(A898,'Acompanhamento da Licitação'!$F$2:$N$1000,7,FALSE()),"")</f>
        <v/>
      </c>
      <c r="N898" s="1" t="str">
        <f>IFERROR(VLOOKUP(A898,'Acompanhamento da Licitação'!$F$2:$N$1000,9,FALSE()),"")</f>
        <v/>
      </c>
      <c r="O898" s="1"/>
      <c r="P898" s="6"/>
    </row>
    <row r="899" spans="12:16" x14ac:dyDescent="0.2">
      <c r="L899" s="6" t="str">
        <f>IFERROR(VLOOKUP(A899,'Acompanhamento da Licitação'!$F$2:$N$1000,6,FALSE()),"")</f>
        <v/>
      </c>
      <c r="M899" s="6" t="str">
        <f>IFERROR(VLOOKUP(A899,'Acompanhamento da Licitação'!$F$2:$N$1000,7,FALSE()),"")</f>
        <v/>
      </c>
      <c r="N899" s="1" t="str">
        <f>IFERROR(VLOOKUP(A899,'Acompanhamento da Licitação'!$F$2:$N$1000,9,FALSE()),"")</f>
        <v/>
      </c>
      <c r="O899" s="1"/>
      <c r="P899" s="6"/>
    </row>
    <row r="900" spans="12:16" x14ac:dyDescent="0.2">
      <c r="L900" s="6" t="str">
        <f>IFERROR(VLOOKUP(A900,'Acompanhamento da Licitação'!$F$2:$N$1000,6,FALSE()),"")</f>
        <v/>
      </c>
      <c r="M900" s="6" t="str">
        <f>IFERROR(VLOOKUP(A900,'Acompanhamento da Licitação'!$F$2:$N$1000,7,FALSE()),"")</f>
        <v/>
      </c>
      <c r="N900" s="1" t="str">
        <f>IFERROR(VLOOKUP(A900,'Acompanhamento da Licitação'!$F$2:$N$1000,9,FALSE()),"")</f>
        <v/>
      </c>
      <c r="O900" s="1"/>
      <c r="P900" s="6"/>
    </row>
    <row r="901" spans="12:16" x14ac:dyDescent="0.2">
      <c r="L901" s="6" t="str">
        <f>IFERROR(VLOOKUP(A901,'Acompanhamento da Licitação'!$F$2:$N$1000,6,FALSE()),"")</f>
        <v/>
      </c>
      <c r="M901" s="6" t="str">
        <f>IFERROR(VLOOKUP(A901,'Acompanhamento da Licitação'!$F$2:$N$1000,7,FALSE()),"")</f>
        <v/>
      </c>
      <c r="N901" s="1" t="str">
        <f>IFERROR(VLOOKUP(A901,'Acompanhamento da Licitação'!$F$2:$N$1000,9,FALSE()),"")</f>
        <v/>
      </c>
      <c r="O901" s="1"/>
      <c r="P901" s="6"/>
    </row>
    <row r="902" spans="12:16" x14ac:dyDescent="0.2">
      <c r="L902" s="6" t="str">
        <f>IFERROR(VLOOKUP(A902,'Acompanhamento da Licitação'!$F$2:$N$1000,6,FALSE()),"")</f>
        <v/>
      </c>
      <c r="M902" s="6" t="str">
        <f>IFERROR(VLOOKUP(A902,'Acompanhamento da Licitação'!$F$2:$N$1000,7,FALSE()),"")</f>
        <v/>
      </c>
      <c r="N902" s="1" t="str">
        <f>IFERROR(VLOOKUP(A902,'Acompanhamento da Licitação'!$F$2:$N$1000,9,FALSE()),"")</f>
        <v/>
      </c>
      <c r="O902" s="1"/>
      <c r="P902" s="6"/>
    </row>
    <row r="903" spans="12:16" x14ac:dyDescent="0.2">
      <c r="L903" s="6" t="str">
        <f>IFERROR(VLOOKUP(A903,'Acompanhamento da Licitação'!$F$2:$N$1000,6,FALSE()),"")</f>
        <v/>
      </c>
      <c r="M903" s="6" t="str">
        <f>IFERROR(VLOOKUP(A903,'Acompanhamento da Licitação'!$F$2:$N$1000,7,FALSE()),"")</f>
        <v/>
      </c>
      <c r="N903" s="1" t="str">
        <f>IFERROR(VLOOKUP(A903,'Acompanhamento da Licitação'!$F$2:$N$1000,9,FALSE()),"")</f>
        <v/>
      </c>
      <c r="O903" s="1"/>
      <c r="P903" s="6"/>
    </row>
    <row r="904" spans="12:16" x14ac:dyDescent="0.2">
      <c r="L904" s="6" t="str">
        <f>IFERROR(VLOOKUP(A904,'Acompanhamento da Licitação'!$F$2:$N$1000,6,FALSE()),"")</f>
        <v/>
      </c>
      <c r="M904" s="6" t="str">
        <f>IFERROR(VLOOKUP(A904,'Acompanhamento da Licitação'!$F$2:$N$1000,7,FALSE()),"")</f>
        <v/>
      </c>
      <c r="N904" s="1" t="str">
        <f>IFERROR(VLOOKUP(A904,'Acompanhamento da Licitação'!$F$2:$N$1000,9,FALSE()),"")</f>
        <v/>
      </c>
      <c r="O904" s="1"/>
      <c r="P904" s="6"/>
    </row>
    <row r="905" spans="12:16" x14ac:dyDescent="0.2">
      <c r="L905" s="6" t="str">
        <f>IFERROR(VLOOKUP(A905,'Acompanhamento da Licitação'!$F$2:$N$1000,6,FALSE()),"")</f>
        <v/>
      </c>
      <c r="M905" s="6" t="str">
        <f>IFERROR(VLOOKUP(A905,'Acompanhamento da Licitação'!$F$2:$N$1000,7,FALSE()),"")</f>
        <v/>
      </c>
      <c r="N905" s="1" t="str">
        <f>IFERROR(VLOOKUP(A905,'Acompanhamento da Licitação'!$F$2:$N$1000,9,FALSE()),"")</f>
        <v/>
      </c>
      <c r="O905" s="1"/>
      <c r="P905" s="6"/>
    </row>
    <row r="906" spans="12:16" x14ac:dyDescent="0.2">
      <c r="L906" s="6" t="str">
        <f>IFERROR(VLOOKUP(A906,'Acompanhamento da Licitação'!$F$2:$N$1000,6,FALSE()),"")</f>
        <v/>
      </c>
      <c r="M906" s="6" t="str">
        <f>IFERROR(VLOOKUP(A906,'Acompanhamento da Licitação'!$F$2:$N$1000,7,FALSE()),"")</f>
        <v/>
      </c>
      <c r="N906" s="1" t="str">
        <f>IFERROR(VLOOKUP(A906,'Acompanhamento da Licitação'!$F$2:$N$1000,9,FALSE()),"")</f>
        <v/>
      </c>
      <c r="O906" s="1"/>
      <c r="P906" s="6"/>
    </row>
    <row r="907" spans="12:16" x14ac:dyDescent="0.2">
      <c r="L907" s="6" t="str">
        <f>IFERROR(VLOOKUP(A907,'Acompanhamento da Licitação'!$F$2:$N$1000,6,FALSE()),"")</f>
        <v/>
      </c>
      <c r="M907" s="6" t="str">
        <f>IFERROR(VLOOKUP(A907,'Acompanhamento da Licitação'!$F$2:$N$1000,7,FALSE()),"")</f>
        <v/>
      </c>
      <c r="N907" s="1" t="str">
        <f>IFERROR(VLOOKUP(A907,'Acompanhamento da Licitação'!$F$2:$N$1000,9,FALSE()),"")</f>
        <v/>
      </c>
      <c r="O907" s="1"/>
      <c r="P907" s="6"/>
    </row>
    <row r="908" spans="12:16" x14ac:dyDescent="0.2">
      <c r="L908" s="6" t="str">
        <f>IFERROR(VLOOKUP(A908,'Acompanhamento da Licitação'!$F$2:$N$1000,6,FALSE()),"")</f>
        <v/>
      </c>
      <c r="M908" s="6" t="str">
        <f>IFERROR(VLOOKUP(A908,'Acompanhamento da Licitação'!$F$2:$N$1000,7,FALSE()),"")</f>
        <v/>
      </c>
      <c r="N908" s="1" t="str">
        <f>IFERROR(VLOOKUP(A908,'Acompanhamento da Licitação'!$F$2:$N$1000,9,FALSE()),"")</f>
        <v/>
      </c>
      <c r="O908" s="1"/>
      <c r="P908" s="6"/>
    </row>
    <row r="909" spans="12:16" x14ac:dyDescent="0.2">
      <c r="L909" s="6" t="str">
        <f>IFERROR(VLOOKUP(A909,'Acompanhamento da Licitação'!$F$2:$N$1000,6,FALSE()),"")</f>
        <v/>
      </c>
      <c r="M909" s="6" t="str">
        <f>IFERROR(VLOOKUP(A909,'Acompanhamento da Licitação'!$F$2:$N$1000,7,FALSE()),"")</f>
        <v/>
      </c>
      <c r="N909" s="1" t="str">
        <f>IFERROR(VLOOKUP(A909,'Acompanhamento da Licitação'!$F$2:$N$1000,9,FALSE()),"")</f>
        <v/>
      </c>
      <c r="O909" s="1"/>
      <c r="P909" s="6"/>
    </row>
    <row r="910" spans="12:16" x14ac:dyDescent="0.2">
      <c r="L910" s="6" t="str">
        <f>IFERROR(VLOOKUP(A910,'Acompanhamento da Licitação'!$F$2:$N$1000,6,FALSE()),"")</f>
        <v/>
      </c>
      <c r="M910" s="6" t="str">
        <f>IFERROR(VLOOKUP(A910,'Acompanhamento da Licitação'!$F$2:$N$1000,7,FALSE()),"")</f>
        <v/>
      </c>
      <c r="N910" s="1" t="str">
        <f>IFERROR(VLOOKUP(A910,'Acompanhamento da Licitação'!$F$2:$N$1000,9,FALSE()),"")</f>
        <v/>
      </c>
      <c r="O910" s="1"/>
      <c r="P910" s="6"/>
    </row>
    <row r="911" spans="12:16" x14ac:dyDescent="0.2">
      <c r="L911" s="6" t="str">
        <f>IFERROR(VLOOKUP(A911,'Acompanhamento da Licitação'!$F$2:$N$1000,6,FALSE()),"")</f>
        <v/>
      </c>
      <c r="M911" s="6" t="str">
        <f>IFERROR(VLOOKUP(A911,'Acompanhamento da Licitação'!$F$2:$N$1000,7,FALSE()),"")</f>
        <v/>
      </c>
      <c r="N911" s="1" t="str">
        <f>IFERROR(VLOOKUP(A911,'Acompanhamento da Licitação'!$F$2:$N$1000,9,FALSE()),"")</f>
        <v/>
      </c>
      <c r="O911" s="1"/>
      <c r="P911" s="6"/>
    </row>
    <row r="912" spans="12:16" x14ac:dyDescent="0.2">
      <c r="L912" s="6" t="str">
        <f>IFERROR(VLOOKUP(A912,'Acompanhamento da Licitação'!$F$2:$N$1000,6,FALSE()),"")</f>
        <v/>
      </c>
      <c r="M912" s="6" t="str">
        <f>IFERROR(VLOOKUP(A912,'Acompanhamento da Licitação'!$F$2:$N$1000,7,FALSE()),"")</f>
        <v/>
      </c>
      <c r="N912" s="1" t="str">
        <f>IFERROR(VLOOKUP(A912,'Acompanhamento da Licitação'!$F$2:$N$1000,9,FALSE()),"")</f>
        <v/>
      </c>
      <c r="O912" s="1"/>
      <c r="P912" s="6"/>
    </row>
    <row r="913" spans="12:16" x14ac:dyDescent="0.2">
      <c r="L913" s="6" t="str">
        <f>IFERROR(VLOOKUP(A913,'Acompanhamento da Licitação'!$F$2:$N$1000,6,FALSE()),"")</f>
        <v/>
      </c>
      <c r="M913" s="6" t="str">
        <f>IFERROR(VLOOKUP(A913,'Acompanhamento da Licitação'!$F$2:$N$1000,7,FALSE()),"")</f>
        <v/>
      </c>
      <c r="N913" s="1" t="str">
        <f>IFERROR(VLOOKUP(A913,'Acompanhamento da Licitação'!$F$2:$N$1000,9,FALSE()),"")</f>
        <v/>
      </c>
      <c r="O913" s="1"/>
      <c r="P913" s="6"/>
    </row>
    <row r="914" spans="12:16" x14ac:dyDescent="0.2">
      <c r="L914" s="6" t="str">
        <f>IFERROR(VLOOKUP(A914,'Acompanhamento da Licitação'!$F$2:$N$1000,6,FALSE()),"")</f>
        <v/>
      </c>
      <c r="M914" s="6" t="str">
        <f>IFERROR(VLOOKUP(A914,'Acompanhamento da Licitação'!$F$2:$N$1000,7,FALSE()),"")</f>
        <v/>
      </c>
      <c r="N914" s="1" t="str">
        <f>IFERROR(VLOOKUP(A914,'Acompanhamento da Licitação'!$F$2:$N$1000,9,FALSE()),"")</f>
        <v/>
      </c>
      <c r="O914" s="1"/>
      <c r="P914" s="6"/>
    </row>
    <row r="915" spans="12:16" x14ac:dyDescent="0.2">
      <c r="L915" s="6" t="str">
        <f>IFERROR(VLOOKUP(A915,'Acompanhamento da Licitação'!$F$2:$N$1000,6,FALSE()),"")</f>
        <v/>
      </c>
      <c r="M915" s="6" t="str">
        <f>IFERROR(VLOOKUP(A915,'Acompanhamento da Licitação'!$F$2:$N$1000,7,FALSE()),"")</f>
        <v/>
      </c>
      <c r="N915" s="1" t="str">
        <f>IFERROR(VLOOKUP(A915,'Acompanhamento da Licitação'!$F$2:$N$1000,9,FALSE()),"")</f>
        <v/>
      </c>
      <c r="O915" s="1"/>
      <c r="P915" s="6"/>
    </row>
    <row r="916" spans="12:16" x14ac:dyDescent="0.2">
      <c r="L916" s="6" t="str">
        <f>IFERROR(VLOOKUP(A916,'Acompanhamento da Licitação'!$F$2:$N$1000,6,FALSE()),"")</f>
        <v/>
      </c>
      <c r="M916" s="6" t="str">
        <f>IFERROR(VLOOKUP(A916,'Acompanhamento da Licitação'!$F$2:$N$1000,7,FALSE()),"")</f>
        <v/>
      </c>
      <c r="N916" s="1" t="str">
        <f>IFERROR(VLOOKUP(A916,'Acompanhamento da Licitação'!$F$2:$N$1000,9,FALSE()),"")</f>
        <v/>
      </c>
      <c r="O916" s="1"/>
      <c r="P916" s="6"/>
    </row>
    <row r="917" spans="12:16" x14ac:dyDescent="0.2">
      <c r="L917" s="6" t="str">
        <f>IFERROR(VLOOKUP(A917,'Acompanhamento da Licitação'!$F$2:$N$1000,6,FALSE()),"")</f>
        <v/>
      </c>
      <c r="M917" s="6" t="str">
        <f>IFERROR(VLOOKUP(A917,'Acompanhamento da Licitação'!$F$2:$N$1000,7,FALSE()),"")</f>
        <v/>
      </c>
      <c r="N917" s="1" t="str">
        <f>IFERROR(VLOOKUP(A917,'Acompanhamento da Licitação'!$F$2:$N$1000,9,FALSE()),"")</f>
        <v/>
      </c>
      <c r="O917" s="1"/>
      <c r="P917" s="6"/>
    </row>
    <row r="918" spans="12:16" x14ac:dyDescent="0.2">
      <c r="L918" s="6" t="str">
        <f>IFERROR(VLOOKUP(A918,'Acompanhamento da Licitação'!$F$2:$N$1000,6,FALSE()),"")</f>
        <v/>
      </c>
      <c r="M918" s="6" t="str">
        <f>IFERROR(VLOOKUP(A918,'Acompanhamento da Licitação'!$F$2:$N$1000,7,FALSE()),"")</f>
        <v/>
      </c>
      <c r="N918" s="1" t="str">
        <f>IFERROR(VLOOKUP(A918,'Acompanhamento da Licitação'!$F$2:$N$1000,9,FALSE()),"")</f>
        <v/>
      </c>
      <c r="O918" s="1"/>
      <c r="P918" s="6"/>
    </row>
    <row r="919" spans="12:16" x14ac:dyDescent="0.2">
      <c r="L919" s="6" t="str">
        <f>IFERROR(VLOOKUP(A919,'Acompanhamento da Licitação'!$F$2:$N$1000,6,FALSE()),"")</f>
        <v/>
      </c>
      <c r="M919" s="6" t="str">
        <f>IFERROR(VLOOKUP(A919,'Acompanhamento da Licitação'!$F$2:$N$1000,7,FALSE()),"")</f>
        <v/>
      </c>
      <c r="N919" s="1" t="str">
        <f>IFERROR(VLOOKUP(A919,'Acompanhamento da Licitação'!$F$2:$N$1000,9,FALSE()),"")</f>
        <v/>
      </c>
      <c r="O919" s="1"/>
      <c r="P919" s="6"/>
    </row>
    <row r="920" spans="12:16" x14ac:dyDescent="0.2">
      <c r="L920" s="6" t="str">
        <f>IFERROR(VLOOKUP(A920,'Acompanhamento da Licitação'!$F$2:$N$1000,6,FALSE()),"")</f>
        <v/>
      </c>
      <c r="M920" s="6" t="str">
        <f>IFERROR(VLOOKUP(A920,'Acompanhamento da Licitação'!$F$2:$N$1000,7,FALSE()),"")</f>
        <v/>
      </c>
      <c r="N920" s="1" t="str">
        <f>IFERROR(VLOOKUP(A920,'Acompanhamento da Licitação'!$F$2:$N$1000,9,FALSE()),"")</f>
        <v/>
      </c>
      <c r="O920" s="1"/>
      <c r="P920" s="6"/>
    </row>
    <row r="921" spans="12:16" x14ac:dyDescent="0.2">
      <c r="L921" s="6" t="str">
        <f>IFERROR(VLOOKUP(A921,'Acompanhamento da Licitação'!$F$2:$N$1000,6,FALSE()),"")</f>
        <v/>
      </c>
      <c r="M921" s="6" t="str">
        <f>IFERROR(VLOOKUP(A921,'Acompanhamento da Licitação'!$F$2:$N$1000,7,FALSE()),"")</f>
        <v/>
      </c>
      <c r="N921" s="1" t="str">
        <f>IFERROR(VLOOKUP(A921,'Acompanhamento da Licitação'!$F$2:$N$1000,9,FALSE()),"")</f>
        <v/>
      </c>
      <c r="O921" s="1"/>
      <c r="P921" s="6"/>
    </row>
    <row r="922" spans="12:16" x14ac:dyDescent="0.2">
      <c r="L922" s="6" t="str">
        <f>IFERROR(VLOOKUP(A922,'Acompanhamento da Licitação'!$F$2:$N$1000,6,FALSE()),"")</f>
        <v/>
      </c>
      <c r="M922" s="6" t="str">
        <f>IFERROR(VLOOKUP(A922,'Acompanhamento da Licitação'!$F$2:$N$1000,7,FALSE()),"")</f>
        <v/>
      </c>
      <c r="N922" s="1" t="str">
        <f>IFERROR(VLOOKUP(A922,'Acompanhamento da Licitação'!$F$2:$N$1000,9,FALSE()),"")</f>
        <v/>
      </c>
      <c r="O922" s="1"/>
      <c r="P922" s="6"/>
    </row>
    <row r="923" spans="12:16" x14ac:dyDescent="0.2">
      <c r="L923" s="6" t="str">
        <f>IFERROR(VLOOKUP(A923,'Acompanhamento da Licitação'!$F$2:$N$1000,6,FALSE()),"")</f>
        <v/>
      </c>
      <c r="M923" s="6" t="str">
        <f>IFERROR(VLOOKUP(A923,'Acompanhamento da Licitação'!$F$2:$N$1000,7,FALSE()),"")</f>
        <v/>
      </c>
      <c r="N923" s="1" t="str">
        <f>IFERROR(VLOOKUP(A923,'Acompanhamento da Licitação'!$F$2:$N$1000,9,FALSE()),"")</f>
        <v/>
      </c>
      <c r="O923" s="1"/>
      <c r="P923" s="6"/>
    </row>
    <row r="924" spans="12:16" x14ac:dyDescent="0.2">
      <c r="L924" s="6" t="str">
        <f>IFERROR(VLOOKUP(A924,'Acompanhamento da Licitação'!$F$2:$N$1000,6,FALSE()),"")</f>
        <v/>
      </c>
      <c r="M924" s="6" t="str">
        <f>IFERROR(VLOOKUP(A924,'Acompanhamento da Licitação'!$F$2:$N$1000,7,FALSE()),"")</f>
        <v/>
      </c>
      <c r="N924" s="1" t="str">
        <f>IFERROR(VLOOKUP(A924,'Acompanhamento da Licitação'!$F$2:$N$1000,9,FALSE()),"")</f>
        <v/>
      </c>
      <c r="O924" s="1"/>
      <c r="P924" s="6"/>
    </row>
    <row r="925" spans="12:16" x14ac:dyDescent="0.2">
      <c r="L925" s="6" t="str">
        <f>IFERROR(VLOOKUP(A925,'Acompanhamento da Licitação'!$F$2:$N$1000,6,FALSE()),"")</f>
        <v/>
      </c>
      <c r="M925" s="6" t="str">
        <f>IFERROR(VLOOKUP(A925,'Acompanhamento da Licitação'!$F$2:$N$1000,7,FALSE()),"")</f>
        <v/>
      </c>
      <c r="N925" s="1" t="str">
        <f>IFERROR(VLOOKUP(A925,'Acompanhamento da Licitação'!$F$2:$N$1000,9,FALSE()),"")</f>
        <v/>
      </c>
      <c r="O925" s="1"/>
      <c r="P925" s="6"/>
    </row>
    <row r="926" spans="12:16" x14ac:dyDescent="0.2">
      <c r="L926" s="6" t="str">
        <f>IFERROR(VLOOKUP(A926,'Acompanhamento da Licitação'!$F$2:$N$1000,6,FALSE()),"")</f>
        <v/>
      </c>
      <c r="M926" s="6" t="str">
        <f>IFERROR(VLOOKUP(A926,'Acompanhamento da Licitação'!$F$2:$N$1000,7,FALSE()),"")</f>
        <v/>
      </c>
      <c r="N926" s="1" t="str">
        <f>IFERROR(VLOOKUP(A926,'Acompanhamento da Licitação'!$F$2:$N$1000,9,FALSE()),"")</f>
        <v/>
      </c>
      <c r="O926" s="1"/>
      <c r="P926" s="6"/>
    </row>
    <row r="927" spans="12:16" x14ac:dyDescent="0.2">
      <c r="L927" s="6" t="str">
        <f>IFERROR(VLOOKUP(A927,'Acompanhamento da Licitação'!$F$2:$N$1000,6,FALSE()),"")</f>
        <v/>
      </c>
      <c r="M927" s="6" t="str">
        <f>IFERROR(VLOOKUP(A927,'Acompanhamento da Licitação'!$F$2:$N$1000,7,FALSE()),"")</f>
        <v/>
      </c>
      <c r="N927" s="1" t="str">
        <f>IFERROR(VLOOKUP(A927,'Acompanhamento da Licitação'!$F$2:$N$1000,9,FALSE()),"")</f>
        <v/>
      </c>
      <c r="O927" s="1"/>
      <c r="P927" s="6"/>
    </row>
    <row r="928" spans="12:16" x14ac:dyDescent="0.2">
      <c r="L928" s="6" t="str">
        <f>IFERROR(VLOOKUP(A928,'Acompanhamento da Licitação'!$F$2:$N$1000,6,FALSE()),"")</f>
        <v/>
      </c>
      <c r="M928" s="6" t="str">
        <f>IFERROR(VLOOKUP(A928,'Acompanhamento da Licitação'!$F$2:$N$1000,7,FALSE()),"")</f>
        <v/>
      </c>
      <c r="N928" s="1" t="str">
        <f>IFERROR(VLOOKUP(A928,'Acompanhamento da Licitação'!$F$2:$N$1000,9,FALSE()),"")</f>
        <v/>
      </c>
      <c r="O928" s="1"/>
      <c r="P928" s="6"/>
    </row>
    <row r="929" spans="12:16" x14ac:dyDescent="0.2">
      <c r="L929" s="6" t="str">
        <f>IFERROR(VLOOKUP(A929,'Acompanhamento da Licitação'!$F$2:$N$1000,6,FALSE()),"")</f>
        <v/>
      </c>
      <c r="M929" s="6" t="str">
        <f>IFERROR(VLOOKUP(A929,'Acompanhamento da Licitação'!$F$2:$N$1000,7,FALSE()),"")</f>
        <v/>
      </c>
      <c r="N929" s="1" t="str">
        <f>IFERROR(VLOOKUP(A929,'Acompanhamento da Licitação'!$F$2:$N$1000,9,FALSE()),"")</f>
        <v/>
      </c>
      <c r="O929" s="1"/>
      <c r="P929" s="6"/>
    </row>
    <row r="930" spans="12:16" x14ac:dyDescent="0.2">
      <c r="L930" s="6" t="str">
        <f>IFERROR(VLOOKUP(A930,'Acompanhamento da Licitação'!$F$2:$N$1000,6,FALSE()),"")</f>
        <v/>
      </c>
      <c r="M930" s="6" t="str">
        <f>IFERROR(VLOOKUP(A930,'Acompanhamento da Licitação'!$F$2:$N$1000,7,FALSE()),"")</f>
        <v/>
      </c>
      <c r="N930" s="1" t="str">
        <f>IFERROR(VLOOKUP(A930,'Acompanhamento da Licitação'!$F$2:$N$1000,9,FALSE()),"")</f>
        <v/>
      </c>
      <c r="O930" s="1"/>
      <c r="P930" s="6"/>
    </row>
    <row r="931" spans="12:16" x14ac:dyDescent="0.2">
      <c r="L931" s="6" t="str">
        <f>IFERROR(VLOOKUP(A931,'Acompanhamento da Licitação'!$F$2:$N$1000,6,FALSE()),"")</f>
        <v/>
      </c>
      <c r="M931" s="6" t="str">
        <f>IFERROR(VLOOKUP(A931,'Acompanhamento da Licitação'!$F$2:$N$1000,7,FALSE()),"")</f>
        <v/>
      </c>
      <c r="N931" s="1" t="str">
        <f>IFERROR(VLOOKUP(A931,'Acompanhamento da Licitação'!$F$2:$N$1000,9,FALSE()),"")</f>
        <v/>
      </c>
      <c r="O931" s="1"/>
      <c r="P931" s="6"/>
    </row>
    <row r="932" spans="12:16" x14ac:dyDescent="0.2">
      <c r="L932" s="6" t="str">
        <f>IFERROR(VLOOKUP(A932,'Acompanhamento da Licitação'!$F$2:$N$1000,6,FALSE()),"")</f>
        <v/>
      </c>
      <c r="M932" s="6" t="str">
        <f>IFERROR(VLOOKUP(A932,'Acompanhamento da Licitação'!$F$2:$N$1000,7,FALSE()),"")</f>
        <v/>
      </c>
      <c r="N932" s="1" t="str">
        <f>IFERROR(VLOOKUP(A932,'Acompanhamento da Licitação'!$F$2:$N$1000,9,FALSE()),"")</f>
        <v/>
      </c>
      <c r="O932" s="1"/>
      <c r="P932" s="6"/>
    </row>
    <row r="933" spans="12:16" x14ac:dyDescent="0.2">
      <c r="L933" s="6" t="str">
        <f>IFERROR(VLOOKUP(A933,'Acompanhamento da Licitação'!$F$2:$N$1000,6,FALSE()),"")</f>
        <v/>
      </c>
      <c r="M933" s="6" t="str">
        <f>IFERROR(VLOOKUP(A933,'Acompanhamento da Licitação'!$F$2:$N$1000,7,FALSE()),"")</f>
        <v/>
      </c>
      <c r="N933" s="1" t="str">
        <f>IFERROR(VLOOKUP(A933,'Acompanhamento da Licitação'!$F$2:$N$1000,9,FALSE()),"")</f>
        <v/>
      </c>
      <c r="O933" s="1"/>
      <c r="P933" s="6"/>
    </row>
    <row r="934" spans="12:16" x14ac:dyDescent="0.2">
      <c r="L934" s="6" t="str">
        <f>IFERROR(VLOOKUP(A934,'Acompanhamento da Licitação'!$F$2:$N$1000,6,FALSE()),"")</f>
        <v/>
      </c>
      <c r="M934" s="6" t="str">
        <f>IFERROR(VLOOKUP(A934,'Acompanhamento da Licitação'!$F$2:$N$1000,7,FALSE()),"")</f>
        <v/>
      </c>
      <c r="N934" s="1" t="str">
        <f>IFERROR(VLOOKUP(A934,'Acompanhamento da Licitação'!$F$2:$N$1000,9,FALSE()),"")</f>
        <v/>
      </c>
      <c r="O934" s="1"/>
      <c r="P934" s="6"/>
    </row>
    <row r="935" spans="12:16" x14ac:dyDescent="0.2">
      <c r="L935" s="6" t="str">
        <f>IFERROR(VLOOKUP(A935,'Acompanhamento da Licitação'!$F$2:$N$1000,6,FALSE()),"")</f>
        <v/>
      </c>
      <c r="M935" s="6" t="str">
        <f>IFERROR(VLOOKUP(A935,'Acompanhamento da Licitação'!$F$2:$N$1000,7,FALSE()),"")</f>
        <v/>
      </c>
      <c r="N935" s="1" t="str">
        <f>IFERROR(VLOOKUP(A935,'Acompanhamento da Licitação'!$F$2:$N$1000,9,FALSE()),"")</f>
        <v/>
      </c>
      <c r="O935" s="1"/>
      <c r="P935" s="6"/>
    </row>
    <row r="936" spans="12:16" x14ac:dyDescent="0.2">
      <c r="L936" s="6" t="str">
        <f>IFERROR(VLOOKUP(A936,'Acompanhamento da Licitação'!$F$2:$N$1000,6,FALSE()),"")</f>
        <v/>
      </c>
      <c r="M936" s="6" t="str">
        <f>IFERROR(VLOOKUP(A936,'Acompanhamento da Licitação'!$F$2:$N$1000,7,FALSE()),"")</f>
        <v/>
      </c>
      <c r="N936" s="1" t="str">
        <f>IFERROR(VLOOKUP(A936,'Acompanhamento da Licitação'!$F$2:$N$1000,9,FALSE()),"")</f>
        <v/>
      </c>
      <c r="O936" s="1"/>
      <c r="P936" s="6"/>
    </row>
    <row r="937" spans="12:16" x14ac:dyDescent="0.2">
      <c r="L937" s="6" t="str">
        <f>IFERROR(VLOOKUP(A937,'Acompanhamento da Licitação'!$F$2:$N$1000,6,FALSE()),"")</f>
        <v/>
      </c>
      <c r="M937" s="6" t="str">
        <f>IFERROR(VLOOKUP(A937,'Acompanhamento da Licitação'!$F$2:$N$1000,7,FALSE()),"")</f>
        <v/>
      </c>
      <c r="N937" s="1" t="str">
        <f>IFERROR(VLOOKUP(A937,'Acompanhamento da Licitação'!$F$2:$N$1000,9,FALSE()),"")</f>
        <v/>
      </c>
      <c r="O937" s="1"/>
      <c r="P937" s="6"/>
    </row>
    <row r="938" spans="12:16" x14ac:dyDescent="0.2">
      <c r="L938" s="6" t="str">
        <f>IFERROR(VLOOKUP(A938,'Acompanhamento da Licitação'!$F$2:$N$1000,6,FALSE()),"")</f>
        <v/>
      </c>
      <c r="M938" s="6" t="str">
        <f>IFERROR(VLOOKUP(A938,'Acompanhamento da Licitação'!$F$2:$N$1000,7,FALSE()),"")</f>
        <v/>
      </c>
      <c r="N938" s="1" t="str">
        <f>IFERROR(VLOOKUP(A938,'Acompanhamento da Licitação'!$F$2:$N$1000,9,FALSE()),"")</f>
        <v/>
      </c>
      <c r="O938" s="1"/>
      <c r="P938" s="6"/>
    </row>
    <row r="939" spans="12:16" x14ac:dyDescent="0.2">
      <c r="L939" s="6" t="str">
        <f>IFERROR(VLOOKUP(A939,'Acompanhamento da Licitação'!$F$2:$N$1000,6,FALSE()),"")</f>
        <v/>
      </c>
      <c r="M939" s="6" t="str">
        <f>IFERROR(VLOOKUP(A939,'Acompanhamento da Licitação'!$F$2:$N$1000,7,FALSE()),"")</f>
        <v/>
      </c>
      <c r="N939" s="1" t="str">
        <f>IFERROR(VLOOKUP(A939,'Acompanhamento da Licitação'!$F$2:$N$1000,9,FALSE()),"")</f>
        <v/>
      </c>
      <c r="O939" s="1"/>
      <c r="P939" s="6"/>
    </row>
    <row r="940" spans="12:16" x14ac:dyDescent="0.2">
      <c r="L940" s="6" t="str">
        <f>IFERROR(VLOOKUP(A940,'Acompanhamento da Licitação'!$F$2:$N$1000,6,FALSE()),"")</f>
        <v/>
      </c>
      <c r="M940" s="6" t="str">
        <f>IFERROR(VLOOKUP(A940,'Acompanhamento da Licitação'!$F$2:$N$1000,7,FALSE()),"")</f>
        <v/>
      </c>
      <c r="N940" s="1" t="str">
        <f>IFERROR(VLOOKUP(A940,'Acompanhamento da Licitação'!$F$2:$N$1000,9,FALSE()),"")</f>
        <v/>
      </c>
      <c r="O940" s="1"/>
      <c r="P940" s="6"/>
    </row>
    <row r="941" spans="12:16" x14ac:dyDescent="0.2">
      <c r="L941" s="6" t="str">
        <f>IFERROR(VLOOKUP(A941,'Acompanhamento da Licitação'!$F$2:$N$1000,6,FALSE()),"")</f>
        <v/>
      </c>
      <c r="M941" s="6" t="str">
        <f>IFERROR(VLOOKUP(A941,'Acompanhamento da Licitação'!$F$2:$N$1000,7,FALSE()),"")</f>
        <v/>
      </c>
      <c r="N941" s="1" t="str">
        <f>IFERROR(VLOOKUP(A941,'Acompanhamento da Licitação'!$F$2:$N$1000,9,FALSE()),"")</f>
        <v/>
      </c>
      <c r="O941" s="1"/>
      <c r="P941" s="6"/>
    </row>
    <row r="942" spans="12:16" x14ac:dyDescent="0.2">
      <c r="L942" s="6" t="str">
        <f>IFERROR(VLOOKUP(A942,'Acompanhamento da Licitação'!$F$2:$N$1000,6,FALSE()),"")</f>
        <v/>
      </c>
      <c r="M942" s="6" t="str">
        <f>IFERROR(VLOOKUP(A942,'Acompanhamento da Licitação'!$F$2:$N$1000,7,FALSE()),"")</f>
        <v/>
      </c>
      <c r="N942" s="1" t="str">
        <f>IFERROR(VLOOKUP(A942,'Acompanhamento da Licitação'!$F$2:$N$1000,9,FALSE()),"")</f>
        <v/>
      </c>
      <c r="O942" s="1"/>
      <c r="P942" s="6"/>
    </row>
    <row r="943" spans="12:16" x14ac:dyDescent="0.2">
      <c r="L943" s="6" t="str">
        <f>IFERROR(VLOOKUP(A943,'Acompanhamento da Licitação'!$F$2:$N$1000,6,FALSE()),"")</f>
        <v/>
      </c>
      <c r="M943" s="6" t="str">
        <f>IFERROR(VLOOKUP(A943,'Acompanhamento da Licitação'!$F$2:$N$1000,7,FALSE()),"")</f>
        <v/>
      </c>
      <c r="N943" s="1" t="str">
        <f>IFERROR(VLOOKUP(A943,'Acompanhamento da Licitação'!$F$2:$N$1000,9,FALSE()),"")</f>
        <v/>
      </c>
      <c r="O943" s="1"/>
      <c r="P943" s="6"/>
    </row>
    <row r="944" spans="12:16" x14ac:dyDescent="0.2">
      <c r="L944" s="6" t="str">
        <f>IFERROR(VLOOKUP(A944,'Acompanhamento da Licitação'!$F$2:$N$1000,6,FALSE()),"")</f>
        <v/>
      </c>
      <c r="M944" s="6" t="str">
        <f>IFERROR(VLOOKUP(A944,'Acompanhamento da Licitação'!$F$2:$N$1000,7,FALSE()),"")</f>
        <v/>
      </c>
      <c r="N944" s="1" t="str">
        <f>IFERROR(VLOOKUP(A944,'Acompanhamento da Licitação'!$F$2:$N$1000,9,FALSE()),"")</f>
        <v/>
      </c>
      <c r="O944" s="1"/>
      <c r="P944" s="6"/>
    </row>
    <row r="945" spans="12:16" x14ac:dyDescent="0.2">
      <c r="L945" s="6" t="str">
        <f>IFERROR(VLOOKUP(A945,'Acompanhamento da Licitação'!$F$2:$N$1000,6,FALSE()),"")</f>
        <v/>
      </c>
      <c r="M945" s="6" t="str">
        <f>IFERROR(VLOOKUP(A945,'Acompanhamento da Licitação'!$F$2:$N$1000,7,FALSE()),"")</f>
        <v/>
      </c>
      <c r="N945" s="1" t="str">
        <f>IFERROR(VLOOKUP(A945,'Acompanhamento da Licitação'!$F$2:$N$1000,9,FALSE()),"")</f>
        <v/>
      </c>
      <c r="O945" s="1"/>
      <c r="P945" s="6"/>
    </row>
    <row r="946" spans="12:16" x14ac:dyDescent="0.2">
      <c r="L946" s="6" t="str">
        <f>IFERROR(VLOOKUP(A946,'Acompanhamento da Licitação'!$F$2:$N$1000,6,FALSE()),"")</f>
        <v/>
      </c>
      <c r="M946" s="6" t="str">
        <f>IFERROR(VLOOKUP(A946,'Acompanhamento da Licitação'!$F$2:$N$1000,7,FALSE()),"")</f>
        <v/>
      </c>
      <c r="N946" s="1" t="str">
        <f>IFERROR(VLOOKUP(A946,'Acompanhamento da Licitação'!$F$2:$N$1000,9,FALSE()),"")</f>
        <v/>
      </c>
      <c r="O946" s="1"/>
      <c r="P946" s="6"/>
    </row>
    <row r="947" spans="12:16" x14ac:dyDescent="0.2">
      <c r="L947" s="6" t="str">
        <f>IFERROR(VLOOKUP(A947,'Acompanhamento da Licitação'!$F$2:$N$1000,6,FALSE()),"")</f>
        <v/>
      </c>
      <c r="M947" s="6" t="str">
        <f>IFERROR(VLOOKUP(A947,'Acompanhamento da Licitação'!$F$2:$N$1000,7,FALSE()),"")</f>
        <v/>
      </c>
      <c r="N947" s="1" t="str">
        <f>IFERROR(VLOOKUP(A947,'Acompanhamento da Licitação'!$F$2:$N$1000,9,FALSE()),"")</f>
        <v/>
      </c>
      <c r="O947" s="1"/>
      <c r="P947" s="6"/>
    </row>
    <row r="948" spans="12:16" x14ac:dyDescent="0.2">
      <c r="L948" s="6" t="str">
        <f>IFERROR(VLOOKUP(A948,'Acompanhamento da Licitação'!$F$2:$N$1000,6,FALSE()),"")</f>
        <v/>
      </c>
      <c r="M948" s="6" t="str">
        <f>IFERROR(VLOOKUP(A948,'Acompanhamento da Licitação'!$F$2:$N$1000,7,FALSE()),"")</f>
        <v/>
      </c>
      <c r="N948" s="1" t="str">
        <f>IFERROR(VLOOKUP(A948,'Acompanhamento da Licitação'!$F$2:$N$1000,9,FALSE()),"")</f>
        <v/>
      </c>
      <c r="O948" s="1"/>
      <c r="P948" s="6"/>
    </row>
    <row r="949" spans="12:16" x14ac:dyDescent="0.2">
      <c r="L949" s="6" t="str">
        <f>IFERROR(VLOOKUP(A949,'Acompanhamento da Licitação'!$F$2:$N$1000,6,FALSE()),"")</f>
        <v/>
      </c>
      <c r="M949" s="6" t="str">
        <f>IFERROR(VLOOKUP(A949,'Acompanhamento da Licitação'!$F$2:$N$1000,7,FALSE()),"")</f>
        <v/>
      </c>
      <c r="N949" s="1" t="str">
        <f>IFERROR(VLOOKUP(A949,'Acompanhamento da Licitação'!$F$2:$N$1000,9,FALSE()),"")</f>
        <v/>
      </c>
      <c r="O949" s="1"/>
      <c r="P949" s="6"/>
    </row>
    <row r="950" spans="12:16" x14ac:dyDescent="0.2">
      <c r="L950" s="6" t="str">
        <f>IFERROR(VLOOKUP(A950,'Acompanhamento da Licitação'!$F$2:$N$1000,6,FALSE()),"")</f>
        <v/>
      </c>
      <c r="M950" s="6" t="str">
        <f>IFERROR(VLOOKUP(A950,'Acompanhamento da Licitação'!$F$2:$N$1000,7,FALSE()),"")</f>
        <v/>
      </c>
      <c r="N950" s="1" t="str">
        <f>IFERROR(VLOOKUP(A950,'Acompanhamento da Licitação'!$F$2:$N$1000,9,FALSE()),"")</f>
        <v/>
      </c>
      <c r="O950" s="1"/>
      <c r="P950" s="6"/>
    </row>
    <row r="951" spans="12:16" x14ac:dyDescent="0.2">
      <c r="L951" s="6" t="str">
        <f>IFERROR(VLOOKUP(A951,'Acompanhamento da Licitação'!$F$2:$N$1000,6,FALSE()),"")</f>
        <v/>
      </c>
      <c r="M951" s="6" t="str">
        <f>IFERROR(VLOOKUP(A951,'Acompanhamento da Licitação'!$F$2:$N$1000,7,FALSE()),"")</f>
        <v/>
      </c>
      <c r="N951" s="1" t="str">
        <f>IFERROR(VLOOKUP(A951,'Acompanhamento da Licitação'!$F$2:$N$1000,9,FALSE()),"")</f>
        <v/>
      </c>
      <c r="O951" s="1"/>
      <c r="P951" s="6"/>
    </row>
    <row r="952" spans="12:16" x14ac:dyDescent="0.2">
      <c r="L952" s="6" t="str">
        <f>IFERROR(VLOOKUP(A952,'Acompanhamento da Licitação'!$F$2:$N$1000,6,FALSE()),"")</f>
        <v/>
      </c>
      <c r="M952" s="6" t="str">
        <f>IFERROR(VLOOKUP(A952,'Acompanhamento da Licitação'!$F$2:$N$1000,7,FALSE()),"")</f>
        <v/>
      </c>
      <c r="N952" s="1" t="str">
        <f>IFERROR(VLOOKUP(A952,'Acompanhamento da Licitação'!$F$2:$N$1000,9,FALSE()),"")</f>
        <v/>
      </c>
      <c r="O952" s="1"/>
      <c r="P952" s="6"/>
    </row>
    <row r="953" spans="12:16" x14ac:dyDescent="0.2">
      <c r="L953" s="6" t="str">
        <f>IFERROR(VLOOKUP(A953,'Acompanhamento da Licitação'!$F$2:$N$1000,6,FALSE()),"")</f>
        <v/>
      </c>
      <c r="M953" s="6" t="str">
        <f>IFERROR(VLOOKUP(A953,'Acompanhamento da Licitação'!$F$2:$N$1000,7,FALSE()),"")</f>
        <v/>
      </c>
      <c r="N953" s="1" t="str">
        <f>IFERROR(VLOOKUP(A953,'Acompanhamento da Licitação'!$F$2:$N$1000,9,FALSE()),"")</f>
        <v/>
      </c>
      <c r="O953" s="1"/>
      <c r="P953" s="6"/>
    </row>
    <row r="954" spans="12:16" x14ac:dyDescent="0.2">
      <c r="L954" s="6" t="str">
        <f>IFERROR(VLOOKUP(A954,'Acompanhamento da Licitação'!$F$2:$N$1000,6,FALSE()),"")</f>
        <v/>
      </c>
      <c r="M954" s="6" t="str">
        <f>IFERROR(VLOOKUP(A954,'Acompanhamento da Licitação'!$F$2:$N$1000,7,FALSE()),"")</f>
        <v/>
      </c>
      <c r="N954" s="1" t="str">
        <f>IFERROR(VLOOKUP(A954,'Acompanhamento da Licitação'!$F$2:$N$1000,9,FALSE()),"")</f>
        <v/>
      </c>
      <c r="O954" s="1"/>
      <c r="P954" s="6"/>
    </row>
    <row r="955" spans="12:16" x14ac:dyDescent="0.2">
      <c r="L955" s="6" t="str">
        <f>IFERROR(VLOOKUP(A955,'Acompanhamento da Licitação'!$F$2:$N$1000,6,FALSE()),"")</f>
        <v/>
      </c>
      <c r="M955" s="6" t="str">
        <f>IFERROR(VLOOKUP(A955,'Acompanhamento da Licitação'!$F$2:$N$1000,7,FALSE()),"")</f>
        <v/>
      </c>
      <c r="N955" s="1" t="str">
        <f>IFERROR(VLOOKUP(A955,'Acompanhamento da Licitação'!$F$2:$N$1000,9,FALSE()),"")</f>
        <v/>
      </c>
      <c r="O955" s="1"/>
      <c r="P955" s="6"/>
    </row>
    <row r="956" spans="12:16" x14ac:dyDescent="0.2">
      <c r="L956" s="6" t="str">
        <f>IFERROR(VLOOKUP(A956,'Acompanhamento da Licitação'!$F$2:$N$1000,6,FALSE()),"")</f>
        <v/>
      </c>
      <c r="M956" s="6" t="str">
        <f>IFERROR(VLOOKUP(A956,'Acompanhamento da Licitação'!$F$2:$N$1000,7,FALSE()),"")</f>
        <v/>
      </c>
      <c r="N956" s="1" t="str">
        <f>IFERROR(VLOOKUP(A956,'Acompanhamento da Licitação'!$F$2:$N$1000,9,FALSE()),"")</f>
        <v/>
      </c>
      <c r="O956" s="1"/>
      <c r="P956" s="6"/>
    </row>
    <row r="957" spans="12:16" x14ac:dyDescent="0.2">
      <c r="L957" s="6" t="str">
        <f>IFERROR(VLOOKUP(A957,'Acompanhamento da Licitação'!$F$2:$N$1000,6,FALSE()),"")</f>
        <v/>
      </c>
      <c r="M957" s="6" t="str">
        <f>IFERROR(VLOOKUP(A957,'Acompanhamento da Licitação'!$F$2:$N$1000,7,FALSE()),"")</f>
        <v/>
      </c>
      <c r="N957" s="1" t="str">
        <f>IFERROR(VLOOKUP(A957,'Acompanhamento da Licitação'!$F$2:$N$1000,9,FALSE()),"")</f>
        <v/>
      </c>
      <c r="O957" s="1"/>
      <c r="P957" s="6"/>
    </row>
    <row r="958" spans="12:16" x14ac:dyDescent="0.2">
      <c r="L958" s="6" t="str">
        <f>IFERROR(VLOOKUP(A958,'Acompanhamento da Licitação'!$F$2:$N$1000,6,FALSE()),"")</f>
        <v/>
      </c>
      <c r="M958" s="6" t="str">
        <f>IFERROR(VLOOKUP(A958,'Acompanhamento da Licitação'!$F$2:$N$1000,7,FALSE()),"")</f>
        <v/>
      </c>
      <c r="N958" s="1" t="str">
        <f>IFERROR(VLOOKUP(A958,'Acompanhamento da Licitação'!$F$2:$N$1000,9,FALSE()),"")</f>
        <v/>
      </c>
      <c r="O958" s="1"/>
      <c r="P958" s="6"/>
    </row>
    <row r="959" spans="12:16" x14ac:dyDescent="0.2">
      <c r="L959" s="6" t="str">
        <f>IFERROR(VLOOKUP(A959,'Acompanhamento da Licitação'!$F$2:$N$1000,6,FALSE()),"")</f>
        <v/>
      </c>
      <c r="M959" s="6" t="str">
        <f>IFERROR(VLOOKUP(A959,'Acompanhamento da Licitação'!$F$2:$N$1000,7,FALSE()),"")</f>
        <v/>
      </c>
      <c r="N959" s="1" t="str">
        <f>IFERROR(VLOOKUP(A959,'Acompanhamento da Licitação'!$F$2:$N$1000,9,FALSE()),"")</f>
        <v/>
      </c>
      <c r="O959" s="1"/>
      <c r="P959" s="6"/>
    </row>
    <row r="960" spans="12:16" x14ac:dyDescent="0.2">
      <c r="L960" s="6" t="str">
        <f>IFERROR(VLOOKUP(A960,'Acompanhamento da Licitação'!$F$2:$N$1000,6,FALSE()),"")</f>
        <v/>
      </c>
      <c r="M960" s="6" t="str">
        <f>IFERROR(VLOOKUP(A960,'Acompanhamento da Licitação'!$F$2:$N$1000,7,FALSE()),"")</f>
        <v/>
      </c>
      <c r="N960" s="1" t="str">
        <f>IFERROR(VLOOKUP(A960,'Acompanhamento da Licitação'!$F$2:$N$1000,9,FALSE()),"")</f>
        <v/>
      </c>
      <c r="O960" s="1"/>
      <c r="P960" s="6"/>
    </row>
    <row r="961" spans="12:16" x14ac:dyDescent="0.2">
      <c r="L961" s="6" t="str">
        <f>IFERROR(VLOOKUP(A961,'Acompanhamento da Licitação'!$F$2:$N$1000,6,FALSE()),"")</f>
        <v/>
      </c>
      <c r="M961" s="6" t="str">
        <f>IFERROR(VLOOKUP(A961,'Acompanhamento da Licitação'!$F$2:$N$1000,7,FALSE()),"")</f>
        <v/>
      </c>
      <c r="N961" s="1" t="str">
        <f>IFERROR(VLOOKUP(A961,'Acompanhamento da Licitação'!$F$2:$N$1000,9,FALSE()),"")</f>
        <v/>
      </c>
      <c r="O961" s="1"/>
      <c r="P961" s="6"/>
    </row>
    <row r="962" spans="12:16" x14ac:dyDescent="0.2">
      <c r="L962" s="6" t="str">
        <f>IFERROR(VLOOKUP(A962,'Acompanhamento da Licitação'!$F$2:$N$1000,6,FALSE()),"")</f>
        <v/>
      </c>
      <c r="M962" s="6" t="str">
        <f>IFERROR(VLOOKUP(A962,'Acompanhamento da Licitação'!$F$2:$N$1000,7,FALSE()),"")</f>
        <v/>
      </c>
      <c r="N962" s="1" t="str">
        <f>IFERROR(VLOOKUP(A962,'Acompanhamento da Licitação'!$F$2:$N$1000,9,FALSE()),"")</f>
        <v/>
      </c>
      <c r="O962" s="1"/>
      <c r="P962" s="6"/>
    </row>
    <row r="963" spans="12:16" x14ac:dyDescent="0.2">
      <c r="L963" s="6" t="str">
        <f>IFERROR(VLOOKUP(A963,'Acompanhamento da Licitação'!$F$2:$N$1000,6,FALSE()),"")</f>
        <v/>
      </c>
      <c r="M963" s="6" t="str">
        <f>IFERROR(VLOOKUP(A963,'Acompanhamento da Licitação'!$F$2:$N$1000,7,FALSE()),"")</f>
        <v/>
      </c>
      <c r="N963" s="1" t="str">
        <f>IFERROR(VLOOKUP(A963,'Acompanhamento da Licitação'!$F$2:$N$1000,9,FALSE()),"")</f>
        <v/>
      </c>
      <c r="O963" s="1"/>
      <c r="P963" s="6"/>
    </row>
    <row r="964" spans="12:16" x14ac:dyDescent="0.2">
      <c r="L964" s="6" t="str">
        <f>IFERROR(VLOOKUP(A964,'Acompanhamento da Licitação'!$F$2:$N$1000,6,FALSE()),"")</f>
        <v/>
      </c>
      <c r="M964" s="6" t="str">
        <f>IFERROR(VLOOKUP(A964,'Acompanhamento da Licitação'!$F$2:$N$1000,7,FALSE()),"")</f>
        <v/>
      </c>
      <c r="N964" s="1" t="str">
        <f>IFERROR(VLOOKUP(A964,'Acompanhamento da Licitação'!$F$2:$N$1000,9,FALSE()),"")</f>
        <v/>
      </c>
      <c r="O964" s="1"/>
      <c r="P964" s="6"/>
    </row>
    <row r="965" spans="12:16" x14ac:dyDescent="0.2">
      <c r="L965" s="6" t="str">
        <f>IFERROR(VLOOKUP(A965,'Acompanhamento da Licitação'!$F$2:$N$1000,6,FALSE()),"")</f>
        <v/>
      </c>
      <c r="M965" s="6" t="str">
        <f>IFERROR(VLOOKUP(A965,'Acompanhamento da Licitação'!$F$2:$N$1000,7,FALSE()),"")</f>
        <v/>
      </c>
      <c r="N965" s="1" t="str">
        <f>IFERROR(VLOOKUP(A965,'Acompanhamento da Licitação'!$F$2:$N$1000,9,FALSE()),"")</f>
        <v/>
      </c>
      <c r="O965" s="1"/>
      <c r="P965" s="6"/>
    </row>
    <row r="966" spans="12:16" x14ac:dyDescent="0.2">
      <c r="L966" s="6" t="str">
        <f>IFERROR(VLOOKUP(A966,'Acompanhamento da Licitação'!$F$2:$N$1000,6,FALSE()),"")</f>
        <v/>
      </c>
      <c r="M966" s="6" t="str">
        <f>IFERROR(VLOOKUP(A966,'Acompanhamento da Licitação'!$F$2:$N$1000,7,FALSE()),"")</f>
        <v/>
      </c>
      <c r="N966" s="1" t="str">
        <f>IFERROR(VLOOKUP(A966,'Acompanhamento da Licitação'!$F$2:$N$1000,9,FALSE()),"")</f>
        <v/>
      </c>
      <c r="O966" s="1"/>
      <c r="P966" s="6"/>
    </row>
    <row r="967" spans="12:16" x14ac:dyDescent="0.2">
      <c r="L967" s="6" t="str">
        <f>IFERROR(VLOOKUP(A967,'Acompanhamento da Licitação'!$F$2:$N$1000,6,FALSE()),"")</f>
        <v/>
      </c>
      <c r="M967" s="6" t="str">
        <f>IFERROR(VLOOKUP(A967,'Acompanhamento da Licitação'!$F$2:$N$1000,7,FALSE()),"")</f>
        <v/>
      </c>
      <c r="N967" s="1" t="str">
        <f>IFERROR(VLOOKUP(A967,'Acompanhamento da Licitação'!$F$2:$N$1000,9,FALSE()),"")</f>
        <v/>
      </c>
      <c r="O967" s="1"/>
      <c r="P967" s="6"/>
    </row>
    <row r="968" spans="12:16" x14ac:dyDescent="0.2">
      <c r="L968" s="6" t="str">
        <f>IFERROR(VLOOKUP(A968,'Acompanhamento da Licitação'!$F$2:$N$1000,6,FALSE()),"")</f>
        <v/>
      </c>
      <c r="M968" s="6" t="str">
        <f>IFERROR(VLOOKUP(A968,'Acompanhamento da Licitação'!$F$2:$N$1000,7,FALSE()),"")</f>
        <v/>
      </c>
      <c r="N968" s="1" t="str">
        <f>IFERROR(VLOOKUP(A968,'Acompanhamento da Licitação'!$F$2:$N$1000,9,FALSE()),"")</f>
        <v/>
      </c>
      <c r="O968" s="1"/>
      <c r="P968" s="6"/>
    </row>
    <row r="969" spans="12:16" x14ac:dyDescent="0.2">
      <c r="L969" s="6" t="str">
        <f>IFERROR(VLOOKUP(A969,'Acompanhamento da Licitação'!$F$2:$N$1000,6,FALSE()),"")</f>
        <v/>
      </c>
      <c r="M969" s="6" t="str">
        <f>IFERROR(VLOOKUP(A969,'Acompanhamento da Licitação'!$F$2:$N$1000,7,FALSE()),"")</f>
        <v/>
      </c>
      <c r="N969" s="1" t="str">
        <f>IFERROR(VLOOKUP(A969,'Acompanhamento da Licitação'!$F$2:$N$1000,9,FALSE()),"")</f>
        <v/>
      </c>
      <c r="O969" s="1"/>
      <c r="P969" s="6"/>
    </row>
    <row r="970" spans="12:16" x14ac:dyDescent="0.2">
      <c r="L970" s="6" t="str">
        <f>IFERROR(VLOOKUP(A970,'Acompanhamento da Licitação'!$F$2:$N$1000,6,FALSE()),"")</f>
        <v/>
      </c>
      <c r="M970" s="6" t="str">
        <f>IFERROR(VLOOKUP(A970,'Acompanhamento da Licitação'!$F$2:$N$1000,7,FALSE()),"")</f>
        <v/>
      </c>
      <c r="N970" s="1" t="str">
        <f>IFERROR(VLOOKUP(A970,'Acompanhamento da Licitação'!$F$2:$N$1000,9,FALSE()),"")</f>
        <v/>
      </c>
      <c r="O970" s="1"/>
      <c r="P970" s="6"/>
    </row>
    <row r="971" spans="12:16" x14ac:dyDescent="0.2">
      <c r="L971" s="6" t="str">
        <f>IFERROR(VLOOKUP(A971,'Acompanhamento da Licitação'!$F$2:$N$1000,6,FALSE()),"")</f>
        <v/>
      </c>
      <c r="M971" s="6" t="str">
        <f>IFERROR(VLOOKUP(A971,'Acompanhamento da Licitação'!$F$2:$N$1000,7,FALSE()),"")</f>
        <v/>
      </c>
      <c r="N971" s="1" t="str">
        <f>IFERROR(VLOOKUP(A971,'Acompanhamento da Licitação'!$F$2:$N$1000,9,FALSE()),"")</f>
        <v/>
      </c>
      <c r="O971" s="1"/>
      <c r="P971" s="6"/>
    </row>
    <row r="972" spans="12:16" x14ac:dyDescent="0.2">
      <c r="L972" s="6" t="str">
        <f>IFERROR(VLOOKUP(A972,'Acompanhamento da Licitação'!$F$2:$N$1000,6,FALSE()),"")</f>
        <v/>
      </c>
      <c r="M972" s="6" t="str">
        <f>IFERROR(VLOOKUP(A972,'Acompanhamento da Licitação'!$F$2:$N$1000,7,FALSE()),"")</f>
        <v/>
      </c>
      <c r="N972" s="1" t="str">
        <f>IFERROR(VLOOKUP(A972,'Acompanhamento da Licitação'!$F$2:$N$1000,9,FALSE()),"")</f>
        <v/>
      </c>
      <c r="O972" s="1"/>
      <c r="P972" s="6"/>
    </row>
    <row r="973" spans="12:16" x14ac:dyDescent="0.2">
      <c r="L973" s="6" t="str">
        <f>IFERROR(VLOOKUP(A973,'Acompanhamento da Licitação'!$F$2:$N$1000,6,FALSE()),"")</f>
        <v/>
      </c>
      <c r="M973" s="6" t="str">
        <f>IFERROR(VLOOKUP(A973,'Acompanhamento da Licitação'!$F$2:$N$1000,7,FALSE()),"")</f>
        <v/>
      </c>
      <c r="N973" s="1" t="str">
        <f>IFERROR(VLOOKUP(A973,'Acompanhamento da Licitação'!$F$2:$N$1000,9,FALSE()),"")</f>
        <v/>
      </c>
      <c r="O973" s="1"/>
      <c r="P973" s="6"/>
    </row>
    <row r="974" spans="12:16" x14ac:dyDescent="0.2">
      <c r="L974" s="6" t="str">
        <f>IFERROR(VLOOKUP(A974,'Acompanhamento da Licitação'!$F$2:$N$1000,6,FALSE()),"")</f>
        <v/>
      </c>
      <c r="M974" s="6" t="str">
        <f>IFERROR(VLOOKUP(A974,'Acompanhamento da Licitação'!$F$2:$N$1000,7,FALSE()),"")</f>
        <v/>
      </c>
      <c r="N974" s="1" t="str">
        <f>IFERROR(VLOOKUP(A974,'Acompanhamento da Licitação'!$F$2:$N$1000,9,FALSE()),"")</f>
        <v/>
      </c>
      <c r="O974" s="1"/>
      <c r="P974" s="6"/>
    </row>
    <row r="975" spans="12:16" x14ac:dyDescent="0.2">
      <c r="L975" s="6" t="str">
        <f>IFERROR(VLOOKUP(A975,'Acompanhamento da Licitação'!$F$2:$N$1000,6,FALSE()),"")</f>
        <v/>
      </c>
      <c r="M975" s="6" t="str">
        <f>IFERROR(VLOOKUP(A975,'Acompanhamento da Licitação'!$F$2:$N$1000,7,FALSE()),"")</f>
        <v/>
      </c>
      <c r="N975" s="1" t="str">
        <f>IFERROR(VLOOKUP(A975,'Acompanhamento da Licitação'!$F$2:$N$1000,9,FALSE()),"")</f>
        <v/>
      </c>
      <c r="O975" s="1"/>
      <c r="P975" s="6"/>
    </row>
    <row r="976" spans="12:16" x14ac:dyDescent="0.2">
      <c r="L976" s="6" t="str">
        <f>IFERROR(VLOOKUP(A976,'Acompanhamento da Licitação'!$F$2:$N$1000,6,FALSE()),"")</f>
        <v/>
      </c>
      <c r="M976" s="6" t="str">
        <f>IFERROR(VLOOKUP(A976,'Acompanhamento da Licitação'!$F$2:$N$1000,7,FALSE()),"")</f>
        <v/>
      </c>
      <c r="N976" s="1" t="str">
        <f>IFERROR(VLOOKUP(A976,'Acompanhamento da Licitação'!$F$2:$N$1000,9,FALSE()),"")</f>
        <v/>
      </c>
      <c r="O976" s="1"/>
      <c r="P976" s="6"/>
    </row>
    <row r="977" spans="12:16" x14ac:dyDescent="0.2">
      <c r="L977" s="6" t="str">
        <f>IFERROR(VLOOKUP(A977,'Acompanhamento da Licitação'!$F$2:$N$1000,6,FALSE()),"")</f>
        <v/>
      </c>
      <c r="M977" s="6" t="str">
        <f>IFERROR(VLOOKUP(A977,'Acompanhamento da Licitação'!$F$2:$N$1000,7,FALSE()),"")</f>
        <v/>
      </c>
      <c r="N977" s="1" t="str">
        <f>IFERROR(VLOOKUP(A977,'Acompanhamento da Licitação'!$F$2:$N$1000,9,FALSE()),"")</f>
        <v/>
      </c>
      <c r="O977" s="1"/>
      <c r="P977" s="6"/>
    </row>
    <row r="978" spans="12:16" x14ac:dyDescent="0.2">
      <c r="L978" s="6" t="str">
        <f>IFERROR(VLOOKUP(A978,'Acompanhamento da Licitação'!$F$2:$N$1000,6,FALSE()),"")</f>
        <v/>
      </c>
      <c r="M978" s="6" t="str">
        <f>IFERROR(VLOOKUP(A978,'Acompanhamento da Licitação'!$F$2:$N$1000,7,FALSE()),"")</f>
        <v/>
      </c>
      <c r="N978" s="1" t="str">
        <f>IFERROR(VLOOKUP(A978,'Acompanhamento da Licitação'!$F$2:$N$1000,9,FALSE()),"")</f>
        <v/>
      </c>
      <c r="O978" s="1"/>
      <c r="P978" s="6"/>
    </row>
    <row r="979" spans="12:16" x14ac:dyDescent="0.2">
      <c r="L979" s="6" t="str">
        <f>IFERROR(VLOOKUP(A979,'Acompanhamento da Licitação'!$F$2:$N$1000,6,FALSE()),"")</f>
        <v/>
      </c>
      <c r="M979" s="6" t="str">
        <f>IFERROR(VLOOKUP(A979,'Acompanhamento da Licitação'!$F$2:$N$1000,7,FALSE()),"")</f>
        <v/>
      </c>
      <c r="N979" s="1" t="str">
        <f>IFERROR(VLOOKUP(A979,'Acompanhamento da Licitação'!$F$2:$N$1000,9,FALSE()),"")</f>
        <v/>
      </c>
      <c r="O979" s="1"/>
      <c r="P979" s="6"/>
    </row>
    <row r="980" spans="12:16" x14ac:dyDescent="0.2">
      <c r="L980" s="6" t="str">
        <f>IFERROR(VLOOKUP(A980,'Acompanhamento da Licitação'!$F$2:$N$1000,6,FALSE()),"")</f>
        <v/>
      </c>
      <c r="M980" s="6" t="str">
        <f>IFERROR(VLOOKUP(A980,'Acompanhamento da Licitação'!$F$2:$N$1000,7,FALSE()),"")</f>
        <v/>
      </c>
      <c r="N980" s="1" t="str">
        <f>IFERROR(VLOOKUP(A980,'Acompanhamento da Licitação'!$F$2:$N$1000,9,FALSE()),"")</f>
        <v/>
      </c>
      <c r="O980" s="1"/>
      <c r="P980" s="6"/>
    </row>
    <row r="981" spans="12:16" x14ac:dyDescent="0.2">
      <c r="L981" s="6" t="str">
        <f>IFERROR(VLOOKUP(A981,'Acompanhamento da Licitação'!$F$2:$N$1000,6,FALSE()),"")</f>
        <v/>
      </c>
      <c r="M981" s="6" t="str">
        <f>IFERROR(VLOOKUP(A981,'Acompanhamento da Licitação'!$F$2:$N$1000,7,FALSE()),"")</f>
        <v/>
      </c>
      <c r="N981" s="1" t="str">
        <f>IFERROR(VLOOKUP(A981,'Acompanhamento da Licitação'!$F$2:$N$1000,9,FALSE()),"")</f>
        <v/>
      </c>
      <c r="O981" s="1"/>
      <c r="P981" s="6"/>
    </row>
    <row r="982" spans="12:16" x14ac:dyDescent="0.2">
      <c r="L982" s="6" t="str">
        <f>IFERROR(VLOOKUP(A982,'Acompanhamento da Licitação'!$F$2:$N$1000,6,FALSE()),"")</f>
        <v/>
      </c>
      <c r="M982" s="6" t="str">
        <f>IFERROR(VLOOKUP(A982,'Acompanhamento da Licitação'!$F$2:$N$1000,7,FALSE()),"")</f>
        <v/>
      </c>
      <c r="N982" s="1" t="str">
        <f>IFERROR(VLOOKUP(A982,'Acompanhamento da Licitação'!$F$2:$N$1000,9,FALSE()),"")</f>
        <v/>
      </c>
      <c r="O982" s="1"/>
      <c r="P982" s="6"/>
    </row>
    <row r="983" spans="12:16" x14ac:dyDescent="0.2">
      <c r="L983" s="6" t="str">
        <f>IFERROR(VLOOKUP(A983,'Acompanhamento da Licitação'!$F$2:$N$1000,6,FALSE()),"")</f>
        <v/>
      </c>
      <c r="M983" s="6" t="str">
        <f>IFERROR(VLOOKUP(A983,'Acompanhamento da Licitação'!$F$2:$N$1000,7,FALSE()),"")</f>
        <v/>
      </c>
      <c r="N983" s="1" t="str">
        <f>IFERROR(VLOOKUP(A983,'Acompanhamento da Licitação'!$F$2:$N$1000,9,FALSE()),"")</f>
        <v/>
      </c>
      <c r="O983" s="1"/>
      <c r="P983" s="6"/>
    </row>
    <row r="984" spans="12:16" x14ac:dyDescent="0.2">
      <c r="L984" s="6" t="str">
        <f>IFERROR(VLOOKUP(A984,'Acompanhamento da Licitação'!$F$2:$N$1000,6,FALSE()),"")</f>
        <v/>
      </c>
      <c r="M984" s="6" t="str">
        <f>IFERROR(VLOOKUP(A984,'Acompanhamento da Licitação'!$F$2:$N$1000,7,FALSE()),"")</f>
        <v/>
      </c>
      <c r="N984" s="1" t="str">
        <f>IFERROR(VLOOKUP(A984,'Acompanhamento da Licitação'!$F$2:$N$1000,9,FALSE()),"")</f>
        <v/>
      </c>
      <c r="O984" s="1"/>
      <c r="P984" s="6"/>
    </row>
    <row r="985" spans="12:16" x14ac:dyDescent="0.2">
      <c r="L985" s="6" t="str">
        <f>IFERROR(VLOOKUP(A985,'Acompanhamento da Licitação'!$F$2:$N$1000,6,FALSE()),"")</f>
        <v/>
      </c>
      <c r="M985" s="6" t="str">
        <f>IFERROR(VLOOKUP(A985,'Acompanhamento da Licitação'!$F$2:$N$1000,7,FALSE()),"")</f>
        <v/>
      </c>
      <c r="N985" s="1" t="str">
        <f>IFERROR(VLOOKUP(A985,'Acompanhamento da Licitação'!$F$2:$N$1000,9,FALSE()),"")</f>
        <v/>
      </c>
      <c r="O985" s="1"/>
      <c r="P985" s="6"/>
    </row>
    <row r="986" spans="12:16" x14ac:dyDescent="0.2">
      <c r="L986" s="6" t="str">
        <f>IFERROR(VLOOKUP(A986,'Acompanhamento da Licitação'!$F$2:$N$1000,6,FALSE()),"")</f>
        <v/>
      </c>
      <c r="M986" s="6" t="str">
        <f>IFERROR(VLOOKUP(A986,'Acompanhamento da Licitação'!$F$2:$N$1000,7,FALSE()),"")</f>
        <v/>
      </c>
      <c r="N986" s="1" t="str">
        <f>IFERROR(VLOOKUP(A986,'Acompanhamento da Licitação'!$F$2:$N$1000,9,FALSE()),"")</f>
        <v/>
      </c>
      <c r="O986" s="1"/>
      <c r="P986" s="6"/>
    </row>
    <row r="987" spans="12:16" x14ac:dyDescent="0.2">
      <c r="L987" s="6" t="str">
        <f>IFERROR(VLOOKUP(A987,'Acompanhamento da Licitação'!$F$2:$N$1000,6,FALSE()),"")</f>
        <v/>
      </c>
      <c r="M987" s="6" t="str">
        <f>IFERROR(VLOOKUP(A987,'Acompanhamento da Licitação'!$F$2:$N$1000,7,FALSE()),"")</f>
        <v/>
      </c>
      <c r="N987" s="1" t="str">
        <f>IFERROR(VLOOKUP(A987,'Acompanhamento da Licitação'!$F$2:$N$1000,9,FALSE()),"")</f>
        <v/>
      </c>
      <c r="O987" s="1"/>
      <c r="P987" s="6"/>
    </row>
    <row r="988" spans="12:16" x14ac:dyDescent="0.2">
      <c r="L988" s="6" t="str">
        <f>IFERROR(VLOOKUP(A988,'Acompanhamento da Licitação'!$F$2:$N$1000,6,FALSE()),"")</f>
        <v/>
      </c>
      <c r="M988" s="6" t="str">
        <f>IFERROR(VLOOKUP(A988,'Acompanhamento da Licitação'!$F$2:$N$1000,7,FALSE()),"")</f>
        <v/>
      </c>
      <c r="N988" s="1" t="str">
        <f>IFERROR(VLOOKUP(A988,'Acompanhamento da Licitação'!$F$2:$N$1000,9,FALSE()),"")</f>
        <v/>
      </c>
      <c r="O988" s="1"/>
      <c r="P988" s="6"/>
    </row>
    <row r="989" spans="12:16" x14ac:dyDescent="0.2">
      <c r="L989" s="6" t="str">
        <f>IFERROR(VLOOKUP(A989,'Acompanhamento da Licitação'!$F$2:$N$1000,6,FALSE()),"")</f>
        <v/>
      </c>
      <c r="M989" s="6" t="str">
        <f>IFERROR(VLOOKUP(A989,'Acompanhamento da Licitação'!$F$2:$N$1000,7,FALSE()),"")</f>
        <v/>
      </c>
      <c r="N989" s="1" t="str">
        <f>IFERROR(VLOOKUP(A989,'Acompanhamento da Licitação'!$F$2:$N$1000,9,FALSE()),"")</f>
        <v/>
      </c>
      <c r="O989" s="1"/>
      <c r="P989" s="6"/>
    </row>
    <row r="990" spans="12:16" x14ac:dyDescent="0.2">
      <c r="L990" s="6" t="str">
        <f>IFERROR(VLOOKUP(A990,'Acompanhamento da Licitação'!$F$2:$N$1000,6,FALSE()),"")</f>
        <v/>
      </c>
      <c r="M990" s="6" t="str">
        <f>IFERROR(VLOOKUP(A990,'Acompanhamento da Licitação'!$F$2:$N$1000,7,FALSE()),"")</f>
        <v/>
      </c>
      <c r="N990" s="1" t="str">
        <f>IFERROR(VLOOKUP(A990,'Acompanhamento da Licitação'!$F$2:$N$1000,9,FALSE()),"")</f>
        <v/>
      </c>
      <c r="O990" s="1"/>
      <c r="P990" s="6"/>
    </row>
    <row r="991" spans="12:16" x14ac:dyDescent="0.2">
      <c r="L991" s="6" t="str">
        <f>IFERROR(VLOOKUP(A991,'Acompanhamento da Licitação'!$F$2:$N$1000,6,FALSE()),"")</f>
        <v/>
      </c>
      <c r="M991" s="6" t="str">
        <f>IFERROR(VLOOKUP(A991,'Acompanhamento da Licitação'!$F$2:$N$1000,7,FALSE()),"")</f>
        <v/>
      </c>
      <c r="N991" s="1" t="str">
        <f>IFERROR(VLOOKUP(A991,'Acompanhamento da Licitação'!$F$2:$N$1000,9,FALSE()),"")</f>
        <v/>
      </c>
      <c r="O991" s="1"/>
      <c r="P991" s="6"/>
    </row>
    <row r="992" spans="12:16" x14ac:dyDescent="0.2">
      <c r="L992" s="6" t="str">
        <f>IFERROR(VLOOKUP(A992,'Acompanhamento da Licitação'!$F$2:$N$1000,6,FALSE()),"")</f>
        <v/>
      </c>
      <c r="M992" s="6" t="str">
        <f>IFERROR(VLOOKUP(A992,'Acompanhamento da Licitação'!$F$2:$N$1000,7,FALSE()),"")</f>
        <v/>
      </c>
      <c r="N992" s="1" t="str">
        <f>IFERROR(VLOOKUP(A992,'Acompanhamento da Licitação'!$F$2:$N$1000,9,FALSE()),"")</f>
        <v/>
      </c>
      <c r="O992" s="1"/>
      <c r="P992" s="6"/>
    </row>
    <row r="993" spans="12:16" x14ac:dyDescent="0.2">
      <c r="L993" s="6" t="str">
        <f>IFERROR(VLOOKUP(A993,'Acompanhamento da Licitação'!$F$2:$N$1000,6,FALSE()),"")</f>
        <v/>
      </c>
      <c r="M993" s="6" t="str">
        <f>IFERROR(VLOOKUP(A993,'Acompanhamento da Licitação'!$F$2:$N$1000,7,FALSE()),"")</f>
        <v/>
      </c>
      <c r="N993" s="1" t="str">
        <f>IFERROR(VLOOKUP(A993,'Acompanhamento da Licitação'!$F$2:$N$1000,9,FALSE()),"")</f>
        <v/>
      </c>
      <c r="O993" s="1"/>
      <c r="P993" s="6"/>
    </row>
    <row r="994" spans="12:16" x14ac:dyDescent="0.2">
      <c r="L994" s="6" t="str">
        <f>IFERROR(VLOOKUP(A994,'Acompanhamento da Licitação'!$F$2:$N$1000,6,FALSE()),"")</f>
        <v/>
      </c>
      <c r="M994" s="6" t="str">
        <f>IFERROR(VLOOKUP(A994,'Acompanhamento da Licitação'!$F$2:$N$1000,7,FALSE()),"")</f>
        <v/>
      </c>
      <c r="N994" s="1" t="str">
        <f>IFERROR(VLOOKUP(A994,'Acompanhamento da Licitação'!$F$2:$N$1000,9,FALSE()),"")</f>
        <v/>
      </c>
      <c r="O994" s="1"/>
      <c r="P994" s="6"/>
    </row>
    <row r="995" spans="12:16" x14ac:dyDescent="0.2">
      <c r="L995" s="6" t="str">
        <f>IFERROR(VLOOKUP(A995,'Acompanhamento da Licitação'!$F$2:$N$1000,6,FALSE()),"")</f>
        <v/>
      </c>
      <c r="M995" s="6" t="str">
        <f>IFERROR(VLOOKUP(A995,'Acompanhamento da Licitação'!$F$2:$N$1000,7,FALSE()),"")</f>
        <v/>
      </c>
      <c r="N995" s="1" t="str">
        <f>IFERROR(VLOOKUP(A995,'Acompanhamento da Licitação'!$F$2:$N$1000,9,FALSE()),"")</f>
        <v/>
      </c>
      <c r="O995" s="1"/>
      <c r="P995" s="6"/>
    </row>
    <row r="996" spans="12:16" x14ac:dyDescent="0.2">
      <c r="L996" s="6" t="str">
        <f>IFERROR(VLOOKUP(A996,'Acompanhamento da Licitação'!$F$2:$N$1000,6,FALSE()),"")</f>
        <v/>
      </c>
      <c r="M996" s="6" t="str">
        <f>IFERROR(VLOOKUP(A996,'Acompanhamento da Licitação'!$F$2:$N$1000,7,FALSE()),"")</f>
        <v/>
      </c>
      <c r="N996" s="1" t="str">
        <f>IFERROR(VLOOKUP(A996,'Acompanhamento da Licitação'!$F$2:$N$1000,9,FALSE()),"")</f>
        <v/>
      </c>
      <c r="O996" s="1"/>
      <c r="P996" s="6"/>
    </row>
    <row r="997" spans="12:16" x14ac:dyDescent="0.2">
      <c r="L997" s="6" t="str">
        <f>IFERROR(VLOOKUP(A997,'Acompanhamento da Licitação'!$F$2:$N$1000,6,FALSE()),"")</f>
        <v/>
      </c>
      <c r="M997" s="6" t="str">
        <f>IFERROR(VLOOKUP(A997,'Acompanhamento da Licitação'!$F$2:$N$1000,7,FALSE()),"")</f>
        <v/>
      </c>
      <c r="N997" s="1" t="str">
        <f>IFERROR(VLOOKUP(A997,'Acompanhamento da Licitação'!$F$2:$N$1000,9,FALSE()),"")</f>
        <v/>
      </c>
      <c r="O997" s="1"/>
      <c r="P997" s="6"/>
    </row>
    <row r="998" spans="12:16" x14ac:dyDescent="0.2">
      <c r="L998" s="6" t="str">
        <f>IFERROR(VLOOKUP(A998,'Acompanhamento da Licitação'!$F$2:$N$1000,6,FALSE()),"")</f>
        <v/>
      </c>
      <c r="M998" s="6" t="str">
        <f>IFERROR(VLOOKUP(A998,'Acompanhamento da Licitação'!$F$2:$N$1000,7,FALSE()),"")</f>
        <v/>
      </c>
      <c r="N998" s="1" t="str">
        <f>IFERROR(VLOOKUP(A998,'Acompanhamento da Licitação'!$F$2:$N$1000,9,FALSE()),"")</f>
        <v/>
      </c>
      <c r="O998" s="1"/>
      <c r="P998" s="6"/>
    </row>
    <row r="999" spans="12:16" x14ac:dyDescent="0.2">
      <c r="L999" s="6" t="str">
        <f>IFERROR(VLOOKUP(A999,'Acompanhamento da Licitação'!$F$2:$N$1000,6,FALSE()),"")</f>
        <v/>
      </c>
      <c r="M999" s="6" t="str">
        <f>IFERROR(VLOOKUP(A999,'Acompanhamento da Licitação'!$F$2:$N$1000,7,FALSE()),"")</f>
        <v/>
      </c>
      <c r="N999" s="1" t="str">
        <f>IFERROR(VLOOKUP(A999,'Acompanhamento da Licitação'!$F$2:$N$1000,9,FALSE()),"")</f>
        <v/>
      </c>
      <c r="O999" s="1"/>
      <c r="P999" s="6"/>
    </row>
    <row r="1000" spans="12:16" x14ac:dyDescent="0.2">
      <c r="L1000" s="6" t="str">
        <f>IFERROR(VLOOKUP(A1000,'Acompanhamento da Licitação'!$F$2:$N$1000,6,FALSE()),"")</f>
        <v/>
      </c>
      <c r="M1000" s="6" t="str">
        <f>IFERROR(VLOOKUP(A1000,'Acompanhamento da Licitação'!$F$2:$N$1000,7,FALSE()),"")</f>
        <v/>
      </c>
      <c r="N1000" s="1" t="str">
        <f>IFERROR(VLOOKUP(A1000,'Acompanhamento da Licitação'!$F$2:$N$1000,9,FALSE()),"")</f>
        <v/>
      </c>
      <c r="O1000" s="1"/>
      <c r="P1000" s="6"/>
    </row>
    <row r="1001" spans="12:16" x14ac:dyDescent="0.2">
      <c r="L1001" s="6" t="str">
        <f>IFERROR(VLOOKUP(A1001,'Acompanhamento da Licitação'!$F$2:$N$1000,6,FALSE()),"")</f>
        <v/>
      </c>
      <c r="M1001" s="6" t="str">
        <f>IFERROR(VLOOKUP(A1001,'Acompanhamento da Licitação'!$F$2:$N$1000,7,FALSE()),"")</f>
        <v/>
      </c>
      <c r="N1001" s="1" t="str">
        <f>IFERROR(VLOOKUP(A1001,'Acompanhamento da Licitação'!$F$2:$N$1000,9,FALSE()),"")</f>
        <v/>
      </c>
      <c r="O1001" s="1"/>
      <c r="P1001" s="6"/>
    </row>
    <row r="1002" spans="12:16" x14ac:dyDescent="0.2">
      <c r="L1002" s="6" t="str">
        <f>IFERROR(VLOOKUP(A1002,'Acompanhamento da Licitação'!$F$2:$N$1000,6,FALSE()),"")</f>
        <v/>
      </c>
      <c r="M1002" s="6" t="str">
        <f>IFERROR(VLOOKUP(A1002,'Acompanhamento da Licitação'!$F$2:$N$1000,7,FALSE()),"")</f>
        <v/>
      </c>
      <c r="N1002" s="1" t="str">
        <f>IFERROR(VLOOKUP(A1002,'Acompanhamento da Licitação'!$F$2:$N$1000,9,FALSE()),"")</f>
        <v/>
      </c>
      <c r="O1002" s="1"/>
      <c r="P1002" s="6"/>
    </row>
    <row r="1003" spans="12:16" x14ac:dyDescent="0.2">
      <c r="L1003" s="6" t="str">
        <f>IFERROR(VLOOKUP(A1003,'Acompanhamento da Licitação'!$F$2:$N$1000,6,FALSE()),"")</f>
        <v/>
      </c>
      <c r="M1003" s="6" t="str">
        <f>IFERROR(VLOOKUP(A1003,'Acompanhamento da Licitação'!$F$2:$N$1000,7,FALSE()),"")</f>
        <v/>
      </c>
      <c r="N1003" s="1" t="str">
        <f>IFERROR(VLOOKUP(A1003,'Acompanhamento da Licitação'!$F$2:$N$1000,9,FALSE()),"")</f>
        <v/>
      </c>
      <c r="O1003" s="1"/>
      <c r="P1003" s="6"/>
    </row>
    <row r="1004" spans="12:16" x14ac:dyDescent="0.2">
      <c r="L1004" s="6" t="str">
        <f>IFERROR(VLOOKUP(A1004,'Acompanhamento da Licitação'!$F$2:$N$1000,6,FALSE()),"")</f>
        <v/>
      </c>
      <c r="M1004" s="6" t="str">
        <f>IFERROR(VLOOKUP(A1004,'Acompanhamento da Licitação'!$F$2:$N$1000,7,FALSE()),"")</f>
        <v/>
      </c>
      <c r="N1004" s="1" t="str">
        <f>IFERROR(VLOOKUP(A1004,'Acompanhamento da Licitação'!$F$2:$N$1000,9,FALSE()),"")</f>
        <v/>
      </c>
      <c r="O1004" s="1"/>
      <c r="P1004" s="6"/>
    </row>
    <row r="1005" spans="12:16" x14ac:dyDescent="0.2">
      <c r="L1005" s="6" t="str">
        <f>IFERROR(VLOOKUP(A1005,'Acompanhamento da Licitação'!$F$2:$N$1000,6,FALSE()),"")</f>
        <v/>
      </c>
      <c r="M1005" s="6" t="str">
        <f>IFERROR(VLOOKUP(A1005,'Acompanhamento da Licitação'!$F$2:$N$1000,7,FALSE()),"")</f>
        <v/>
      </c>
      <c r="N1005" s="1" t="str">
        <f>IFERROR(VLOOKUP(A1005,'Acompanhamento da Licitação'!$F$2:$N$1000,9,FALSE()),"")</f>
        <v/>
      </c>
      <c r="O1005" s="1"/>
      <c r="P1005" s="6"/>
    </row>
    <row r="1006" spans="12:16" x14ac:dyDescent="0.2">
      <c r="L1006" s="6" t="str">
        <f>IFERROR(VLOOKUP(A1006,'Acompanhamento da Licitação'!$F$2:$N$1000,6,FALSE()),"")</f>
        <v/>
      </c>
      <c r="M1006" s="6" t="str">
        <f>IFERROR(VLOOKUP(A1006,'Acompanhamento da Licitação'!$F$2:$N$1000,7,FALSE()),"")</f>
        <v/>
      </c>
      <c r="N1006" s="1" t="str">
        <f>IFERROR(VLOOKUP(A1006,'Acompanhamento da Licitação'!$F$2:$N$1000,9,FALSE()),"")</f>
        <v/>
      </c>
      <c r="O1006" s="1"/>
      <c r="P1006" s="6"/>
    </row>
    <row r="1007" spans="12:16" x14ac:dyDescent="0.2">
      <c r="L1007" s="6" t="str">
        <f>IFERROR(VLOOKUP(A1007,'Acompanhamento da Licitação'!$F$2:$N$1000,6,FALSE()),"")</f>
        <v/>
      </c>
      <c r="M1007" s="6" t="str">
        <f>IFERROR(VLOOKUP(A1007,'Acompanhamento da Licitação'!$F$2:$N$1000,7,FALSE()),"")</f>
        <v/>
      </c>
      <c r="N1007" s="1" t="str">
        <f>IFERROR(VLOOKUP(A1007,'Acompanhamento da Licitação'!$F$2:$N$1000,9,FALSE()),"")</f>
        <v/>
      </c>
      <c r="O1007" s="1"/>
      <c r="P1007" s="6"/>
    </row>
    <row r="1008" spans="12:16" x14ac:dyDescent="0.2">
      <c r="L1008" s="6" t="str">
        <f>IFERROR(VLOOKUP(A1008,'Acompanhamento da Licitação'!$F$2:$N$1000,6,FALSE()),"")</f>
        <v/>
      </c>
      <c r="M1008" s="6" t="str">
        <f>IFERROR(VLOOKUP(A1008,'Acompanhamento da Licitação'!$F$2:$N$1000,7,FALSE()),"")</f>
        <v/>
      </c>
      <c r="N1008" s="1" t="str">
        <f>IFERROR(VLOOKUP(A1008,'Acompanhamento da Licitação'!$F$2:$N$1000,9,FALSE()),"")</f>
        <v/>
      </c>
      <c r="O1008" s="1"/>
      <c r="P1008" s="6"/>
    </row>
    <row r="1009" spans="12:16" x14ac:dyDescent="0.2">
      <c r="L1009" s="6" t="str">
        <f>IFERROR(VLOOKUP(A1009,'Acompanhamento da Licitação'!$F$2:$N$1000,6,FALSE()),"")</f>
        <v/>
      </c>
      <c r="M1009" s="6" t="str">
        <f>IFERROR(VLOOKUP(A1009,'Acompanhamento da Licitação'!$F$2:$N$1000,7,FALSE()),"")</f>
        <v/>
      </c>
      <c r="N1009" s="1" t="str">
        <f>IFERROR(VLOOKUP(A1009,'Acompanhamento da Licitação'!$F$2:$N$1000,9,FALSE()),"")</f>
        <v/>
      </c>
      <c r="O1009" s="1"/>
      <c r="P1009" s="6"/>
    </row>
    <row r="1010" spans="12:16" x14ac:dyDescent="0.2">
      <c r="L1010" s="6" t="str">
        <f>IFERROR(VLOOKUP(A1010,'Acompanhamento da Licitação'!$F$2:$N$1000,6,FALSE()),"")</f>
        <v/>
      </c>
      <c r="M1010" s="6" t="str">
        <f>IFERROR(VLOOKUP(A1010,'Acompanhamento da Licitação'!$F$2:$N$1000,7,FALSE()),"")</f>
        <v/>
      </c>
      <c r="N1010" s="1" t="str">
        <f>IFERROR(VLOOKUP(A1010,'Acompanhamento da Licitação'!$F$2:$N$1000,9,FALSE()),"")</f>
        <v/>
      </c>
      <c r="O1010" s="1"/>
      <c r="P1010" s="6"/>
    </row>
    <row r="1011" spans="12:16" x14ac:dyDescent="0.2">
      <c r="L1011" s="6" t="str">
        <f>IFERROR(VLOOKUP(A1011,'Acompanhamento da Licitação'!$F$2:$N$1000,6,FALSE()),"")</f>
        <v/>
      </c>
      <c r="M1011" s="6" t="str">
        <f>IFERROR(VLOOKUP(A1011,'Acompanhamento da Licitação'!$F$2:$N$1000,7,FALSE()),"")</f>
        <v/>
      </c>
      <c r="N1011" s="1" t="str">
        <f>IFERROR(VLOOKUP(A1011,'Acompanhamento da Licitação'!$F$2:$N$1000,9,FALSE()),"")</f>
        <v/>
      </c>
      <c r="O1011" s="1"/>
      <c r="P1011" s="6"/>
    </row>
    <row r="1012" spans="12:16" x14ac:dyDescent="0.2">
      <c r="L1012" s="6" t="str">
        <f>IFERROR(VLOOKUP(A1012,'Acompanhamento da Licitação'!$F$2:$N$1000,6,FALSE()),"")</f>
        <v/>
      </c>
      <c r="M1012" s="6" t="str">
        <f>IFERROR(VLOOKUP(A1012,'Acompanhamento da Licitação'!$F$2:$N$1000,7,FALSE()),"")</f>
        <v/>
      </c>
      <c r="N1012" s="1" t="str">
        <f>IFERROR(VLOOKUP(A1012,'Acompanhamento da Licitação'!$F$2:$N$1000,9,FALSE()),"")</f>
        <v/>
      </c>
      <c r="O1012" s="1"/>
      <c r="P1012" s="6"/>
    </row>
    <row r="1013" spans="12:16" x14ac:dyDescent="0.2">
      <c r="L1013" s="6" t="str">
        <f>IFERROR(VLOOKUP(A1013,'Acompanhamento da Licitação'!$F$2:$N$1000,6,FALSE()),"")</f>
        <v/>
      </c>
      <c r="M1013" s="6" t="str">
        <f>IFERROR(VLOOKUP(A1013,'Acompanhamento da Licitação'!$F$2:$N$1000,7,FALSE()),"")</f>
        <v/>
      </c>
      <c r="N1013" s="1" t="str">
        <f>IFERROR(VLOOKUP(A1013,'Acompanhamento da Licitação'!$F$2:$N$1000,9,FALSE()),"")</f>
        <v/>
      </c>
      <c r="O1013" s="1"/>
      <c r="P1013" s="6"/>
    </row>
    <row r="1014" spans="12:16" x14ac:dyDescent="0.2">
      <c r="L1014" s="6" t="str">
        <f>IFERROR(VLOOKUP(A1014,'Acompanhamento da Licitação'!$F$2:$N$1000,6,FALSE()),"")</f>
        <v/>
      </c>
      <c r="M1014" s="6" t="str">
        <f>IFERROR(VLOOKUP(A1014,'Acompanhamento da Licitação'!$F$2:$N$1000,7,FALSE()),"")</f>
        <v/>
      </c>
      <c r="N1014" s="1" t="str">
        <f>IFERROR(VLOOKUP(A1014,'Acompanhamento da Licitação'!$F$2:$N$1000,9,FALSE()),"")</f>
        <v/>
      </c>
      <c r="O1014" s="1"/>
      <c r="P1014" s="6"/>
    </row>
    <row r="1015" spans="12:16" x14ac:dyDescent="0.2">
      <c r="L1015" s="6" t="str">
        <f>IFERROR(VLOOKUP(A1015,'Acompanhamento da Licitação'!$F$2:$N$1000,6,FALSE()),"")</f>
        <v/>
      </c>
      <c r="M1015" s="6" t="str">
        <f>IFERROR(VLOOKUP(A1015,'Acompanhamento da Licitação'!$F$2:$N$1000,7,FALSE()),"")</f>
        <v/>
      </c>
      <c r="N1015" s="1" t="str">
        <f>IFERROR(VLOOKUP(A1015,'Acompanhamento da Licitação'!$F$2:$N$1000,9,FALSE()),"")</f>
        <v/>
      </c>
      <c r="O1015" s="1"/>
      <c r="P1015" s="6"/>
    </row>
    <row r="1016" spans="12:16" x14ac:dyDescent="0.2">
      <c r="L1016" s="6" t="str">
        <f>IFERROR(VLOOKUP(A1016,'Acompanhamento da Licitação'!$F$2:$N$1000,6,FALSE()),"")</f>
        <v/>
      </c>
      <c r="M1016" s="6" t="str">
        <f>IFERROR(VLOOKUP(A1016,'Acompanhamento da Licitação'!$F$2:$N$1000,7,FALSE()),"")</f>
        <v/>
      </c>
      <c r="N1016" s="1" t="str">
        <f>IFERROR(VLOOKUP(A1016,'Acompanhamento da Licitação'!$F$2:$N$1000,9,FALSE()),"")</f>
        <v/>
      </c>
      <c r="O1016" s="1"/>
      <c r="P1016" s="6"/>
    </row>
    <row r="1017" spans="12:16" x14ac:dyDescent="0.2">
      <c r="L1017" s="6" t="str">
        <f>IFERROR(VLOOKUP(A1017,'Acompanhamento da Licitação'!$F$2:$N$1000,6,FALSE()),"")</f>
        <v/>
      </c>
      <c r="M1017" s="6" t="str">
        <f>IFERROR(VLOOKUP(A1017,'Acompanhamento da Licitação'!$F$2:$N$1000,7,FALSE()),"")</f>
        <v/>
      </c>
      <c r="N1017" s="1" t="str">
        <f>IFERROR(VLOOKUP(A1017,'Acompanhamento da Licitação'!$F$2:$N$1000,9,FALSE()),"")</f>
        <v/>
      </c>
      <c r="O1017" s="1"/>
      <c r="P1017" s="6"/>
    </row>
    <row r="1018" spans="12:16" x14ac:dyDescent="0.2">
      <c r="L1018" s="6" t="str">
        <f>IFERROR(VLOOKUP(A1018,'Acompanhamento da Licitação'!$F$2:$N$1000,6,FALSE()),"")</f>
        <v/>
      </c>
      <c r="M1018" s="6" t="str">
        <f>IFERROR(VLOOKUP(A1018,'Acompanhamento da Licitação'!$F$2:$N$1000,7,FALSE()),"")</f>
        <v/>
      </c>
      <c r="N1018" s="1" t="str">
        <f>IFERROR(VLOOKUP(A1018,'Acompanhamento da Licitação'!$F$2:$N$1000,9,FALSE()),"")</f>
        <v/>
      </c>
      <c r="O1018" s="1"/>
      <c r="P1018" s="6"/>
    </row>
    <row r="1019" spans="12:16" x14ac:dyDescent="0.2">
      <c r="L1019" s="6" t="str">
        <f>IFERROR(VLOOKUP(A1019,'Acompanhamento da Licitação'!$F$2:$N$1000,6,FALSE()),"")</f>
        <v/>
      </c>
      <c r="M1019" s="6" t="str">
        <f>IFERROR(VLOOKUP(A1019,'Acompanhamento da Licitação'!$F$2:$N$1000,7,FALSE()),"")</f>
        <v/>
      </c>
      <c r="N1019" s="1" t="str">
        <f>IFERROR(VLOOKUP(A1019,'Acompanhamento da Licitação'!$F$2:$N$1000,9,FALSE()),"")</f>
        <v/>
      </c>
      <c r="O1019" s="1"/>
      <c r="P1019" s="6"/>
    </row>
    <row r="1020" spans="12:16" x14ac:dyDescent="0.2">
      <c r="L1020" s="6" t="str">
        <f>IFERROR(VLOOKUP(A1020,'Acompanhamento da Licitação'!$F$2:$N$1000,6,FALSE()),"")</f>
        <v/>
      </c>
      <c r="M1020" s="6" t="str">
        <f>IFERROR(VLOOKUP(A1020,'Acompanhamento da Licitação'!$F$2:$N$1000,7,FALSE()),"")</f>
        <v/>
      </c>
      <c r="N1020" s="1" t="str">
        <f>IFERROR(VLOOKUP(A1020,'Acompanhamento da Licitação'!$F$2:$N$1000,9,FALSE()),"")</f>
        <v/>
      </c>
      <c r="O1020" s="1"/>
      <c r="P1020" s="6"/>
    </row>
    <row r="1021" spans="12:16" x14ac:dyDescent="0.2">
      <c r="L1021" s="6" t="str">
        <f>IFERROR(VLOOKUP(A1021,'Acompanhamento da Licitação'!$F$2:$N$1000,6,FALSE()),"")</f>
        <v/>
      </c>
      <c r="M1021" s="6" t="str">
        <f>IFERROR(VLOOKUP(A1021,'Acompanhamento da Licitação'!$F$2:$N$1000,7,FALSE()),"")</f>
        <v/>
      </c>
      <c r="N1021" s="1" t="str">
        <f>IFERROR(VLOOKUP(A1021,'Acompanhamento da Licitação'!$F$2:$N$1000,9,FALSE()),"")</f>
        <v/>
      </c>
      <c r="O1021" s="1"/>
      <c r="P1021" s="6"/>
    </row>
    <row r="1022" spans="12:16" x14ac:dyDescent="0.2">
      <c r="L1022" s="6" t="str">
        <f>IFERROR(VLOOKUP(A1022,'Acompanhamento da Licitação'!$F$2:$N$1000,6,FALSE()),"")</f>
        <v/>
      </c>
      <c r="M1022" s="6" t="str">
        <f>IFERROR(VLOOKUP(A1022,'Acompanhamento da Licitação'!$F$2:$N$1000,7,FALSE()),"")</f>
        <v/>
      </c>
      <c r="N1022" s="1" t="str">
        <f>IFERROR(VLOOKUP(A1022,'Acompanhamento da Licitação'!$F$2:$N$1000,9,FALSE()),"")</f>
        <v/>
      </c>
      <c r="O1022" s="1"/>
      <c r="P1022" s="6"/>
    </row>
    <row r="1023" spans="12:16" x14ac:dyDescent="0.2">
      <c r="L1023" s="6" t="str">
        <f>IFERROR(VLOOKUP(A1023,'Acompanhamento da Licitação'!$F$2:$N$1000,6,FALSE()),"")</f>
        <v/>
      </c>
      <c r="M1023" s="6" t="str">
        <f>IFERROR(VLOOKUP(A1023,'Acompanhamento da Licitação'!$F$2:$N$1000,7,FALSE()),"")</f>
        <v/>
      </c>
      <c r="N1023" s="1" t="str">
        <f>IFERROR(VLOOKUP(A1023,'Acompanhamento da Licitação'!$F$2:$N$1000,9,FALSE()),"")</f>
        <v/>
      </c>
      <c r="O1023" s="1"/>
      <c r="P1023" s="6"/>
    </row>
    <row r="1024" spans="12:16" x14ac:dyDescent="0.2">
      <c r="L1024" s="6" t="str">
        <f>IFERROR(VLOOKUP(A1024,'Acompanhamento da Licitação'!$F$2:$N$1000,6,FALSE()),"")</f>
        <v/>
      </c>
      <c r="M1024" s="6" t="str">
        <f>IFERROR(VLOOKUP(A1024,'Acompanhamento da Licitação'!$F$2:$N$1000,7,FALSE()),"")</f>
        <v/>
      </c>
      <c r="N1024" s="1" t="str">
        <f>IFERROR(VLOOKUP(A1024,'Acompanhamento da Licitação'!$F$2:$N$1000,9,FALSE()),"")</f>
        <v/>
      </c>
      <c r="O1024" s="1"/>
      <c r="P1024" s="6"/>
    </row>
    <row r="1025" spans="12:16" x14ac:dyDescent="0.2">
      <c r="L1025" s="6" t="str">
        <f>IFERROR(VLOOKUP(A1025,'Acompanhamento da Licitação'!$F$2:$N$1000,6,FALSE()),"")</f>
        <v/>
      </c>
      <c r="M1025" s="6" t="str">
        <f>IFERROR(VLOOKUP(A1025,'Acompanhamento da Licitação'!$F$2:$N$1000,7,FALSE()),"")</f>
        <v/>
      </c>
      <c r="N1025" s="1" t="str">
        <f>IFERROR(VLOOKUP(A1025,'Acompanhamento da Licitação'!$F$2:$N$1000,9,FALSE()),"")</f>
        <v/>
      </c>
      <c r="O1025" s="1"/>
      <c r="P1025" s="6"/>
    </row>
    <row r="1026" spans="12:16" x14ac:dyDescent="0.2">
      <c r="L1026" s="6" t="str">
        <f>IFERROR(VLOOKUP(A1026,'Acompanhamento da Licitação'!$F$2:$N$1000,6,FALSE()),"")</f>
        <v/>
      </c>
      <c r="M1026" s="6" t="str">
        <f>IFERROR(VLOOKUP(A1026,'Acompanhamento da Licitação'!$F$2:$N$1000,7,FALSE()),"")</f>
        <v/>
      </c>
      <c r="N1026" s="1" t="str">
        <f>IFERROR(VLOOKUP(A1026,'Acompanhamento da Licitação'!$F$2:$N$1000,9,FALSE()),"")</f>
        <v/>
      </c>
      <c r="O1026" s="1"/>
      <c r="P1026" s="6"/>
    </row>
    <row r="1027" spans="12:16" x14ac:dyDescent="0.2">
      <c r="L1027" s="6" t="str">
        <f>IFERROR(VLOOKUP(A1027,'Acompanhamento da Licitação'!$F$2:$N$1000,6,FALSE()),"")</f>
        <v/>
      </c>
      <c r="M1027" s="6" t="str">
        <f>IFERROR(VLOOKUP(A1027,'Acompanhamento da Licitação'!$F$2:$N$1000,7,FALSE()),"")</f>
        <v/>
      </c>
      <c r="N1027" s="1" t="str">
        <f>IFERROR(VLOOKUP(A1027,'Acompanhamento da Licitação'!$F$2:$N$1000,9,FALSE()),"")</f>
        <v/>
      </c>
      <c r="O1027" s="1"/>
      <c r="P1027" s="6"/>
    </row>
    <row r="1028" spans="12:16" x14ac:dyDescent="0.2">
      <c r="L1028" s="6" t="str">
        <f>IFERROR(VLOOKUP(A1028,'Acompanhamento da Licitação'!$F$2:$N$1000,6,FALSE()),"")</f>
        <v/>
      </c>
      <c r="M1028" s="6" t="str">
        <f>IFERROR(VLOOKUP(A1028,'Acompanhamento da Licitação'!$F$2:$N$1000,7,FALSE()),"")</f>
        <v/>
      </c>
      <c r="N1028" s="1" t="str">
        <f>IFERROR(VLOOKUP(A1028,'Acompanhamento da Licitação'!$F$2:$N$1000,9,FALSE()),"")</f>
        <v/>
      </c>
      <c r="O1028" s="1"/>
      <c r="P1028" s="6"/>
    </row>
    <row r="1029" spans="12:16" x14ac:dyDescent="0.2">
      <c r="L1029" s="6" t="str">
        <f>IFERROR(VLOOKUP(A1029,'Acompanhamento da Licitação'!$F$2:$N$1000,6,FALSE()),"")</f>
        <v/>
      </c>
      <c r="M1029" s="6" t="str">
        <f>IFERROR(VLOOKUP(A1029,'Acompanhamento da Licitação'!$F$2:$N$1000,7,FALSE()),"")</f>
        <v/>
      </c>
      <c r="N1029" s="1" t="str">
        <f>IFERROR(VLOOKUP(A1029,'Acompanhamento da Licitação'!$F$2:$N$1000,9,FALSE()),"")</f>
        <v/>
      </c>
      <c r="O1029" s="1"/>
      <c r="P1029" s="6"/>
    </row>
    <row r="1030" spans="12:16" x14ac:dyDescent="0.2">
      <c r="L1030" s="6" t="str">
        <f>IFERROR(VLOOKUP(A1030,'Acompanhamento da Licitação'!$F$2:$N$1000,6,FALSE()),"")</f>
        <v/>
      </c>
      <c r="M1030" s="6" t="str">
        <f>IFERROR(VLOOKUP(A1030,'Acompanhamento da Licitação'!$F$2:$N$1000,7,FALSE()),"")</f>
        <v/>
      </c>
      <c r="N1030" s="1" t="str">
        <f>IFERROR(VLOOKUP(A1030,'Acompanhamento da Licitação'!$F$2:$N$1000,9,FALSE()),"")</f>
        <v/>
      </c>
      <c r="O1030" s="1"/>
      <c r="P1030" s="6"/>
    </row>
    <row r="1031" spans="12:16" x14ac:dyDescent="0.2">
      <c r="L1031" s="6" t="str">
        <f>IFERROR(VLOOKUP(A1031,'Acompanhamento da Licitação'!$F$2:$N$1000,6,FALSE()),"")</f>
        <v/>
      </c>
      <c r="M1031" s="6" t="str">
        <f>IFERROR(VLOOKUP(A1031,'Acompanhamento da Licitação'!$F$2:$N$1000,7,FALSE()),"")</f>
        <v/>
      </c>
      <c r="N1031" s="1" t="str">
        <f>IFERROR(VLOOKUP(A1031,'Acompanhamento da Licitação'!$F$2:$N$1000,9,FALSE()),"")</f>
        <v/>
      </c>
      <c r="O1031" s="1"/>
      <c r="P1031" s="6"/>
    </row>
    <row r="1032" spans="12:16" x14ac:dyDescent="0.2">
      <c r="L1032" s="6" t="str">
        <f>IFERROR(VLOOKUP(A1032,'Acompanhamento da Licitação'!$F$2:$N$1000,6,FALSE()),"")</f>
        <v/>
      </c>
      <c r="M1032" s="6" t="str">
        <f>IFERROR(VLOOKUP(A1032,'Acompanhamento da Licitação'!$F$2:$N$1000,7,FALSE()),"")</f>
        <v/>
      </c>
      <c r="N1032" s="1" t="str">
        <f>IFERROR(VLOOKUP(A1032,'Acompanhamento da Licitação'!$F$2:$N$1000,9,FALSE()),"")</f>
        <v/>
      </c>
      <c r="O1032" s="1"/>
      <c r="P1032" s="6"/>
    </row>
    <row r="1033" spans="12:16" x14ac:dyDescent="0.2">
      <c r="L1033" s="6" t="str">
        <f>IFERROR(VLOOKUP(A1033,'Acompanhamento da Licitação'!$F$2:$N$1000,6,FALSE()),"")</f>
        <v/>
      </c>
      <c r="M1033" s="6" t="str">
        <f>IFERROR(VLOOKUP(A1033,'Acompanhamento da Licitação'!$F$2:$N$1000,7,FALSE()),"")</f>
        <v/>
      </c>
      <c r="N1033" s="1" t="str">
        <f>IFERROR(VLOOKUP(A1033,'Acompanhamento da Licitação'!$F$2:$N$1000,9,FALSE()),"")</f>
        <v/>
      </c>
      <c r="O1033" s="1"/>
      <c r="P1033" s="6"/>
    </row>
    <row r="1034" spans="12:16" x14ac:dyDescent="0.2">
      <c r="L1034" s="6" t="str">
        <f>IFERROR(VLOOKUP(A1034,'Acompanhamento da Licitação'!$F$2:$N$1000,6,FALSE()),"")</f>
        <v/>
      </c>
      <c r="M1034" s="6" t="str">
        <f>IFERROR(VLOOKUP(A1034,'Acompanhamento da Licitação'!$F$2:$N$1000,7,FALSE()),"")</f>
        <v/>
      </c>
      <c r="N1034" s="1" t="str">
        <f>IFERROR(VLOOKUP(A1034,'Acompanhamento da Licitação'!$F$2:$N$1000,9,FALSE()),"")</f>
        <v/>
      </c>
      <c r="O1034" s="1"/>
      <c r="P1034" s="6"/>
    </row>
    <row r="1035" spans="12:16" x14ac:dyDescent="0.2">
      <c r="L1035" s="6" t="str">
        <f>IFERROR(VLOOKUP(A1035,'Acompanhamento da Licitação'!$F$2:$N$1000,6,FALSE()),"")</f>
        <v/>
      </c>
      <c r="M1035" s="6" t="str">
        <f>IFERROR(VLOOKUP(A1035,'Acompanhamento da Licitação'!$F$2:$N$1000,7,FALSE()),"")</f>
        <v/>
      </c>
      <c r="N1035" s="1" t="str">
        <f>IFERROR(VLOOKUP(A1035,'Acompanhamento da Licitação'!$F$2:$N$1000,9,FALSE()),"")</f>
        <v/>
      </c>
      <c r="O1035" s="1"/>
      <c r="P1035" s="6"/>
    </row>
    <row r="1036" spans="12:16" x14ac:dyDescent="0.2">
      <c r="L1036" s="6" t="str">
        <f>IFERROR(VLOOKUP(A1036,'Acompanhamento da Licitação'!$F$2:$N$1000,6,FALSE()),"")</f>
        <v/>
      </c>
      <c r="M1036" s="6" t="str">
        <f>IFERROR(VLOOKUP(A1036,'Acompanhamento da Licitação'!$F$2:$N$1000,7,FALSE()),"")</f>
        <v/>
      </c>
      <c r="N1036" s="1" t="str">
        <f>IFERROR(VLOOKUP(A1036,'Acompanhamento da Licitação'!$F$2:$N$1000,9,FALSE()),"")</f>
        <v/>
      </c>
      <c r="O1036" s="1"/>
      <c r="P1036" s="6"/>
    </row>
    <row r="1037" spans="12:16" x14ac:dyDescent="0.2">
      <c r="L1037" s="6" t="str">
        <f>IFERROR(VLOOKUP(A1037,'Acompanhamento da Licitação'!$F$2:$N$1000,6,FALSE()),"")</f>
        <v/>
      </c>
      <c r="M1037" s="6" t="str">
        <f>IFERROR(VLOOKUP(A1037,'Acompanhamento da Licitação'!$F$2:$N$1000,7,FALSE()),"")</f>
        <v/>
      </c>
      <c r="N1037" s="1" t="str">
        <f>IFERROR(VLOOKUP(A1037,'Acompanhamento da Licitação'!$F$2:$N$1000,9,FALSE()),"")</f>
        <v/>
      </c>
      <c r="O1037" s="1"/>
      <c r="P1037" s="6"/>
    </row>
    <row r="1038" spans="12:16" x14ac:dyDescent="0.2">
      <c r="L1038" s="6" t="str">
        <f>IFERROR(VLOOKUP(A1038,'Acompanhamento da Licitação'!$F$2:$N$1000,6,FALSE()),"")</f>
        <v/>
      </c>
      <c r="M1038" s="6" t="str">
        <f>IFERROR(VLOOKUP(A1038,'Acompanhamento da Licitação'!$F$2:$N$1000,7,FALSE()),"")</f>
        <v/>
      </c>
      <c r="N1038" s="1" t="str">
        <f>IFERROR(VLOOKUP(A1038,'Acompanhamento da Licitação'!$F$2:$N$1000,9,FALSE()),"")</f>
        <v/>
      </c>
      <c r="O1038" s="1"/>
      <c r="P1038" s="6"/>
    </row>
    <row r="1039" spans="12:16" x14ac:dyDescent="0.2">
      <c r="L1039" s="6" t="str">
        <f>IFERROR(VLOOKUP(A1039,'Acompanhamento da Licitação'!$F$2:$N$1000,6,FALSE()),"")</f>
        <v/>
      </c>
      <c r="M1039" s="6" t="str">
        <f>IFERROR(VLOOKUP(A1039,'Acompanhamento da Licitação'!$F$2:$N$1000,7,FALSE()),"")</f>
        <v/>
      </c>
      <c r="N1039" s="1" t="str">
        <f>IFERROR(VLOOKUP(A1039,'Acompanhamento da Licitação'!$F$2:$N$1000,9,FALSE()),"")</f>
        <v/>
      </c>
      <c r="O1039" s="1"/>
      <c r="P1039" s="6"/>
    </row>
    <row r="1040" spans="12:16" x14ac:dyDescent="0.2">
      <c r="L1040" s="6" t="str">
        <f>IFERROR(VLOOKUP(A1040,'Acompanhamento da Licitação'!$F$2:$N$1000,6,FALSE()),"")</f>
        <v/>
      </c>
      <c r="M1040" s="6" t="str">
        <f>IFERROR(VLOOKUP(A1040,'Acompanhamento da Licitação'!$F$2:$N$1000,7,FALSE()),"")</f>
        <v/>
      </c>
      <c r="N1040" s="1" t="str">
        <f>IFERROR(VLOOKUP(A1040,'Acompanhamento da Licitação'!$F$2:$N$1000,9,FALSE()),"")</f>
        <v/>
      </c>
      <c r="O1040" s="1"/>
      <c r="P1040" s="6"/>
    </row>
    <row r="1041" spans="12:16" x14ac:dyDescent="0.2">
      <c r="L1041" s="6" t="str">
        <f>IFERROR(VLOOKUP(A1041,'Acompanhamento da Licitação'!$F$2:$N$1000,6,FALSE()),"")</f>
        <v/>
      </c>
      <c r="M1041" s="6" t="str">
        <f>IFERROR(VLOOKUP(A1041,'Acompanhamento da Licitação'!$F$2:$N$1000,7,FALSE()),"")</f>
        <v/>
      </c>
      <c r="N1041" s="1" t="str">
        <f>IFERROR(VLOOKUP(A1041,'Acompanhamento da Licitação'!$F$2:$N$1000,9,FALSE()),"")</f>
        <v/>
      </c>
      <c r="O1041" s="1"/>
      <c r="P1041" s="6"/>
    </row>
    <row r="1042" spans="12:16" x14ac:dyDescent="0.2">
      <c r="L1042" s="6" t="str">
        <f>IFERROR(VLOOKUP(A1042,'Acompanhamento da Licitação'!$F$2:$N$1000,6,FALSE()),"")</f>
        <v/>
      </c>
      <c r="M1042" s="6" t="str">
        <f>IFERROR(VLOOKUP(A1042,'Acompanhamento da Licitação'!$F$2:$N$1000,7,FALSE()),"")</f>
        <v/>
      </c>
      <c r="N1042" s="1" t="str">
        <f>IFERROR(VLOOKUP(A1042,'Acompanhamento da Licitação'!$F$2:$N$1000,9,FALSE()),"")</f>
        <v/>
      </c>
      <c r="O1042" s="1"/>
      <c r="P1042" s="6"/>
    </row>
    <row r="1043" spans="12:16" x14ac:dyDescent="0.2">
      <c r="L1043" s="6" t="str">
        <f>IFERROR(VLOOKUP(A1043,'Acompanhamento da Licitação'!$F$2:$N$1000,6,FALSE()),"")</f>
        <v/>
      </c>
      <c r="M1043" s="6" t="str">
        <f>IFERROR(VLOOKUP(A1043,'Acompanhamento da Licitação'!$F$2:$N$1000,7,FALSE()),"")</f>
        <v/>
      </c>
      <c r="N1043" s="1" t="str">
        <f>IFERROR(VLOOKUP(A1043,'Acompanhamento da Licitação'!$F$2:$N$1000,9,FALSE()),"")</f>
        <v/>
      </c>
      <c r="O1043" s="1"/>
      <c r="P1043" s="6"/>
    </row>
    <row r="1044" spans="12:16" x14ac:dyDescent="0.2">
      <c r="L1044" s="6" t="str">
        <f>IFERROR(VLOOKUP(A1044,'Acompanhamento da Licitação'!$F$2:$N$1000,6,FALSE()),"")</f>
        <v/>
      </c>
      <c r="M1044" s="6" t="str">
        <f>IFERROR(VLOOKUP(A1044,'Acompanhamento da Licitação'!$F$2:$N$1000,7,FALSE()),"")</f>
        <v/>
      </c>
      <c r="N1044" s="1" t="str">
        <f>IFERROR(VLOOKUP(A1044,'Acompanhamento da Licitação'!$F$2:$N$1000,9,FALSE()),"")</f>
        <v/>
      </c>
      <c r="O1044" s="1"/>
      <c r="P1044" s="6"/>
    </row>
    <row r="1045" spans="12:16" x14ac:dyDescent="0.2">
      <c r="L1045" s="6" t="str">
        <f>IFERROR(VLOOKUP(A1045,'Acompanhamento da Licitação'!$F$2:$N$1000,6,FALSE()),"")</f>
        <v/>
      </c>
      <c r="M1045" s="6" t="str">
        <f>IFERROR(VLOOKUP(A1045,'Acompanhamento da Licitação'!$F$2:$N$1000,7,FALSE()),"")</f>
        <v/>
      </c>
      <c r="N1045" s="1" t="str">
        <f>IFERROR(VLOOKUP(A1045,'Acompanhamento da Licitação'!$F$2:$N$1000,9,FALSE()),"")</f>
        <v/>
      </c>
      <c r="O1045" s="1"/>
      <c r="P1045" s="6"/>
    </row>
    <row r="1046" spans="12:16" x14ac:dyDescent="0.2">
      <c r="L1046" s="6" t="str">
        <f>IFERROR(VLOOKUP(A1046,'Acompanhamento da Licitação'!$F$2:$N$1000,6,FALSE()),"")</f>
        <v/>
      </c>
      <c r="M1046" s="6" t="str">
        <f>IFERROR(VLOOKUP(A1046,'Acompanhamento da Licitação'!$F$2:$N$1000,7,FALSE()),"")</f>
        <v/>
      </c>
      <c r="N1046" s="1" t="str">
        <f>IFERROR(VLOOKUP(A1046,'Acompanhamento da Licitação'!$F$2:$N$1000,9,FALSE()),"")</f>
        <v/>
      </c>
      <c r="O1046" s="1"/>
      <c r="P1046" s="6"/>
    </row>
    <row r="1047" spans="12:16" x14ac:dyDescent="0.2">
      <c r="L1047" s="6" t="str">
        <f>IFERROR(VLOOKUP(A1047,'Acompanhamento da Licitação'!$F$2:$N$1000,6,FALSE()),"")</f>
        <v/>
      </c>
      <c r="M1047" s="6" t="str">
        <f>IFERROR(VLOOKUP(A1047,'Acompanhamento da Licitação'!$F$2:$N$1000,7,FALSE()),"")</f>
        <v/>
      </c>
      <c r="N1047" s="1" t="str">
        <f>IFERROR(VLOOKUP(A1047,'Acompanhamento da Licitação'!$F$2:$N$1000,9,FALSE()),"")</f>
        <v/>
      </c>
      <c r="O1047" s="1"/>
      <c r="P1047" s="6"/>
    </row>
    <row r="1048" spans="12:16" x14ac:dyDescent="0.2">
      <c r="L1048" s="6" t="str">
        <f>IFERROR(VLOOKUP(A1048,'Acompanhamento da Licitação'!$F$2:$N$1000,6,FALSE()),"")</f>
        <v/>
      </c>
      <c r="M1048" s="6" t="str">
        <f>IFERROR(VLOOKUP(A1048,'Acompanhamento da Licitação'!$F$2:$N$1000,7,FALSE()),"")</f>
        <v/>
      </c>
      <c r="N1048" s="1" t="str">
        <f>IFERROR(VLOOKUP(A1048,'Acompanhamento da Licitação'!$F$2:$N$1000,9,FALSE()),"")</f>
        <v/>
      </c>
      <c r="O1048" s="1"/>
      <c r="P1048" s="6"/>
    </row>
    <row r="1049" spans="12:16" x14ac:dyDescent="0.2">
      <c r="L1049" s="6" t="str">
        <f>IFERROR(VLOOKUP(A1049,'Acompanhamento da Licitação'!$F$2:$N$1000,6,FALSE()),"")</f>
        <v/>
      </c>
      <c r="M1049" s="6" t="str">
        <f>IFERROR(VLOOKUP(A1049,'Acompanhamento da Licitação'!$F$2:$N$1000,7,FALSE()),"")</f>
        <v/>
      </c>
      <c r="N1049" s="1" t="str">
        <f>IFERROR(VLOOKUP(A1049,'Acompanhamento da Licitação'!$F$2:$N$1000,9,FALSE()),"")</f>
        <v/>
      </c>
      <c r="O1049" s="1"/>
      <c r="P1049" s="6"/>
    </row>
    <row r="1050" spans="12:16" x14ac:dyDescent="0.2">
      <c r="L1050" s="6" t="str">
        <f>IFERROR(VLOOKUP(A1050,'Acompanhamento da Licitação'!$F$2:$N$1000,6,FALSE()),"")</f>
        <v/>
      </c>
      <c r="M1050" s="6" t="str">
        <f>IFERROR(VLOOKUP(A1050,'Acompanhamento da Licitação'!$F$2:$N$1000,7,FALSE()),"")</f>
        <v/>
      </c>
      <c r="N1050" s="1" t="str">
        <f>IFERROR(VLOOKUP(A1050,'Acompanhamento da Licitação'!$F$2:$N$1000,9,FALSE()),"")</f>
        <v/>
      </c>
      <c r="O1050" s="1"/>
      <c r="P1050" s="6"/>
    </row>
  </sheetData>
  <sortState xmlns:xlrd2="http://schemas.microsoft.com/office/spreadsheetml/2017/richdata2" ref="R2:R20">
    <sortCondition ref="R2:R20"/>
  </sortState>
  <dataValidations count="1">
    <dataValidation type="list" allowBlank="1" showInputMessage="1" sqref="K2:K500" xr:uid="{6BBA36D3-2A99-406C-A3CB-FF8FA8B62676}">
      <formula1>$R$2:$R$21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opLeftCell="G1" zoomScaleNormal="100" workbookViewId="0">
      <selection activeCell="F1" sqref="A1:F1048576"/>
    </sheetView>
  </sheetViews>
  <sheetFormatPr defaultColWidth="8.85546875" defaultRowHeight="15.75" x14ac:dyDescent="0.25"/>
  <cols>
    <col min="1" max="1" width="12.85546875" hidden="1" customWidth="1"/>
    <col min="2" max="2" width="11.5703125" hidden="1" customWidth="1"/>
    <col min="3" max="3" width="22.42578125" hidden="1" customWidth="1"/>
    <col min="4" max="6" width="20.28515625" hidden="1" customWidth="1"/>
    <col min="7" max="7" width="7.5703125" style="7" customWidth="1"/>
    <col min="8" max="8" width="78.5703125" style="8" customWidth="1"/>
    <col min="9" max="9" width="16.140625" style="7" bestFit="1" customWidth="1"/>
    <col min="10" max="10" width="21.140625" style="9" customWidth="1"/>
    <col min="11" max="11" width="21.5703125" style="10" customWidth="1"/>
    <col min="12" max="12" width="9.7109375" style="10" customWidth="1"/>
    <col min="13" max="13" width="47.5703125" style="10" bestFit="1" customWidth="1"/>
    <col min="14" max="14" width="2.5703125" style="2" customWidth="1"/>
    <col min="15" max="15" width="22.140625" style="10" bestFit="1" customWidth="1"/>
    <col min="16" max="16" width="59.7109375" style="10" customWidth="1"/>
    <col min="17" max="17" width="7.7109375" style="10" customWidth="1"/>
    <col min="18" max="18" width="12" style="10" hidden="1" customWidth="1"/>
    <col min="19" max="19" width="12.5703125" style="10" customWidth="1"/>
    <col min="20" max="20" width="27.7109375" style="10" customWidth="1"/>
    <col min="21" max="21" width="16.85546875" style="10" customWidth="1"/>
    <col min="22" max="22" width="26" style="10" customWidth="1"/>
    <col min="23" max="23" width="8.85546875" style="10"/>
    <col min="24" max="24" width="15.5703125" style="10" customWidth="1"/>
    <col min="25" max="16384" width="8.85546875" style="10"/>
  </cols>
  <sheetData>
    <row r="1" spans="1:19" ht="18.75" x14ac:dyDescent="0.3">
      <c r="A1" s="27" t="s">
        <v>29</v>
      </c>
      <c r="B1" s="27" t="s">
        <v>30</v>
      </c>
      <c r="C1" s="27" t="s">
        <v>31</v>
      </c>
      <c r="D1" s="27" t="s">
        <v>32</v>
      </c>
      <c r="E1" s="27"/>
      <c r="F1" s="27"/>
      <c r="G1" s="12" t="str">
        <f>IF(M2&gt;0,M2,"")</f>
        <v>40.127.372 RICHARD HENRIQUE VERNILLO</v>
      </c>
      <c r="H1" s="13"/>
      <c r="I1" s="10"/>
      <c r="J1" s="2"/>
      <c r="K1" s="14" t="str">
        <f>IF(O2&gt;0,O2,"")</f>
        <v/>
      </c>
      <c r="M1" s="11" t="s">
        <v>16</v>
      </c>
      <c r="N1" s="8"/>
      <c r="O1" s="11" t="s">
        <v>17</v>
      </c>
      <c r="R1" s="10" t="s">
        <v>43</v>
      </c>
    </row>
    <row r="2" spans="1:19" x14ac:dyDescent="0.25">
      <c r="A2">
        <f>COUNTIF($C$2:C2,C2)</f>
        <v>1</v>
      </c>
      <c r="B2" s="1" t="str">
        <f>IFERROR(CONCATENATE(C2,A2),"")</f>
        <v>1</v>
      </c>
      <c r="C2" s="1" t="str">
        <f>IFERROR(VLOOKUP(D2,'Planilha de Cadastro - Previsão'!$A$2:$O$1000,15,FALSE()),"")</f>
        <v/>
      </c>
      <c r="D2" s="1">
        <v>1</v>
      </c>
      <c r="E2" s="1"/>
      <c r="F2" s="1"/>
      <c r="G2" s="15" t="str">
        <f>IF(M5&gt;0,M5,"")</f>
        <v>Rua Antonio Teodoro Nogueira, 1016</v>
      </c>
      <c r="H2" s="10"/>
      <c r="I2" s="10"/>
      <c r="J2" s="2"/>
      <c r="K2" s="16" t="str">
        <f>IF(O5&gt;0,O5,"")</f>
        <v/>
      </c>
      <c r="M2" s="7" t="s">
        <v>44</v>
      </c>
      <c r="N2" s="8"/>
      <c r="O2" s="7"/>
      <c r="R2" s="10" t="s">
        <v>44</v>
      </c>
    </row>
    <row r="3" spans="1:19" x14ac:dyDescent="0.25">
      <c r="A3">
        <f>COUNTIF($C$2:C3,C3)</f>
        <v>2</v>
      </c>
      <c r="B3" s="1" t="str">
        <f t="shared" ref="B3:B66" si="0">IFERROR(CONCATENATE(C3,A3),"")</f>
        <v>2</v>
      </c>
      <c r="C3" s="1" t="str">
        <f>IFERROR(VLOOKUP(D3,'Planilha de Cadastro - Previsão'!$A$2:$O$1000,15,FALSE()),"")</f>
        <v/>
      </c>
      <c r="D3" s="1">
        <v>2</v>
      </c>
      <c r="E3" s="1"/>
      <c r="F3" s="1"/>
      <c r="G3" s="15" t="str">
        <f>IF(M8&gt;0,M8,"")</f>
        <v>Jaborandi - São Paulo - Brasil</v>
      </c>
      <c r="H3" s="10"/>
      <c r="I3" s="10"/>
      <c r="J3" s="2"/>
      <c r="K3" s="16" t="str">
        <f>IF(O8&gt;0,O8,"")</f>
        <v/>
      </c>
      <c r="M3" s="7"/>
      <c r="N3" s="8"/>
      <c r="O3" s="7"/>
      <c r="R3" s="10" t="s">
        <v>18</v>
      </c>
    </row>
    <row r="4" spans="1:19" x14ac:dyDescent="0.25">
      <c r="A4">
        <f>COUNTIF($C$2:C4,C4)</f>
        <v>3</v>
      </c>
      <c r="B4" s="1" t="str">
        <f t="shared" si="0"/>
        <v>3</v>
      </c>
      <c r="C4" s="1" t="str">
        <f>IFERROR(VLOOKUP(D4,'Planilha de Cadastro - Previsão'!$A$2:$O$1000,15,FALSE()),"")</f>
        <v/>
      </c>
      <c r="D4" s="1">
        <v>3</v>
      </c>
      <c r="E4" s="1"/>
      <c r="F4" s="1"/>
      <c r="G4" s="15" t="str">
        <f>IF(M11&gt;0,M11,"")</f>
        <v>14775-000</v>
      </c>
      <c r="H4" s="10"/>
      <c r="I4" s="10"/>
      <c r="J4" s="2"/>
      <c r="K4" s="16" t="str">
        <f>IF(O11&gt;0,O11,"")</f>
        <v/>
      </c>
      <c r="M4" s="17" t="s">
        <v>19</v>
      </c>
      <c r="N4" s="8"/>
      <c r="O4" s="17" t="s">
        <v>19</v>
      </c>
    </row>
    <row r="5" spans="1:19" x14ac:dyDescent="0.25">
      <c r="A5">
        <f>COUNTIF($C$2:C5,C5)</f>
        <v>4</v>
      </c>
      <c r="B5" s="1" t="str">
        <f t="shared" si="0"/>
        <v>4</v>
      </c>
      <c r="C5" s="1" t="str">
        <f>IFERROR(VLOOKUP(D5,'Planilha de Cadastro - Previsão'!$A$2:$O$1000,15,FALSE()),"")</f>
        <v/>
      </c>
      <c r="D5" s="1">
        <v>4</v>
      </c>
      <c r="E5" s="1"/>
      <c r="F5" s="1"/>
      <c r="G5" s="15" t="str">
        <f>IF(M14&gt;0,M14,"")</f>
        <v>40.127.372/0001-06</v>
      </c>
      <c r="H5" s="10"/>
      <c r="I5" s="10"/>
      <c r="J5" s="2"/>
      <c r="K5" s="16" t="str">
        <f>IF(O14&gt;0,O14,"")</f>
        <v/>
      </c>
      <c r="M5" s="7" t="str">
        <f>IF(M2="58.603.996 LILIAN MARINO AMARAL LOPES","Rua Luis Daniel 160",IF(M2="40.127.372 RICHARD HENRIQUE VERNILLO","Rua Antonio Teodoro Nogueira, 1016","Rua Inacio Maximo Diniz Junqueira, 527"))</f>
        <v>Rua Antonio Teodoro Nogueira, 1016</v>
      </c>
      <c r="N5" s="8"/>
      <c r="O5" s="7"/>
    </row>
    <row r="6" spans="1:19" x14ac:dyDescent="0.25">
      <c r="A6">
        <f>COUNTIF($C$2:C6,C6)</f>
        <v>5</v>
      </c>
      <c r="B6" s="1" t="str">
        <f t="shared" si="0"/>
        <v>5</v>
      </c>
      <c r="C6" s="1" t="str">
        <f>IFERROR(VLOOKUP(D6,'Planilha de Cadastro - Previsão'!$A$2:$O$1000,15,FALSE()),"")</f>
        <v/>
      </c>
      <c r="D6" s="1">
        <v>5</v>
      </c>
      <c r="E6" s="1"/>
      <c r="F6" s="1"/>
      <c r="G6" s="15" t="str">
        <f>IF(M20&gt;0,M20,"")</f>
        <v>contato@mabus.com.br</v>
      </c>
      <c r="H6" s="10"/>
      <c r="I6" s="10"/>
      <c r="J6" s="2"/>
      <c r="M6" s="7"/>
      <c r="N6" s="8"/>
      <c r="O6" s="7"/>
      <c r="S6" s="10" t="str">
        <f>UPPER(R6)</f>
        <v/>
      </c>
    </row>
    <row r="7" spans="1:19" x14ac:dyDescent="0.25">
      <c r="A7">
        <f>COUNTIF($C$2:C7,C7)</f>
        <v>6</v>
      </c>
      <c r="B7" s="1" t="str">
        <f t="shared" si="0"/>
        <v>6</v>
      </c>
      <c r="C7" s="1" t="str">
        <f>IFERROR(VLOOKUP(D7,'Planilha de Cadastro - Previsão'!$A$2:$O$1000,15,FALSE()),"")</f>
        <v/>
      </c>
      <c r="D7" s="1">
        <v>6</v>
      </c>
      <c r="E7" s="1"/>
      <c r="F7" s="1"/>
      <c r="G7" s="15" t="str">
        <f>IF(M17&gt;0,M17,"")</f>
        <v/>
      </c>
      <c r="H7" s="10"/>
      <c r="I7" s="10"/>
      <c r="J7" s="53" t="s">
        <v>21</v>
      </c>
      <c r="K7" s="52">
        <f ca="1">TODAY()</f>
        <v>45997</v>
      </c>
      <c r="M7" s="17" t="s">
        <v>20</v>
      </c>
      <c r="N7" s="8"/>
      <c r="O7" s="17" t="s">
        <v>20</v>
      </c>
    </row>
    <row r="8" spans="1:19" x14ac:dyDescent="0.25">
      <c r="A8">
        <f>COUNTIF($C$2:C8,C8)</f>
        <v>7</v>
      </c>
      <c r="B8" s="1" t="str">
        <f t="shared" si="0"/>
        <v>7</v>
      </c>
      <c r="C8" s="1" t="str">
        <f>IFERROR(VLOOKUP(D8,'Planilha de Cadastro - Previsão'!$A$2:$O$1000,15,FALSE()),"")</f>
        <v/>
      </c>
      <c r="D8" s="1">
        <v>7</v>
      </c>
      <c r="E8" s="1"/>
      <c r="F8" s="1"/>
      <c r="G8" s="10"/>
      <c r="H8" s="10"/>
      <c r="I8" s="10"/>
      <c r="J8" s="2"/>
      <c r="M8" s="7" t="s">
        <v>22</v>
      </c>
      <c r="N8" s="8"/>
      <c r="O8" s="7"/>
    </row>
    <row r="9" spans="1:19" ht="16.5" x14ac:dyDescent="0.3">
      <c r="A9">
        <f>COUNTIF($C$2:C9,C9)</f>
        <v>8</v>
      </c>
      <c r="B9" s="1" t="str">
        <f t="shared" si="0"/>
        <v>8</v>
      </c>
      <c r="C9" s="1" t="str">
        <f>IFERROR(VLOOKUP(D9,'Planilha de Cadastro - Previsão'!$A$2:$O$1000,15,FALSE()),"")</f>
        <v/>
      </c>
      <c r="D9" s="1">
        <v>8</v>
      </c>
      <c r="E9" s="1"/>
      <c r="F9" s="1"/>
      <c r="G9" s="18" t="s">
        <v>0</v>
      </c>
      <c r="H9" s="18" t="s">
        <v>1</v>
      </c>
      <c r="I9" s="19" t="s">
        <v>2</v>
      </c>
      <c r="J9" s="20" t="s">
        <v>4</v>
      </c>
      <c r="K9" s="21" t="s">
        <v>8</v>
      </c>
      <c r="M9" s="7"/>
      <c r="N9" s="8"/>
      <c r="O9" s="7"/>
    </row>
    <row r="10" spans="1:19" x14ac:dyDescent="0.25">
      <c r="A10">
        <f>COUNTIF($C$2:C10,C10)</f>
        <v>9</v>
      </c>
      <c r="B10" s="1" t="str">
        <f t="shared" si="0"/>
        <v>9</v>
      </c>
      <c r="C10" s="1" t="str">
        <f>IFERROR(VLOOKUP(D10,'Planilha de Cadastro - Previsão'!$A$2:$O$1000,15,FALSE()),"")</f>
        <v/>
      </c>
      <c r="D10" s="1">
        <v>9</v>
      </c>
      <c r="E10" s="1"/>
      <c r="F10" s="1"/>
      <c r="G10" s="54" t="str">
        <f t="shared" ref="G10:G73" si="1">IFERROR((VLOOKUP(CONCATENATE("Sim",D2),$B$2:$D$1000,3,FALSE())),"")</f>
        <v/>
      </c>
      <c r="H10" s="55" t="str">
        <f>IFERROR((VLOOKUP(G10,'Planilha de Cadastro - Previsão'!$A$2:$N$1100,2,FALSE()))," ")</f>
        <v xml:space="preserve"> </v>
      </c>
      <c r="I10" s="54" t="str">
        <f>IFERROR((VLOOKUP(G10,'Planilha de Cadastro - Previsão'!$A$2:$N$1100,3,FALSE()))," ")</f>
        <v xml:space="preserve"> </v>
      </c>
      <c r="J10" s="56" t="str">
        <f>IFERROR((VLOOKUP(G10,'Planilha de Cadastro - Previsão'!$A$2:$N$1100,5,FALSE()))," ")</f>
        <v xml:space="preserve"> </v>
      </c>
      <c r="K10" s="57" t="str">
        <f>IFERROR((VLOOKUP(G10,'Planilha de Cadastro - Previsão'!$A$2:$N$1100,9,FALSE()))," ")</f>
        <v xml:space="preserve"> </v>
      </c>
      <c r="M10" s="17" t="s">
        <v>23</v>
      </c>
      <c r="N10" s="8"/>
      <c r="O10" s="17" t="s">
        <v>23</v>
      </c>
    </row>
    <row r="11" spans="1:19" x14ac:dyDescent="0.25">
      <c r="A11">
        <f>COUNTIF($C$2:C11,C11)</f>
        <v>10</v>
      </c>
      <c r="B11" s="1" t="str">
        <f t="shared" si="0"/>
        <v>10</v>
      </c>
      <c r="C11" s="1" t="str">
        <f>IFERROR(VLOOKUP(D11,'Planilha de Cadastro - Previsão'!$A$2:$O$1000,15,FALSE()),"")</f>
        <v/>
      </c>
      <c r="D11" s="1">
        <v>10</v>
      </c>
      <c r="E11" s="1"/>
      <c r="F11" s="1"/>
      <c r="G11" s="54" t="str">
        <f t="shared" si="1"/>
        <v/>
      </c>
      <c r="H11" s="55" t="str">
        <f>IFERROR((VLOOKUP(G11,'Planilha de Cadastro - Previsão'!$A$2:$N$1100,2,FALSE()))," ")</f>
        <v xml:space="preserve"> </v>
      </c>
      <c r="I11" s="54" t="str">
        <f>IFERROR((VLOOKUP(G11,'Planilha de Cadastro - Previsão'!$A$2:$N$1100,3,FALSE()))," ")</f>
        <v xml:space="preserve"> </v>
      </c>
      <c r="J11" s="56" t="str">
        <f>IFERROR((VLOOKUP(G11,'Planilha de Cadastro - Previsão'!$A$2:$N$1100,5,FALSE()))," ")</f>
        <v xml:space="preserve"> </v>
      </c>
      <c r="K11" s="57" t="str">
        <f>IFERROR((VLOOKUP(G11,'Planilha de Cadastro - Previsão'!$A$2:$N$1100,9,FALSE()))," ")</f>
        <v xml:space="preserve"> </v>
      </c>
      <c r="M11" s="7" t="s">
        <v>24</v>
      </c>
      <c r="N11" s="8"/>
      <c r="O11" s="7"/>
    </row>
    <row r="12" spans="1:19" x14ac:dyDescent="0.25">
      <c r="A12">
        <f>COUNTIF($C$2:C12,C12)</f>
        <v>11</v>
      </c>
      <c r="B12" s="1" t="str">
        <f t="shared" si="0"/>
        <v>11</v>
      </c>
      <c r="C12" s="1" t="str">
        <f>IFERROR(VLOOKUP(D12,'Planilha de Cadastro - Previsão'!$A$2:$O$1000,15,FALSE()),"")</f>
        <v/>
      </c>
      <c r="D12" s="1">
        <v>11</v>
      </c>
      <c r="E12" s="1"/>
      <c r="F12" s="1"/>
      <c r="G12" s="54" t="str">
        <f t="shared" si="1"/>
        <v/>
      </c>
      <c r="H12" s="55" t="str">
        <f>IFERROR((VLOOKUP(G12,'Planilha de Cadastro - Previsão'!$A$2:$N$1100,2,FALSE()))," ")</f>
        <v xml:space="preserve"> </v>
      </c>
      <c r="I12" s="54" t="str">
        <f>IFERROR((VLOOKUP(G12,'Planilha de Cadastro - Previsão'!$A$2:$N$1100,3,FALSE()))," ")</f>
        <v xml:space="preserve"> </v>
      </c>
      <c r="J12" s="56" t="str">
        <f>IFERROR((VLOOKUP(G12,'Planilha de Cadastro - Previsão'!$A$2:$N$1100,5,FALSE()))," ")</f>
        <v xml:space="preserve"> </v>
      </c>
      <c r="K12" s="57" t="str">
        <f>IFERROR((VLOOKUP(G12,'Planilha de Cadastro - Previsão'!$A$2:$N$1100,9,FALSE()))," ")</f>
        <v xml:space="preserve"> </v>
      </c>
      <c r="M12" s="7"/>
      <c r="N12" s="8"/>
      <c r="O12" s="7"/>
    </row>
    <row r="13" spans="1:19" x14ac:dyDescent="0.25">
      <c r="A13">
        <f>COUNTIF($C$2:C13,C13)</f>
        <v>12</v>
      </c>
      <c r="B13" s="1" t="str">
        <f t="shared" si="0"/>
        <v>12</v>
      </c>
      <c r="C13" s="1" t="str">
        <f>IFERROR(VLOOKUP(D13,'Planilha de Cadastro - Previsão'!$A$2:$O$1000,15,FALSE()),"")</f>
        <v/>
      </c>
      <c r="D13" s="1">
        <v>12</v>
      </c>
      <c r="E13" s="1"/>
      <c r="F13" s="1"/>
      <c r="G13" s="54" t="str">
        <f t="shared" si="1"/>
        <v/>
      </c>
      <c r="H13" s="55" t="str">
        <f>IFERROR((VLOOKUP(G13,'Planilha de Cadastro - Previsão'!$A$2:$N$1100,2,FALSE()))," ")</f>
        <v xml:space="preserve"> </v>
      </c>
      <c r="I13" s="54" t="str">
        <f>IFERROR((VLOOKUP(G13,'Planilha de Cadastro - Previsão'!$A$2:$N$1100,3,FALSE()))," ")</f>
        <v xml:space="preserve"> </v>
      </c>
      <c r="J13" s="56" t="str">
        <f>IFERROR((VLOOKUP(G13,'Planilha de Cadastro - Previsão'!$A$2:$N$1100,5,FALSE()))," ")</f>
        <v xml:space="preserve"> </v>
      </c>
      <c r="K13" s="57" t="str">
        <f>IFERROR((VLOOKUP(G13,'Planilha de Cadastro - Previsão'!$A$2:$N$1100,9,FALSE()))," ")</f>
        <v xml:space="preserve"> </v>
      </c>
      <c r="M13" s="17" t="s">
        <v>25</v>
      </c>
      <c r="N13" s="8"/>
      <c r="O13" s="17" t="s">
        <v>25</v>
      </c>
    </row>
    <row r="14" spans="1:19" x14ac:dyDescent="0.25">
      <c r="A14">
        <f>COUNTIF($C$2:C14,C14)</f>
        <v>13</v>
      </c>
      <c r="B14" s="1" t="str">
        <f t="shared" si="0"/>
        <v>13</v>
      </c>
      <c r="C14" s="1" t="str">
        <f>IFERROR(VLOOKUP(D14,'Planilha de Cadastro - Previsão'!$A$2:$O$1000,15,FALSE()),"")</f>
        <v/>
      </c>
      <c r="D14" s="1">
        <v>13</v>
      </c>
      <c r="E14" s="1"/>
      <c r="F14" s="1"/>
      <c r="G14" s="54" t="str">
        <f t="shared" si="1"/>
        <v/>
      </c>
      <c r="H14" s="55" t="str">
        <f>IFERROR((VLOOKUP(G14,'Planilha de Cadastro - Previsão'!$A$2:$N$1100,2,FALSE()))," ")</f>
        <v xml:space="preserve"> </v>
      </c>
      <c r="I14" s="54" t="str">
        <f>IFERROR((VLOOKUP(G14,'Planilha de Cadastro - Previsão'!$A$2:$N$1100,3,FALSE()))," ")</f>
        <v xml:space="preserve"> </v>
      </c>
      <c r="J14" s="56" t="str">
        <f>IFERROR((VLOOKUP(G14,'Planilha de Cadastro - Previsão'!$A$2:$N$1100,5,FALSE()))," ")</f>
        <v xml:space="preserve"> </v>
      </c>
      <c r="K14" s="57" t="str">
        <f>IFERROR((VLOOKUP(G14,'Planilha de Cadastro - Previsão'!$A$2:$N$1100,9,FALSE()))," ")</f>
        <v xml:space="preserve"> </v>
      </c>
      <c r="M14" s="7" t="str">
        <f>IF(M2="58.603.996 LILIAN MARINO AMARAL LOPES","58.603.996/0001-00",IF(M2="40.127.372 RICHARD HENRIQUE VERNILLO","40.127.372/0001-06","56.386.309/0001-16"))</f>
        <v>40.127.372/0001-06</v>
      </c>
      <c r="N14" s="8"/>
      <c r="O14" s="7"/>
    </row>
    <row r="15" spans="1:19" x14ac:dyDescent="0.25">
      <c r="A15">
        <f>COUNTIF($C$2:C15,C15)</f>
        <v>14</v>
      </c>
      <c r="B15" s="1" t="str">
        <f t="shared" si="0"/>
        <v>14</v>
      </c>
      <c r="C15" s="1" t="str">
        <f>IFERROR(VLOOKUP(D15,'Planilha de Cadastro - Previsão'!$A$2:$O$1000,15,FALSE()),"")</f>
        <v/>
      </c>
      <c r="D15" s="1">
        <v>14</v>
      </c>
      <c r="E15" s="1"/>
      <c r="F15" s="1"/>
      <c r="G15" s="54" t="str">
        <f t="shared" si="1"/>
        <v/>
      </c>
      <c r="H15" s="55" t="str">
        <f>IFERROR((VLOOKUP(G15,'Planilha de Cadastro - Previsão'!$A$2:$N$1100,2,FALSE()))," ")</f>
        <v xml:space="preserve"> </v>
      </c>
      <c r="I15" s="54" t="str">
        <f>IFERROR((VLOOKUP(G15,'Planilha de Cadastro - Previsão'!$A$2:$N$1100,3,FALSE()))," ")</f>
        <v xml:space="preserve"> </v>
      </c>
      <c r="J15" s="56" t="str">
        <f>IFERROR((VLOOKUP(G15,'Planilha de Cadastro - Previsão'!$A$2:$N$1100,5,FALSE()))," ")</f>
        <v xml:space="preserve"> </v>
      </c>
      <c r="K15" s="57" t="str">
        <f>IFERROR((VLOOKUP(G15,'Planilha de Cadastro - Previsão'!$A$2:$N$1100,9,FALSE()))," ")</f>
        <v xml:space="preserve"> </v>
      </c>
      <c r="M15" s="7"/>
      <c r="N15" s="8"/>
      <c r="O15" s="7"/>
    </row>
    <row r="16" spans="1:19" x14ac:dyDescent="0.25">
      <c r="A16">
        <f>COUNTIF($C$2:C16,C16)</f>
        <v>15</v>
      </c>
      <c r="B16" s="1" t="str">
        <f t="shared" si="0"/>
        <v>15</v>
      </c>
      <c r="C16" s="1" t="str">
        <f>IFERROR(VLOOKUP(D16,'Planilha de Cadastro - Previsão'!$A$2:$O$1000,15,FALSE()),"")</f>
        <v/>
      </c>
      <c r="D16" s="1">
        <v>15</v>
      </c>
      <c r="E16" s="1"/>
      <c r="F16" s="1"/>
      <c r="G16" s="54" t="str">
        <f t="shared" si="1"/>
        <v/>
      </c>
      <c r="H16" s="55" t="str">
        <f>IFERROR((VLOOKUP(G16,'Planilha de Cadastro - Previsão'!$A$2:$N$1100,2,FALSE()))," ")</f>
        <v xml:space="preserve"> </v>
      </c>
      <c r="I16" s="54" t="str">
        <f>IFERROR((VLOOKUP(G16,'Planilha de Cadastro - Previsão'!$A$2:$N$1100,3,FALSE()))," ")</f>
        <v xml:space="preserve"> </v>
      </c>
      <c r="J16" s="56" t="str">
        <f>IFERROR((VLOOKUP(G16,'Planilha de Cadastro - Previsão'!$A$2:$N$1100,5,FALSE()))," ")</f>
        <v xml:space="preserve"> </v>
      </c>
      <c r="K16" s="57" t="str">
        <f>IFERROR((VLOOKUP(G16,'Planilha de Cadastro - Previsão'!$A$2:$N$1100,9,FALSE()))," ")</f>
        <v xml:space="preserve"> </v>
      </c>
      <c r="M16" s="17" t="s">
        <v>26</v>
      </c>
      <c r="N16" s="8"/>
      <c r="O16" s="17" t="s">
        <v>26</v>
      </c>
    </row>
    <row r="17" spans="1:15" x14ac:dyDescent="0.25">
      <c r="A17">
        <f>COUNTIF($C$2:C17,C17)</f>
        <v>16</v>
      </c>
      <c r="B17" s="1" t="str">
        <f t="shared" si="0"/>
        <v>16</v>
      </c>
      <c r="C17" s="1" t="str">
        <f>IFERROR(VLOOKUP(D17,'Planilha de Cadastro - Previsão'!$A$2:$O$1000,15,FALSE()),"")</f>
        <v/>
      </c>
      <c r="D17" s="1">
        <v>16</v>
      </c>
      <c r="E17" s="1"/>
      <c r="F17" s="1"/>
      <c r="G17" s="54" t="str">
        <f t="shared" si="1"/>
        <v/>
      </c>
      <c r="H17" s="55" t="str">
        <f>IFERROR((VLOOKUP(G17,'Planilha de Cadastro - Previsão'!$A$2:$N$1100,2,FALSE()))," ")</f>
        <v xml:space="preserve"> </v>
      </c>
      <c r="I17" s="54" t="str">
        <f>IFERROR((VLOOKUP(G17,'Planilha de Cadastro - Previsão'!$A$2:$N$1100,3,FALSE()))," ")</f>
        <v xml:space="preserve"> </v>
      </c>
      <c r="J17" s="56" t="str">
        <f>IFERROR((VLOOKUP(G17,'Planilha de Cadastro - Previsão'!$A$2:$N$1100,5,FALSE()))," ")</f>
        <v xml:space="preserve"> </v>
      </c>
      <c r="K17" s="57" t="str">
        <f>IFERROR((VLOOKUP(G17,'Planilha de Cadastro - Previsão'!$A$2:$N$1100,9,FALSE()))," ")</f>
        <v xml:space="preserve"> </v>
      </c>
      <c r="M17" s="7"/>
      <c r="N17" s="8"/>
      <c r="O17" s="7"/>
    </row>
    <row r="18" spans="1:15" x14ac:dyDescent="0.25">
      <c r="A18">
        <f>COUNTIF($C$2:C18,C18)</f>
        <v>17</v>
      </c>
      <c r="B18" s="1" t="str">
        <f t="shared" si="0"/>
        <v>17</v>
      </c>
      <c r="C18" s="1" t="str">
        <f>IFERROR(VLOOKUP(D18,'Planilha de Cadastro - Previsão'!$A$2:$O$1000,15,FALSE()),"")</f>
        <v/>
      </c>
      <c r="D18" s="1">
        <v>17</v>
      </c>
      <c r="E18" s="1"/>
      <c r="F18" s="1"/>
      <c r="G18" s="54" t="str">
        <f t="shared" si="1"/>
        <v/>
      </c>
      <c r="H18" s="55" t="str">
        <f>IFERROR((VLOOKUP(G18,'Planilha de Cadastro - Previsão'!$A$2:$N$1100,2,FALSE()))," ")</f>
        <v xml:space="preserve"> </v>
      </c>
      <c r="I18" s="54" t="str">
        <f>IFERROR((VLOOKUP(G18,'Planilha de Cadastro - Previsão'!$A$2:$N$1100,3,FALSE()))," ")</f>
        <v xml:space="preserve"> </v>
      </c>
      <c r="J18" s="56" t="str">
        <f>IFERROR((VLOOKUP(G18,'Planilha de Cadastro - Previsão'!$A$2:$N$1100,5,FALSE()))," ")</f>
        <v xml:space="preserve"> </v>
      </c>
      <c r="K18" s="57" t="str">
        <f>IFERROR((VLOOKUP(G18,'Planilha de Cadastro - Previsão'!$A$2:$N$1100,9,FALSE()))," ")</f>
        <v xml:space="preserve"> </v>
      </c>
      <c r="M18" s="7"/>
      <c r="N18" s="8"/>
      <c r="O18" s="7"/>
    </row>
    <row r="19" spans="1:15" x14ac:dyDescent="0.25">
      <c r="A19">
        <f>COUNTIF($C$2:C19,C19)</f>
        <v>18</v>
      </c>
      <c r="B19" s="1" t="str">
        <f t="shared" si="0"/>
        <v>18</v>
      </c>
      <c r="C19" s="1" t="str">
        <f>IFERROR(VLOOKUP(D19,'Planilha de Cadastro - Previsão'!$A$2:$O$1000,15,FALSE()),"")</f>
        <v/>
      </c>
      <c r="D19" s="1">
        <v>18</v>
      </c>
      <c r="E19" s="1"/>
      <c r="F19" s="1"/>
      <c r="G19" s="54" t="str">
        <f t="shared" si="1"/>
        <v/>
      </c>
      <c r="H19" s="55" t="str">
        <f>IFERROR((VLOOKUP(G19,'Planilha de Cadastro - Previsão'!$A$2:$N$1100,2,FALSE()))," ")</f>
        <v xml:space="preserve"> </v>
      </c>
      <c r="I19" s="54" t="str">
        <f>IFERROR((VLOOKUP(G19,'Planilha de Cadastro - Previsão'!$A$2:$N$1100,3,FALSE()))," ")</f>
        <v xml:space="preserve"> </v>
      </c>
      <c r="J19" s="56" t="str">
        <f>IFERROR((VLOOKUP(G19,'Planilha de Cadastro - Previsão'!$A$2:$N$1100,5,FALSE()))," ")</f>
        <v xml:space="preserve"> </v>
      </c>
      <c r="K19" s="57" t="str">
        <f>IFERROR((VLOOKUP(G19,'Planilha de Cadastro - Previsão'!$A$2:$N$1100,9,FALSE()))," ")</f>
        <v xml:space="preserve"> </v>
      </c>
      <c r="M19" s="17" t="s">
        <v>27</v>
      </c>
      <c r="N19" s="8"/>
      <c r="O19" s="17" t="s">
        <v>27</v>
      </c>
    </row>
    <row r="20" spans="1:15" x14ac:dyDescent="0.25">
      <c r="A20">
        <f>COUNTIF($C$2:C20,C20)</f>
        <v>19</v>
      </c>
      <c r="B20" s="1" t="str">
        <f t="shared" si="0"/>
        <v>19</v>
      </c>
      <c r="C20" s="1" t="str">
        <f>IFERROR(VLOOKUP(D20,'Planilha de Cadastro - Previsão'!$A$2:$O$1000,15,FALSE()),"")</f>
        <v/>
      </c>
      <c r="D20" s="1">
        <v>19</v>
      </c>
      <c r="E20" s="1"/>
      <c r="F20" s="1"/>
      <c r="G20" s="54" t="str">
        <f t="shared" si="1"/>
        <v/>
      </c>
      <c r="H20" s="55" t="str">
        <f>IFERROR((VLOOKUP(G20,'Planilha de Cadastro - Previsão'!$A$2:$N$1100,2,FALSE()))," ")</f>
        <v xml:space="preserve"> </v>
      </c>
      <c r="I20" s="54" t="str">
        <f>IFERROR((VLOOKUP(G20,'Planilha de Cadastro - Previsão'!$A$2:$N$1100,3,FALSE()))," ")</f>
        <v xml:space="preserve"> </v>
      </c>
      <c r="J20" s="56" t="str">
        <f>IFERROR((VLOOKUP(G20,'Planilha de Cadastro - Previsão'!$A$2:$N$1100,5,FALSE()))," ")</f>
        <v xml:space="preserve"> </v>
      </c>
      <c r="K20" s="57" t="str">
        <f>IFERROR((VLOOKUP(G20,'Planilha de Cadastro - Previsão'!$A$2:$N$1100,9,FALSE()))," ")</f>
        <v xml:space="preserve"> </v>
      </c>
      <c r="M20" s="7" t="str">
        <f>IF(M2="58.603.996 LILIAN MARINO AMARAL LOPES","lia@mabus.com.br",IF(M8="40.127.372 RICHARD HENRIQUE VERNILLO","richard@mabus.com.br","contato@mabus.com.br"))</f>
        <v>contato@mabus.com.br</v>
      </c>
      <c r="N20" s="8"/>
      <c r="O20" s="7"/>
    </row>
    <row r="21" spans="1:15" x14ac:dyDescent="0.25">
      <c r="A21">
        <f>COUNTIF($C$2:C21,C21)</f>
        <v>20</v>
      </c>
      <c r="B21" s="1" t="str">
        <f t="shared" si="0"/>
        <v>20</v>
      </c>
      <c r="C21" s="1" t="str">
        <f>IFERROR(VLOOKUP(D21,'Planilha de Cadastro - Previsão'!$A$2:$O$1000,15,FALSE()),"")</f>
        <v/>
      </c>
      <c r="D21" s="1">
        <v>20</v>
      </c>
      <c r="E21" s="1"/>
      <c r="F21" s="1"/>
      <c r="G21" s="54" t="str">
        <f t="shared" si="1"/>
        <v/>
      </c>
      <c r="H21" s="55" t="str">
        <f>IFERROR((VLOOKUP(G21,'Planilha de Cadastro - Previsão'!$A$2:$N$1100,2,FALSE()))," ")</f>
        <v xml:space="preserve"> </v>
      </c>
      <c r="I21" s="54" t="str">
        <f>IFERROR((VLOOKUP(G21,'Planilha de Cadastro - Previsão'!$A$2:$N$1100,3,FALSE()))," ")</f>
        <v xml:space="preserve"> </v>
      </c>
      <c r="J21" s="56" t="str">
        <f>IFERROR((VLOOKUP(G21,'Planilha de Cadastro - Previsão'!$A$2:$N$1100,5,FALSE()))," ")</f>
        <v xml:space="preserve"> </v>
      </c>
      <c r="K21" s="57" t="str">
        <f>IFERROR((VLOOKUP(G21,'Planilha de Cadastro - Previsão'!$A$2:$N$1100,9,FALSE()))," ")</f>
        <v xml:space="preserve"> </v>
      </c>
    </row>
    <row r="22" spans="1:15" x14ac:dyDescent="0.25">
      <c r="A22">
        <f>COUNTIF($C$2:C22,C22)</f>
        <v>21</v>
      </c>
      <c r="B22" s="1" t="str">
        <f t="shared" si="0"/>
        <v>21</v>
      </c>
      <c r="C22" s="1" t="str">
        <f>IFERROR(VLOOKUP(D22,'Planilha de Cadastro - Previsão'!$A$2:$O$1000,15,FALSE()),"")</f>
        <v/>
      </c>
      <c r="D22" s="1">
        <v>21</v>
      </c>
      <c r="E22" s="1"/>
      <c r="F22" s="1"/>
      <c r="G22" s="54" t="str">
        <f t="shared" si="1"/>
        <v/>
      </c>
      <c r="H22" s="55" t="str">
        <f>IFERROR((VLOOKUP(G22,'Planilha de Cadastro - Previsão'!$A$2:$N$1100,2,FALSE()))," ")</f>
        <v xml:space="preserve"> </v>
      </c>
      <c r="I22" s="54" t="str">
        <f>IFERROR((VLOOKUP(G22,'Planilha de Cadastro - Previsão'!$A$2:$N$1100,3,FALSE()))," ")</f>
        <v xml:space="preserve"> </v>
      </c>
      <c r="J22" s="56" t="str">
        <f>IFERROR((VLOOKUP(G22,'Planilha de Cadastro - Previsão'!$A$2:$N$1100,5,FALSE()))," ")</f>
        <v xml:space="preserve"> </v>
      </c>
      <c r="K22" s="57" t="str">
        <f>IFERROR((VLOOKUP(G22,'Planilha de Cadastro - Previsão'!$A$2:$N$1100,9,FALSE()))," ")</f>
        <v xml:space="preserve"> </v>
      </c>
    </row>
    <row r="23" spans="1:15" x14ac:dyDescent="0.25">
      <c r="A23">
        <f>COUNTIF($C$2:C23,C23)</f>
        <v>22</v>
      </c>
      <c r="B23" s="1" t="str">
        <f t="shared" si="0"/>
        <v>22</v>
      </c>
      <c r="C23" s="1" t="str">
        <f>IFERROR(VLOOKUP(D23,'Planilha de Cadastro - Previsão'!$A$2:$O$1000,15,FALSE()),"")</f>
        <v/>
      </c>
      <c r="D23" s="1">
        <v>22</v>
      </c>
      <c r="E23" s="1"/>
      <c r="F23" s="1"/>
      <c r="G23" s="54" t="str">
        <f t="shared" si="1"/>
        <v/>
      </c>
      <c r="H23" s="55" t="str">
        <f>IFERROR((VLOOKUP(G23,'Planilha de Cadastro - Previsão'!$A$2:$N$1100,2,FALSE()))," ")</f>
        <v xml:space="preserve"> </v>
      </c>
      <c r="I23" s="54" t="str">
        <f>IFERROR((VLOOKUP(G23,'Planilha de Cadastro - Previsão'!$A$2:$N$1100,3,FALSE()))," ")</f>
        <v xml:space="preserve"> </v>
      </c>
      <c r="J23" s="56" t="str">
        <f>IFERROR((VLOOKUP(G23,'Planilha de Cadastro - Previsão'!$A$2:$N$1100,5,FALSE()))," ")</f>
        <v xml:space="preserve"> </v>
      </c>
      <c r="K23" s="57" t="str">
        <f>IFERROR((VLOOKUP(G23,'Planilha de Cadastro - Previsão'!$A$2:$N$1100,9,FALSE()))," ")</f>
        <v xml:space="preserve"> </v>
      </c>
    </row>
    <row r="24" spans="1:15" x14ac:dyDescent="0.25">
      <c r="A24">
        <f>COUNTIF($C$2:C24,C24)</f>
        <v>23</v>
      </c>
      <c r="B24" s="1" t="str">
        <f t="shared" si="0"/>
        <v>23</v>
      </c>
      <c r="C24" s="1" t="str">
        <f>IFERROR(VLOOKUP(D24,'Planilha de Cadastro - Previsão'!$A$2:$O$1000,15,FALSE()),"")</f>
        <v/>
      </c>
      <c r="D24" s="1">
        <v>23</v>
      </c>
      <c r="E24" s="1"/>
      <c r="F24" s="1"/>
      <c r="G24" s="54" t="str">
        <f t="shared" si="1"/>
        <v/>
      </c>
      <c r="H24" s="55" t="str">
        <f>IFERROR((VLOOKUP(G24,'Planilha de Cadastro - Previsão'!$A$2:$N$1100,2,FALSE()))," ")</f>
        <v xml:space="preserve"> </v>
      </c>
      <c r="I24" s="54" t="str">
        <f>IFERROR((VLOOKUP(G24,'Planilha de Cadastro - Previsão'!$A$2:$N$1100,3,FALSE()))," ")</f>
        <v xml:space="preserve"> </v>
      </c>
      <c r="J24" s="56" t="str">
        <f>IFERROR((VLOOKUP(G24,'Planilha de Cadastro - Previsão'!$A$2:$N$1100,5,FALSE()))," ")</f>
        <v xml:space="preserve"> </v>
      </c>
      <c r="K24" s="57" t="str">
        <f>IFERROR((VLOOKUP(G24,'Planilha de Cadastro - Previsão'!$A$2:$N$1100,9,FALSE()))," ")</f>
        <v xml:space="preserve"> </v>
      </c>
    </row>
    <row r="25" spans="1:15" x14ac:dyDescent="0.25">
      <c r="A25">
        <f>COUNTIF($C$2:C25,C25)</f>
        <v>24</v>
      </c>
      <c r="B25" s="1" t="str">
        <f t="shared" si="0"/>
        <v>24</v>
      </c>
      <c r="C25" s="1" t="str">
        <f>IFERROR(VLOOKUP(D25,'Planilha de Cadastro - Previsão'!$A$2:$O$1000,15,FALSE()),"")</f>
        <v/>
      </c>
      <c r="D25" s="1">
        <v>24</v>
      </c>
      <c r="E25" s="1"/>
      <c r="F25" s="1"/>
      <c r="G25" s="54" t="str">
        <f t="shared" si="1"/>
        <v/>
      </c>
      <c r="H25" s="55" t="str">
        <f>IFERROR((VLOOKUP(G25,'Planilha de Cadastro - Previsão'!$A$2:$N$1100,2,FALSE()))," ")</f>
        <v xml:space="preserve"> </v>
      </c>
      <c r="I25" s="54" t="str">
        <f>IFERROR((VLOOKUP(G25,'Planilha de Cadastro - Previsão'!$A$2:$N$1100,3,FALSE()))," ")</f>
        <v xml:space="preserve"> </v>
      </c>
      <c r="J25" s="56" t="str">
        <f>IFERROR((VLOOKUP(G25,'Planilha de Cadastro - Previsão'!$A$2:$N$1100,5,FALSE()))," ")</f>
        <v xml:space="preserve"> </v>
      </c>
      <c r="K25" s="57" t="str">
        <f>IFERROR((VLOOKUP(G25,'Planilha de Cadastro - Previsão'!$A$2:$N$1100,9,FALSE()))," ")</f>
        <v xml:space="preserve"> </v>
      </c>
    </row>
    <row r="26" spans="1:15" x14ac:dyDescent="0.25">
      <c r="A26">
        <f>COUNTIF($C$2:C26,C26)</f>
        <v>25</v>
      </c>
      <c r="B26" s="1" t="str">
        <f t="shared" si="0"/>
        <v>25</v>
      </c>
      <c r="C26" s="1" t="str">
        <f>IFERROR(VLOOKUP(D26,'Planilha de Cadastro - Previsão'!$A$2:$O$1000,15,FALSE()),"")</f>
        <v/>
      </c>
      <c r="D26" s="1">
        <v>25</v>
      </c>
      <c r="E26" s="1"/>
      <c r="F26" s="1"/>
      <c r="G26" s="54" t="str">
        <f t="shared" si="1"/>
        <v/>
      </c>
      <c r="H26" s="55" t="str">
        <f>IFERROR((VLOOKUP(G26,'Planilha de Cadastro - Previsão'!$A$2:$N$1100,2,FALSE()))," ")</f>
        <v xml:space="preserve"> </v>
      </c>
      <c r="I26" s="54" t="str">
        <f>IFERROR((VLOOKUP(G26,'Planilha de Cadastro - Previsão'!$A$2:$N$1100,3,FALSE()))," ")</f>
        <v xml:space="preserve"> </v>
      </c>
      <c r="J26" s="56" t="str">
        <f>IFERROR((VLOOKUP(G26,'Planilha de Cadastro - Previsão'!$A$2:$N$1100,5,FALSE()))," ")</f>
        <v xml:space="preserve"> </v>
      </c>
      <c r="K26" s="57" t="str">
        <f>IFERROR((VLOOKUP(G26,'Planilha de Cadastro - Previsão'!$A$2:$N$1100,9,FALSE()))," ")</f>
        <v xml:space="preserve"> </v>
      </c>
    </row>
    <row r="27" spans="1:15" x14ac:dyDescent="0.25">
      <c r="A27">
        <f>COUNTIF($C$2:C27,C27)</f>
        <v>26</v>
      </c>
      <c r="B27" s="1" t="str">
        <f t="shared" si="0"/>
        <v>26</v>
      </c>
      <c r="C27" s="1" t="str">
        <f>IFERROR(VLOOKUP(D27,'Planilha de Cadastro - Previsão'!$A$2:$O$1000,15,FALSE()),"")</f>
        <v/>
      </c>
      <c r="D27" s="1">
        <v>26</v>
      </c>
      <c r="E27" s="1"/>
      <c r="F27" s="1"/>
      <c r="G27" s="54" t="str">
        <f t="shared" si="1"/>
        <v/>
      </c>
      <c r="H27" s="55" t="str">
        <f>IFERROR((VLOOKUP(G27,'Planilha de Cadastro - Previsão'!$A$2:$N$1100,2,FALSE()))," ")</f>
        <v xml:space="preserve"> </v>
      </c>
      <c r="I27" s="54" t="str">
        <f>IFERROR((VLOOKUP(G27,'Planilha de Cadastro - Previsão'!$A$2:$N$1100,3,FALSE()))," ")</f>
        <v xml:space="preserve"> </v>
      </c>
      <c r="J27" s="56" t="str">
        <f>IFERROR((VLOOKUP(G27,'Planilha de Cadastro - Previsão'!$A$2:$N$1100,5,FALSE()))," ")</f>
        <v xml:space="preserve"> </v>
      </c>
      <c r="K27" s="57" t="str">
        <f>IFERROR((VLOOKUP(G27,'Planilha de Cadastro - Previsão'!$A$2:$N$1100,9,FALSE()))," ")</f>
        <v xml:space="preserve"> </v>
      </c>
    </row>
    <row r="28" spans="1:15" x14ac:dyDescent="0.25">
      <c r="A28">
        <f>COUNTIF($C$2:C28,C28)</f>
        <v>27</v>
      </c>
      <c r="B28" s="1" t="str">
        <f t="shared" si="0"/>
        <v>27</v>
      </c>
      <c r="C28" s="1" t="str">
        <f>IFERROR(VLOOKUP(D28,'Planilha de Cadastro - Previsão'!$A$2:$O$1000,15,FALSE()),"")</f>
        <v/>
      </c>
      <c r="D28" s="1">
        <v>27</v>
      </c>
      <c r="E28" s="1"/>
      <c r="F28" s="1"/>
      <c r="G28" s="54" t="str">
        <f t="shared" si="1"/>
        <v/>
      </c>
      <c r="H28" s="55" t="str">
        <f>IFERROR((VLOOKUP(G28,'Planilha de Cadastro - Previsão'!$A$2:$N$1100,2,FALSE()))," ")</f>
        <v xml:space="preserve"> </v>
      </c>
      <c r="I28" s="54" t="str">
        <f>IFERROR((VLOOKUP(G28,'Planilha de Cadastro - Previsão'!$A$2:$N$1100,3,FALSE()))," ")</f>
        <v xml:space="preserve"> </v>
      </c>
      <c r="J28" s="56" t="str">
        <f>IFERROR((VLOOKUP(G28,'Planilha de Cadastro - Previsão'!$A$2:$N$1100,5,FALSE()))," ")</f>
        <v xml:space="preserve"> </v>
      </c>
      <c r="K28" s="57" t="str">
        <f>IFERROR((VLOOKUP(G28,'Planilha de Cadastro - Previsão'!$A$2:$N$1100,9,FALSE()))," ")</f>
        <v xml:space="preserve"> </v>
      </c>
    </row>
    <row r="29" spans="1:15" x14ac:dyDescent="0.25">
      <c r="A29">
        <f>COUNTIF($C$2:C29,C29)</f>
        <v>28</v>
      </c>
      <c r="B29" s="1" t="str">
        <f t="shared" si="0"/>
        <v>28</v>
      </c>
      <c r="C29" s="1" t="str">
        <f>IFERROR(VLOOKUP(D29,'Planilha de Cadastro - Previsão'!$A$2:$O$1000,15,FALSE()),"")</f>
        <v/>
      </c>
      <c r="D29" s="1">
        <v>28</v>
      </c>
      <c r="E29" s="1"/>
      <c r="F29" s="1"/>
      <c r="G29" s="54" t="str">
        <f t="shared" si="1"/>
        <v/>
      </c>
      <c r="H29" s="55" t="str">
        <f>IFERROR((VLOOKUP(G29,'Planilha de Cadastro - Previsão'!$A$2:$N$1100,2,FALSE()))," ")</f>
        <v xml:space="preserve"> </v>
      </c>
      <c r="I29" s="54" t="str">
        <f>IFERROR((VLOOKUP(G29,'Planilha de Cadastro - Previsão'!$A$2:$N$1100,3,FALSE()))," ")</f>
        <v xml:space="preserve"> </v>
      </c>
      <c r="J29" s="56" t="str">
        <f>IFERROR((VLOOKUP(G29,'Planilha de Cadastro - Previsão'!$A$2:$N$1100,5,FALSE()))," ")</f>
        <v xml:space="preserve"> </v>
      </c>
      <c r="K29" s="57" t="str">
        <f>IFERROR((VLOOKUP(G29,'Planilha de Cadastro - Previsão'!$A$2:$N$1100,9,FALSE()))," ")</f>
        <v xml:space="preserve"> </v>
      </c>
    </row>
    <row r="30" spans="1:15" x14ac:dyDescent="0.25">
      <c r="A30">
        <f>COUNTIF($C$2:C30,C30)</f>
        <v>29</v>
      </c>
      <c r="B30" s="1" t="str">
        <f t="shared" si="0"/>
        <v>29</v>
      </c>
      <c r="C30" s="1" t="str">
        <f>IFERROR(VLOOKUP(D30,'Planilha de Cadastro - Previsão'!$A$2:$O$1000,15,FALSE()),"")</f>
        <v/>
      </c>
      <c r="D30" s="1">
        <v>29</v>
      </c>
      <c r="E30" s="1"/>
      <c r="F30" s="1"/>
      <c r="G30" s="54" t="str">
        <f t="shared" si="1"/>
        <v/>
      </c>
      <c r="H30" s="55" t="str">
        <f>IFERROR((VLOOKUP(G30,'Planilha de Cadastro - Previsão'!$A$2:$N$1100,2,FALSE()))," ")</f>
        <v xml:space="preserve"> </v>
      </c>
      <c r="I30" s="54" t="str">
        <f>IFERROR((VLOOKUP(G30,'Planilha de Cadastro - Previsão'!$A$2:$N$1100,3,FALSE()))," ")</f>
        <v xml:space="preserve"> </v>
      </c>
      <c r="J30" s="56" t="str">
        <f>IFERROR((VLOOKUP(G30,'Planilha de Cadastro - Previsão'!$A$2:$N$1100,5,FALSE()))," ")</f>
        <v xml:space="preserve"> </v>
      </c>
      <c r="K30" s="57" t="str">
        <f>IFERROR((VLOOKUP(G30,'Planilha de Cadastro - Previsão'!$A$2:$N$1100,9,FALSE()))," ")</f>
        <v xml:space="preserve"> </v>
      </c>
    </row>
    <row r="31" spans="1:15" x14ac:dyDescent="0.25">
      <c r="A31">
        <f>COUNTIF($C$2:C31,C31)</f>
        <v>30</v>
      </c>
      <c r="B31" s="1" t="str">
        <f t="shared" si="0"/>
        <v>30</v>
      </c>
      <c r="C31" s="1" t="str">
        <f>IFERROR(VLOOKUP(D31,'Planilha de Cadastro - Previsão'!$A$2:$O$1000,15,FALSE()),"")</f>
        <v/>
      </c>
      <c r="D31" s="1">
        <v>30</v>
      </c>
      <c r="E31" s="1"/>
      <c r="F31" s="1"/>
      <c r="G31" s="54" t="str">
        <f t="shared" si="1"/>
        <v/>
      </c>
      <c r="H31" s="55" t="str">
        <f>IFERROR((VLOOKUP(G31,'Planilha de Cadastro - Previsão'!$A$2:$N$1100,2,FALSE()))," ")</f>
        <v xml:space="preserve"> </v>
      </c>
      <c r="I31" s="54" t="str">
        <f>IFERROR((VLOOKUP(G31,'Planilha de Cadastro - Previsão'!$A$2:$N$1100,3,FALSE()))," ")</f>
        <v xml:space="preserve"> </v>
      </c>
      <c r="J31" s="56" t="str">
        <f>IFERROR((VLOOKUP(G31,'Planilha de Cadastro - Previsão'!$A$2:$N$1100,5,FALSE()))," ")</f>
        <v xml:space="preserve"> </v>
      </c>
      <c r="K31" s="57" t="str">
        <f>IFERROR((VLOOKUP(G31,'Planilha de Cadastro - Previsão'!$A$2:$N$1100,9,FALSE()))," ")</f>
        <v xml:space="preserve"> </v>
      </c>
    </row>
    <row r="32" spans="1:15" x14ac:dyDescent="0.25">
      <c r="A32">
        <f>COUNTIF($C$2:C32,C32)</f>
        <v>31</v>
      </c>
      <c r="B32" s="1" t="str">
        <f t="shared" si="0"/>
        <v>31</v>
      </c>
      <c r="C32" s="1" t="str">
        <f>IFERROR(VLOOKUP(D32,'Planilha de Cadastro - Previsão'!$A$2:$O$1000,15,FALSE()),"")</f>
        <v/>
      </c>
      <c r="D32" s="1">
        <v>31</v>
      </c>
      <c r="E32" s="1"/>
      <c r="F32" s="1"/>
      <c r="G32" s="54" t="str">
        <f t="shared" si="1"/>
        <v/>
      </c>
      <c r="H32" s="55" t="str">
        <f>IFERROR((VLOOKUP(G32,'Planilha de Cadastro - Previsão'!$A$2:$N$1100,2,FALSE()))," ")</f>
        <v xml:space="preserve"> </v>
      </c>
      <c r="I32" s="54" t="str">
        <f>IFERROR((VLOOKUP(G32,'Planilha de Cadastro - Previsão'!$A$2:$N$1100,3,FALSE()))," ")</f>
        <v xml:space="preserve"> </v>
      </c>
      <c r="J32" s="56" t="str">
        <f>IFERROR((VLOOKUP(G32,'Planilha de Cadastro - Previsão'!$A$2:$N$1100,5,FALSE()))," ")</f>
        <v xml:space="preserve"> </v>
      </c>
      <c r="K32" s="57" t="str">
        <f>IFERROR((VLOOKUP(G32,'Planilha de Cadastro - Previsão'!$A$2:$N$1100,9,FALSE()))," ")</f>
        <v xml:space="preserve"> </v>
      </c>
    </row>
    <row r="33" spans="1:11" x14ac:dyDescent="0.25">
      <c r="A33">
        <f>COUNTIF($C$2:C33,C33)</f>
        <v>32</v>
      </c>
      <c r="B33" s="1" t="str">
        <f t="shared" si="0"/>
        <v>32</v>
      </c>
      <c r="C33" s="1" t="str">
        <f>IFERROR(VLOOKUP(D33,'Planilha de Cadastro - Previsão'!$A$2:$O$1000,15,FALSE()),"")</f>
        <v/>
      </c>
      <c r="D33" s="1">
        <v>32</v>
      </c>
      <c r="E33" s="1"/>
      <c r="F33" s="1"/>
      <c r="G33" s="54" t="str">
        <f t="shared" si="1"/>
        <v/>
      </c>
      <c r="H33" s="55" t="str">
        <f>IFERROR((VLOOKUP(G33,'Planilha de Cadastro - Previsão'!$A$2:$N$1100,2,FALSE()))," ")</f>
        <v xml:space="preserve"> </v>
      </c>
      <c r="I33" s="54" t="str">
        <f>IFERROR((VLOOKUP(G33,'Planilha de Cadastro - Previsão'!$A$2:$N$1100,3,FALSE()))," ")</f>
        <v xml:space="preserve"> </v>
      </c>
      <c r="J33" s="56" t="str">
        <f>IFERROR((VLOOKUP(G33,'Planilha de Cadastro - Previsão'!$A$2:$N$1100,5,FALSE()))," ")</f>
        <v xml:space="preserve"> </v>
      </c>
      <c r="K33" s="57" t="str">
        <f>IFERROR((VLOOKUP(G33,'Planilha de Cadastro - Previsão'!$A$2:$N$1100,9,FALSE()))," ")</f>
        <v xml:space="preserve"> </v>
      </c>
    </row>
    <row r="34" spans="1:11" x14ac:dyDescent="0.25">
      <c r="A34">
        <f>COUNTIF($C$2:C34,C34)</f>
        <v>33</v>
      </c>
      <c r="B34" s="1" t="str">
        <f t="shared" si="0"/>
        <v>33</v>
      </c>
      <c r="C34" s="1" t="str">
        <f>IFERROR(VLOOKUP(D34,'Planilha de Cadastro - Previsão'!$A$2:$O$1000,15,FALSE()),"")</f>
        <v/>
      </c>
      <c r="D34" s="1">
        <v>33</v>
      </c>
      <c r="E34" s="1"/>
      <c r="F34" s="1"/>
      <c r="G34" s="54" t="str">
        <f t="shared" si="1"/>
        <v/>
      </c>
      <c r="H34" s="55" t="str">
        <f>IFERROR((VLOOKUP(G34,'Planilha de Cadastro - Previsão'!$A$2:$N$1100,2,FALSE()))," ")</f>
        <v xml:space="preserve"> </v>
      </c>
      <c r="I34" s="54" t="str">
        <f>IFERROR((VLOOKUP(G34,'Planilha de Cadastro - Previsão'!$A$2:$N$1100,3,FALSE()))," ")</f>
        <v xml:space="preserve"> </v>
      </c>
      <c r="J34" s="56" t="str">
        <f>IFERROR((VLOOKUP(G34,'Planilha de Cadastro - Previsão'!$A$2:$N$1100,5,FALSE()))," ")</f>
        <v xml:space="preserve"> </v>
      </c>
      <c r="K34" s="57" t="str">
        <f>IFERROR((VLOOKUP(G34,'Planilha de Cadastro - Previsão'!$A$2:$N$1100,9,FALSE()))," ")</f>
        <v xml:space="preserve"> </v>
      </c>
    </row>
    <row r="35" spans="1:11" x14ac:dyDescent="0.25">
      <c r="A35">
        <f>COUNTIF($C$2:C35,C35)</f>
        <v>34</v>
      </c>
      <c r="B35" s="1" t="str">
        <f t="shared" si="0"/>
        <v>34</v>
      </c>
      <c r="C35" s="1" t="str">
        <f>IFERROR(VLOOKUP(D35,'Planilha de Cadastro - Previsão'!$A$2:$O$1000,15,FALSE()),"")</f>
        <v/>
      </c>
      <c r="D35" s="1">
        <v>34</v>
      </c>
      <c r="E35" s="1"/>
      <c r="F35" s="1"/>
      <c r="G35" s="54" t="str">
        <f t="shared" si="1"/>
        <v/>
      </c>
      <c r="H35" s="55" t="str">
        <f>IFERROR((VLOOKUP(G35,'Planilha de Cadastro - Previsão'!$A$2:$N$1100,2,FALSE()))," ")</f>
        <v xml:space="preserve"> </v>
      </c>
      <c r="I35" s="54" t="str">
        <f>IFERROR((VLOOKUP(G35,'Planilha de Cadastro - Previsão'!$A$2:$N$1100,3,FALSE()))," ")</f>
        <v xml:space="preserve"> </v>
      </c>
      <c r="J35" s="56" t="str">
        <f>IFERROR((VLOOKUP(G35,'Planilha de Cadastro - Previsão'!$A$2:$N$1100,5,FALSE()))," ")</f>
        <v xml:space="preserve"> </v>
      </c>
      <c r="K35" s="57" t="str">
        <f>IFERROR((VLOOKUP(G35,'Planilha de Cadastro - Previsão'!$A$2:$N$1100,9,FALSE()))," ")</f>
        <v xml:space="preserve"> </v>
      </c>
    </row>
    <row r="36" spans="1:11" x14ac:dyDescent="0.25">
      <c r="A36">
        <f>COUNTIF($C$2:C36,C36)</f>
        <v>35</v>
      </c>
      <c r="B36" s="1" t="str">
        <f t="shared" si="0"/>
        <v>35</v>
      </c>
      <c r="C36" s="1" t="str">
        <f>IFERROR(VLOOKUP(D36,'Planilha de Cadastro - Previsão'!$A$2:$O$1000,15,FALSE()),"")</f>
        <v/>
      </c>
      <c r="D36" s="1">
        <v>35</v>
      </c>
      <c r="E36" s="1"/>
      <c r="F36" s="1"/>
      <c r="G36" s="54" t="str">
        <f t="shared" si="1"/>
        <v/>
      </c>
      <c r="H36" s="55" t="str">
        <f>IFERROR((VLOOKUP(G36,'Planilha de Cadastro - Previsão'!$A$2:$N$1100,2,FALSE()))," ")</f>
        <v xml:space="preserve"> </v>
      </c>
      <c r="I36" s="54" t="str">
        <f>IFERROR((VLOOKUP(G36,'Planilha de Cadastro - Previsão'!$A$2:$N$1100,3,FALSE()))," ")</f>
        <v xml:space="preserve"> </v>
      </c>
      <c r="J36" s="56" t="str">
        <f>IFERROR((VLOOKUP(G36,'Planilha de Cadastro - Previsão'!$A$2:$N$1100,5,FALSE()))," ")</f>
        <v xml:space="preserve"> </v>
      </c>
      <c r="K36" s="57" t="str">
        <f>IFERROR((VLOOKUP(G36,'Planilha de Cadastro - Previsão'!$A$2:$N$1100,9,FALSE()))," ")</f>
        <v xml:space="preserve"> </v>
      </c>
    </row>
    <row r="37" spans="1:11" x14ac:dyDescent="0.25">
      <c r="A37">
        <f>COUNTIF($C$2:C37,C37)</f>
        <v>36</v>
      </c>
      <c r="B37" s="1" t="str">
        <f t="shared" si="0"/>
        <v>36</v>
      </c>
      <c r="C37" s="1" t="str">
        <f>IFERROR(VLOOKUP(D37,'Planilha de Cadastro - Previsão'!$A$2:$O$1000,15,FALSE()),"")</f>
        <v/>
      </c>
      <c r="D37" s="1">
        <v>36</v>
      </c>
      <c r="E37" s="1"/>
      <c r="F37" s="1"/>
      <c r="G37" s="54" t="str">
        <f t="shared" si="1"/>
        <v/>
      </c>
      <c r="H37" s="55" t="str">
        <f>IFERROR((VLOOKUP(G37,'Planilha de Cadastro - Previsão'!$A$2:$N$1100,2,FALSE()))," ")</f>
        <v xml:space="preserve"> </v>
      </c>
      <c r="I37" s="54" t="str">
        <f>IFERROR((VLOOKUP(G37,'Planilha de Cadastro - Previsão'!$A$2:$N$1100,3,FALSE()))," ")</f>
        <v xml:space="preserve"> </v>
      </c>
      <c r="J37" s="56" t="str">
        <f>IFERROR((VLOOKUP(G37,'Planilha de Cadastro - Previsão'!$A$2:$N$1100,5,FALSE()))," ")</f>
        <v xml:space="preserve"> </v>
      </c>
      <c r="K37" s="57" t="str">
        <f>IFERROR((VLOOKUP(G37,'Planilha de Cadastro - Previsão'!$A$2:$N$1100,9,FALSE()))," ")</f>
        <v xml:space="preserve"> </v>
      </c>
    </row>
    <row r="38" spans="1:11" x14ac:dyDescent="0.25">
      <c r="A38">
        <f>COUNTIF($C$2:C38,C38)</f>
        <v>37</v>
      </c>
      <c r="B38" s="1" t="str">
        <f t="shared" si="0"/>
        <v>37</v>
      </c>
      <c r="C38" s="1" t="str">
        <f>IFERROR(VLOOKUP(D38,'Planilha de Cadastro - Previsão'!$A$2:$O$1000,15,FALSE()),"")</f>
        <v/>
      </c>
      <c r="D38" s="1">
        <v>37</v>
      </c>
      <c r="E38" s="1"/>
      <c r="F38" s="1"/>
      <c r="G38" s="54" t="str">
        <f t="shared" si="1"/>
        <v/>
      </c>
      <c r="H38" s="55" t="str">
        <f>IFERROR((VLOOKUP(G38,'Planilha de Cadastro - Previsão'!$A$2:$N$1100,2,FALSE()))," ")</f>
        <v xml:space="preserve"> </v>
      </c>
      <c r="I38" s="54" t="str">
        <f>IFERROR((VLOOKUP(G38,'Planilha de Cadastro - Previsão'!$A$2:$N$1100,3,FALSE()))," ")</f>
        <v xml:space="preserve"> </v>
      </c>
      <c r="J38" s="56" t="str">
        <f>IFERROR((VLOOKUP(G38,'Planilha de Cadastro - Previsão'!$A$2:$N$1100,5,FALSE()))," ")</f>
        <v xml:space="preserve"> </v>
      </c>
      <c r="K38" s="57" t="str">
        <f>IFERROR((VLOOKUP(G38,'Planilha de Cadastro - Previsão'!$A$2:$N$1100,9,FALSE()))," ")</f>
        <v xml:space="preserve"> </v>
      </c>
    </row>
    <row r="39" spans="1:11" x14ac:dyDescent="0.25">
      <c r="A39">
        <f>COUNTIF($C$2:C39,C39)</f>
        <v>38</v>
      </c>
      <c r="B39" s="1" t="str">
        <f t="shared" si="0"/>
        <v>38</v>
      </c>
      <c r="C39" s="1" t="str">
        <f>IFERROR(VLOOKUP(D39,'Planilha de Cadastro - Previsão'!$A$2:$O$1000,15,FALSE()),"")</f>
        <v/>
      </c>
      <c r="D39" s="1">
        <v>38</v>
      </c>
      <c r="E39" s="1"/>
      <c r="F39" s="1"/>
      <c r="G39" s="54" t="str">
        <f t="shared" si="1"/>
        <v/>
      </c>
      <c r="H39" s="55" t="str">
        <f>IFERROR((VLOOKUP(G39,'Planilha de Cadastro - Previsão'!$A$2:$N$1100,2,FALSE()))," ")</f>
        <v xml:space="preserve"> </v>
      </c>
      <c r="I39" s="54" t="str">
        <f>IFERROR((VLOOKUP(G39,'Planilha de Cadastro - Previsão'!$A$2:$N$1100,3,FALSE()))," ")</f>
        <v xml:space="preserve"> </v>
      </c>
      <c r="J39" s="56" t="str">
        <f>IFERROR((VLOOKUP(G39,'Planilha de Cadastro - Previsão'!$A$2:$N$1100,5,FALSE()))," ")</f>
        <v xml:space="preserve"> </v>
      </c>
      <c r="K39" s="57" t="str">
        <f>IFERROR((VLOOKUP(G39,'Planilha de Cadastro - Previsão'!$A$2:$N$1100,9,FALSE()))," ")</f>
        <v xml:space="preserve"> </v>
      </c>
    </row>
    <row r="40" spans="1:11" x14ac:dyDescent="0.25">
      <c r="A40">
        <f>COUNTIF($C$2:C40,C40)</f>
        <v>39</v>
      </c>
      <c r="B40" s="1" t="str">
        <f t="shared" si="0"/>
        <v>39</v>
      </c>
      <c r="C40" s="1" t="str">
        <f>IFERROR(VLOOKUP(D40,'Planilha de Cadastro - Previsão'!$A$2:$O$1000,15,FALSE()),"")</f>
        <v/>
      </c>
      <c r="D40" s="1">
        <v>39</v>
      </c>
      <c r="E40" s="1"/>
      <c r="F40" s="1"/>
      <c r="G40" s="54" t="str">
        <f t="shared" si="1"/>
        <v/>
      </c>
      <c r="H40" s="55" t="str">
        <f>IFERROR((VLOOKUP(G40,'Planilha de Cadastro - Previsão'!$A$2:$N$1100,2,FALSE()))," ")</f>
        <v xml:space="preserve"> </v>
      </c>
      <c r="I40" s="54" t="str">
        <f>IFERROR((VLOOKUP(G40,'Planilha de Cadastro - Previsão'!$A$2:$N$1100,3,FALSE()))," ")</f>
        <v xml:space="preserve"> </v>
      </c>
      <c r="J40" s="56" t="str">
        <f>IFERROR((VLOOKUP(G40,'Planilha de Cadastro - Previsão'!$A$2:$N$1100,5,FALSE()))," ")</f>
        <v xml:space="preserve"> </v>
      </c>
      <c r="K40" s="57" t="str">
        <f>IFERROR((VLOOKUP(G40,'Planilha de Cadastro - Previsão'!$A$2:$N$1100,9,FALSE()))," ")</f>
        <v xml:space="preserve"> </v>
      </c>
    </row>
    <row r="41" spans="1:11" x14ac:dyDescent="0.25">
      <c r="A41">
        <f>COUNTIF($C$2:C41,C41)</f>
        <v>40</v>
      </c>
      <c r="B41" s="1" t="str">
        <f t="shared" si="0"/>
        <v>40</v>
      </c>
      <c r="C41" s="1" t="str">
        <f>IFERROR(VLOOKUP(D41,'Planilha de Cadastro - Previsão'!$A$2:$O$1000,15,FALSE()),"")</f>
        <v/>
      </c>
      <c r="D41" s="1">
        <v>40</v>
      </c>
      <c r="E41" s="1"/>
      <c r="F41" s="1"/>
      <c r="G41" s="54" t="str">
        <f t="shared" si="1"/>
        <v/>
      </c>
      <c r="H41" s="55" t="str">
        <f>IFERROR((VLOOKUP(G41,'Planilha de Cadastro - Previsão'!$A$2:$N$1100,2,FALSE()))," ")</f>
        <v xml:space="preserve"> </v>
      </c>
      <c r="I41" s="54" t="str">
        <f>IFERROR((VLOOKUP(G41,'Planilha de Cadastro - Previsão'!$A$2:$N$1100,3,FALSE()))," ")</f>
        <v xml:space="preserve"> </v>
      </c>
      <c r="J41" s="56" t="str">
        <f>IFERROR((VLOOKUP(G41,'Planilha de Cadastro - Previsão'!$A$2:$N$1100,5,FALSE()))," ")</f>
        <v xml:space="preserve"> </v>
      </c>
      <c r="K41" s="57" t="str">
        <f>IFERROR((VLOOKUP(G41,'Planilha de Cadastro - Previsão'!$A$2:$N$1100,9,FALSE()))," ")</f>
        <v xml:space="preserve"> </v>
      </c>
    </row>
    <row r="42" spans="1:11" x14ac:dyDescent="0.25">
      <c r="A42">
        <f>COUNTIF($C$2:C42,C42)</f>
        <v>41</v>
      </c>
      <c r="B42" s="1" t="str">
        <f t="shared" si="0"/>
        <v>41</v>
      </c>
      <c r="C42" s="1" t="str">
        <f>IFERROR(VLOOKUP(D42,'Planilha de Cadastro - Previsão'!$A$2:$O$1000,15,FALSE()),"")</f>
        <v/>
      </c>
      <c r="D42" s="1">
        <v>41</v>
      </c>
      <c r="E42" s="1"/>
      <c r="F42" s="1"/>
      <c r="G42" s="54" t="str">
        <f t="shared" si="1"/>
        <v/>
      </c>
      <c r="H42" s="55" t="str">
        <f>IFERROR((VLOOKUP(G42,'Planilha de Cadastro - Previsão'!$A$2:$N$1100,2,FALSE()))," ")</f>
        <v xml:space="preserve"> </v>
      </c>
      <c r="I42" s="54" t="str">
        <f>IFERROR((VLOOKUP(G42,'Planilha de Cadastro - Previsão'!$A$2:$N$1100,3,FALSE()))," ")</f>
        <v xml:space="preserve"> </v>
      </c>
      <c r="J42" s="56" t="str">
        <f>IFERROR((VLOOKUP(G42,'Planilha de Cadastro - Previsão'!$A$2:$N$1100,5,FALSE()))," ")</f>
        <v xml:space="preserve"> </v>
      </c>
      <c r="K42" s="57" t="str">
        <f>IFERROR((VLOOKUP(G42,'Planilha de Cadastro - Previsão'!$A$2:$N$1100,9,FALSE()))," ")</f>
        <v xml:space="preserve"> </v>
      </c>
    </row>
    <row r="43" spans="1:11" x14ac:dyDescent="0.25">
      <c r="A43">
        <f>COUNTIF($C$2:C43,C43)</f>
        <v>42</v>
      </c>
      <c r="B43" s="1" t="str">
        <f t="shared" si="0"/>
        <v>42</v>
      </c>
      <c r="C43" s="1" t="str">
        <f>IFERROR(VLOOKUP(D43,'Planilha de Cadastro - Previsão'!$A$2:$O$1000,15,FALSE()),"")</f>
        <v/>
      </c>
      <c r="D43" s="1">
        <v>42</v>
      </c>
      <c r="E43" s="1"/>
      <c r="F43" s="1"/>
      <c r="G43" s="54" t="str">
        <f t="shared" si="1"/>
        <v/>
      </c>
      <c r="H43" s="55" t="str">
        <f>IFERROR((VLOOKUP(G43,'Planilha de Cadastro - Previsão'!$A$2:$N$1100,2,FALSE()))," ")</f>
        <v xml:space="preserve"> </v>
      </c>
      <c r="I43" s="54" t="str">
        <f>IFERROR((VLOOKUP(G43,'Planilha de Cadastro - Previsão'!$A$2:$N$1100,3,FALSE()))," ")</f>
        <v xml:space="preserve"> </v>
      </c>
      <c r="J43" s="56" t="str">
        <f>IFERROR((VLOOKUP(G43,'Planilha de Cadastro - Previsão'!$A$2:$N$1100,5,FALSE()))," ")</f>
        <v xml:space="preserve"> </v>
      </c>
      <c r="K43" s="57" t="str">
        <f>IFERROR((VLOOKUP(G43,'Planilha de Cadastro - Previsão'!$A$2:$N$1100,9,FALSE()))," ")</f>
        <v xml:space="preserve"> </v>
      </c>
    </row>
    <row r="44" spans="1:11" x14ac:dyDescent="0.25">
      <c r="A44">
        <f>COUNTIF($C$2:C44,C44)</f>
        <v>43</v>
      </c>
      <c r="B44" s="1" t="str">
        <f t="shared" si="0"/>
        <v>43</v>
      </c>
      <c r="C44" s="1" t="str">
        <f>IFERROR(VLOOKUP(D44,'Planilha de Cadastro - Previsão'!$A$2:$O$1000,15,FALSE()),"")</f>
        <v/>
      </c>
      <c r="D44" s="1">
        <v>43</v>
      </c>
      <c r="E44" s="1"/>
      <c r="F44" s="1"/>
      <c r="G44" s="54" t="str">
        <f t="shared" si="1"/>
        <v/>
      </c>
      <c r="H44" s="55" t="str">
        <f>IFERROR((VLOOKUP(G44,'Planilha de Cadastro - Previsão'!$A$2:$N$1100,2,FALSE()))," ")</f>
        <v xml:space="preserve"> </v>
      </c>
      <c r="I44" s="54" t="str">
        <f>IFERROR((VLOOKUP(G44,'Planilha de Cadastro - Previsão'!$A$2:$N$1100,3,FALSE()))," ")</f>
        <v xml:space="preserve"> </v>
      </c>
      <c r="J44" s="56" t="str">
        <f>IFERROR((VLOOKUP(G44,'Planilha de Cadastro - Previsão'!$A$2:$N$1100,5,FALSE()))," ")</f>
        <v xml:space="preserve"> </v>
      </c>
      <c r="K44" s="57" t="str">
        <f>IFERROR((VLOOKUP(G44,'Planilha de Cadastro - Previsão'!$A$2:$N$1100,9,FALSE()))," ")</f>
        <v xml:space="preserve"> </v>
      </c>
    </row>
    <row r="45" spans="1:11" x14ac:dyDescent="0.25">
      <c r="A45">
        <f>COUNTIF($C$2:C45,C45)</f>
        <v>44</v>
      </c>
      <c r="B45" s="1" t="str">
        <f t="shared" si="0"/>
        <v>44</v>
      </c>
      <c r="C45" s="1" t="str">
        <f>IFERROR(VLOOKUP(D45,'Planilha de Cadastro - Previsão'!$A$2:$O$1000,15,FALSE()),"")</f>
        <v/>
      </c>
      <c r="D45" s="1">
        <v>44</v>
      </c>
      <c r="E45" s="1"/>
      <c r="F45" s="1"/>
      <c r="G45" s="54" t="str">
        <f t="shared" si="1"/>
        <v/>
      </c>
      <c r="H45" s="55" t="str">
        <f>IFERROR((VLOOKUP(G45,'Planilha de Cadastro - Previsão'!$A$2:$N$1100,2,FALSE()))," ")</f>
        <v xml:space="preserve"> </v>
      </c>
      <c r="I45" s="54" t="str">
        <f>IFERROR((VLOOKUP(G45,'Planilha de Cadastro - Previsão'!$A$2:$N$1100,3,FALSE()))," ")</f>
        <v xml:space="preserve"> </v>
      </c>
      <c r="J45" s="56" t="str">
        <f>IFERROR((VLOOKUP(G45,'Planilha de Cadastro - Previsão'!$A$2:$N$1100,5,FALSE()))," ")</f>
        <v xml:space="preserve"> </v>
      </c>
      <c r="K45" s="57" t="str">
        <f>IFERROR((VLOOKUP(G45,'Planilha de Cadastro - Previsão'!$A$2:$N$1100,9,FALSE()))," ")</f>
        <v xml:space="preserve"> </v>
      </c>
    </row>
    <row r="46" spans="1:11" x14ac:dyDescent="0.25">
      <c r="A46">
        <f>COUNTIF($C$2:C46,C46)</f>
        <v>45</v>
      </c>
      <c r="B46" s="1" t="str">
        <f t="shared" si="0"/>
        <v>45</v>
      </c>
      <c r="C46" s="1" t="str">
        <f>IFERROR(VLOOKUP(D46,'Planilha de Cadastro - Previsão'!$A$2:$O$1000,15,FALSE()),"")</f>
        <v/>
      </c>
      <c r="D46" s="1">
        <v>45</v>
      </c>
      <c r="E46" s="1"/>
      <c r="F46" s="1"/>
      <c r="G46" s="54" t="str">
        <f t="shared" si="1"/>
        <v/>
      </c>
      <c r="H46" s="55" t="str">
        <f>IFERROR((VLOOKUP(G46,'Planilha de Cadastro - Previsão'!$A$2:$N$1100,2,FALSE()))," ")</f>
        <v xml:space="preserve"> </v>
      </c>
      <c r="I46" s="54" t="str">
        <f>IFERROR((VLOOKUP(G46,'Planilha de Cadastro - Previsão'!$A$2:$N$1100,3,FALSE()))," ")</f>
        <v xml:space="preserve"> </v>
      </c>
      <c r="J46" s="56" t="str">
        <f>IFERROR((VLOOKUP(G46,'Planilha de Cadastro - Previsão'!$A$2:$N$1100,5,FALSE()))," ")</f>
        <v xml:space="preserve"> </v>
      </c>
      <c r="K46" s="57" t="str">
        <f>IFERROR((VLOOKUP(G46,'Planilha de Cadastro - Previsão'!$A$2:$N$1100,9,FALSE()))," ")</f>
        <v xml:space="preserve"> </v>
      </c>
    </row>
    <row r="47" spans="1:11" x14ac:dyDescent="0.25">
      <c r="A47">
        <f>COUNTIF($C$2:C47,C47)</f>
        <v>46</v>
      </c>
      <c r="B47" s="1" t="str">
        <f t="shared" si="0"/>
        <v>46</v>
      </c>
      <c r="C47" s="1" t="str">
        <f>IFERROR(VLOOKUP(D47,'Planilha de Cadastro - Previsão'!$A$2:$O$1000,15,FALSE()),"")</f>
        <v/>
      </c>
      <c r="D47" s="1">
        <v>46</v>
      </c>
      <c r="E47" s="1"/>
      <c r="F47" s="1"/>
      <c r="G47" s="54" t="str">
        <f t="shared" si="1"/>
        <v/>
      </c>
      <c r="H47" s="55" t="str">
        <f>IFERROR((VLOOKUP(G47,'Planilha de Cadastro - Previsão'!$A$2:$N$1100,2,FALSE()))," ")</f>
        <v xml:space="preserve"> </v>
      </c>
      <c r="I47" s="54" t="str">
        <f>IFERROR((VLOOKUP(G47,'Planilha de Cadastro - Previsão'!$A$2:$N$1100,3,FALSE()))," ")</f>
        <v xml:space="preserve"> </v>
      </c>
      <c r="J47" s="56" t="str">
        <f>IFERROR((VLOOKUP(G47,'Planilha de Cadastro - Previsão'!$A$2:$N$1100,5,FALSE()))," ")</f>
        <v xml:space="preserve"> </v>
      </c>
      <c r="K47" s="57" t="str">
        <f>IFERROR((VLOOKUP(G47,'Planilha de Cadastro - Previsão'!$A$2:$N$1100,9,FALSE()))," ")</f>
        <v xml:space="preserve"> </v>
      </c>
    </row>
    <row r="48" spans="1:11" x14ac:dyDescent="0.25">
      <c r="A48">
        <f>COUNTIF($C$2:C48,C48)</f>
        <v>47</v>
      </c>
      <c r="B48" s="1" t="str">
        <f t="shared" si="0"/>
        <v>47</v>
      </c>
      <c r="C48" s="1" t="str">
        <f>IFERROR(VLOOKUP(D48,'Planilha de Cadastro - Previsão'!$A$2:$O$1000,15,FALSE()),"")</f>
        <v/>
      </c>
      <c r="D48" s="1">
        <v>47</v>
      </c>
      <c r="E48" s="1"/>
      <c r="F48" s="1"/>
      <c r="G48" s="54" t="str">
        <f t="shared" si="1"/>
        <v/>
      </c>
      <c r="H48" s="55" t="str">
        <f>IFERROR((VLOOKUP(G48,'Planilha de Cadastro - Previsão'!$A$2:$N$1100,2,FALSE()))," ")</f>
        <v xml:space="preserve"> </v>
      </c>
      <c r="I48" s="54" t="str">
        <f>IFERROR((VLOOKUP(G48,'Planilha de Cadastro - Previsão'!$A$2:$N$1100,3,FALSE()))," ")</f>
        <v xml:space="preserve"> </v>
      </c>
      <c r="J48" s="56" t="str">
        <f>IFERROR((VLOOKUP(G48,'Planilha de Cadastro - Previsão'!$A$2:$N$1100,5,FALSE()))," ")</f>
        <v xml:space="preserve"> </v>
      </c>
      <c r="K48" s="57" t="str">
        <f>IFERROR((VLOOKUP(G48,'Planilha de Cadastro - Previsão'!$A$2:$N$1100,9,FALSE()))," ")</f>
        <v xml:space="preserve"> </v>
      </c>
    </row>
    <row r="49" spans="1:11" x14ac:dyDescent="0.25">
      <c r="A49">
        <f>COUNTIF($C$2:C49,C49)</f>
        <v>48</v>
      </c>
      <c r="B49" s="1" t="str">
        <f t="shared" si="0"/>
        <v>48</v>
      </c>
      <c r="C49" s="1" t="str">
        <f>IFERROR(VLOOKUP(D49,'Planilha de Cadastro - Previsão'!$A$2:$O$1000,15,FALSE()),"")</f>
        <v/>
      </c>
      <c r="D49" s="1">
        <v>48</v>
      </c>
      <c r="E49" s="1"/>
      <c r="F49" s="1"/>
      <c r="G49" s="54" t="str">
        <f t="shared" si="1"/>
        <v/>
      </c>
      <c r="H49" s="55" t="str">
        <f>IFERROR((VLOOKUP(G49,'Planilha de Cadastro - Previsão'!$A$2:$N$1100,2,FALSE()))," ")</f>
        <v xml:space="preserve"> </v>
      </c>
      <c r="I49" s="54" t="str">
        <f>IFERROR((VLOOKUP(G49,'Planilha de Cadastro - Previsão'!$A$2:$N$1100,3,FALSE()))," ")</f>
        <v xml:space="preserve"> </v>
      </c>
      <c r="J49" s="56" t="str">
        <f>IFERROR((VLOOKUP(G49,'Planilha de Cadastro - Previsão'!$A$2:$N$1100,5,FALSE()))," ")</f>
        <v xml:space="preserve"> </v>
      </c>
      <c r="K49" s="57" t="str">
        <f>IFERROR((VLOOKUP(G49,'Planilha de Cadastro - Previsão'!$A$2:$N$1100,9,FALSE()))," ")</f>
        <v xml:space="preserve"> </v>
      </c>
    </row>
    <row r="50" spans="1:11" x14ac:dyDescent="0.25">
      <c r="A50">
        <f>COUNTIF($C$2:C50,C50)</f>
        <v>49</v>
      </c>
      <c r="B50" s="1" t="str">
        <f t="shared" si="0"/>
        <v>49</v>
      </c>
      <c r="C50" s="1" t="str">
        <f>IFERROR(VLOOKUP(D50,'Planilha de Cadastro - Previsão'!$A$2:$O$1000,15,FALSE()),"")</f>
        <v/>
      </c>
      <c r="D50" s="1">
        <v>49</v>
      </c>
      <c r="E50" s="1"/>
      <c r="F50" s="1"/>
      <c r="G50" s="54" t="str">
        <f t="shared" si="1"/>
        <v/>
      </c>
      <c r="H50" s="55" t="str">
        <f>IFERROR((VLOOKUP(G50,'Planilha de Cadastro - Previsão'!$A$2:$N$1100,2,FALSE()))," ")</f>
        <v xml:space="preserve"> </v>
      </c>
      <c r="I50" s="54" t="str">
        <f>IFERROR((VLOOKUP(G50,'Planilha de Cadastro - Previsão'!$A$2:$N$1100,3,FALSE()))," ")</f>
        <v xml:space="preserve"> </v>
      </c>
      <c r="J50" s="56" t="str">
        <f>IFERROR((VLOOKUP(G50,'Planilha de Cadastro - Previsão'!$A$2:$N$1100,5,FALSE()))," ")</f>
        <v xml:space="preserve"> </v>
      </c>
      <c r="K50" s="57" t="str">
        <f>IFERROR((VLOOKUP(G50,'Planilha de Cadastro - Previsão'!$A$2:$N$1100,9,FALSE()))," ")</f>
        <v xml:space="preserve"> </v>
      </c>
    </row>
    <row r="51" spans="1:11" x14ac:dyDescent="0.25">
      <c r="A51">
        <f>COUNTIF($C$2:C51,C51)</f>
        <v>50</v>
      </c>
      <c r="B51" s="1" t="str">
        <f t="shared" si="0"/>
        <v>50</v>
      </c>
      <c r="C51" s="1" t="str">
        <f>IFERROR(VLOOKUP(D51,'Planilha de Cadastro - Previsão'!$A$2:$O$1000,15,FALSE()),"")</f>
        <v/>
      </c>
      <c r="D51" s="1">
        <v>50</v>
      </c>
      <c r="E51" s="1"/>
      <c r="F51" s="1"/>
      <c r="G51" s="54" t="str">
        <f t="shared" si="1"/>
        <v/>
      </c>
      <c r="H51" s="55" t="str">
        <f>IFERROR((VLOOKUP(G51,'Planilha de Cadastro - Previsão'!$A$2:$N$1100,2,FALSE()))," ")</f>
        <v xml:space="preserve"> </v>
      </c>
      <c r="I51" s="54" t="str">
        <f>IFERROR((VLOOKUP(G51,'Planilha de Cadastro - Previsão'!$A$2:$N$1100,3,FALSE()))," ")</f>
        <v xml:space="preserve"> </v>
      </c>
      <c r="J51" s="56" t="str">
        <f>IFERROR((VLOOKUP(G51,'Planilha de Cadastro - Previsão'!$A$2:$N$1100,5,FALSE()))," ")</f>
        <v xml:space="preserve"> </v>
      </c>
      <c r="K51" s="57" t="str">
        <f>IFERROR((VLOOKUP(G51,'Planilha de Cadastro - Previsão'!$A$2:$N$1100,9,FALSE()))," ")</f>
        <v xml:space="preserve"> </v>
      </c>
    </row>
    <row r="52" spans="1:11" x14ac:dyDescent="0.25">
      <c r="A52">
        <f>COUNTIF($C$2:C52,C52)</f>
        <v>51</v>
      </c>
      <c r="B52" s="1" t="str">
        <f t="shared" si="0"/>
        <v>51</v>
      </c>
      <c r="C52" s="1" t="str">
        <f>IFERROR(VLOOKUP(D52,'Planilha de Cadastro - Previsão'!$A$2:$O$1000,15,FALSE()),"")</f>
        <v/>
      </c>
      <c r="D52" s="1">
        <v>51</v>
      </c>
      <c r="E52" s="1"/>
      <c r="F52" s="1"/>
      <c r="G52" s="54" t="str">
        <f t="shared" si="1"/>
        <v/>
      </c>
      <c r="H52" s="55" t="str">
        <f>IFERROR((VLOOKUP(G52,'Planilha de Cadastro - Previsão'!$A$2:$N$1100,2,FALSE()))," ")</f>
        <v xml:space="preserve"> </v>
      </c>
      <c r="I52" s="54" t="str">
        <f>IFERROR((VLOOKUP(G52,'Planilha de Cadastro - Previsão'!$A$2:$N$1100,3,FALSE()))," ")</f>
        <v xml:space="preserve"> </v>
      </c>
      <c r="J52" s="56" t="str">
        <f>IFERROR((VLOOKUP(G52,'Planilha de Cadastro - Previsão'!$A$2:$N$1100,5,FALSE()))," ")</f>
        <v xml:space="preserve"> </v>
      </c>
      <c r="K52" s="57" t="str">
        <f>IFERROR((VLOOKUP(G52,'Planilha de Cadastro - Previsão'!$A$2:$N$1100,9,FALSE()))," ")</f>
        <v xml:space="preserve"> </v>
      </c>
    </row>
    <row r="53" spans="1:11" x14ac:dyDescent="0.25">
      <c r="A53">
        <f>COUNTIF($C$2:C53,C53)</f>
        <v>52</v>
      </c>
      <c r="B53" s="1" t="str">
        <f t="shared" si="0"/>
        <v>52</v>
      </c>
      <c r="C53" s="1" t="str">
        <f>IFERROR(VLOOKUP(D53,'Planilha de Cadastro - Previsão'!$A$2:$O$1000,15,FALSE()),"")</f>
        <v/>
      </c>
      <c r="D53" s="1">
        <v>52</v>
      </c>
      <c r="E53" s="1"/>
      <c r="F53" s="1"/>
      <c r="G53" s="54" t="str">
        <f t="shared" si="1"/>
        <v/>
      </c>
      <c r="H53" s="55" t="str">
        <f>IFERROR((VLOOKUP(G53,'Planilha de Cadastro - Previsão'!$A$2:$N$1100,2,FALSE()))," ")</f>
        <v xml:space="preserve"> </v>
      </c>
      <c r="I53" s="54" t="str">
        <f>IFERROR((VLOOKUP(G53,'Planilha de Cadastro - Previsão'!$A$2:$N$1100,3,FALSE()))," ")</f>
        <v xml:space="preserve"> </v>
      </c>
      <c r="J53" s="56" t="str">
        <f>IFERROR((VLOOKUP(G53,'Planilha de Cadastro - Previsão'!$A$2:$N$1100,5,FALSE()))," ")</f>
        <v xml:space="preserve"> </v>
      </c>
      <c r="K53" s="57" t="str">
        <f>IFERROR((VLOOKUP(G53,'Planilha de Cadastro - Previsão'!$A$2:$N$1100,9,FALSE()))," ")</f>
        <v xml:space="preserve"> </v>
      </c>
    </row>
    <row r="54" spans="1:11" x14ac:dyDescent="0.25">
      <c r="A54">
        <f>COUNTIF($C$2:C54,C54)</f>
        <v>53</v>
      </c>
      <c r="B54" s="1" t="str">
        <f t="shared" si="0"/>
        <v>53</v>
      </c>
      <c r="C54" s="1" t="str">
        <f>IFERROR(VLOOKUP(D54,'Planilha de Cadastro - Previsão'!$A$2:$O$1000,15,FALSE()),"")</f>
        <v/>
      </c>
      <c r="D54" s="1">
        <v>53</v>
      </c>
      <c r="E54" s="1"/>
      <c r="F54" s="1"/>
      <c r="G54" s="54" t="str">
        <f t="shared" si="1"/>
        <v/>
      </c>
      <c r="H54" s="55" t="str">
        <f>IFERROR((VLOOKUP(G54,'Planilha de Cadastro - Previsão'!$A$2:$N$1100,2,FALSE()))," ")</f>
        <v xml:space="preserve"> </v>
      </c>
      <c r="I54" s="54" t="str">
        <f>IFERROR((VLOOKUP(G54,'Planilha de Cadastro - Previsão'!$A$2:$N$1100,3,FALSE()))," ")</f>
        <v xml:space="preserve"> </v>
      </c>
      <c r="J54" s="56" t="str">
        <f>IFERROR((VLOOKUP(G54,'Planilha de Cadastro - Previsão'!$A$2:$N$1100,5,FALSE()))," ")</f>
        <v xml:space="preserve"> </v>
      </c>
      <c r="K54" s="57" t="str">
        <f>IFERROR((VLOOKUP(G54,'Planilha de Cadastro - Previsão'!$A$2:$N$1100,9,FALSE()))," ")</f>
        <v xml:space="preserve"> </v>
      </c>
    </row>
    <row r="55" spans="1:11" x14ac:dyDescent="0.25">
      <c r="A55">
        <f>COUNTIF($C$2:C55,C55)</f>
        <v>54</v>
      </c>
      <c r="B55" s="1" t="str">
        <f t="shared" si="0"/>
        <v>54</v>
      </c>
      <c r="C55" s="1" t="str">
        <f>IFERROR(VLOOKUP(D55,'Planilha de Cadastro - Previsão'!$A$2:$O$1000,15,FALSE()),"")</f>
        <v/>
      </c>
      <c r="D55" s="1">
        <v>54</v>
      </c>
      <c r="E55" s="1"/>
      <c r="F55" s="1"/>
      <c r="G55" s="54" t="str">
        <f t="shared" si="1"/>
        <v/>
      </c>
      <c r="H55" s="55" t="str">
        <f>IFERROR((VLOOKUP(G55,'Planilha de Cadastro - Previsão'!$A$2:$N$1100,2,FALSE()))," ")</f>
        <v xml:space="preserve"> </v>
      </c>
      <c r="I55" s="54" t="str">
        <f>IFERROR((VLOOKUP(G55,'Planilha de Cadastro - Previsão'!$A$2:$N$1100,3,FALSE()))," ")</f>
        <v xml:space="preserve"> </v>
      </c>
      <c r="J55" s="56" t="str">
        <f>IFERROR((VLOOKUP(G55,'Planilha de Cadastro - Previsão'!$A$2:$N$1100,5,FALSE()))," ")</f>
        <v xml:space="preserve"> </v>
      </c>
      <c r="K55" s="57" t="str">
        <f>IFERROR((VLOOKUP(G55,'Planilha de Cadastro - Previsão'!$A$2:$N$1100,9,FALSE()))," ")</f>
        <v xml:space="preserve"> </v>
      </c>
    </row>
    <row r="56" spans="1:11" x14ac:dyDescent="0.25">
      <c r="A56">
        <f>COUNTIF($C$2:C56,C56)</f>
        <v>55</v>
      </c>
      <c r="B56" s="1" t="str">
        <f t="shared" si="0"/>
        <v>55</v>
      </c>
      <c r="C56" s="1" t="str">
        <f>IFERROR(VLOOKUP(D56,'Planilha de Cadastro - Previsão'!$A$2:$O$1000,15,FALSE()),"")</f>
        <v/>
      </c>
      <c r="D56" s="1">
        <v>55</v>
      </c>
      <c r="E56" s="1"/>
      <c r="F56" s="1"/>
      <c r="G56" s="54" t="str">
        <f t="shared" si="1"/>
        <v/>
      </c>
      <c r="H56" s="55" t="str">
        <f>IFERROR((VLOOKUP(G56,'Planilha de Cadastro - Previsão'!$A$2:$N$1100,2,FALSE()))," ")</f>
        <v xml:space="preserve"> </v>
      </c>
      <c r="I56" s="54" t="str">
        <f>IFERROR((VLOOKUP(G56,'Planilha de Cadastro - Previsão'!$A$2:$N$1100,3,FALSE()))," ")</f>
        <v xml:space="preserve"> </v>
      </c>
      <c r="J56" s="56" t="str">
        <f>IFERROR((VLOOKUP(G56,'Planilha de Cadastro - Previsão'!$A$2:$N$1100,5,FALSE()))," ")</f>
        <v xml:space="preserve"> </v>
      </c>
      <c r="K56" s="57" t="str">
        <f>IFERROR((VLOOKUP(G56,'Planilha de Cadastro - Previsão'!$A$2:$N$1100,9,FALSE()))," ")</f>
        <v xml:space="preserve"> </v>
      </c>
    </row>
    <row r="57" spans="1:11" x14ac:dyDescent="0.25">
      <c r="A57">
        <f>COUNTIF($C$2:C57,C57)</f>
        <v>56</v>
      </c>
      <c r="B57" s="1" t="str">
        <f t="shared" si="0"/>
        <v>56</v>
      </c>
      <c r="C57" s="1" t="str">
        <f>IFERROR(VLOOKUP(D57,'Planilha de Cadastro - Previsão'!$A$2:$O$1000,15,FALSE()),"")</f>
        <v/>
      </c>
      <c r="D57" s="1">
        <v>56</v>
      </c>
      <c r="E57" s="1"/>
      <c r="F57" s="1"/>
      <c r="G57" s="54" t="str">
        <f t="shared" si="1"/>
        <v/>
      </c>
      <c r="H57" s="55" t="str">
        <f>IFERROR((VLOOKUP(G57,'Planilha de Cadastro - Previsão'!$A$2:$N$1100,2,FALSE()))," ")</f>
        <v xml:space="preserve"> </v>
      </c>
      <c r="I57" s="54" t="str">
        <f>IFERROR((VLOOKUP(G57,'Planilha de Cadastro - Previsão'!$A$2:$N$1100,3,FALSE()))," ")</f>
        <v xml:space="preserve"> </v>
      </c>
      <c r="J57" s="56" t="str">
        <f>IFERROR((VLOOKUP(G57,'Planilha de Cadastro - Previsão'!$A$2:$N$1100,5,FALSE()))," ")</f>
        <v xml:space="preserve"> </v>
      </c>
      <c r="K57" s="57" t="str">
        <f>IFERROR((VLOOKUP(G57,'Planilha de Cadastro - Previsão'!$A$2:$N$1100,9,FALSE()))," ")</f>
        <v xml:space="preserve"> </v>
      </c>
    </row>
    <row r="58" spans="1:11" x14ac:dyDescent="0.25">
      <c r="A58">
        <f>COUNTIF($C$2:C58,C58)</f>
        <v>57</v>
      </c>
      <c r="B58" s="1" t="str">
        <f t="shared" si="0"/>
        <v>57</v>
      </c>
      <c r="C58" s="1" t="str">
        <f>IFERROR(VLOOKUP(D58,'Planilha de Cadastro - Previsão'!$A$2:$O$1000,15,FALSE()),"")</f>
        <v/>
      </c>
      <c r="D58" s="1">
        <v>57</v>
      </c>
      <c r="E58" s="1"/>
      <c r="F58" s="1"/>
      <c r="G58" s="54" t="str">
        <f t="shared" si="1"/>
        <v/>
      </c>
      <c r="H58" s="55" t="str">
        <f>IFERROR((VLOOKUP(G58,'Planilha de Cadastro - Previsão'!$A$2:$N$1100,2,FALSE()))," ")</f>
        <v xml:space="preserve"> </v>
      </c>
      <c r="I58" s="54" t="str">
        <f>IFERROR((VLOOKUP(G58,'Planilha de Cadastro - Previsão'!$A$2:$N$1100,3,FALSE()))," ")</f>
        <v xml:space="preserve"> </v>
      </c>
      <c r="J58" s="56" t="str">
        <f>IFERROR((VLOOKUP(G58,'Planilha de Cadastro - Previsão'!$A$2:$N$1100,5,FALSE()))," ")</f>
        <v xml:space="preserve"> </v>
      </c>
      <c r="K58" s="57" t="str">
        <f>IFERROR((VLOOKUP(G58,'Planilha de Cadastro - Previsão'!$A$2:$N$1100,9,FALSE()))," ")</f>
        <v xml:space="preserve"> </v>
      </c>
    </row>
    <row r="59" spans="1:11" x14ac:dyDescent="0.25">
      <c r="A59">
        <f>COUNTIF($C$2:C59,C59)</f>
        <v>58</v>
      </c>
      <c r="B59" s="1" t="str">
        <f t="shared" si="0"/>
        <v>58</v>
      </c>
      <c r="C59" s="1" t="str">
        <f>IFERROR(VLOOKUP(D59,'Planilha de Cadastro - Previsão'!$A$2:$O$1000,15,FALSE()),"")</f>
        <v/>
      </c>
      <c r="D59" s="1">
        <v>58</v>
      </c>
      <c r="E59" s="1"/>
      <c r="F59" s="1"/>
      <c r="G59" s="54" t="str">
        <f t="shared" si="1"/>
        <v/>
      </c>
      <c r="H59" s="55" t="str">
        <f>IFERROR((VLOOKUP(G59,'Planilha de Cadastro - Previsão'!$A$2:$N$1100,2,FALSE()))," ")</f>
        <v xml:space="preserve"> </v>
      </c>
      <c r="I59" s="54" t="str">
        <f>IFERROR((VLOOKUP(G59,'Planilha de Cadastro - Previsão'!$A$2:$N$1100,3,FALSE()))," ")</f>
        <v xml:space="preserve"> </v>
      </c>
      <c r="J59" s="56" t="str">
        <f>IFERROR((VLOOKUP(G59,'Planilha de Cadastro - Previsão'!$A$2:$N$1100,5,FALSE()))," ")</f>
        <v xml:space="preserve"> </v>
      </c>
      <c r="K59" s="57" t="str">
        <f>IFERROR((VLOOKUP(G59,'Planilha de Cadastro - Previsão'!$A$2:$N$1100,9,FALSE()))," ")</f>
        <v xml:space="preserve"> </v>
      </c>
    </row>
    <row r="60" spans="1:11" x14ac:dyDescent="0.25">
      <c r="A60">
        <f>COUNTIF($C$2:C60,C60)</f>
        <v>59</v>
      </c>
      <c r="B60" s="1" t="str">
        <f t="shared" si="0"/>
        <v>59</v>
      </c>
      <c r="C60" s="1" t="str">
        <f>IFERROR(VLOOKUP(D60,'Planilha de Cadastro - Previsão'!$A$2:$O$1000,15,FALSE()),"")</f>
        <v/>
      </c>
      <c r="D60" s="1">
        <v>59</v>
      </c>
      <c r="E60" s="1"/>
      <c r="F60" s="1"/>
      <c r="G60" s="54" t="str">
        <f t="shared" si="1"/>
        <v/>
      </c>
      <c r="H60" s="55" t="str">
        <f>IFERROR((VLOOKUP(G60,'Planilha de Cadastro - Previsão'!$A$2:$N$1100,2,FALSE()))," ")</f>
        <v xml:space="preserve"> </v>
      </c>
      <c r="I60" s="54" t="str">
        <f>IFERROR((VLOOKUP(G60,'Planilha de Cadastro - Previsão'!$A$2:$N$1100,3,FALSE()))," ")</f>
        <v xml:space="preserve"> </v>
      </c>
      <c r="J60" s="56" t="str">
        <f>IFERROR((VLOOKUP(G60,'Planilha de Cadastro - Previsão'!$A$2:$N$1100,5,FALSE()))," ")</f>
        <v xml:space="preserve"> </v>
      </c>
      <c r="K60" s="57" t="str">
        <f>IFERROR((VLOOKUP(G60,'Planilha de Cadastro - Previsão'!$A$2:$N$1100,9,FALSE()))," ")</f>
        <v xml:space="preserve"> </v>
      </c>
    </row>
    <row r="61" spans="1:11" x14ac:dyDescent="0.25">
      <c r="A61">
        <f>COUNTIF($C$2:C61,C61)</f>
        <v>60</v>
      </c>
      <c r="B61" s="1" t="str">
        <f t="shared" si="0"/>
        <v>60</v>
      </c>
      <c r="C61" s="1" t="str">
        <f>IFERROR(VLOOKUP(D61,'Planilha de Cadastro - Previsão'!$A$2:$O$1000,15,FALSE()),"")</f>
        <v/>
      </c>
      <c r="D61" s="1">
        <v>60</v>
      </c>
      <c r="E61" s="1"/>
      <c r="F61" s="1"/>
      <c r="G61" s="54" t="str">
        <f t="shared" si="1"/>
        <v/>
      </c>
      <c r="H61" s="55" t="str">
        <f>IFERROR((VLOOKUP(G61,'Planilha de Cadastro - Previsão'!$A$2:$N$1100,2,FALSE()))," ")</f>
        <v xml:space="preserve"> </v>
      </c>
      <c r="I61" s="54" t="str">
        <f>IFERROR((VLOOKUP(G61,'Planilha de Cadastro - Previsão'!$A$2:$N$1100,3,FALSE()))," ")</f>
        <v xml:space="preserve"> </v>
      </c>
      <c r="J61" s="56" t="str">
        <f>IFERROR((VLOOKUP(G61,'Planilha de Cadastro - Previsão'!$A$2:$N$1100,5,FALSE()))," ")</f>
        <v xml:space="preserve"> </v>
      </c>
      <c r="K61" s="57" t="str">
        <f>IFERROR((VLOOKUP(G61,'Planilha de Cadastro - Previsão'!$A$2:$N$1100,9,FALSE()))," ")</f>
        <v xml:space="preserve"> </v>
      </c>
    </row>
    <row r="62" spans="1:11" x14ac:dyDescent="0.25">
      <c r="A62">
        <f>COUNTIF($C$2:C62,C62)</f>
        <v>61</v>
      </c>
      <c r="B62" s="1" t="str">
        <f t="shared" si="0"/>
        <v>61</v>
      </c>
      <c r="C62" s="1" t="str">
        <f>IFERROR(VLOOKUP(D62,'Planilha de Cadastro - Previsão'!$A$2:$O$1000,15,FALSE()),"")</f>
        <v/>
      </c>
      <c r="D62" s="1">
        <v>61</v>
      </c>
      <c r="E62" s="1"/>
      <c r="F62" s="1"/>
      <c r="G62" s="54" t="str">
        <f t="shared" si="1"/>
        <v/>
      </c>
      <c r="H62" s="55" t="str">
        <f>IFERROR((VLOOKUP(G62,'Planilha de Cadastro - Previsão'!$A$2:$N$1100,2,FALSE()))," ")</f>
        <v xml:space="preserve"> </v>
      </c>
      <c r="I62" s="54" t="str">
        <f>IFERROR((VLOOKUP(G62,'Planilha de Cadastro - Previsão'!$A$2:$N$1100,3,FALSE()))," ")</f>
        <v xml:space="preserve"> </v>
      </c>
      <c r="J62" s="56" t="str">
        <f>IFERROR((VLOOKUP(G62,'Planilha de Cadastro - Previsão'!$A$2:$N$1100,5,FALSE()))," ")</f>
        <v xml:space="preserve"> </v>
      </c>
      <c r="K62" s="57" t="str">
        <f>IFERROR((VLOOKUP(G62,'Planilha de Cadastro - Previsão'!$A$2:$N$1100,9,FALSE()))," ")</f>
        <v xml:space="preserve"> </v>
      </c>
    </row>
    <row r="63" spans="1:11" x14ac:dyDescent="0.25">
      <c r="A63">
        <f>COUNTIF($C$2:C63,C63)</f>
        <v>62</v>
      </c>
      <c r="B63" s="1" t="str">
        <f t="shared" si="0"/>
        <v>62</v>
      </c>
      <c r="C63" s="1" t="str">
        <f>IFERROR(VLOOKUP(D63,'Planilha de Cadastro - Previsão'!$A$2:$O$1000,15,FALSE()),"")</f>
        <v/>
      </c>
      <c r="D63" s="1">
        <v>62</v>
      </c>
      <c r="E63" s="1"/>
      <c r="F63" s="1"/>
      <c r="G63" s="54" t="str">
        <f t="shared" si="1"/>
        <v/>
      </c>
      <c r="H63" s="55" t="str">
        <f>IFERROR((VLOOKUP(G63,'Planilha de Cadastro - Previsão'!$A$2:$N$1100,2,FALSE()))," ")</f>
        <v xml:space="preserve"> </v>
      </c>
      <c r="I63" s="54" t="str">
        <f>IFERROR((VLOOKUP(G63,'Planilha de Cadastro - Previsão'!$A$2:$N$1100,3,FALSE()))," ")</f>
        <v xml:space="preserve"> </v>
      </c>
      <c r="J63" s="56" t="str">
        <f>IFERROR((VLOOKUP(G63,'Planilha de Cadastro - Previsão'!$A$2:$N$1100,5,FALSE()))," ")</f>
        <v xml:space="preserve"> </v>
      </c>
      <c r="K63" s="57" t="str">
        <f>IFERROR((VLOOKUP(G63,'Planilha de Cadastro - Previsão'!$A$2:$N$1100,9,FALSE()))," ")</f>
        <v xml:space="preserve"> </v>
      </c>
    </row>
    <row r="64" spans="1:11" x14ac:dyDescent="0.25">
      <c r="A64">
        <f>COUNTIF($C$2:C64,C64)</f>
        <v>63</v>
      </c>
      <c r="B64" s="1" t="str">
        <f t="shared" si="0"/>
        <v>63</v>
      </c>
      <c r="C64" s="1" t="str">
        <f>IFERROR(VLOOKUP(D64,'Planilha de Cadastro - Previsão'!$A$2:$O$1000,15,FALSE()),"")</f>
        <v/>
      </c>
      <c r="D64" s="1">
        <v>63</v>
      </c>
      <c r="E64" s="1"/>
      <c r="F64" s="1"/>
      <c r="G64" s="54" t="str">
        <f t="shared" si="1"/>
        <v/>
      </c>
      <c r="H64" s="55" t="str">
        <f>IFERROR((VLOOKUP(G64,'Planilha de Cadastro - Previsão'!$A$2:$N$1100,2,FALSE()))," ")</f>
        <v xml:space="preserve"> </v>
      </c>
      <c r="I64" s="54" t="str">
        <f>IFERROR((VLOOKUP(G64,'Planilha de Cadastro - Previsão'!$A$2:$N$1100,3,FALSE()))," ")</f>
        <v xml:space="preserve"> </v>
      </c>
      <c r="J64" s="56" t="str">
        <f>IFERROR((VLOOKUP(G64,'Planilha de Cadastro - Previsão'!$A$2:$N$1100,5,FALSE()))," ")</f>
        <v xml:space="preserve"> </v>
      </c>
      <c r="K64" s="57" t="str">
        <f>IFERROR((VLOOKUP(G64,'Planilha de Cadastro - Previsão'!$A$2:$N$1100,9,FALSE()))," ")</f>
        <v xml:space="preserve"> </v>
      </c>
    </row>
    <row r="65" spans="1:11" x14ac:dyDescent="0.25">
      <c r="A65">
        <f>COUNTIF($C$2:C65,C65)</f>
        <v>64</v>
      </c>
      <c r="B65" s="1" t="str">
        <f t="shared" si="0"/>
        <v>64</v>
      </c>
      <c r="C65" s="1" t="str">
        <f>IFERROR(VLOOKUP(D65,'Planilha de Cadastro - Previsão'!$A$2:$O$1000,15,FALSE()),"")</f>
        <v/>
      </c>
      <c r="D65" s="1">
        <v>64</v>
      </c>
      <c r="E65" s="1"/>
      <c r="F65" s="1"/>
      <c r="G65" s="54" t="str">
        <f t="shared" si="1"/>
        <v/>
      </c>
      <c r="H65" s="55" t="str">
        <f>IFERROR((VLOOKUP(G65,'Planilha de Cadastro - Previsão'!$A$2:$N$1100,2,FALSE()))," ")</f>
        <v xml:space="preserve"> </v>
      </c>
      <c r="I65" s="54" t="str">
        <f>IFERROR((VLOOKUP(G65,'Planilha de Cadastro - Previsão'!$A$2:$N$1100,3,FALSE()))," ")</f>
        <v xml:space="preserve"> </v>
      </c>
      <c r="J65" s="56" t="str">
        <f>IFERROR((VLOOKUP(G65,'Planilha de Cadastro - Previsão'!$A$2:$N$1100,5,FALSE()))," ")</f>
        <v xml:space="preserve"> </v>
      </c>
      <c r="K65" s="57" t="str">
        <f>IFERROR((VLOOKUP(G65,'Planilha de Cadastro - Previsão'!$A$2:$N$1100,9,FALSE()))," ")</f>
        <v xml:space="preserve"> </v>
      </c>
    </row>
    <row r="66" spans="1:11" x14ac:dyDescent="0.25">
      <c r="A66">
        <f>COUNTIF($C$2:C66,C66)</f>
        <v>65</v>
      </c>
      <c r="B66" s="1" t="str">
        <f t="shared" si="0"/>
        <v>65</v>
      </c>
      <c r="C66" s="1" t="str">
        <f>IFERROR(VLOOKUP(D66,'Planilha de Cadastro - Previsão'!$A$2:$O$1000,15,FALSE()),"")</f>
        <v/>
      </c>
      <c r="D66" s="1">
        <v>65</v>
      </c>
      <c r="E66" s="1"/>
      <c r="F66" s="1"/>
      <c r="G66" s="54" t="str">
        <f t="shared" si="1"/>
        <v/>
      </c>
      <c r="H66" s="55" t="str">
        <f>IFERROR((VLOOKUP(G66,'Planilha de Cadastro - Previsão'!$A$2:$N$1100,2,FALSE()))," ")</f>
        <v xml:space="preserve"> </v>
      </c>
      <c r="I66" s="54" t="str">
        <f>IFERROR((VLOOKUP(G66,'Planilha de Cadastro - Previsão'!$A$2:$N$1100,3,FALSE()))," ")</f>
        <v xml:space="preserve"> </v>
      </c>
      <c r="J66" s="56" t="str">
        <f>IFERROR((VLOOKUP(G66,'Planilha de Cadastro - Previsão'!$A$2:$N$1100,5,FALSE()))," ")</f>
        <v xml:space="preserve"> </v>
      </c>
      <c r="K66" s="57" t="str">
        <f>IFERROR((VLOOKUP(G66,'Planilha de Cadastro - Previsão'!$A$2:$N$1100,9,FALSE()))," ")</f>
        <v xml:space="preserve"> </v>
      </c>
    </row>
    <row r="67" spans="1:11" x14ac:dyDescent="0.25">
      <c r="A67">
        <f>COUNTIF($C$2:C67,C67)</f>
        <v>66</v>
      </c>
      <c r="B67" s="1" t="str">
        <f t="shared" ref="B67:B130" si="2">IFERROR(CONCATENATE(C67,A67),"")</f>
        <v>66</v>
      </c>
      <c r="C67" s="1" t="str">
        <f>IFERROR(VLOOKUP(D67,'Planilha de Cadastro - Previsão'!$A$2:$O$1000,15,FALSE()),"")</f>
        <v/>
      </c>
      <c r="D67" s="1">
        <v>66</v>
      </c>
      <c r="E67" s="1"/>
      <c r="F67" s="1"/>
      <c r="G67" s="54" t="str">
        <f t="shared" si="1"/>
        <v/>
      </c>
      <c r="H67" s="55" t="str">
        <f>IFERROR((VLOOKUP(G67,'Planilha de Cadastro - Previsão'!$A$2:$N$1100,2,FALSE()))," ")</f>
        <v xml:space="preserve"> </v>
      </c>
      <c r="I67" s="54" t="str">
        <f>IFERROR((VLOOKUP(G67,'Planilha de Cadastro - Previsão'!$A$2:$N$1100,3,FALSE()))," ")</f>
        <v xml:space="preserve"> </v>
      </c>
      <c r="J67" s="56" t="str">
        <f>IFERROR((VLOOKUP(G67,'Planilha de Cadastro - Previsão'!$A$2:$N$1100,5,FALSE()))," ")</f>
        <v xml:space="preserve"> </v>
      </c>
      <c r="K67" s="57" t="str">
        <f>IFERROR((VLOOKUP(G67,'Planilha de Cadastro - Previsão'!$A$2:$N$1100,9,FALSE()))," ")</f>
        <v xml:space="preserve"> </v>
      </c>
    </row>
    <row r="68" spans="1:11" x14ac:dyDescent="0.25">
      <c r="A68">
        <f>COUNTIF($C$2:C68,C68)</f>
        <v>67</v>
      </c>
      <c r="B68" s="1" t="str">
        <f t="shared" si="2"/>
        <v>67</v>
      </c>
      <c r="C68" s="1" t="str">
        <f>IFERROR(VLOOKUP(D68,'Planilha de Cadastro - Previsão'!$A$2:$O$1000,15,FALSE()),"")</f>
        <v/>
      </c>
      <c r="D68" s="1">
        <v>67</v>
      </c>
      <c r="E68" s="1"/>
      <c r="F68" s="1"/>
      <c r="G68" s="54" t="str">
        <f t="shared" si="1"/>
        <v/>
      </c>
      <c r="H68" s="55" t="str">
        <f>IFERROR((VLOOKUP(G68,'Planilha de Cadastro - Previsão'!$A$2:$N$1100,2,FALSE()))," ")</f>
        <v xml:space="preserve"> </v>
      </c>
      <c r="I68" s="54" t="str">
        <f>IFERROR((VLOOKUP(G68,'Planilha de Cadastro - Previsão'!$A$2:$N$1100,3,FALSE()))," ")</f>
        <v xml:space="preserve"> </v>
      </c>
      <c r="J68" s="56" t="str">
        <f>IFERROR((VLOOKUP(G68,'Planilha de Cadastro - Previsão'!$A$2:$N$1100,5,FALSE()))," ")</f>
        <v xml:space="preserve"> </v>
      </c>
      <c r="K68" s="57" t="str">
        <f>IFERROR((VLOOKUP(G68,'Planilha de Cadastro - Previsão'!$A$2:$N$1100,9,FALSE()))," ")</f>
        <v xml:space="preserve"> </v>
      </c>
    </row>
    <row r="69" spans="1:11" x14ac:dyDescent="0.25">
      <c r="A69">
        <f>COUNTIF($C$2:C69,C69)</f>
        <v>68</v>
      </c>
      <c r="B69" s="1" t="str">
        <f t="shared" si="2"/>
        <v>68</v>
      </c>
      <c r="C69" s="1" t="str">
        <f>IFERROR(VLOOKUP(D69,'Planilha de Cadastro - Previsão'!$A$2:$O$1000,15,FALSE()),"")</f>
        <v/>
      </c>
      <c r="D69" s="1">
        <v>68</v>
      </c>
      <c r="E69" s="1"/>
      <c r="F69" s="1"/>
      <c r="G69" s="54" t="str">
        <f t="shared" si="1"/>
        <v/>
      </c>
      <c r="H69" s="55" t="str">
        <f>IFERROR((VLOOKUP(G69,'Planilha de Cadastro - Previsão'!$A$2:$N$1100,2,FALSE()))," ")</f>
        <v xml:space="preserve"> </v>
      </c>
      <c r="I69" s="54" t="str">
        <f>IFERROR((VLOOKUP(G69,'Planilha de Cadastro - Previsão'!$A$2:$N$1100,3,FALSE()))," ")</f>
        <v xml:space="preserve"> </v>
      </c>
      <c r="J69" s="56" t="str">
        <f>IFERROR((VLOOKUP(G69,'Planilha de Cadastro - Previsão'!$A$2:$N$1100,5,FALSE()))," ")</f>
        <v xml:space="preserve"> </v>
      </c>
      <c r="K69" s="57" t="str">
        <f>IFERROR((VLOOKUP(G69,'Planilha de Cadastro - Previsão'!$A$2:$N$1100,9,FALSE()))," ")</f>
        <v xml:space="preserve"> </v>
      </c>
    </row>
    <row r="70" spans="1:11" x14ac:dyDescent="0.25">
      <c r="A70">
        <f>COUNTIF($C$2:C70,C70)</f>
        <v>69</v>
      </c>
      <c r="B70" s="1" t="str">
        <f t="shared" si="2"/>
        <v>69</v>
      </c>
      <c r="C70" s="1" t="str">
        <f>IFERROR(VLOOKUP(D70,'Planilha de Cadastro - Previsão'!$A$2:$O$1000,15,FALSE()),"")</f>
        <v/>
      </c>
      <c r="D70" s="1">
        <v>69</v>
      </c>
      <c r="E70" s="1"/>
      <c r="F70" s="1"/>
      <c r="G70" s="54" t="str">
        <f t="shared" si="1"/>
        <v/>
      </c>
      <c r="H70" s="55" t="str">
        <f>IFERROR((VLOOKUP(G70,'Planilha de Cadastro - Previsão'!$A$2:$N$1100,2,FALSE()))," ")</f>
        <v xml:space="preserve"> </v>
      </c>
      <c r="I70" s="54" t="str">
        <f>IFERROR((VLOOKUP(G70,'Planilha de Cadastro - Previsão'!$A$2:$N$1100,3,FALSE()))," ")</f>
        <v xml:space="preserve"> </v>
      </c>
      <c r="J70" s="56" t="str">
        <f>IFERROR((VLOOKUP(G70,'Planilha de Cadastro - Previsão'!$A$2:$N$1100,5,FALSE()))," ")</f>
        <v xml:space="preserve"> </v>
      </c>
      <c r="K70" s="57" t="str">
        <f>IFERROR((VLOOKUP(G70,'Planilha de Cadastro - Previsão'!$A$2:$N$1100,9,FALSE()))," ")</f>
        <v xml:space="preserve"> </v>
      </c>
    </row>
    <row r="71" spans="1:11" x14ac:dyDescent="0.25">
      <c r="A71">
        <f>COUNTIF($C$2:C71,C71)</f>
        <v>70</v>
      </c>
      <c r="B71" s="1" t="str">
        <f t="shared" si="2"/>
        <v>70</v>
      </c>
      <c r="C71" s="1" t="str">
        <f>IFERROR(VLOOKUP(D71,'Planilha de Cadastro - Previsão'!$A$2:$O$1000,15,FALSE()),"")</f>
        <v/>
      </c>
      <c r="D71" s="1">
        <v>70</v>
      </c>
      <c r="E71" s="1"/>
      <c r="F71" s="1"/>
      <c r="G71" s="54" t="str">
        <f t="shared" si="1"/>
        <v/>
      </c>
      <c r="H71" s="55" t="str">
        <f>IFERROR((VLOOKUP(G71,'Planilha de Cadastro - Previsão'!$A$2:$N$1100,2,FALSE()))," ")</f>
        <v xml:space="preserve"> </v>
      </c>
      <c r="I71" s="54" t="str">
        <f>IFERROR((VLOOKUP(G71,'Planilha de Cadastro - Previsão'!$A$2:$N$1100,3,FALSE()))," ")</f>
        <v xml:space="preserve"> </v>
      </c>
      <c r="J71" s="56" t="str">
        <f>IFERROR((VLOOKUP(G71,'Planilha de Cadastro - Previsão'!$A$2:$N$1100,5,FALSE()))," ")</f>
        <v xml:space="preserve"> </v>
      </c>
      <c r="K71" s="57" t="str">
        <f>IFERROR((VLOOKUP(G71,'Planilha de Cadastro - Previsão'!$A$2:$N$1100,9,FALSE()))," ")</f>
        <v xml:space="preserve"> </v>
      </c>
    </row>
    <row r="72" spans="1:11" x14ac:dyDescent="0.25">
      <c r="A72">
        <f>COUNTIF($C$2:C72,C72)</f>
        <v>71</v>
      </c>
      <c r="B72" s="1" t="str">
        <f t="shared" si="2"/>
        <v>71</v>
      </c>
      <c r="C72" s="1" t="str">
        <f>IFERROR(VLOOKUP(D72,'Planilha de Cadastro - Previsão'!$A$2:$O$1000,15,FALSE()),"")</f>
        <v/>
      </c>
      <c r="D72" s="1">
        <v>71</v>
      </c>
      <c r="E72" s="1"/>
      <c r="F72" s="1"/>
      <c r="G72" s="54" t="str">
        <f t="shared" si="1"/>
        <v/>
      </c>
      <c r="H72" s="55" t="str">
        <f>IFERROR((VLOOKUP(G72,'Planilha de Cadastro - Previsão'!$A$2:$N$1100,2,FALSE()))," ")</f>
        <v xml:space="preserve"> </v>
      </c>
      <c r="I72" s="54" t="str">
        <f>IFERROR((VLOOKUP(G72,'Planilha de Cadastro - Previsão'!$A$2:$N$1100,3,FALSE()))," ")</f>
        <v xml:space="preserve"> </v>
      </c>
      <c r="J72" s="56" t="str">
        <f>IFERROR((VLOOKUP(G72,'Planilha de Cadastro - Previsão'!$A$2:$N$1100,5,FALSE()))," ")</f>
        <v xml:space="preserve"> </v>
      </c>
      <c r="K72" s="57" t="str">
        <f>IFERROR((VLOOKUP(G72,'Planilha de Cadastro - Previsão'!$A$2:$N$1100,9,FALSE()))," ")</f>
        <v xml:space="preserve"> </v>
      </c>
    </row>
    <row r="73" spans="1:11" x14ac:dyDescent="0.25">
      <c r="A73">
        <f>COUNTIF($C$2:C73,C73)</f>
        <v>72</v>
      </c>
      <c r="B73" s="1" t="str">
        <f t="shared" si="2"/>
        <v>72</v>
      </c>
      <c r="C73" s="1" t="str">
        <f>IFERROR(VLOOKUP(D73,'Planilha de Cadastro - Previsão'!$A$2:$O$1000,15,FALSE()),"")</f>
        <v/>
      </c>
      <c r="D73" s="1">
        <v>72</v>
      </c>
      <c r="E73" s="1"/>
      <c r="F73" s="1"/>
      <c r="G73" s="54" t="str">
        <f t="shared" si="1"/>
        <v/>
      </c>
      <c r="H73" s="55" t="str">
        <f>IFERROR((VLOOKUP(G73,'Planilha de Cadastro - Previsão'!$A$2:$N$1100,2,FALSE()))," ")</f>
        <v xml:space="preserve"> </v>
      </c>
      <c r="I73" s="54" t="str">
        <f>IFERROR((VLOOKUP(G73,'Planilha de Cadastro - Previsão'!$A$2:$N$1100,3,FALSE()))," ")</f>
        <v xml:space="preserve"> </v>
      </c>
      <c r="J73" s="56" t="str">
        <f>IFERROR((VLOOKUP(G73,'Planilha de Cadastro - Previsão'!$A$2:$N$1100,5,FALSE()))," ")</f>
        <v xml:space="preserve"> </v>
      </c>
      <c r="K73" s="57" t="str">
        <f>IFERROR((VLOOKUP(G73,'Planilha de Cadastro - Previsão'!$A$2:$N$1100,9,FALSE()))," ")</f>
        <v xml:space="preserve"> </v>
      </c>
    </row>
    <row r="74" spans="1:11" x14ac:dyDescent="0.25">
      <c r="A74">
        <f>COUNTIF($C$2:C74,C74)</f>
        <v>73</v>
      </c>
      <c r="B74" s="1" t="str">
        <f t="shared" si="2"/>
        <v>73</v>
      </c>
      <c r="C74" s="1" t="str">
        <f>IFERROR(VLOOKUP(D74,'Planilha de Cadastro - Previsão'!$A$2:$O$1000,15,FALSE()),"")</f>
        <v/>
      </c>
      <c r="D74" s="1">
        <v>73</v>
      </c>
      <c r="E74" s="1"/>
      <c r="F74" s="1"/>
      <c r="G74" s="54" t="str">
        <f t="shared" ref="G74:G137" si="3">IFERROR((VLOOKUP(CONCATENATE("Sim",D66),$B$2:$D$1000,3,FALSE())),"")</f>
        <v/>
      </c>
      <c r="H74" s="55" t="str">
        <f>IFERROR((VLOOKUP(G74,'Planilha de Cadastro - Previsão'!$A$2:$N$1100,2,FALSE()))," ")</f>
        <v xml:space="preserve"> </v>
      </c>
      <c r="I74" s="54" t="str">
        <f>IFERROR((VLOOKUP(G74,'Planilha de Cadastro - Previsão'!$A$2:$N$1100,3,FALSE()))," ")</f>
        <v xml:space="preserve"> </v>
      </c>
      <c r="J74" s="56" t="str">
        <f>IFERROR((VLOOKUP(G74,'Planilha de Cadastro - Previsão'!$A$2:$N$1100,5,FALSE()))," ")</f>
        <v xml:space="preserve"> </v>
      </c>
      <c r="K74" s="57" t="str">
        <f>IFERROR((VLOOKUP(G74,'Planilha de Cadastro - Previsão'!$A$2:$N$1100,9,FALSE()))," ")</f>
        <v xml:space="preserve"> </v>
      </c>
    </row>
    <row r="75" spans="1:11" x14ac:dyDescent="0.25">
      <c r="A75">
        <f>COUNTIF($C$2:C75,C75)</f>
        <v>74</v>
      </c>
      <c r="B75" s="1" t="str">
        <f t="shared" si="2"/>
        <v>74</v>
      </c>
      <c r="C75" s="1" t="str">
        <f>IFERROR(VLOOKUP(D75,'Planilha de Cadastro - Previsão'!$A$2:$O$1000,15,FALSE()),"")</f>
        <v/>
      </c>
      <c r="D75" s="1">
        <v>74</v>
      </c>
      <c r="E75" s="1"/>
      <c r="F75" s="1"/>
      <c r="G75" s="54" t="str">
        <f t="shared" si="3"/>
        <v/>
      </c>
      <c r="H75" s="55" t="str">
        <f>IFERROR((VLOOKUP(G75,'Planilha de Cadastro - Previsão'!$A$2:$N$1100,2,FALSE()))," ")</f>
        <v xml:space="preserve"> </v>
      </c>
      <c r="I75" s="54" t="str">
        <f>IFERROR((VLOOKUP(G75,'Planilha de Cadastro - Previsão'!$A$2:$N$1100,3,FALSE()))," ")</f>
        <v xml:space="preserve"> </v>
      </c>
      <c r="J75" s="56" t="str">
        <f>IFERROR((VLOOKUP(G75,'Planilha de Cadastro - Previsão'!$A$2:$N$1100,5,FALSE()))," ")</f>
        <v xml:space="preserve"> </v>
      </c>
      <c r="K75" s="57" t="str">
        <f>IFERROR((VLOOKUP(G75,'Planilha de Cadastro - Previsão'!$A$2:$N$1100,9,FALSE()))," ")</f>
        <v xml:space="preserve"> </v>
      </c>
    </row>
    <row r="76" spans="1:11" x14ac:dyDescent="0.25">
      <c r="A76">
        <f>COUNTIF($C$2:C76,C76)</f>
        <v>75</v>
      </c>
      <c r="B76" s="1" t="str">
        <f t="shared" si="2"/>
        <v>75</v>
      </c>
      <c r="C76" s="1" t="str">
        <f>IFERROR(VLOOKUP(D76,'Planilha de Cadastro - Previsão'!$A$2:$O$1000,15,FALSE()),"")</f>
        <v/>
      </c>
      <c r="D76" s="1">
        <v>75</v>
      </c>
      <c r="E76" s="1"/>
      <c r="F76" s="1"/>
      <c r="G76" s="54" t="str">
        <f t="shared" si="3"/>
        <v/>
      </c>
      <c r="H76" s="55" t="str">
        <f>IFERROR((VLOOKUP(G76,'Planilha de Cadastro - Previsão'!$A$2:$N$1100,2,FALSE()))," ")</f>
        <v xml:space="preserve"> </v>
      </c>
      <c r="I76" s="54" t="str">
        <f>IFERROR((VLOOKUP(G76,'Planilha de Cadastro - Previsão'!$A$2:$N$1100,3,FALSE()))," ")</f>
        <v xml:space="preserve"> </v>
      </c>
      <c r="J76" s="56" t="str">
        <f>IFERROR((VLOOKUP(G76,'Planilha de Cadastro - Previsão'!$A$2:$N$1100,5,FALSE()))," ")</f>
        <v xml:space="preserve"> </v>
      </c>
      <c r="K76" s="57" t="str">
        <f>IFERROR((VLOOKUP(G76,'Planilha de Cadastro - Previsão'!$A$2:$N$1100,9,FALSE()))," ")</f>
        <v xml:space="preserve"> </v>
      </c>
    </row>
    <row r="77" spans="1:11" x14ac:dyDescent="0.25">
      <c r="A77">
        <f>COUNTIF($C$2:C77,C77)</f>
        <v>76</v>
      </c>
      <c r="B77" s="1" t="str">
        <f t="shared" si="2"/>
        <v>76</v>
      </c>
      <c r="C77" s="1" t="str">
        <f>IFERROR(VLOOKUP(D77,'Planilha de Cadastro - Previsão'!$A$2:$O$1000,15,FALSE()),"")</f>
        <v/>
      </c>
      <c r="D77" s="1">
        <v>76</v>
      </c>
      <c r="E77" s="1"/>
      <c r="F77" s="1"/>
      <c r="G77" s="54" t="str">
        <f t="shared" si="3"/>
        <v/>
      </c>
      <c r="H77" s="55" t="str">
        <f>IFERROR((VLOOKUP(G77,'Planilha de Cadastro - Previsão'!$A$2:$N$1100,2,FALSE()))," ")</f>
        <v xml:space="preserve"> </v>
      </c>
      <c r="I77" s="54" t="str">
        <f>IFERROR((VLOOKUP(G77,'Planilha de Cadastro - Previsão'!$A$2:$N$1100,3,FALSE()))," ")</f>
        <v xml:space="preserve"> </v>
      </c>
      <c r="J77" s="56" t="str">
        <f>IFERROR((VLOOKUP(G77,'Planilha de Cadastro - Previsão'!$A$2:$N$1100,5,FALSE()))," ")</f>
        <v xml:space="preserve"> </v>
      </c>
      <c r="K77" s="57" t="str">
        <f>IFERROR((VLOOKUP(G77,'Planilha de Cadastro - Previsão'!$A$2:$N$1100,9,FALSE()))," ")</f>
        <v xml:space="preserve"> </v>
      </c>
    </row>
    <row r="78" spans="1:11" x14ac:dyDescent="0.25">
      <c r="A78">
        <f>COUNTIF($C$2:C78,C78)</f>
        <v>77</v>
      </c>
      <c r="B78" s="1" t="str">
        <f t="shared" si="2"/>
        <v>77</v>
      </c>
      <c r="C78" s="1" t="str">
        <f>IFERROR(VLOOKUP(D78,'Planilha de Cadastro - Previsão'!$A$2:$O$1000,15,FALSE()),"")</f>
        <v/>
      </c>
      <c r="D78" s="1">
        <v>77</v>
      </c>
      <c r="E78" s="1"/>
      <c r="F78" s="1"/>
      <c r="G78" s="54" t="str">
        <f t="shared" si="3"/>
        <v/>
      </c>
      <c r="H78" s="55" t="str">
        <f>IFERROR((VLOOKUP(G78,'Planilha de Cadastro - Previsão'!$A$2:$N$1100,2,FALSE()))," ")</f>
        <v xml:space="preserve"> </v>
      </c>
      <c r="I78" s="54" t="str">
        <f>IFERROR((VLOOKUP(G78,'Planilha de Cadastro - Previsão'!$A$2:$N$1100,3,FALSE()))," ")</f>
        <v xml:space="preserve"> </v>
      </c>
      <c r="J78" s="56" t="str">
        <f>IFERROR((VLOOKUP(G78,'Planilha de Cadastro - Previsão'!$A$2:$N$1100,5,FALSE()))," ")</f>
        <v xml:space="preserve"> </v>
      </c>
      <c r="K78" s="57" t="str">
        <f>IFERROR((VLOOKUP(G78,'Planilha de Cadastro - Previsão'!$A$2:$N$1100,9,FALSE()))," ")</f>
        <v xml:space="preserve"> </v>
      </c>
    </row>
    <row r="79" spans="1:11" x14ac:dyDescent="0.25">
      <c r="A79">
        <f>COUNTIF($C$2:C79,C79)</f>
        <v>78</v>
      </c>
      <c r="B79" s="1" t="str">
        <f t="shared" si="2"/>
        <v>78</v>
      </c>
      <c r="C79" s="1" t="str">
        <f>IFERROR(VLOOKUP(D79,'Planilha de Cadastro - Previsão'!$A$2:$O$1000,15,FALSE()),"")</f>
        <v/>
      </c>
      <c r="D79" s="1">
        <v>78</v>
      </c>
      <c r="E79" s="1"/>
      <c r="F79" s="1"/>
      <c r="G79" s="54" t="str">
        <f t="shared" si="3"/>
        <v/>
      </c>
      <c r="H79" s="55" t="str">
        <f>IFERROR((VLOOKUP(G79,'Planilha de Cadastro - Previsão'!$A$2:$N$1100,2,FALSE()))," ")</f>
        <v xml:space="preserve"> </v>
      </c>
      <c r="I79" s="54" t="str">
        <f>IFERROR((VLOOKUP(G79,'Planilha de Cadastro - Previsão'!$A$2:$N$1100,3,FALSE()))," ")</f>
        <v xml:space="preserve"> </v>
      </c>
      <c r="J79" s="56" t="str">
        <f>IFERROR((VLOOKUP(G79,'Planilha de Cadastro - Previsão'!$A$2:$N$1100,5,FALSE()))," ")</f>
        <v xml:space="preserve"> </v>
      </c>
      <c r="K79" s="57" t="str">
        <f>IFERROR((VLOOKUP(G79,'Planilha de Cadastro - Previsão'!$A$2:$N$1100,9,FALSE()))," ")</f>
        <v xml:space="preserve"> </v>
      </c>
    </row>
    <row r="80" spans="1:11" x14ac:dyDescent="0.25">
      <c r="A80">
        <f>COUNTIF($C$2:C80,C80)</f>
        <v>79</v>
      </c>
      <c r="B80" s="1" t="str">
        <f t="shared" si="2"/>
        <v>79</v>
      </c>
      <c r="C80" s="1" t="str">
        <f>IFERROR(VLOOKUP(D80,'Planilha de Cadastro - Previsão'!$A$2:$O$1000,15,FALSE()),"")</f>
        <v/>
      </c>
      <c r="D80" s="1">
        <v>79</v>
      </c>
      <c r="E80" s="1"/>
      <c r="F80" s="1"/>
      <c r="G80" s="54" t="str">
        <f t="shared" si="3"/>
        <v/>
      </c>
      <c r="H80" s="55" t="str">
        <f>IFERROR((VLOOKUP(G80,'Planilha de Cadastro - Previsão'!$A$2:$N$1100,2,FALSE()))," ")</f>
        <v xml:space="preserve"> </v>
      </c>
      <c r="I80" s="54" t="str">
        <f>IFERROR((VLOOKUP(G80,'Planilha de Cadastro - Previsão'!$A$2:$N$1100,3,FALSE()))," ")</f>
        <v xml:space="preserve"> </v>
      </c>
      <c r="J80" s="56" t="str">
        <f>IFERROR((VLOOKUP(G80,'Planilha de Cadastro - Previsão'!$A$2:$N$1100,5,FALSE()))," ")</f>
        <v xml:space="preserve"> </v>
      </c>
      <c r="K80" s="57" t="str">
        <f>IFERROR((VLOOKUP(G80,'Planilha de Cadastro - Previsão'!$A$2:$N$1100,9,FALSE()))," ")</f>
        <v xml:space="preserve"> </v>
      </c>
    </row>
    <row r="81" spans="1:11" x14ac:dyDescent="0.25">
      <c r="A81">
        <f>COUNTIF($C$2:C81,C81)</f>
        <v>80</v>
      </c>
      <c r="B81" s="1" t="str">
        <f t="shared" si="2"/>
        <v>80</v>
      </c>
      <c r="C81" s="1" t="str">
        <f>IFERROR(VLOOKUP(D81,'Planilha de Cadastro - Previsão'!$A$2:$O$1000,15,FALSE()),"")</f>
        <v/>
      </c>
      <c r="D81" s="1">
        <v>80</v>
      </c>
      <c r="E81" s="1"/>
      <c r="F81" s="1"/>
      <c r="G81" s="54" t="str">
        <f t="shared" si="3"/>
        <v/>
      </c>
      <c r="H81" s="55" t="str">
        <f>IFERROR((VLOOKUP(G81,'Planilha de Cadastro - Previsão'!$A$2:$N$1100,2,FALSE()))," ")</f>
        <v xml:space="preserve"> </v>
      </c>
      <c r="I81" s="54" t="str">
        <f>IFERROR((VLOOKUP(G81,'Planilha de Cadastro - Previsão'!$A$2:$N$1100,3,FALSE()))," ")</f>
        <v xml:space="preserve"> </v>
      </c>
      <c r="J81" s="56" t="str">
        <f>IFERROR((VLOOKUP(G81,'Planilha de Cadastro - Previsão'!$A$2:$N$1100,5,FALSE()))," ")</f>
        <v xml:space="preserve"> </v>
      </c>
      <c r="K81" s="57" t="str">
        <f>IFERROR((VLOOKUP(G81,'Planilha de Cadastro - Previsão'!$A$2:$N$1100,9,FALSE()))," ")</f>
        <v xml:space="preserve"> </v>
      </c>
    </row>
    <row r="82" spans="1:11" x14ac:dyDescent="0.25">
      <c r="A82">
        <f>COUNTIF($C$2:C82,C82)</f>
        <v>81</v>
      </c>
      <c r="B82" s="1" t="str">
        <f t="shared" si="2"/>
        <v>81</v>
      </c>
      <c r="C82" s="1" t="str">
        <f>IFERROR(VLOOKUP(D82,'Planilha de Cadastro - Previsão'!$A$2:$O$1000,15,FALSE()),"")</f>
        <v/>
      </c>
      <c r="D82" s="1">
        <v>81</v>
      </c>
      <c r="E82" s="1"/>
      <c r="F82" s="1"/>
      <c r="G82" s="54" t="str">
        <f t="shared" si="3"/>
        <v/>
      </c>
      <c r="H82" s="55" t="str">
        <f>IFERROR((VLOOKUP(G82,'Planilha de Cadastro - Previsão'!$A$2:$N$1100,2,FALSE()))," ")</f>
        <v xml:space="preserve"> </v>
      </c>
      <c r="I82" s="54" t="str">
        <f>IFERROR((VLOOKUP(G82,'Planilha de Cadastro - Previsão'!$A$2:$N$1100,3,FALSE()))," ")</f>
        <v xml:space="preserve"> </v>
      </c>
      <c r="J82" s="56" t="str">
        <f>IFERROR((VLOOKUP(G82,'Planilha de Cadastro - Previsão'!$A$2:$N$1100,5,FALSE()))," ")</f>
        <v xml:space="preserve"> </v>
      </c>
      <c r="K82" s="57" t="str">
        <f>IFERROR((VLOOKUP(G82,'Planilha de Cadastro - Previsão'!$A$2:$N$1100,9,FALSE()))," ")</f>
        <v xml:space="preserve"> </v>
      </c>
    </row>
    <row r="83" spans="1:11" x14ac:dyDescent="0.25">
      <c r="A83">
        <f>COUNTIF($C$2:C83,C83)</f>
        <v>82</v>
      </c>
      <c r="B83" s="1" t="str">
        <f t="shared" si="2"/>
        <v>82</v>
      </c>
      <c r="C83" s="1" t="str">
        <f>IFERROR(VLOOKUP(D83,'Planilha de Cadastro - Previsão'!$A$2:$O$1000,15,FALSE()),"")</f>
        <v/>
      </c>
      <c r="D83" s="1">
        <v>82</v>
      </c>
      <c r="E83" s="1"/>
      <c r="F83" s="1"/>
      <c r="G83" s="54" t="str">
        <f t="shared" si="3"/>
        <v/>
      </c>
      <c r="H83" s="55" t="str">
        <f>IFERROR((VLOOKUP(G83,'Planilha de Cadastro - Previsão'!$A$2:$N$1100,2,FALSE()))," ")</f>
        <v xml:space="preserve"> </v>
      </c>
      <c r="I83" s="54" t="str">
        <f>IFERROR((VLOOKUP(G83,'Planilha de Cadastro - Previsão'!$A$2:$N$1100,3,FALSE()))," ")</f>
        <v xml:space="preserve"> </v>
      </c>
      <c r="J83" s="56" t="str">
        <f>IFERROR((VLOOKUP(G83,'Planilha de Cadastro - Previsão'!$A$2:$N$1100,5,FALSE()))," ")</f>
        <v xml:space="preserve"> </v>
      </c>
      <c r="K83" s="57" t="str">
        <f>IFERROR((VLOOKUP(G83,'Planilha de Cadastro - Previsão'!$A$2:$N$1100,9,FALSE()))," ")</f>
        <v xml:space="preserve"> </v>
      </c>
    </row>
    <row r="84" spans="1:11" x14ac:dyDescent="0.25">
      <c r="A84">
        <f>COUNTIF($C$2:C84,C84)</f>
        <v>83</v>
      </c>
      <c r="B84" s="1" t="str">
        <f t="shared" si="2"/>
        <v>83</v>
      </c>
      <c r="C84" s="1" t="str">
        <f>IFERROR(VLOOKUP(D84,'Planilha de Cadastro - Previsão'!$A$2:$O$1000,15,FALSE()),"")</f>
        <v/>
      </c>
      <c r="D84" s="1">
        <v>83</v>
      </c>
      <c r="E84" s="1"/>
      <c r="F84" s="1"/>
      <c r="G84" s="54" t="str">
        <f t="shared" si="3"/>
        <v/>
      </c>
      <c r="H84" s="55" t="str">
        <f>IFERROR((VLOOKUP(G84,'Planilha de Cadastro - Previsão'!$A$2:$N$1100,2,FALSE()))," ")</f>
        <v xml:space="preserve"> </v>
      </c>
      <c r="I84" s="54" t="str">
        <f>IFERROR((VLOOKUP(G84,'Planilha de Cadastro - Previsão'!$A$2:$N$1100,3,FALSE()))," ")</f>
        <v xml:space="preserve"> </v>
      </c>
      <c r="J84" s="56" t="str">
        <f>IFERROR((VLOOKUP(G84,'Planilha de Cadastro - Previsão'!$A$2:$N$1100,5,FALSE()))," ")</f>
        <v xml:space="preserve"> </v>
      </c>
      <c r="K84" s="57" t="str">
        <f>IFERROR((VLOOKUP(G84,'Planilha de Cadastro - Previsão'!$A$2:$N$1100,9,FALSE()))," ")</f>
        <v xml:space="preserve"> </v>
      </c>
    </row>
    <row r="85" spans="1:11" x14ac:dyDescent="0.25">
      <c r="A85">
        <f>COUNTIF($C$2:C85,C85)</f>
        <v>84</v>
      </c>
      <c r="B85" s="1" t="str">
        <f t="shared" si="2"/>
        <v>84</v>
      </c>
      <c r="C85" s="1" t="str">
        <f>IFERROR(VLOOKUP(D85,'Planilha de Cadastro - Previsão'!$A$2:$O$1000,15,FALSE()),"")</f>
        <v/>
      </c>
      <c r="D85" s="1">
        <v>84</v>
      </c>
      <c r="E85" s="1"/>
      <c r="F85" s="1"/>
      <c r="G85" s="54" t="str">
        <f t="shared" si="3"/>
        <v/>
      </c>
      <c r="H85" s="55" t="str">
        <f>IFERROR((VLOOKUP(G85,'Planilha de Cadastro - Previsão'!$A$2:$N$1100,2,FALSE()))," ")</f>
        <v xml:space="preserve"> </v>
      </c>
      <c r="I85" s="54" t="str">
        <f>IFERROR((VLOOKUP(G85,'Planilha de Cadastro - Previsão'!$A$2:$N$1100,3,FALSE()))," ")</f>
        <v xml:space="preserve"> </v>
      </c>
      <c r="J85" s="56" t="str">
        <f>IFERROR((VLOOKUP(G85,'Planilha de Cadastro - Previsão'!$A$2:$N$1100,5,FALSE()))," ")</f>
        <v xml:space="preserve"> </v>
      </c>
      <c r="K85" s="57" t="str">
        <f>IFERROR((VLOOKUP(G85,'Planilha de Cadastro - Previsão'!$A$2:$N$1100,9,FALSE()))," ")</f>
        <v xml:space="preserve"> </v>
      </c>
    </row>
    <row r="86" spans="1:11" x14ac:dyDescent="0.25">
      <c r="A86">
        <f>COUNTIF($C$2:C86,C86)</f>
        <v>85</v>
      </c>
      <c r="B86" s="1" t="str">
        <f t="shared" si="2"/>
        <v>85</v>
      </c>
      <c r="C86" s="1" t="str">
        <f>IFERROR(VLOOKUP(D86,'Planilha de Cadastro - Previsão'!$A$2:$O$1000,15,FALSE()),"")</f>
        <v/>
      </c>
      <c r="D86" s="1">
        <v>85</v>
      </c>
      <c r="E86" s="1"/>
      <c r="F86" s="1"/>
      <c r="G86" s="54" t="str">
        <f t="shared" si="3"/>
        <v/>
      </c>
      <c r="H86" s="55" t="str">
        <f>IFERROR((VLOOKUP(G86,'Planilha de Cadastro - Previsão'!$A$2:$N$1100,2,FALSE()))," ")</f>
        <v xml:space="preserve"> </v>
      </c>
      <c r="I86" s="54" t="str">
        <f>IFERROR((VLOOKUP(G86,'Planilha de Cadastro - Previsão'!$A$2:$N$1100,3,FALSE()))," ")</f>
        <v xml:space="preserve"> </v>
      </c>
      <c r="J86" s="56" t="str">
        <f>IFERROR((VLOOKUP(G86,'Planilha de Cadastro - Previsão'!$A$2:$N$1100,5,FALSE()))," ")</f>
        <v xml:space="preserve"> </v>
      </c>
      <c r="K86" s="57" t="str">
        <f>IFERROR((VLOOKUP(G86,'Planilha de Cadastro - Previsão'!$A$2:$N$1100,9,FALSE()))," ")</f>
        <v xml:space="preserve"> </v>
      </c>
    </row>
    <row r="87" spans="1:11" x14ac:dyDescent="0.25">
      <c r="A87">
        <f>COUNTIF($C$2:C87,C87)</f>
        <v>86</v>
      </c>
      <c r="B87" s="1" t="str">
        <f t="shared" si="2"/>
        <v>86</v>
      </c>
      <c r="C87" s="1" t="str">
        <f>IFERROR(VLOOKUP(D87,'Planilha de Cadastro - Previsão'!$A$2:$O$1000,15,FALSE()),"")</f>
        <v/>
      </c>
      <c r="D87" s="1">
        <v>86</v>
      </c>
      <c r="E87" s="1"/>
      <c r="F87" s="1"/>
      <c r="G87" s="54" t="str">
        <f t="shared" si="3"/>
        <v/>
      </c>
      <c r="H87" s="55" t="str">
        <f>IFERROR((VLOOKUP(G87,'Planilha de Cadastro - Previsão'!$A$2:$N$1100,2,FALSE()))," ")</f>
        <v xml:space="preserve"> </v>
      </c>
      <c r="I87" s="54" t="str">
        <f>IFERROR((VLOOKUP(G87,'Planilha de Cadastro - Previsão'!$A$2:$N$1100,3,FALSE()))," ")</f>
        <v xml:space="preserve"> </v>
      </c>
      <c r="J87" s="56" t="str">
        <f>IFERROR((VLOOKUP(G87,'Planilha de Cadastro - Previsão'!$A$2:$N$1100,5,FALSE()))," ")</f>
        <v xml:space="preserve"> </v>
      </c>
      <c r="K87" s="57" t="str">
        <f>IFERROR((VLOOKUP(G87,'Planilha de Cadastro - Previsão'!$A$2:$N$1100,9,FALSE()))," ")</f>
        <v xml:space="preserve"> </v>
      </c>
    </row>
    <row r="88" spans="1:11" x14ac:dyDescent="0.25">
      <c r="A88">
        <f>COUNTIF($C$2:C88,C88)</f>
        <v>87</v>
      </c>
      <c r="B88" s="1" t="str">
        <f t="shared" si="2"/>
        <v>87</v>
      </c>
      <c r="C88" s="1" t="str">
        <f>IFERROR(VLOOKUP(D88,'Planilha de Cadastro - Previsão'!$A$2:$O$1000,15,FALSE()),"")</f>
        <v/>
      </c>
      <c r="D88" s="1">
        <v>87</v>
      </c>
      <c r="E88" s="1"/>
      <c r="F88" s="1"/>
      <c r="G88" s="54" t="str">
        <f t="shared" si="3"/>
        <v/>
      </c>
      <c r="H88" s="55" t="str">
        <f>IFERROR((VLOOKUP(G88,'Planilha de Cadastro - Previsão'!$A$2:$N$1100,2,FALSE()))," ")</f>
        <v xml:space="preserve"> </v>
      </c>
      <c r="I88" s="54" t="str">
        <f>IFERROR((VLOOKUP(G88,'Planilha de Cadastro - Previsão'!$A$2:$N$1100,3,FALSE()))," ")</f>
        <v xml:space="preserve"> </v>
      </c>
      <c r="J88" s="56" t="str">
        <f>IFERROR((VLOOKUP(G88,'Planilha de Cadastro - Previsão'!$A$2:$N$1100,5,FALSE()))," ")</f>
        <v xml:space="preserve"> </v>
      </c>
      <c r="K88" s="57" t="str">
        <f>IFERROR((VLOOKUP(G88,'Planilha de Cadastro - Previsão'!$A$2:$N$1100,9,FALSE()))," ")</f>
        <v xml:space="preserve"> </v>
      </c>
    </row>
    <row r="89" spans="1:11" x14ac:dyDescent="0.25">
      <c r="A89">
        <f>COUNTIF($C$2:C89,C89)</f>
        <v>88</v>
      </c>
      <c r="B89" s="1" t="str">
        <f t="shared" si="2"/>
        <v>88</v>
      </c>
      <c r="C89" s="1" t="str">
        <f>IFERROR(VLOOKUP(D89,'Planilha de Cadastro - Previsão'!$A$2:$O$1000,15,FALSE()),"")</f>
        <v/>
      </c>
      <c r="D89" s="1">
        <v>88</v>
      </c>
      <c r="E89" s="1"/>
      <c r="F89" s="1"/>
      <c r="G89" s="54" t="str">
        <f t="shared" si="3"/>
        <v/>
      </c>
      <c r="H89" s="55" t="str">
        <f>IFERROR((VLOOKUP(G89,'Planilha de Cadastro - Previsão'!$A$2:$N$1100,2,FALSE()))," ")</f>
        <v xml:space="preserve"> </v>
      </c>
      <c r="I89" s="54" t="str">
        <f>IFERROR((VLOOKUP(G89,'Planilha de Cadastro - Previsão'!$A$2:$N$1100,3,FALSE()))," ")</f>
        <v xml:space="preserve"> </v>
      </c>
      <c r="J89" s="56" t="str">
        <f>IFERROR((VLOOKUP(G89,'Planilha de Cadastro - Previsão'!$A$2:$N$1100,5,FALSE()))," ")</f>
        <v xml:space="preserve"> </v>
      </c>
      <c r="K89" s="57" t="str">
        <f>IFERROR((VLOOKUP(G89,'Planilha de Cadastro - Previsão'!$A$2:$N$1100,9,FALSE()))," ")</f>
        <v xml:space="preserve"> </v>
      </c>
    </row>
    <row r="90" spans="1:11" x14ac:dyDescent="0.25">
      <c r="A90">
        <f>COUNTIF($C$2:C90,C90)</f>
        <v>89</v>
      </c>
      <c r="B90" s="1" t="str">
        <f t="shared" si="2"/>
        <v>89</v>
      </c>
      <c r="C90" s="1" t="str">
        <f>IFERROR(VLOOKUP(D90,'Planilha de Cadastro - Previsão'!$A$2:$O$1000,15,FALSE()),"")</f>
        <v/>
      </c>
      <c r="D90" s="1">
        <v>89</v>
      </c>
      <c r="E90" s="1"/>
      <c r="F90" s="1"/>
      <c r="G90" s="54" t="str">
        <f t="shared" si="3"/>
        <v/>
      </c>
      <c r="H90" s="55" t="str">
        <f>IFERROR((VLOOKUP(G90,'Planilha de Cadastro - Previsão'!$A$2:$N$1100,2,FALSE()))," ")</f>
        <v xml:space="preserve"> </v>
      </c>
      <c r="I90" s="54" t="str">
        <f>IFERROR((VLOOKUP(G90,'Planilha de Cadastro - Previsão'!$A$2:$N$1100,3,FALSE()))," ")</f>
        <v xml:space="preserve"> </v>
      </c>
      <c r="J90" s="56" t="str">
        <f>IFERROR((VLOOKUP(G90,'Planilha de Cadastro - Previsão'!$A$2:$N$1100,5,FALSE()))," ")</f>
        <v xml:space="preserve"> </v>
      </c>
      <c r="K90" s="57" t="str">
        <f>IFERROR((VLOOKUP(G90,'Planilha de Cadastro - Previsão'!$A$2:$N$1100,9,FALSE()))," ")</f>
        <v xml:space="preserve"> </v>
      </c>
    </row>
    <row r="91" spans="1:11" x14ac:dyDescent="0.25">
      <c r="A91">
        <f>COUNTIF($C$2:C91,C91)</f>
        <v>90</v>
      </c>
      <c r="B91" s="1" t="str">
        <f t="shared" si="2"/>
        <v>90</v>
      </c>
      <c r="C91" s="1" t="str">
        <f>IFERROR(VLOOKUP(D91,'Planilha de Cadastro - Previsão'!$A$2:$O$1000,15,FALSE()),"")</f>
        <v/>
      </c>
      <c r="D91" s="1">
        <v>90</v>
      </c>
      <c r="E91" s="1"/>
      <c r="F91" s="1"/>
      <c r="G91" s="54" t="str">
        <f t="shared" si="3"/>
        <v/>
      </c>
      <c r="H91" s="55" t="str">
        <f>IFERROR((VLOOKUP(G91,'Planilha de Cadastro - Previsão'!$A$2:$N$1100,2,FALSE()))," ")</f>
        <v xml:space="preserve"> </v>
      </c>
      <c r="I91" s="54" t="str">
        <f>IFERROR((VLOOKUP(G91,'Planilha de Cadastro - Previsão'!$A$2:$N$1100,3,FALSE()))," ")</f>
        <v xml:space="preserve"> </v>
      </c>
      <c r="J91" s="56" t="str">
        <f>IFERROR((VLOOKUP(G91,'Planilha de Cadastro - Previsão'!$A$2:$N$1100,5,FALSE()))," ")</f>
        <v xml:space="preserve"> </v>
      </c>
      <c r="K91" s="57" t="str">
        <f>IFERROR((VLOOKUP(G91,'Planilha de Cadastro - Previsão'!$A$2:$N$1100,9,FALSE()))," ")</f>
        <v xml:space="preserve"> </v>
      </c>
    </row>
    <row r="92" spans="1:11" x14ac:dyDescent="0.25">
      <c r="A92">
        <f>COUNTIF($C$2:C92,C92)</f>
        <v>91</v>
      </c>
      <c r="B92" s="1" t="str">
        <f t="shared" si="2"/>
        <v>91</v>
      </c>
      <c r="C92" s="1" t="str">
        <f>IFERROR(VLOOKUP(D92,'Planilha de Cadastro - Previsão'!$A$2:$O$1000,15,FALSE()),"")</f>
        <v/>
      </c>
      <c r="D92" s="1">
        <v>91</v>
      </c>
      <c r="E92" s="1"/>
      <c r="F92" s="1"/>
      <c r="G92" s="54" t="str">
        <f t="shared" si="3"/>
        <v/>
      </c>
      <c r="H92" s="55" t="str">
        <f>IFERROR((VLOOKUP(G92,'Planilha de Cadastro - Previsão'!$A$2:$N$1100,2,FALSE()))," ")</f>
        <v xml:space="preserve"> </v>
      </c>
      <c r="I92" s="54" t="str">
        <f>IFERROR((VLOOKUP(G92,'Planilha de Cadastro - Previsão'!$A$2:$N$1100,3,FALSE()))," ")</f>
        <v xml:space="preserve"> </v>
      </c>
      <c r="J92" s="56" t="str">
        <f>IFERROR((VLOOKUP(G92,'Planilha de Cadastro - Previsão'!$A$2:$N$1100,5,FALSE()))," ")</f>
        <v xml:space="preserve"> </v>
      </c>
      <c r="K92" s="57" t="str">
        <f>IFERROR((VLOOKUP(G92,'Planilha de Cadastro - Previsão'!$A$2:$N$1100,9,FALSE()))," ")</f>
        <v xml:space="preserve"> </v>
      </c>
    </row>
    <row r="93" spans="1:11" x14ac:dyDescent="0.25">
      <c r="A93">
        <f>COUNTIF($C$2:C93,C93)</f>
        <v>92</v>
      </c>
      <c r="B93" s="1" t="str">
        <f t="shared" si="2"/>
        <v>92</v>
      </c>
      <c r="C93" s="1" t="str">
        <f>IFERROR(VLOOKUP(D93,'Planilha de Cadastro - Previsão'!$A$2:$O$1000,15,FALSE()),"")</f>
        <v/>
      </c>
      <c r="D93" s="1">
        <v>92</v>
      </c>
      <c r="E93" s="1"/>
      <c r="F93" s="1"/>
      <c r="G93" s="54" t="str">
        <f t="shared" si="3"/>
        <v/>
      </c>
      <c r="H93" s="55" t="str">
        <f>IFERROR((VLOOKUP(G93,'Planilha de Cadastro - Previsão'!$A$2:$N$1100,2,FALSE()))," ")</f>
        <v xml:space="preserve"> </v>
      </c>
      <c r="I93" s="54" t="str">
        <f>IFERROR((VLOOKUP(G93,'Planilha de Cadastro - Previsão'!$A$2:$N$1100,3,FALSE()))," ")</f>
        <v xml:space="preserve"> </v>
      </c>
      <c r="J93" s="56" t="str">
        <f>IFERROR((VLOOKUP(G93,'Planilha de Cadastro - Previsão'!$A$2:$N$1100,5,FALSE()))," ")</f>
        <v xml:space="preserve"> </v>
      </c>
      <c r="K93" s="57" t="str">
        <f>IFERROR((VLOOKUP(G93,'Planilha de Cadastro - Previsão'!$A$2:$N$1100,9,FALSE()))," ")</f>
        <v xml:space="preserve"> </v>
      </c>
    </row>
    <row r="94" spans="1:11" x14ac:dyDescent="0.25">
      <c r="A94">
        <f>COUNTIF($C$2:C94,C94)</f>
        <v>93</v>
      </c>
      <c r="B94" s="1" t="str">
        <f t="shared" si="2"/>
        <v>93</v>
      </c>
      <c r="C94" s="1" t="str">
        <f>IFERROR(VLOOKUP(D94,'Planilha de Cadastro - Previsão'!$A$2:$O$1000,15,FALSE()),"")</f>
        <v/>
      </c>
      <c r="D94" s="1">
        <v>93</v>
      </c>
      <c r="E94" s="1"/>
      <c r="F94" s="1"/>
      <c r="G94" s="54" t="str">
        <f t="shared" si="3"/>
        <v/>
      </c>
      <c r="H94" s="55" t="str">
        <f>IFERROR((VLOOKUP(G94,'Planilha de Cadastro - Previsão'!$A$2:$N$1100,2,FALSE()))," ")</f>
        <v xml:space="preserve"> </v>
      </c>
      <c r="I94" s="54" t="str">
        <f>IFERROR((VLOOKUP(G94,'Planilha de Cadastro - Previsão'!$A$2:$N$1100,3,FALSE()))," ")</f>
        <v xml:space="preserve"> </v>
      </c>
      <c r="J94" s="56" t="str">
        <f>IFERROR((VLOOKUP(G94,'Planilha de Cadastro - Previsão'!$A$2:$N$1100,5,FALSE()))," ")</f>
        <v xml:space="preserve"> </v>
      </c>
      <c r="K94" s="57" t="str">
        <f>IFERROR((VLOOKUP(G94,'Planilha de Cadastro - Previsão'!$A$2:$N$1100,9,FALSE()))," ")</f>
        <v xml:space="preserve"> </v>
      </c>
    </row>
    <row r="95" spans="1:11" x14ac:dyDescent="0.25">
      <c r="A95">
        <f>COUNTIF($C$2:C95,C95)</f>
        <v>94</v>
      </c>
      <c r="B95" s="1" t="str">
        <f t="shared" si="2"/>
        <v>94</v>
      </c>
      <c r="C95" s="1" t="str">
        <f>IFERROR(VLOOKUP(D95,'Planilha de Cadastro - Previsão'!$A$2:$O$1000,15,FALSE()),"")</f>
        <v/>
      </c>
      <c r="D95" s="1">
        <v>94</v>
      </c>
      <c r="E95" s="1"/>
      <c r="F95" s="1"/>
      <c r="G95" s="54" t="str">
        <f t="shared" si="3"/>
        <v/>
      </c>
      <c r="H95" s="55" t="str">
        <f>IFERROR((VLOOKUP(G95,'Planilha de Cadastro - Previsão'!$A$2:$N$1100,2,FALSE()))," ")</f>
        <v xml:space="preserve"> </v>
      </c>
      <c r="I95" s="54" t="str">
        <f>IFERROR((VLOOKUP(G95,'Planilha de Cadastro - Previsão'!$A$2:$N$1100,3,FALSE()))," ")</f>
        <v xml:space="preserve"> </v>
      </c>
      <c r="J95" s="56" t="str">
        <f>IFERROR((VLOOKUP(G95,'Planilha de Cadastro - Previsão'!$A$2:$N$1100,5,FALSE()))," ")</f>
        <v xml:space="preserve"> </v>
      </c>
      <c r="K95" s="57" t="str">
        <f>IFERROR((VLOOKUP(G95,'Planilha de Cadastro - Previsão'!$A$2:$N$1100,9,FALSE()))," ")</f>
        <v xml:space="preserve"> </v>
      </c>
    </row>
    <row r="96" spans="1:11" x14ac:dyDescent="0.25">
      <c r="A96">
        <f>COUNTIF($C$2:C96,C96)</f>
        <v>95</v>
      </c>
      <c r="B96" s="1" t="str">
        <f t="shared" si="2"/>
        <v>95</v>
      </c>
      <c r="C96" s="1" t="str">
        <f>IFERROR(VLOOKUP(D96,'Planilha de Cadastro - Previsão'!$A$2:$O$1000,15,FALSE()),"")</f>
        <v/>
      </c>
      <c r="D96" s="1">
        <v>95</v>
      </c>
      <c r="E96" s="1"/>
      <c r="F96" s="1"/>
      <c r="G96" s="54" t="str">
        <f t="shared" si="3"/>
        <v/>
      </c>
      <c r="H96" s="55" t="str">
        <f>IFERROR((VLOOKUP(G96,'Planilha de Cadastro - Previsão'!$A$2:$N$1100,2,FALSE()))," ")</f>
        <v xml:space="preserve"> </v>
      </c>
      <c r="I96" s="54" t="str">
        <f>IFERROR((VLOOKUP(G96,'Planilha de Cadastro - Previsão'!$A$2:$N$1100,3,FALSE()))," ")</f>
        <v xml:space="preserve"> </v>
      </c>
      <c r="J96" s="56" t="str">
        <f>IFERROR((VLOOKUP(G96,'Planilha de Cadastro - Previsão'!$A$2:$N$1100,5,FALSE()))," ")</f>
        <v xml:space="preserve"> </v>
      </c>
      <c r="K96" s="57" t="str">
        <f>IFERROR((VLOOKUP(G96,'Planilha de Cadastro - Previsão'!$A$2:$N$1100,9,FALSE()))," ")</f>
        <v xml:space="preserve"> </v>
      </c>
    </row>
    <row r="97" spans="1:11" x14ac:dyDescent="0.25">
      <c r="A97">
        <f>COUNTIF($C$2:C97,C97)</f>
        <v>96</v>
      </c>
      <c r="B97" s="1" t="str">
        <f t="shared" si="2"/>
        <v>96</v>
      </c>
      <c r="C97" s="1" t="str">
        <f>IFERROR(VLOOKUP(D97,'Planilha de Cadastro - Previsão'!$A$2:$O$1000,15,FALSE()),"")</f>
        <v/>
      </c>
      <c r="D97" s="1">
        <v>96</v>
      </c>
      <c r="E97" s="1"/>
      <c r="F97" s="1"/>
      <c r="G97" s="54" t="str">
        <f t="shared" si="3"/>
        <v/>
      </c>
      <c r="H97" s="55" t="str">
        <f>IFERROR((VLOOKUP(G97,'Planilha de Cadastro - Previsão'!$A$2:$N$1100,2,FALSE()))," ")</f>
        <v xml:space="preserve"> </v>
      </c>
      <c r="I97" s="54" t="str">
        <f>IFERROR((VLOOKUP(G97,'Planilha de Cadastro - Previsão'!$A$2:$N$1100,3,FALSE()))," ")</f>
        <v xml:space="preserve"> </v>
      </c>
      <c r="J97" s="56" t="str">
        <f>IFERROR((VLOOKUP(G97,'Planilha de Cadastro - Previsão'!$A$2:$N$1100,5,FALSE()))," ")</f>
        <v xml:space="preserve"> </v>
      </c>
      <c r="K97" s="57" t="str">
        <f>IFERROR((VLOOKUP(G97,'Planilha de Cadastro - Previsão'!$A$2:$N$1100,9,FALSE()))," ")</f>
        <v xml:space="preserve"> </v>
      </c>
    </row>
    <row r="98" spans="1:11" x14ac:dyDescent="0.25">
      <c r="A98">
        <f>COUNTIF($C$2:C98,C98)</f>
        <v>97</v>
      </c>
      <c r="B98" s="1" t="str">
        <f t="shared" si="2"/>
        <v>97</v>
      </c>
      <c r="C98" s="1" t="str">
        <f>IFERROR(VLOOKUP(D98,'Planilha de Cadastro - Previsão'!$A$2:$O$1000,15,FALSE()),"")</f>
        <v/>
      </c>
      <c r="D98" s="1">
        <v>97</v>
      </c>
      <c r="E98" s="1"/>
      <c r="F98" s="1"/>
      <c r="G98" s="54" t="str">
        <f t="shared" si="3"/>
        <v/>
      </c>
      <c r="H98" s="55" t="str">
        <f>IFERROR((VLOOKUP(G98,'Planilha de Cadastro - Previsão'!$A$2:$N$1100,2,FALSE()))," ")</f>
        <v xml:space="preserve"> </v>
      </c>
      <c r="I98" s="54" t="str">
        <f>IFERROR((VLOOKUP(G98,'Planilha de Cadastro - Previsão'!$A$2:$N$1100,3,FALSE()))," ")</f>
        <v xml:space="preserve"> </v>
      </c>
      <c r="J98" s="56" t="str">
        <f>IFERROR((VLOOKUP(G98,'Planilha de Cadastro - Previsão'!$A$2:$N$1100,5,FALSE()))," ")</f>
        <v xml:space="preserve"> </v>
      </c>
      <c r="K98" s="57" t="str">
        <f>IFERROR((VLOOKUP(G98,'Planilha de Cadastro - Previsão'!$A$2:$N$1100,9,FALSE()))," ")</f>
        <v xml:space="preserve"> </v>
      </c>
    </row>
    <row r="99" spans="1:11" x14ac:dyDescent="0.25">
      <c r="A99">
        <f>COUNTIF($C$2:C99,C99)</f>
        <v>98</v>
      </c>
      <c r="B99" s="1" t="str">
        <f t="shared" si="2"/>
        <v>98</v>
      </c>
      <c r="C99" s="1" t="str">
        <f>IFERROR(VLOOKUP(D99,'Planilha de Cadastro - Previsão'!$A$2:$O$1000,15,FALSE()),"")</f>
        <v/>
      </c>
      <c r="D99" s="1">
        <v>98</v>
      </c>
      <c r="E99" s="1"/>
      <c r="F99" s="1"/>
      <c r="G99" s="54" t="str">
        <f t="shared" si="3"/>
        <v/>
      </c>
      <c r="H99" s="55" t="str">
        <f>IFERROR((VLOOKUP(G99,'Planilha de Cadastro - Previsão'!$A$2:$N$1100,2,FALSE()))," ")</f>
        <v xml:space="preserve"> </v>
      </c>
      <c r="I99" s="54" t="str">
        <f>IFERROR((VLOOKUP(G99,'Planilha de Cadastro - Previsão'!$A$2:$N$1100,3,FALSE()))," ")</f>
        <v xml:space="preserve"> </v>
      </c>
      <c r="J99" s="56" t="str">
        <f>IFERROR((VLOOKUP(G99,'Planilha de Cadastro - Previsão'!$A$2:$N$1100,5,FALSE()))," ")</f>
        <v xml:space="preserve"> </v>
      </c>
      <c r="K99" s="57" t="str">
        <f>IFERROR((VLOOKUP(G99,'Planilha de Cadastro - Previsão'!$A$2:$N$1100,9,FALSE()))," ")</f>
        <v xml:space="preserve"> </v>
      </c>
    </row>
    <row r="100" spans="1:11" x14ac:dyDescent="0.25">
      <c r="A100">
        <f>COUNTIF($C$2:C100,C100)</f>
        <v>99</v>
      </c>
      <c r="B100" s="1" t="str">
        <f t="shared" si="2"/>
        <v>99</v>
      </c>
      <c r="C100" s="1" t="str">
        <f>IFERROR(VLOOKUP(D100,'Planilha de Cadastro - Previsão'!$A$2:$O$1000,15,FALSE()),"")</f>
        <v/>
      </c>
      <c r="D100" s="1">
        <v>99</v>
      </c>
      <c r="E100" s="1"/>
      <c r="F100" s="1"/>
      <c r="G100" s="54" t="str">
        <f t="shared" si="3"/>
        <v/>
      </c>
      <c r="H100" s="55" t="str">
        <f>IFERROR((VLOOKUP(G100,'Planilha de Cadastro - Previsão'!$A$2:$N$1100,2,FALSE()))," ")</f>
        <v xml:space="preserve"> </v>
      </c>
      <c r="I100" s="54" t="str">
        <f>IFERROR((VLOOKUP(G100,'Planilha de Cadastro - Previsão'!$A$2:$N$1100,3,FALSE()))," ")</f>
        <v xml:space="preserve"> </v>
      </c>
      <c r="J100" s="56" t="str">
        <f>IFERROR((VLOOKUP(G100,'Planilha de Cadastro - Previsão'!$A$2:$N$1100,5,FALSE()))," ")</f>
        <v xml:space="preserve"> </v>
      </c>
      <c r="K100" s="57" t="str">
        <f>IFERROR((VLOOKUP(G100,'Planilha de Cadastro - Previsão'!$A$2:$N$1100,9,FALSE()))," ")</f>
        <v xml:space="preserve"> </v>
      </c>
    </row>
    <row r="101" spans="1:11" x14ac:dyDescent="0.25">
      <c r="A101">
        <f>COUNTIF($C$2:C101,C101)</f>
        <v>100</v>
      </c>
      <c r="B101" s="1" t="str">
        <f t="shared" si="2"/>
        <v>100</v>
      </c>
      <c r="C101" s="1" t="str">
        <f>IFERROR(VLOOKUP(D101,'Planilha de Cadastro - Previsão'!$A$2:$O$1000,15,FALSE()),"")</f>
        <v/>
      </c>
      <c r="D101" s="1">
        <v>100</v>
      </c>
      <c r="E101" s="1"/>
      <c r="F101" s="1"/>
      <c r="G101" s="54" t="str">
        <f t="shared" si="3"/>
        <v/>
      </c>
      <c r="H101" s="55" t="str">
        <f>IFERROR((VLOOKUP(G101,'Planilha de Cadastro - Previsão'!$A$2:$N$1100,2,FALSE()))," ")</f>
        <v xml:space="preserve"> </v>
      </c>
      <c r="I101" s="54" t="str">
        <f>IFERROR((VLOOKUP(G101,'Planilha de Cadastro - Previsão'!$A$2:$N$1100,3,FALSE()))," ")</f>
        <v xml:space="preserve"> </v>
      </c>
      <c r="J101" s="56" t="str">
        <f>IFERROR((VLOOKUP(G101,'Planilha de Cadastro - Previsão'!$A$2:$N$1100,5,FALSE()))," ")</f>
        <v xml:space="preserve"> </v>
      </c>
      <c r="K101" s="57" t="str">
        <f>IFERROR((VLOOKUP(G101,'Planilha de Cadastro - Previsão'!$A$2:$N$1100,9,FALSE()))," ")</f>
        <v xml:space="preserve"> </v>
      </c>
    </row>
    <row r="102" spans="1:11" x14ac:dyDescent="0.25">
      <c r="A102">
        <f>COUNTIF($C$2:C102,C102)</f>
        <v>101</v>
      </c>
      <c r="B102" s="1" t="str">
        <f t="shared" si="2"/>
        <v>101</v>
      </c>
      <c r="C102" s="1" t="str">
        <f>IFERROR(VLOOKUP(D102,'Planilha de Cadastro - Previsão'!$A$2:$O$1000,15,FALSE()),"")</f>
        <v/>
      </c>
      <c r="D102" s="1">
        <v>101</v>
      </c>
      <c r="E102" s="1"/>
      <c r="F102" s="1"/>
      <c r="G102" s="54" t="str">
        <f t="shared" si="3"/>
        <v/>
      </c>
      <c r="H102" s="55" t="str">
        <f>IFERROR((VLOOKUP(G102,'Planilha de Cadastro - Previsão'!$A$2:$N$1100,2,FALSE()))," ")</f>
        <v xml:space="preserve"> </v>
      </c>
      <c r="I102" s="54" t="str">
        <f>IFERROR((VLOOKUP(G102,'Planilha de Cadastro - Previsão'!$A$2:$N$1100,3,FALSE()))," ")</f>
        <v xml:space="preserve"> </v>
      </c>
      <c r="J102" s="56" t="str">
        <f>IFERROR((VLOOKUP(G102,'Planilha de Cadastro - Previsão'!$A$2:$N$1100,5,FALSE()))," ")</f>
        <v xml:space="preserve"> </v>
      </c>
      <c r="K102" s="57" t="str">
        <f>IFERROR((VLOOKUP(G102,'Planilha de Cadastro - Previsão'!$A$2:$N$1100,9,FALSE()))," ")</f>
        <v xml:space="preserve"> </v>
      </c>
    </row>
    <row r="103" spans="1:11" x14ac:dyDescent="0.25">
      <c r="A103">
        <f>COUNTIF($C$2:C103,C103)</f>
        <v>102</v>
      </c>
      <c r="B103" s="1" t="str">
        <f t="shared" si="2"/>
        <v>102</v>
      </c>
      <c r="C103" s="1" t="str">
        <f>IFERROR(VLOOKUP(D103,'Planilha de Cadastro - Previsão'!$A$2:$O$1000,15,FALSE()),"")</f>
        <v/>
      </c>
      <c r="D103" s="1">
        <v>102</v>
      </c>
      <c r="E103" s="1"/>
      <c r="F103" s="1"/>
      <c r="G103" s="54" t="str">
        <f t="shared" si="3"/>
        <v/>
      </c>
      <c r="H103" s="55" t="str">
        <f>IFERROR((VLOOKUP(G103,'Planilha de Cadastro - Previsão'!$A$2:$N$1100,2,FALSE()))," ")</f>
        <v xml:space="preserve"> </v>
      </c>
      <c r="I103" s="54" t="str">
        <f>IFERROR((VLOOKUP(G103,'Planilha de Cadastro - Previsão'!$A$2:$N$1100,3,FALSE()))," ")</f>
        <v xml:space="preserve"> </v>
      </c>
      <c r="J103" s="56" t="str">
        <f>IFERROR((VLOOKUP(G103,'Planilha de Cadastro - Previsão'!$A$2:$N$1100,5,FALSE()))," ")</f>
        <v xml:space="preserve"> </v>
      </c>
      <c r="K103" s="57" t="str">
        <f>IFERROR((VLOOKUP(G103,'Planilha de Cadastro - Previsão'!$A$2:$N$1100,9,FALSE()))," ")</f>
        <v xml:space="preserve"> </v>
      </c>
    </row>
    <row r="104" spans="1:11" x14ac:dyDescent="0.25">
      <c r="A104">
        <f>COUNTIF($C$2:C104,C104)</f>
        <v>103</v>
      </c>
      <c r="B104" s="1" t="str">
        <f t="shared" si="2"/>
        <v>103</v>
      </c>
      <c r="C104" s="1" t="str">
        <f>IFERROR(VLOOKUP(D104,'Planilha de Cadastro - Previsão'!$A$2:$O$1000,15,FALSE()),"")</f>
        <v/>
      </c>
      <c r="D104" s="1">
        <v>103</v>
      </c>
      <c r="E104" s="1"/>
      <c r="F104" s="1"/>
      <c r="G104" s="54" t="str">
        <f t="shared" si="3"/>
        <v/>
      </c>
      <c r="H104" s="55" t="str">
        <f>IFERROR((VLOOKUP(G104,'Planilha de Cadastro - Previsão'!$A$2:$N$1100,2,FALSE()))," ")</f>
        <v xml:space="preserve"> </v>
      </c>
      <c r="I104" s="54" t="str">
        <f>IFERROR((VLOOKUP(G104,'Planilha de Cadastro - Previsão'!$A$2:$N$1100,3,FALSE()))," ")</f>
        <v xml:space="preserve"> </v>
      </c>
      <c r="J104" s="56" t="str">
        <f>IFERROR((VLOOKUP(G104,'Planilha de Cadastro - Previsão'!$A$2:$N$1100,5,FALSE()))," ")</f>
        <v xml:space="preserve"> </v>
      </c>
      <c r="K104" s="57" t="str">
        <f>IFERROR((VLOOKUP(G104,'Planilha de Cadastro - Previsão'!$A$2:$N$1100,9,FALSE()))," ")</f>
        <v xml:space="preserve"> </v>
      </c>
    </row>
    <row r="105" spans="1:11" x14ac:dyDescent="0.25">
      <c r="A105">
        <f>COUNTIF($C$2:C105,C105)</f>
        <v>104</v>
      </c>
      <c r="B105" s="1" t="str">
        <f t="shared" si="2"/>
        <v>104</v>
      </c>
      <c r="C105" s="1" t="str">
        <f>IFERROR(VLOOKUP(D105,'Planilha de Cadastro - Previsão'!$A$2:$O$1000,15,FALSE()),"")</f>
        <v/>
      </c>
      <c r="D105" s="1">
        <v>104</v>
      </c>
      <c r="E105" s="1"/>
      <c r="F105" s="1"/>
      <c r="G105" s="54" t="str">
        <f t="shared" si="3"/>
        <v/>
      </c>
      <c r="H105" s="55" t="str">
        <f>IFERROR((VLOOKUP(G105,'Planilha de Cadastro - Previsão'!$A$2:$N$1100,2,FALSE()))," ")</f>
        <v xml:space="preserve"> </v>
      </c>
      <c r="I105" s="54" t="str">
        <f>IFERROR((VLOOKUP(G105,'Planilha de Cadastro - Previsão'!$A$2:$N$1100,3,FALSE()))," ")</f>
        <v xml:space="preserve"> </v>
      </c>
      <c r="J105" s="56" t="str">
        <f>IFERROR((VLOOKUP(G105,'Planilha de Cadastro - Previsão'!$A$2:$N$1100,5,FALSE()))," ")</f>
        <v xml:space="preserve"> </v>
      </c>
      <c r="K105" s="57" t="str">
        <f>IFERROR((VLOOKUP(G105,'Planilha de Cadastro - Previsão'!$A$2:$N$1100,9,FALSE()))," ")</f>
        <v xml:space="preserve"> </v>
      </c>
    </row>
    <row r="106" spans="1:11" x14ac:dyDescent="0.25">
      <c r="A106">
        <f>COUNTIF($C$2:C106,C106)</f>
        <v>105</v>
      </c>
      <c r="B106" s="1" t="str">
        <f t="shared" si="2"/>
        <v>105</v>
      </c>
      <c r="C106" s="1" t="str">
        <f>IFERROR(VLOOKUP(D106,'Planilha de Cadastro - Previsão'!$A$2:$O$1000,15,FALSE()),"")</f>
        <v/>
      </c>
      <c r="D106" s="1">
        <v>105</v>
      </c>
      <c r="E106" s="1"/>
      <c r="F106" s="1"/>
      <c r="G106" s="54" t="str">
        <f t="shared" si="3"/>
        <v/>
      </c>
      <c r="H106" s="55" t="str">
        <f>IFERROR((VLOOKUP(G106,'Planilha de Cadastro - Previsão'!$A$2:$N$1100,2,FALSE()))," ")</f>
        <v xml:space="preserve"> </v>
      </c>
      <c r="I106" s="54" t="str">
        <f>IFERROR((VLOOKUP(G106,'Planilha de Cadastro - Previsão'!$A$2:$N$1100,3,FALSE()))," ")</f>
        <v xml:space="preserve"> </v>
      </c>
      <c r="J106" s="56" t="str">
        <f>IFERROR((VLOOKUP(G106,'Planilha de Cadastro - Previsão'!$A$2:$N$1100,5,FALSE()))," ")</f>
        <v xml:space="preserve"> </v>
      </c>
      <c r="K106" s="57" t="str">
        <f>IFERROR((VLOOKUP(G106,'Planilha de Cadastro - Previsão'!$A$2:$N$1100,9,FALSE()))," ")</f>
        <v xml:space="preserve"> </v>
      </c>
    </row>
    <row r="107" spans="1:11" x14ac:dyDescent="0.25">
      <c r="A107">
        <f>COUNTIF($C$2:C107,C107)</f>
        <v>106</v>
      </c>
      <c r="B107" s="1" t="str">
        <f t="shared" si="2"/>
        <v>106</v>
      </c>
      <c r="C107" s="1" t="str">
        <f>IFERROR(VLOOKUP(D107,'Planilha de Cadastro - Previsão'!$A$2:$O$1000,15,FALSE()),"")</f>
        <v/>
      </c>
      <c r="D107" s="1">
        <v>106</v>
      </c>
      <c r="E107" s="1"/>
      <c r="F107" s="1"/>
      <c r="G107" s="54" t="str">
        <f t="shared" si="3"/>
        <v/>
      </c>
      <c r="H107" s="55" t="str">
        <f>IFERROR((VLOOKUP(G107,'Planilha de Cadastro - Previsão'!$A$2:$N$1100,2,FALSE()))," ")</f>
        <v xml:space="preserve"> </v>
      </c>
      <c r="I107" s="54" t="str">
        <f>IFERROR((VLOOKUP(G107,'Planilha de Cadastro - Previsão'!$A$2:$N$1100,3,FALSE()))," ")</f>
        <v xml:space="preserve"> </v>
      </c>
      <c r="J107" s="56" t="str">
        <f>IFERROR((VLOOKUP(G107,'Planilha de Cadastro - Previsão'!$A$2:$N$1100,5,FALSE()))," ")</f>
        <v xml:space="preserve"> </v>
      </c>
      <c r="K107" s="57" t="str">
        <f>IFERROR((VLOOKUP(G107,'Planilha de Cadastro - Previsão'!$A$2:$N$1100,9,FALSE()))," ")</f>
        <v xml:space="preserve"> </v>
      </c>
    </row>
    <row r="108" spans="1:11" x14ac:dyDescent="0.25">
      <c r="A108">
        <f>COUNTIF($C$2:C108,C108)</f>
        <v>107</v>
      </c>
      <c r="B108" s="1" t="str">
        <f t="shared" si="2"/>
        <v>107</v>
      </c>
      <c r="C108" s="1" t="str">
        <f>IFERROR(VLOOKUP(D108,'Planilha de Cadastro - Previsão'!$A$2:$O$1000,15,FALSE()),"")</f>
        <v/>
      </c>
      <c r="D108" s="1">
        <v>107</v>
      </c>
      <c r="E108" s="1"/>
      <c r="F108" s="1"/>
      <c r="G108" s="54" t="str">
        <f t="shared" si="3"/>
        <v/>
      </c>
      <c r="H108" s="55" t="str">
        <f>IFERROR((VLOOKUP(G108,'Planilha de Cadastro - Previsão'!$A$2:$N$1100,2,FALSE()))," ")</f>
        <v xml:space="preserve"> </v>
      </c>
      <c r="I108" s="54" t="str">
        <f>IFERROR((VLOOKUP(G108,'Planilha de Cadastro - Previsão'!$A$2:$N$1100,3,FALSE()))," ")</f>
        <v xml:space="preserve"> </v>
      </c>
      <c r="J108" s="56" t="str">
        <f>IFERROR((VLOOKUP(G108,'Planilha de Cadastro - Previsão'!$A$2:$N$1100,5,FALSE()))," ")</f>
        <v xml:space="preserve"> </v>
      </c>
      <c r="K108" s="57" t="str">
        <f>IFERROR((VLOOKUP(G108,'Planilha de Cadastro - Previsão'!$A$2:$N$1100,9,FALSE()))," ")</f>
        <v xml:space="preserve"> </v>
      </c>
    </row>
    <row r="109" spans="1:11" x14ac:dyDescent="0.25">
      <c r="A109">
        <f>COUNTIF($C$2:C109,C109)</f>
        <v>108</v>
      </c>
      <c r="B109" s="1" t="str">
        <f t="shared" si="2"/>
        <v>108</v>
      </c>
      <c r="C109" s="1" t="str">
        <f>IFERROR(VLOOKUP(D109,'Planilha de Cadastro - Previsão'!$A$2:$O$1000,15,FALSE()),"")</f>
        <v/>
      </c>
      <c r="D109" s="1">
        <v>108</v>
      </c>
      <c r="E109" s="1"/>
      <c r="F109" s="1"/>
      <c r="G109" s="54" t="str">
        <f t="shared" si="3"/>
        <v/>
      </c>
      <c r="H109" s="55" t="str">
        <f>IFERROR((VLOOKUP(G109,'Planilha de Cadastro - Previsão'!$A$2:$N$1100,2,FALSE()))," ")</f>
        <v xml:space="preserve"> </v>
      </c>
      <c r="I109" s="54" t="str">
        <f>IFERROR((VLOOKUP(G109,'Planilha de Cadastro - Previsão'!$A$2:$N$1100,3,FALSE()))," ")</f>
        <v xml:space="preserve"> </v>
      </c>
      <c r="J109" s="56" t="str">
        <f>IFERROR((VLOOKUP(G109,'Planilha de Cadastro - Previsão'!$A$2:$N$1100,5,FALSE()))," ")</f>
        <v xml:space="preserve"> </v>
      </c>
      <c r="K109" s="57" t="str">
        <f>IFERROR((VLOOKUP(G109,'Planilha de Cadastro - Previsão'!$A$2:$N$1100,9,FALSE()))," ")</f>
        <v xml:space="preserve"> </v>
      </c>
    </row>
    <row r="110" spans="1:11" x14ac:dyDescent="0.25">
      <c r="A110">
        <f>COUNTIF($C$2:C110,C110)</f>
        <v>109</v>
      </c>
      <c r="B110" s="1" t="str">
        <f t="shared" si="2"/>
        <v>109</v>
      </c>
      <c r="C110" s="1" t="str">
        <f>IFERROR(VLOOKUP(D110,'Planilha de Cadastro - Previsão'!$A$2:$O$1000,15,FALSE()),"")</f>
        <v/>
      </c>
      <c r="D110" s="1">
        <v>109</v>
      </c>
      <c r="E110" s="1"/>
      <c r="F110" s="1"/>
      <c r="G110" s="54" t="str">
        <f t="shared" si="3"/>
        <v/>
      </c>
      <c r="H110" s="55" t="str">
        <f>IFERROR((VLOOKUP(G110,'Planilha de Cadastro - Previsão'!$A$2:$N$1100,2,FALSE()))," ")</f>
        <v xml:space="preserve"> </v>
      </c>
      <c r="I110" s="54" t="str">
        <f>IFERROR((VLOOKUP(G110,'Planilha de Cadastro - Previsão'!$A$2:$N$1100,3,FALSE()))," ")</f>
        <v xml:space="preserve"> </v>
      </c>
      <c r="J110" s="56" t="str">
        <f>IFERROR((VLOOKUP(G110,'Planilha de Cadastro - Previsão'!$A$2:$N$1100,5,FALSE()))," ")</f>
        <v xml:space="preserve"> </v>
      </c>
      <c r="K110" s="57" t="str">
        <f>IFERROR((VLOOKUP(G110,'Planilha de Cadastro - Previsão'!$A$2:$N$1100,9,FALSE()))," ")</f>
        <v xml:space="preserve"> </v>
      </c>
    </row>
    <row r="111" spans="1:11" x14ac:dyDescent="0.25">
      <c r="A111">
        <f>COUNTIF($C$2:C111,C111)</f>
        <v>110</v>
      </c>
      <c r="B111" s="1" t="str">
        <f t="shared" si="2"/>
        <v>110</v>
      </c>
      <c r="C111" s="1" t="str">
        <f>IFERROR(VLOOKUP(D111,'Planilha de Cadastro - Previsão'!$A$2:$O$1000,15,FALSE()),"")</f>
        <v/>
      </c>
      <c r="D111" s="1">
        <v>110</v>
      </c>
      <c r="E111" s="1"/>
      <c r="F111" s="1"/>
      <c r="G111" s="54" t="str">
        <f t="shared" si="3"/>
        <v/>
      </c>
      <c r="H111" s="55" t="str">
        <f>IFERROR((VLOOKUP(G111,'Planilha de Cadastro - Previsão'!$A$2:$N$1100,2,FALSE()))," ")</f>
        <v xml:space="preserve"> </v>
      </c>
      <c r="I111" s="54" t="str">
        <f>IFERROR((VLOOKUP(G111,'Planilha de Cadastro - Previsão'!$A$2:$N$1100,3,FALSE()))," ")</f>
        <v xml:space="preserve"> </v>
      </c>
      <c r="J111" s="56" t="str">
        <f>IFERROR((VLOOKUP(G111,'Planilha de Cadastro - Previsão'!$A$2:$N$1100,5,FALSE()))," ")</f>
        <v xml:space="preserve"> </v>
      </c>
      <c r="K111" s="57" t="str">
        <f>IFERROR((VLOOKUP(G111,'Planilha de Cadastro - Previsão'!$A$2:$N$1100,9,FALSE()))," ")</f>
        <v xml:space="preserve"> </v>
      </c>
    </row>
    <row r="112" spans="1:11" x14ac:dyDescent="0.25">
      <c r="A112">
        <f>COUNTIF($C$2:C112,C112)</f>
        <v>111</v>
      </c>
      <c r="B112" s="1" t="str">
        <f t="shared" si="2"/>
        <v>111</v>
      </c>
      <c r="C112" s="1" t="str">
        <f>IFERROR(VLOOKUP(D112,'Planilha de Cadastro - Previsão'!$A$2:$O$1000,15,FALSE()),"")</f>
        <v/>
      </c>
      <c r="D112" s="1">
        <v>111</v>
      </c>
      <c r="E112" s="1"/>
      <c r="F112" s="1"/>
      <c r="G112" s="54" t="str">
        <f t="shared" si="3"/>
        <v/>
      </c>
      <c r="H112" s="55" t="str">
        <f>IFERROR((VLOOKUP(G112,'Planilha de Cadastro - Previsão'!$A$2:$N$1100,2,FALSE()))," ")</f>
        <v xml:space="preserve"> </v>
      </c>
      <c r="I112" s="54" t="str">
        <f>IFERROR((VLOOKUP(G112,'Planilha de Cadastro - Previsão'!$A$2:$N$1100,3,FALSE()))," ")</f>
        <v xml:space="preserve"> </v>
      </c>
      <c r="J112" s="56" t="str">
        <f>IFERROR((VLOOKUP(G112,'Planilha de Cadastro - Previsão'!$A$2:$N$1100,5,FALSE()))," ")</f>
        <v xml:space="preserve"> </v>
      </c>
      <c r="K112" s="57" t="str">
        <f>IFERROR((VLOOKUP(G112,'Planilha de Cadastro - Previsão'!$A$2:$N$1100,9,FALSE()))," ")</f>
        <v xml:space="preserve"> </v>
      </c>
    </row>
    <row r="113" spans="1:11" x14ac:dyDescent="0.25">
      <c r="A113">
        <f>COUNTIF($C$2:C113,C113)</f>
        <v>112</v>
      </c>
      <c r="B113" s="1" t="str">
        <f t="shared" si="2"/>
        <v>112</v>
      </c>
      <c r="C113" s="1" t="str">
        <f>IFERROR(VLOOKUP(D113,'Planilha de Cadastro - Previsão'!$A$2:$O$1000,15,FALSE()),"")</f>
        <v/>
      </c>
      <c r="D113" s="1">
        <v>112</v>
      </c>
      <c r="E113" s="1"/>
      <c r="F113" s="1"/>
      <c r="G113" s="54" t="str">
        <f t="shared" si="3"/>
        <v/>
      </c>
      <c r="H113" s="55" t="str">
        <f>IFERROR((VLOOKUP(G113,'Planilha de Cadastro - Previsão'!$A$2:$N$1100,2,FALSE()))," ")</f>
        <v xml:space="preserve"> </v>
      </c>
      <c r="I113" s="54" t="str">
        <f>IFERROR((VLOOKUP(G113,'Planilha de Cadastro - Previsão'!$A$2:$N$1100,3,FALSE()))," ")</f>
        <v xml:space="preserve"> </v>
      </c>
      <c r="J113" s="56" t="str">
        <f>IFERROR((VLOOKUP(G113,'Planilha de Cadastro - Previsão'!$A$2:$N$1100,5,FALSE()))," ")</f>
        <v xml:space="preserve"> </v>
      </c>
      <c r="K113" s="57" t="str">
        <f>IFERROR((VLOOKUP(G113,'Planilha de Cadastro - Previsão'!$A$2:$N$1100,9,FALSE()))," ")</f>
        <v xml:space="preserve"> </v>
      </c>
    </row>
    <row r="114" spans="1:11" x14ac:dyDescent="0.25">
      <c r="A114">
        <f>COUNTIF($C$2:C114,C114)</f>
        <v>113</v>
      </c>
      <c r="B114" s="1" t="str">
        <f t="shared" si="2"/>
        <v>113</v>
      </c>
      <c r="C114" s="1" t="str">
        <f>IFERROR(VLOOKUP(D114,'Planilha de Cadastro - Previsão'!$A$2:$O$1000,15,FALSE()),"")</f>
        <v/>
      </c>
      <c r="D114" s="1">
        <v>113</v>
      </c>
      <c r="E114" s="1"/>
      <c r="F114" s="1"/>
      <c r="G114" s="54" t="str">
        <f t="shared" si="3"/>
        <v/>
      </c>
      <c r="H114" s="55" t="str">
        <f>IFERROR((VLOOKUP(G114,'Planilha de Cadastro - Previsão'!$A$2:$N$1100,2,FALSE()))," ")</f>
        <v xml:space="preserve"> </v>
      </c>
      <c r="I114" s="54" t="str">
        <f>IFERROR((VLOOKUP(G114,'Planilha de Cadastro - Previsão'!$A$2:$N$1100,3,FALSE()))," ")</f>
        <v xml:space="preserve"> </v>
      </c>
      <c r="J114" s="56" t="str">
        <f>IFERROR((VLOOKUP(G114,'Planilha de Cadastro - Previsão'!$A$2:$N$1100,5,FALSE()))," ")</f>
        <v xml:space="preserve"> </v>
      </c>
      <c r="K114" s="57" t="str">
        <f>IFERROR((VLOOKUP(G114,'Planilha de Cadastro - Previsão'!$A$2:$N$1100,9,FALSE()))," ")</f>
        <v xml:space="preserve"> </v>
      </c>
    </row>
    <row r="115" spans="1:11" x14ac:dyDescent="0.25">
      <c r="A115">
        <f>COUNTIF($C$2:C115,C115)</f>
        <v>114</v>
      </c>
      <c r="B115" s="1" t="str">
        <f t="shared" si="2"/>
        <v>114</v>
      </c>
      <c r="C115" s="1" t="str">
        <f>IFERROR(VLOOKUP(D115,'Planilha de Cadastro - Previsão'!$A$2:$O$1000,15,FALSE()),"")</f>
        <v/>
      </c>
      <c r="D115" s="1">
        <v>114</v>
      </c>
      <c r="E115" s="1"/>
      <c r="F115" s="1"/>
      <c r="G115" s="54" t="str">
        <f t="shared" si="3"/>
        <v/>
      </c>
      <c r="H115" s="55" t="str">
        <f>IFERROR((VLOOKUP(G115,'Planilha de Cadastro - Previsão'!$A$2:$N$1100,2,FALSE()))," ")</f>
        <v xml:space="preserve"> </v>
      </c>
      <c r="I115" s="54" t="str">
        <f>IFERROR((VLOOKUP(G115,'Planilha de Cadastro - Previsão'!$A$2:$N$1100,3,FALSE()))," ")</f>
        <v xml:space="preserve"> </v>
      </c>
      <c r="J115" s="56" t="str">
        <f>IFERROR((VLOOKUP(G115,'Planilha de Cadastro - Previsão'!$A$2:$N$1100,5,FALSE()))," ")</f>
        <v xml:space="preserve"> </v>
      </c>
      <c r="K115" s="57" t="str">
        <f>IFERROR((VLOOKUP(G115,'Planilha de Cadastro - Previsão'!$A$2:$N$1100,9,FALSE()))," ")</f>
        <v xml:space="preserve"> </v>
      </c>
    </row>
    <row r="116" spans="1:11" x14ac:dyDescent="0.25">
      <c r="A116">
        <f>COUNTIF($C$2:C116,C116)</f>
        <v>115</v>
      </c>
      <c r="B116" s="1" t="str">
        <f t="shared" si="2"/>
        <v>115</v>
      </c>
      <c r="C116" s="1" t="str">
        <f>IFERROR(VLOOKUP(D116,'Planilha de Cadastro - Previsão'!$A$2:$O$1000,15,FALSE()),"")</f>
        <v/>
      </c>
      <c r="D116" s="1">
        <v>115</v>
      </c>
      <c r="E116" s="1"/>
      <c r="F116" s="1"/>
      <c r="G116" s="54" t="str">
        <f t="shared" si="3"/>
        <v/>
      </c>
      <c r="H116" s="55" t="str">
        <f>IFERROR((VLOOKUP(G116,'Planilha de Cadastro - Previsão'!$A$2:$N$1100,2,FALSE()))," ")</f>
        <v xml:space="preserve"> </v>
      </c>
      <c r="I116" s="54" t="str">
        <f>IFERROR((VLOOKUP(G116,'Planilha de Cadastro - Previsão'!$A$2:$N$1100,3,FALSE()))," ")</f>
        <v xml:space="preserve"> </v>
      </c>
      <c r="J116" s="56" t="str">
        <f>IFERROR((VLOOKUP(G116,'Planilha de Cadastro - Previsão'!$A$2:$N$1100,5,FALSE()))," ")</f>
        <v xml:space="preserve"> </v>
      </c>
      <c r="K116" s="57" t="str">
        <f>IFERROR((VLOOKUP(G116,'Planilha de Cadastro - Previsão'!$A$2:$N$1100,9,FALSE()))," ")</f>
        <v xml:space="preserve"> </v>
      </c>
    </row>
    <row r="117" spans="1:11" x14ac:dyDescent="0.25">
      <c r="A117">
        <f>COUNTIF($C$2:C117,C117)</f>
        <v>116</v>
      </c>
      <c r="B117" s="1" t="str">
        <f t="shared" si="2"/>
        <v>116</v>
      </c>
      <c r="C117" s="1" t="str">
        <f>IFERROR(VLOOKUP(D117,'Planilha de Cadastro - Previsão'!$A$2:$O$1000,15,FALSE()),"")</f>
        <v/>
      </c>
      <c r="D117" s="1">
        <v>116</v>
      </c>
      <c r="E117" s="1"/>
      <c r="F117" s="1"/>
      <c r="G117" s="54" t="str">
        <f t="shared" si="3"/>
        <v/>
      </c>
      <c r="H117" s="55" t="str">
        <f>IFERROR((VLOOKUP(G117,'Planilha de Cadastro - Previsão'!$A$2:$N$1100,2,FALSE()))," ")</f>
        <v xml:space="preserve"> </v>
      </c>
      <c r="I117" s="54" t="str">
        <f>IFERROR((VLOOKUP(G117,'Planilha de Cadastro - Previsão'!$A$2:$N$1100,3,FALSE()))," ")</f>
        <v xml:space="preserve"> </v>
      </c>
      <c r="J117" s="56" t="str">
        <f>IFERROR((VLOOKUP(G117,'Planilha de Cadastro - Previsão'!$A$2:$N$1100,5,FALSE()))," ")</f>
        <v xml:space="preserve"> </v>
      </c>
      <c r="K117" s="57" t="str">
        <f>IFERROR((VLOOKUP(G117,'Planilha de Cadastro - Previsão'!$A$2:$N$1100,9,FALSE()))," ")</f>
        <v xml:space="preserve"> </v>
      </c>
    </row>
    <row r="118" spans="1:11" x14ac:dyDescent="0.25">
      <c r="A118">
        <f>COUNTIF($C$2:C118,C118)</f>
        <v>117</v>
      </c>
      <c r="B118" s="1" t="str">
        <f t="shared" si="2"/>
        <v>117</v>
      </c>
      <c r="C118" s="1" t="str">
        <f>IFERROR(VLOOKUP(D118,'Planilha de Cadastro - Previsão'!$A$2:$O$1000,15,FALSE()),"")</f>
        <v/>
      </c>
      <c r="D118" s="1">
        <v>117</v>
      </c>
      <c r="E118" s="1"/>
      <c r="F118" s="1"/>
      <c r="G118" s="54" t="str">
        <f t="shared" si="3"/>
        <v/>
      </c>
      <c r="H118" s="55" t="str">
        <f>IFERROR((VLOOKUP(G118,'Planilha de Cadastro - Previsão'!$A$2:$N$1100,2,FALSE()))," ")</f>
        <v xml:space="preserve"> </v>
      </c>
      <c r="I118" s="54" t="str">
        <f>IFERROR((VLOOKUP(G118,'Planilha de Cadastro - Previsão'!$A$2:$N$1100,3,FALSE()))," ")</f>
        <v xml:space="preserve"> </v>
      </c>
      <c r="J118" s="56" t="str">
        <f>IFERROR((VLOOKUP(G118,'Planilha de Cadastro - Previsão'!$A$2:$N$1100,5,FALSE()))," ")</f>
        <v xml:space="preserve"> </v>
      </c>
      <c r="K118" s="57" t="str">
        <f>IFERROR((VLOOKUP(G118,'Planilha de Cadastro - Previsão'!$A$2:$N$1100,9,FALSE()))," ")</f>
        <v xml:space="preserve"> </v>
      </c>
    </row>
    <row r="119" spans="1:11" x14ac:dyDescent="0.25">
      <c r="A119">
        <f>COUNTIF($C$2:C119,C119)</f>
        <v>118</v>
      </c>
      <c r="B119" s="1" t="str">
        <f t="shared" si="2"/>
        <v>118</v>
      </c>
      <c r="C119" s="1" t="str">
        <f>IFERROR(VLOOKUP(D119,'Planilha de Cadastro - Previsão'!$A$2:$O$1000,15,FALSE()),"")</f>
        <v/>
      </c>
      <c r="D119" s="1">
        <v>118</v>
      </c>
      <c r="E119" s="1"/>
      <c r="F119" s="1"/>
      <c r="G119" s="54" t="str">
        <f t="shared" si="3"/>
        <v/>
      </c>
      <c r="H119" s="55" t="str">
        <f>IFERROR((VLOOKUP(G119,'Planilha de Cadastro - Previsão'!$A$2:$N$1100,2,FALSE()))," ")</f>
        <v xml:space="preserve"> </v>
      </c>
      <c r="I119" s="54" t="str">
        <f>IFERROR((VLOOKUP(G119,'Planilha de Cadastro - Previsão'!$A$2:$N$1100,3,FALSE()))," ")</f>
        <v xml:space="preserve"> </v>
      </c>
      <c r="J119" s="56" t="str">
        <f>IFERROR((VLOOKUP(G119,'Planilha de Cadastro - Previsão'!$A$2:$N$1100,5,FALSE()))," ")</f>
        <v xml:space="preserve"> </v>
      </c>
      <c r="K119" s="57" t="str">
        <f>IFERROR((VLOOKUP(G119,'Planilha de Cadastro - Previsão'!$A$2:$N$1100,9,FALSE()))," ")</f>
        <v xml:space="preserve"> </v>
      </c>
    </row>
    <row r="120" spans="1:11" x14ac:dyDescent="0.25">
      <c r="A120">
        <f>COUNTIF($C$2:C120,C120)</f>
        <v>119</v>
      </c>
      <c r="B120" s="1" t="str">
        <f t="shared" si="2"/>
        <v>119</v>
      </c>
      <c r="C120" s="1" t="str">
        <f>IFERROR(VLOOKUP(D120,'Planilha de Cadastro - Previsão'!$A$2:$O$1000,15,FALSE()),"")</f>
        <v/>
      </c>
      <c r="D120" s="1">
        <v>119</v>
      </c>
      <c r="E120" s="1"/>
      <c r="F120" s="1"/>
      <c r="G120" s="54" t="str">
        <f t="shared" si="3"/>
        <v/>
      </c>
      <c r="H120" s="55" t="str">
        <f>IFERROR((VLOOKUP(G120,'Planilha de Cadastro - Previsão'!$A$2:$N$1100,2,FALSE()))," ")</f>
        <v xml:space="preserve"> </v>
      </c>
      <c r="I120" s="54" t="str">
        <f>IFERROR((VLOOKUP(G120,'Planilha de Cadastro - Previsão'!$A$2:$N$1100,3,FALSE()))," ")</f>
        <v xml:space="preserve"> </v>
      </c>
      <c r="J120" s="56" t="str">
        <f>IFERROR((VLOOKUP(G120,'Planilha de Cadastro - Previsão'!$A$2:$N$1100,5,FALSE()))," ")</f>
        <v xml:space="preserve"> </v>
      </c>
      <c r="K120" s="57" t="str">
        <f>IFERROR((VLOOKUP(G120,'Planilha de Cadastro - Previsão'!$A$2:$N$1100,9,FALSE()))," ")</f>
        <v xml:space="preserve"> </v>
      </c>
    </row>
    <row r="121" spans="1:11" x14ac:dyDescent="0.25">
      <c r="A121">
        <f>COUNTIF($C$2:C121,C121)</f>
        <v>120</v>
      </c>
      <c r="B121" s="1" t="str">
        <f t="shared" si="2"/>
        <v>120</v>
      </c>
      <c r="C121" s="1" t="str">
        <f>IFERROR(VLOOKUP(D121,'Planilha de Cadastro - Previsão'!$A$2:$O$1000,15,FALSE()),"")</f>
        <v/>
      </c>
      <c r="D121" s="1">
        <v>120</v>
      </c>
      <c r="E121" s="1"/>
      <c r="F121" s="1"/>
      <c r="G121" s="54" t="str">
        <f t="shared" si="3"/>
        <v/>
      </c>
      <c r="H121" s="55" t="str">
        <f>IFERROR((VLOOKUP(G121,'Planilha de Cadastro - Previsão'!$A$2:$N$1100,2,FALSE()))," ")</f>
        <v xml:space="preserve"> </v>
      </c>
      <c r="I121" s="54" t="str">
        <f>IFERROR((VLOOKUP(G121,'Planilha de Cadastro - Previsão'!$A$2:$N$1100,3,FALSE()))," ")</f>
        <v xml:space="preserve"> </v>
      </c>
      <c r="J121" s="56" t="str">
        <f>IFERROR((VLOOKUP(G121,'Planilha de Cadastro - Previsão'!$A$2:$N$1100,5,FALSE()))," ")</f>
        <v xml:space="preserve"> </v>
      </c>
      <c r="K121" s="57" t="str">
        <f>IFERROR((VLOOKUP(G121,'Planilha de Cadastro - Previsão'!$A$2:$N$1100,9,FALSE()))," ")</f>
        <v xml:space="preserve"> </v>
      </c>
    </row>
    <row r="122" spans="1:11" x14ac:dyDescent="0.25">
      <c r="A122">
        <f>COUNTIF($C$2:C122,C122)</f>
        <v>121</v>
      </c>
      <c r="B122" s="1" t="str">
        <f t="shared" si="2"/>
        <v>121</v>
      </c>
      <c r="C122" s="1" t="str">
        <f>IFERROR(VLOOKUP(D122,'Planilha de Cadastro - Previsão'!$A$2:$O$1000,15,FALSE()),"")</f>
        <v/>
      </c>
      <c r="D122" s="1">
        <v>121</v>
      </c>
      <c r="E122" s="1"/>
      <c r="F122" s="1"/>
      <c r="G122" s="54" t="str">
        <f t="shared" si="3"/>
        <v/>
      </c>
      <c r="H122" s="55" t="str">
        <f>IFERROR((VLOOKUP(G122,'Planilha de Cadastro - Previsão'!$A$2:$N$1100,2,FALSE()))," ")</f>
        <v xml:space="preserve"> </v>
      </c>
      <c r="I122" s="54" t="str">
        <f>IFERROR((VLOOKUP(G122,'Planilha de Cadastro - Previsão'!$A$2:$N$1100,3,FALSE()))," ")</f>
        <v xml:space="preserve"> </v>
      </c>
      <c r="J122" s="56" t="str">
        <f>IFERROR((VLOOKUP(G122,'Planilha de Cadastro - Previsão'!$A$2:$N$1100,5,FALSE()))," ")</f>
        <v xml:space="preserve"> </v>
      </c>
      <c r="K122" s="57" t="str">
        <f>IFERROR((VLOOKUP(G122,'Planilha de Cadastro - Previsão'!$A$2:$N$1100,9,FALSE()))," ")</f>
        <v xml:space="preserve"> </v>
      </c>
    </row>
    <row r="123" spans="1:11" x14ac:dyDescent="0.25">
      <c r="A123">
        <f>COUNTIF($C$2:C123,C123)</f>
        <v>122</v>
      </c>
      <c r="B123" s="1" t="str">
        <f t="shared" si="2"/>
        <v>122</v>
      </c>
      <c r="C123" s="1" t="str">
        <f>IFERROR(VLOOKUP(D123,'Planilha de Cadastro - Previsão'!$A$2:$O$1000,15,FALSE()),"")</f>
        <v/>
      </c>
      <c r="D123" s="1">
        <v>122</v>
      </c>
      <c r="E123" s="1"/>
      <c r="F123" s="1"/>
      <c r="G123" s="54" t="str">
        <f t="shared" si="3"/>
        <v/>
      </c>
      <c r="H123" s="55" t="str">
        <f>IFERROR((VLOOKUP(G123,'Planilha de Cadastro - Previsão'!$A$2:$N$1100,2,FALSE()))," ")</f>
        <v xml:space="preserve"> </v>
      </c>
      <c r="I123" s="54" t="str">
        <f>IFERROR((VLOOKUP(G123,'Planilha de Cadastro - Previsão'!$A$2:$N$1100,3,FALSE()))," ")</f>
        <v xml:space="preserve"> </v>
      </c>
      <c r="J123" s="56" t="str">
        <f>IFERROR((VLOOKUP(G123,'Planilha de Cadastro - Previsão'!$A$2:$N$1100,5,FALSE()))," ")</f>
        <v xml:space="preserve"> </v>
      </c>
      <c r="K123" s="57" t="str">
        <f>IFERROR((VLOOKUP(G123,'Planilha de Cadastro - Previsão'!$A$2:$N$1100,9,FALSE()))," ")</f>
        <v xml:space="preserve"> </v>
      </c>
    </row>
    <row r="124" spans="1:11" x14ac:dyDescent="0.25">
      <c r="A124">
        <f>COUNTIF($C$2:C124,C124)</f>
        <v>123</v>
      </c>
      <c r="B124" s="1" t="str">
        <f t="shared" si="2"/>
        <v>123</v>
      </c>
      <c r="C124" s="1" t="str">
        <f>IFERROR(VLOOKUP(D124,'Planilha de Cadastro - Previsão'!$A$2:$O$1000,15,FALSE()),"")</f>
        <v/>
      </c>
      <c r="D124" s="1">
        <v>123</v>
      </c>
      <c r="E124" s="1"/>
      <c r="F124" s="1"/>
      <c r="G124" s="54" t="str">
        <f t="shared" si="3"/>
        <v/>
      </c>
      <c r="H124" s="55" t="str">
        <f>IFERROR((VLOOKUP(G124,'Planilha de Cadastro - Previsão'!$A$2:$N$1100,2,FALSE()))," ")</f>
        <v xml:space="preserve"> </v>
      </c>
      <c r="I124" s="54" t="str">
        <f>IFERROR((VLOOKUP(G124,'Planilha de Cadastro - Previsão'!$A$2:$N$1100,3,FALSE()))," ")</f>
        <v xml:space="preserve"> </v>
      </c>
      <c r="J124" s="56" t="str">
        <f>IFERROR((VLOOKUP(G124,'Planilha de Cadastro - Previsão'!$A$2:$N$1100,5,FALSE()))," ")</f>
        <v xml:space="preserve"> </v>
      </c>
      <c r="K124" s="57" t="str">
        <f>IFERROR((VLOOKUP(G124,'Planilha de Cadastro - Previsão'!$A$2:$N$1100,9,FALSE()))," ")</f>
        <v xml:space="preserve"> </v>
      </c>
    </row>
    <row r="125" spans="1:11" x14ac:dyDescent="0.25">
      <c r="A125">
        <f>COUNTIF($C$2:C125,C125)</f>
        <v>124</v>
      </c>
      <c r="B125" s="1" t="str">
        <f t="shared" si="2"/>
        <v>124</v>
      </c>
      <c r="C125" s="1" t="str">
        <f>IFERROR(VLOOKUP(D125,'Planilha de Cadastro - Previsão'!$A$2:$O$1000,15,FALSE()),"")</f>
        <v/>
      </c>
      <c r="D125" s="1">
        <v>124</v>
      </c>
      <c r="E125" s="1"/>
      <c r="F125" s="1"/>
      <c r="G125" s="54" t="str">
        <f t="shared" si="3"/>
        <v/>
      </c>
      <c r="H125" s="55" t="str">
        <f>IFERROR((VLOOKUP(G125,'Planilha de Cadastro - Previsão'!$A$2:$N$1100,2,FALSE()))," ")</f>
        <v xml:space="preserve"> </v>
      </c>
      <c r="I125" s="54" t="str">
        <f>IFERROR((VLOOKUP(G125,'Planilha de Cadastro - Previsão'!$A$2:$N$1100,3,FALSE()))," ")</f>
        <v xml:space="preserve"> </v>
      </c>
      <c r="J125" s="56" t="str">
        <f>IFERROR((VLOOKUP(G125,'Planilha de Cadastro - Previsão'!$A$2:$N$1100,5,FALSE()))," ")</f>
        <v xml:space="preserve"> </v>
      </c>
      <c r="K125" s="57" t="str">
        <f>IFERROR((VLOOKUP(G125,'Planilha de Cadastro - Previsão'!$A$2:$N$1100,9,FALSE()))," ")</f>
        <v xml:space="preserve"> </v>
      </c>
    </row>
    <row r="126" spans="1:11" x14ac:dyDescent="0.25">
      <c r="A126">
        <f>COUNTIF($C$2:C126,C126)</f>
        <v>125</v>
      </c>
      <c r="B126" s="1" t="str">
        <f t="shared" si="2"/>
        <v>125</v>
      </c>
      <c r="C126" s="1" t="str">
        <f>IFERROR(VLOOKUP(D126,'Planilha de Cadastro - Previsão'!$A$2:$O$1000,15,FALSE()),"")</f>
        <v/>
      </c>
      <c r="D126" s="1">
        <v>125</v>
      </c>
      <c r="E126" s="1"/>
      <c r="F126" s="1"/>
      <c r="G126" s="54" t="str">
        <f t="shared" si="3"/>
        <v/>
      </c>
      <c r="H126" s="55" t="str">
        <f>IFERROR((VLOOKUP(G126,'Planilha de Cadastro - Previsão'!$A$2:$N$1100,2,FALSE()))," ")</f>
        <v xml:space="preserve"> </v>
      </c>
      <c r="I126" s="54" t="str">
        <f>IFERROR((VLOOKUP(G126,'Planilha de Cadastro - Previsão'!$A$2:$N$1100,3,FALSE()))," ")</f>
        <v xml:space="preserve"> </v>
      </c>
      <c r="J126" s="56" t="str">
        <f>IFERROR((VLOOKUP(G126,'Planilha de Cadastro - Previsão'!$A$2:$N$1100,5,FALSE()))," ")</f>
        <v xml:space="preserve"> </v>
      </c>
      <c r="K126" s="57" t="str">
        <f>IFERROR((VLOOKUP(G126,'Planilha de Cadastro - Previsão'!$A$2:$N$1100,9,FALSE()))," ")</f>
        <v xml:space="preserve"> </v>
      </c>
    </row>
    <row r="127" spans="1:11" x14ac:dyDescent="0.25">
      <c r="A127">
        <f>COUNTIF($C$2:C127,C127)</f>
        <v>126</v>
      </c>
      <c r="B127" s="1" t="str">
        <f t="shared" si="2"/>
        <v>126</v>
      </c>
      <c r="C127" s="1" t="str">
        <f>IFERROR(VLOOKUP(D127,'Planilha de Cadastro - Previsão'!$A$2:$O$1000,15,FALSE()),"")</f>
        <v/>
      </c>
      <c r="D127" s="1">
        <v>126</v>
      </c>
      <c r="E127" s="1"/>
      <c r="F127" s="1"/>
      <c r="G127" s="54" t="str">
        <f t="shared" si="3"/>
        <v/>
      </c>
      <c r="H127" s="55" t="str">
        <f>IFERROR((VLOOKUP(G127,'Planilha de Cadastro - Previsão'!$A$2:$N$1100,2,FALSE()))," ")</f>
        <v xml:space="preserve"> </v>
      </c>
      <c r="I127" s="54" t="str">
        <f>IFERROR((VLOOKUP(G127,'Planilha de Cadastro - Previsão'!$A$2:$N$1100,3,FALSE()))," ")</f>
        <v xml:space="preserve"> </v>
      </c>
      <c r="J127" s="56" t="str">
        <f>IFERROR((VLOOKUP(G127,'Planilha de Cadastro - Previsão'!$A$2:$N$1100,5,FALSE()))," ")</f>
        <v xml:space="preserve"> </v>
      </c>
      <c r="K127" s="57" t="str">
        <f>IFERROR((VLOOKUP(G127,'Planilha de Cadastro - Previsão'!$A$2:$N$1100,9,FALSE()))," ")</f>
        <v xml:space="preserve"> </v>
      </c>
    </row>
    <row r="128" spans="1:11" x14ac:dyDescent="0.25">
      <c r="A128">
        <f>COUNTIF($C$2:C128,C128)</f>
        <v>127</v>
      </c>
      <c r="B128" s="1" t="str">
        <f t="shared" si="2"/>
        <v>127</v>
      </c>
      <c r="C128" s="1" t="str">
        <f>IFERROR(VLOOKUP(D128,'Planilha de Cadastro - Previsão'!$A$2:$O$1000,15,FALSE()),"")</f>
        <v/>
      </c>
      <c r="D128" s="1">
        <v>127</v>
      </c>
      <c r="E128" s="1"/>
      <c r="F128" s="1"/>
      <c r="G128" s="54" t="str">
        <f t="shared" si="3"/>
        <v/>
      </c>
      <c r="H128" s="55" t="str">
        <f>IFERROR((VLOOKUP(G128,'Planilha de Cadastro - Previsão'!$A$2:$N$1100,2,FALSE()))," ")</f>
        <v xml:space="preserve"> </v>
      </c>
      <c r="I128" s="54" t="str">
        <f>IFERROR((VLOOKUP(G128,'Planilha de Cadastro - Previsão'!$A$2:$N$1100,3,FALSE()))," ")</f>
        <v xml:space="preserve"> </v>
      </c>
      <c r="J128" s="56" t="str">
        <f>IFERROR((VLOOKUP(G128,'Planilha de Cadastro - Previsão'!$A$2:$N$1100,5,FALSE()))," ")</f>
        <v xml:space="preserve"> </v>
      </c>
      <c r="K128" s="57" t="str">
        <f>IFERROR((VLOOKUP(G128,'Planilha de Cadastro - Previsão'!$A$2:$N$1100,9,FALSE()))," ")</f>
        <v xml:space="preserve"> </v>
      </c>
    </row>
    <row r="129" spans="1:11" x14ac:dyDescent="0.25">
      <c r="A129">
        <f>COUNTIF($C$2:C129,C129)</f>
        <v>128</v>
      </c>
      <c r="B129" s="1" t="str">
        <f t="shared" si="2"/>
        <v>128</v>
      </c>
      <c r="C129" s="1" t="str">
        <f>IFERROR(VLOOKUP(D129,'Planilha de Cadastro - Previsão'!$A$2:$O$1000,15,FALSE()),"")</f>
        <v/>
      </c>
      <c r="D129" s="1">
        <v>128</v>
      </c>
      <c r="E129" s="1"/>
      <c r="F129" s="1"/>
      <c r="G129" s="54" t="str">
        <f t="shared" si="3"/>
        <v/>
      </c>
      <c r="H129" s="55" t="str">
        <f>IFERROR((VLOOKUP(G129,'Planilha de Cadastro - Previsão'!$A$2:$N$1100,2,FALSE()))," ")</f>
        <v xml:space="preserve"> </v>
      </c>
      <c r="I129" s="54" t="str">
        <f>IFERROR((VLOOKUP(G129,'Planilha de Cadastro - Previsão'!$A$2:$N$1100,3,FALSE()))," ")</f>
        <v xml:space="preserve"> </v>
      </c>
      <c r="J129" s="56" t="str">
        <f>IFERROR((VLOOKUP(G129,'Planilha de Cadastro - Previsão'!$A$2:$N$1100,5,FALSE()))," ")</f>
        <v xml:space="preserve"> </v>
      </c>
      <c r="K129" s="57" t="str">
        <f>IFERROR((VLOOKUP(G129,'Planilha de Cadastro - Previsão'!$A$2:$N$1100,9,FALSE()))," ")</f>
        <v xml:space="preserve"> </v>
      </c>
    </row>
    <row r="130" spans="1:11" x14ac:dyDescent="0.25">
      <c r="A130">
        <f>COUNTIF($C$2:C130,C130)</f>
        <v>129</v>
      </c>
      <c r="B130" s="1" t="str">
        <f t="shared" si="2"/>
        <v>129</v>
      </c>
      <c r="C130" s="1" t="str">
        <f>IFERROR(VLOOKUP(D130,'Planilha de Cadastro - Previsão'!$A$2:$O$1000,15,FALSE()),"")</f>
        <v/>
      </c>
      <c r="D130" s="1">
        <v>129</v>
      </c>
      <c r="E130" s="1"/>
      <c r="F130" s="1"/>
      <c r="G130" s="54" t="str">
        <f t="shared" si="3"/>
        <v/>
      </c>
      <c r="H130" s="55" t="str">
        <f>IFERROR((VLOOKUP(G130,'Planilha de Cadastro - Previsão'!$A$2:$N$1100,2,FALSE()))," ")</f>
        <v xml:space="preserve"> </v>
      </c>
      <c r="I130" s="54" t="str">
        <f>IFERROR((VLOOKUP(G130,'Planilha de Cadastro - Previsão'!$A$2:$N$1100,3,FALSE()))," ")</f>
        <v xml:space="preserve"> </v>
      </c>
      <c r="J130" s="56" t="str">
        <f>IFERROR((VLOOKUP(G130,'Planilha de Cadastro - Previsão'!$A$2:$N$1100,5,FALSE()))," ")</f>
        <v xml:space="preserve"> </v>
      </c>
      <c r="K130" s="57" t="str">
        <f>IFERROR((VLOOKUP(G130,'Planilha de Cadastro - Previsão'!$A$2:$N$1100,9,FALSE()))," ")</f>
        <v xml:space="preserve"> </v>
      </c>
    </row>
    <row r="131" spans="1:11" x14ac:dyDescent="0.25">
      <c r="A131">
        <f>COUNTIF($C$2:C131,C131)</f>
        <v>130</v>
      </c>
      <c r="B131" s="1" t="str">
        <f t="shared" ref="B131:B194" si="4">IFERROR(CONCATENATE(C131,A131),"")</f>
        <v>130</v>
      </c>
      <c r="C131" s="1" t="str">
        <f>IFERROR(VLOOKUP(D131,'Planilha de Cadastro - Previsão'!$A$2:$O$1000,15,FALSE()),"")</f>
        <v/>
      </c>
      <c r="D131" s="1">
        <v>130</v>
      </c>
      <c r="E131" s="1"/>
      <c r="F131" s="1"/>
      <c r="G131" s="54" t="str">
        <f t="shared" si="3"/>
        <v/>
      </c>
      <c r="H131" s="55" t="str">
        <f>IFERROR((VLOOKUP(G131,'Planilha de Cadastro - Previsão'!$A$2:$N$1100,2,FALSE()))," ")</f>
        <v xml:space="preserve"> </v>
      </c>
      <c r="I131" s="54" t="str">
        <f>IFERROR((VLOOKUP(G131,'Planilha de Cadastro - Previsão'!$A$2:$N$1100,3,FALSE()))," ")</f>
        <v xml:space="preserve"> </v>
      </c>
      <c r="J131" s="56" t="str">
        <f>IFERROR((VLOOKUP(G131,'Planilha de Cadastro - Previsão'!$A$2:$N$1100,5,FALSE()))," ")</f>
        <v xml:space="preserve"> </v>
      </c>
      <c r="K131" s="57" t="str">
        <f>IFERROR((VLOOKUP(G131,'Planilha de Cadastro - Previsão'!$A$2:$N$1100,9,FALSE()))," ")</f>
        <v xml:space="preserve"> </v>
      </c>
    </row>
    <row r="132" spans="1:11" x14ac:dyDescent="0.25">
      <c r="A132">
        <f>COUNTIF($C$2:C132,C132)</f>
        <v>131</v>
      </c>
      <c r="B132" s="1" t="str">
        <f t="shared" si="4"/>
        <v>131</v>
      </c>
      <c r="C132" s="1" t="str">
        <f>IFERROR(VLOOKUP(D132,'Planilha de Cadastro - Previsão'!$A$2:$O$1000,15,FALSE()),"")</f>
        <v/>
      </c>
      <c r="D132" s="1">
        <v>131</v>
      </c>
      <c r="E132" s="1"/>
      <c r="F132" s="1"/>
      <c r="G132" s="54" t="str">
        <f t="shared" si="3"/>
        <v/>
      </c>
      <c r="H132" s="55" t="str">
        <f>IFERROR((VLOOKUP(G132,'Planilha de Cadastro - Previsão'!$A$2:$N$1100,2,FALSE()))," ")</f>
        <v xml:space="preserve"> </v>
      </c>
      <c r="I132" s="54" t="str">
        <f>IFERROR((VLOOKUP(G132,'Planilha de Cadastro - Previsão'!$A$2:$N$1100,3,FALSE()))," ")</f>
        <v xml:space="preserve"> </v>
      </c>
      <c r="J132" s="56" t="str">
        <f>IFERROR((VLOOKUP(G132,'Planilha de Cadastro - Previsão'!$A$2:$N$1100,5,FALSE()))," ")</f>
        <v xml:space="preserve"> </v>
      </c>
      <c r="K132" s="57" t="str">
        <f>IFERROR((VLOOKUP(G132,'Planilha de Cadastro - Previsão'!$A$2:$N$1100,9,FALSE()))," ")</f>
        <v xml:space="preserve"> </v>
      </c>
    </row>
    <row r="133" spans="1:11" x14ac:dyDescent="0.25">
      <c r="A133">
        <f>COUNTIF($C$2:C133,C133)</f>
        <v>132</v>
      </c>
      <c r="B133" s="1" t="str">
        <f t="shared" si="4"/>
        <v>132</v>
      </c>
      <c r="C133" s="1" t="str">
        <f>IFERROR(VLOOKUP(D133,'Planilha de Cadastro - Previsão'!$A$2:$O$1000,15,FALSE()),"")</f>
        <v/>
      </c>
      <c r="D133" s="1">
        <v>132</v>
      </c>
      <c r="E133" s="1"/>
      <c r="F133" s="1"/>
      <c r="G133" s="54" t="str">
        <f t="shared" si="3"/>
        <v/>
      </c>
      <c r="H133" s="55" t="str">
        <f>IFERROR((VLOOKUP(G133,'Planilha de Cadastro - Previsão'!$A$2:$N$1100,2,FALSE()))," ")</f>
        <v xml:space="preserve"> </v>
      </c>
      <c r="I133" s="54" t="str">
        <f>IFERROR((VLOOKUP(G133,'Planilha de Cadastro - Previsão'!$A$2:$N$1100,3,FALSE()))," ")</f>
        <v xml:space="preserve"> </v>
      </c>
      <c r="J133" s="56" t="str">
        <f>IFERROR((VLOOKUP(G133,'Planilha de Cadastro - Previsão'!$A$2:$N$1100,5,FALSE()))," ")</f>
        <v xml:space="preserve"> </v>
      </c>
      <c r="K133" s="57" t="str">
        <f>IFERROR((VLOOKUP(G133,'Planilha de Cadastro - Previsão'!$A$2:$N$1100,9,FALSE()))," ")</f>
        <v xml:space="preserve"> </v>
      </c>
    </row>
    <row r="134" spans="1:11" x14ac:dyDescent="0.25">
      <c r="A134">
        <f>COUNTIF($C$2:C134,C134)</f>
        <v>133</v>
      </c>
      <c r="B134" s="1" t="str">
        <f t="shared" si="4"/>
        <v>133</v>
      </c>
      <c r="C134" s="1" t="str">
        <f>IFERROR(VLOOKUP(D134,'Planilha de Cadastro - Previsão'!$A$2:$O$1000,15,FALSE()),"")</f>
        <v/>
      </c>
      <c r="D134" s="1">
        <v>133</v>
      </c>
      <c r="E134" s="1"/>
      <c r="F134" s="1"/>
      <c r="G134" s="54" t="str">
        <f t="shared" si="3"/>
        <v/>
      </c>
      <c r="H134" s="55" t="str">
        <f>IFERROR((VLOOKUP(G134,'Planilha de Cadastro - Previsão'!$A$2:$N$1100,2,FALSE()))," ")</f>
        <v xml:space="preserve"> </v>
      </c>
      <c r="I134" s="54" t="str">
        <f>IFERROR((VLOOKUP(G134,'Planilha de Cadastro - Previsão'!$A$2:$N$1100,3,FALSE()))," ")</f>
        <v xml:space="preserve"> </v>
      </c>
      <c r="J134" s="56" t="str">
        <f>IFERROR((VLOOKUP(G134,'Planilha de Cadastro - Previsão'!$A$2:$N$1100,5,FALSE()))," ")</f>
        <v xml:space="preserve"> </v>
      </c>
      <c r="K134" s="57" t="str">
        <f>IFERROR((VLOOKUP(G134,'Planilha de Cadastro - Previsão'!$A$2:$N$1100,9,FALSE()))," ")</f>
        <v xml:space="preserve"> </v>
      </c>
    </row>
    <row r="135" spans="1:11" x14ac:dyDescent="0.25">
      <c r="A135">
        <f>COUNTIF($C$2:C135,C135)</f>
        <v>134</v>
      </c>
      <c r="B135" s="1" t="str">
        <f t="shared" si="4"/>
        <v>134</v>
      </c>
      <c r="C135" s="1" t="str">
        <f>IFERROR(VLOOKUP(D135,'Planilha de Cadastro - Previsão'!$A$2:$O$1000,15,FALSE()),"")</f>
        <v/>
      </c>
      <c r="D135" s="1">
        <v>134</v>
      </c>
      <c r="E135" s="1"/>
      <c r="F135" s="1"/>
      <c r="G135" s="54" t="str">
        <f t="shared" si="3"/>
        <v/>
      </c>
      <c r="H135" s="55" t="str">
        <f>IFERROR((VLOOKUP(G135,'Planilha de Cadastro - Previsão'!$A$2:$N$1100,2,FALSE()))," ")</f>
        <v xml:space="preserve"> </v>
      </c>
      <c r="I135" s="54" t="str">
        <f>IFERROR((VLOOKUP(G135,'Planilha de Cadastro - Previsão'!$A$2:$N$1100,3,FALSE()))," ")</f>
        <v xml:space="preserve"> </v>
      </c>
      <c r="J135" s="56" t="str">
        <f>IFERROR((VLOOKUP(G135,'Planilha de Cadastro - Previsão'!$A$2:$N$1100,5,FALSE()))," ")</f>
        <v xml:space="preserve"> </v>
      </c>
      <c r="K135" s="57" t="str">
        <f>IFERROR((VLOOKUP(G135,'Planilha de Cadastro - Previsão'!$A$2:$N$1100,9,FALSE()))," ")</f>
        <v xml:space="preserve"> </v>
      </c>
    </row>
    <row r="136" spans="1:11" x14ac:dyDescent="0.25">
      <c r="A136">
        <f>COUNTIF($C$2:C136,C136)</f>
        <v>135</v>
      </c>
      <c r="B136" s="1" t="str">
        <f t="shared" si="4"/>
        <v>135</v>
      </c>
      <c r="C136" s="1" t="str">
        <f>IFERROR(VLOOKUP(D136,'Planilha de Cadastro - Previsão'!$A$2:$O$1000,15,FALSE()),"")</f>
        <v/>
      </c>
      <c r="D136" s="1">
        <v>135</v>
      </c>
      <c r="E136" s="1"/>
      <c r="F136" s="1"/>
      <c r="G136" s="54" t="str">
        <f t="shared" si="3"/>
        <v/>
      </c>
      <c r="H136" s="55" t="str">
        <f>IFERROR((VLOOKUP(G136,'Planilha de Cadastro - Previsão'!$A$2:$N$1100,2,FALSE()))," ")</f>
        <v xml:space="preserve"> </v>
      </c>
      <c r="I136" s="54" t="str">
        <f>IFERROR((VLOOKUP(G136,'Planilha de Cadastro - Previsão'!$A$2:$N$1100,3,FALSE()))," ")</f>
        <v xml:space="preserve"> </v>
      </c>
      <c r="J136" s="56" t="str">
        <f>IFERROR((VLOOKUP(G136,'Planilha de Cadastro - Previsão'!$A$2:$N$1100,5,FALSE()))," ")</f>
        <v xml:space="preserve"> </v>
      </c>
      <c r="K136" s="57" t="str">
        <f>IFERROR((VLOOKUP(G136,'Planilha de Cadastro - Previsão'!$A$2:$N$1100,9,FALSE()))," ")</f>
        <v xml:space="preserve"> </v>
      </c>
    </row>
    <row r="137" spans="1:11" x14ac:dyDescent="0.25">
      <c r="A137">
        <f>COUNTIF($C$2:C137,C137)</f>
        <v>136</v>
      </c>
      <c r="B137" s="1" t="str">
        <f t="shared" si="4"/>
        <v>136</v>
      </c>
      <c r="C137" s="1" t="str">
        <f>IFERROR(VLOOKUP(D137,'Planilha de Cadastro - Previsão'!$A$2:$O$1000,15,FALSE()),"")</f>
        <v/>
      </c>
      <c r="D137" s="1">
        <v>136</v>
      </c>
      <c r="E137" s="1"/>
      <c r="F137" s="1"/>
      <c r="G137" s="54" t="str">
        <f t="shared" si="3"/>
        <v/>
      </c>
      <c r="H137" s="55" t="str">
        <f>IFERROR((VLOOKUP(G137,'Planilha de Cadastro - Previsão'!$A$2:$N$1100,2,FALSE()))," ")</f>
        <v xml:space="preserve"> </v>
      </c>
      <c r="I137" s="54" t="str">
        <f>IFERROR((VLOOKUP(G137,'Planilha de Cadastro - Previsão'!$A$2:$N$1100,3,FALSE()))," ")</f>
        <v xml:space="preserve"> </v>
      </c>
      <c r="J137" s="56" t="str">
        <f>IFERROR((VLOOKUP(G137,'Planilha de Cadastro - Previsão'!$A$2:$N$1100,5,FALSE()))," ")</f>
        <v xml:space="preserve"> </v>
      </c>
      <c r="K137" s="57" t="str">
        <f>IFERROR((VLOOKUP(G137,'Planilha de Cadastro - Previsão'!$A$2:$N$1100,9,FALSE()))," ")</f>
        <v xml:space="preserve"> </v>
      </c>
    </row>
    <row r="138" spans="1:11" x14ac:dyDescent="0.25">
      <c r="A138">
        <f>COUNTIF($C$2:C138,C138)</f>
        <v>137</v>
      </c>
      <c r="B138" s="1" t="str">
        <f t="shared" si="4"/>
        <v>137</v>
      </c>
      <c r="C138" s="1" t="str">
        <f>IFERROR(VLOOKUP(D138,'Planilha de Cadastro - Previsão'!$A$2:$O$1000,15,FALSE()),"")</f>
        <v/>
      </c>
      <c r="D138" s="1">
        <v>137</v>
      </c>
      <c r="E138" s="1"/>
      <c r="F138" s="1"/>
      <c r="G138" s="54" t="str">
        <f t="shared" ref="G138:G201" si="5">IFERROR((VLOOKUP(CONCATENATE("Sim",D130),$B$2:$D$1000,3,FALSE())),"")</f>
        <v/>
      </c>
      <c r="H138" s="55" t="str">
        <f>IFERROR((VLOOKUP(G138,'Planilha de Cadastro - Previsão'!$A$2:$N$1100,2,FALSE()))," ")</f>
        <v xml:space="preserve"> </v>
      </c>
      <c r="I138" s="54" t="str">
        <f>IFERROR((VLOOKUP(G138,'Planilha de Cadastro - Previsão'!$A$2:$N$1100,3,FALSE()))," ")</f>
        <v xml:space="preserve"> </v>
      </c>
      <c r="J138" s="56" t="str">
        <f>IFERROR((VLOOKUP(G138,'Planilha de Cadastro - Previsão'!$A$2:$N$1100,5,FALSE()))," ")</f>
        <v xml:space="preserve"> </v>
      </c>
      <c r="K138" s="57" t="str">
        <f>IFERROR((VLOOKUP(G138,'Planilha de Cadastro - Previsão'!$A$2:$N$1100,9,FALSE()))," ")</f>
        <v xml:space="preserve"> </v>
      </c>
    </row>
    <row r="139" spans="1:11" x14ac:dyDescent="0.25">
      <c r="A139">
        <f>COUNTIF($C$2:C139,C139)</f>
        <v>138</v>
      </c>
      <c r="B139" s="1" t="str">
        <f t="shared" si="4"/>
        <v>138</v>
      </c>
      <c r="C139" s="1" t="str">
        <f>IFERROR(VLOOKUP(D139,'Planilha de Cadastro - Previsão'!$A$2:$O$1000,15,FALSE()),"")</f>
        <v/>
      </c>
      <c r="D139" s="1">
        <v>138</v>
      </c>
      <c r="E139" s="1"/>
      <c r="F139" s="1"/>
      <c r="G139" s="54" t="str">
        <f t="shared" si="5"/>
        <v/>
      </c>
      <c r="H139" s="55" t="str">
        <f>IFERROR((VLOOKUP(G139,'Planilha de Cadastro - Previsão'!$A$2:$N$1100,2,FALSE()))," ")</f>
        <v xml:space="preserve"> </v>
      </c>
      <c r="I139" s="54" t="str">
        <f>IFERROR((VLOOKUP(G139,'Planilha de Cadastro - Previsão'!$A$2:$N$1100,3,FALSE()))," ")</f>
        <v xml:space="preserve"> </v>
      </c>
      <c r="J139" s="56" t="str">
        <f>IFERROR((VLOOKUP(G139,'Planilha de Cadastro - Previsão'!$A$2:$N$1100,5,FALSE()))," ")</f>
        <v xml:space="preserve"> </v>
      </c>
      <c r="K139" s="57" t="str">
        <f>IFERROR((VLOOKUP(G139,'Planilha de Cadastro - Previsão'!$A$2:$N$1100,9,FALSE()))," ")</f>
        <v xml:space="preserve"> </v>
      </c>
    </row>
    <row r="140" spans="1:11" x14ac:dyDescent="0.25">
      <c r="A140">
        <f>COUNTIF($C$2:C140,C140)</f>
        <v>139</v>
      </c>
      <c r="B140" s="1" t="str">
        <f t="shared" si="4"/>
        <v>139</v>
      </c>
      <c r="C140" s="1" t="str">
        <f>IFERROR(VLOOKUP(D140,'Planilha de Cadastro - Previsão'!$A$2:$O$1000,15,FALSE()),"")</f>
        <v/>
      </c>
      <c r="D140" s="1">
        <v>139</v>
      </c>
      <c r="E140" s="1"/>
      <c r="F140" s="1"/>
      <c r="G140" s="54" t="str">
        <f t="shared" si="5"/>
        <v/>
      </c>
      <c r="H140" s="55" t="str">
        <f>IFERROR((VLOOKUP(G140,'Planilha de Cadastro - Previsão'!$A$2:$N$1100,2,FALSE()))," ")</f>
        <v xml:space="preserve"> </v>
      </c>
      <c r="I140" s="54" t="str">
        <f>IFERROR((VLOOKUP(G140,'Planilha de Cadastro - Previsão'!$A$2:$N$1100,3,FALSE()))," ")</f>
        <v xml:space="preserve"> </v>
      </c>
      <c r="J140" s="56" t="str">
        <f>IFERROR((VLOOKUP(G140,'Planilha de Cadastro - Previsão'!$A$2:$N$1100,5,FALSE()))," ")</f>
        <v xml:space="preserve"> </v>
      </c>
      <c r="K140" s="57" t="str">
        <f>IFERROR((VLOOKUP(G140,'Planilha de Cadastro - Previsão'!$A$2:$N$1100,9,FALSE()))," ")</f>
        <v xml:space="preserve"> </v>
      </c>
    </row>
    <row r="141" spans="1:11" x14ac:dyDescent="0.25">
      <c r="A141">
        <f>COUNTIF($C$2:C141,C141)</f>
        <v>140</v>
      </c>
      <c r="B141" s="1" t="str">
        <f t="shared" si="4"/>
        <v>140</v>
      </c>
      <c r="C141" s="1" t="str">
        <f>IFERROR(VLOOKUP(D141,'Planilha de Cadastro - Previsão'!$A$2:$O$1000,15,FALSE()),"")</f>
        <v/>
      </c>
      <c r="D141" s="1">
        <v>140</v>
      </c>
      <c r="E141" s="1"/>
      <c r="F141" s="1"/>
      <c r="G141" s="54" t="str">
        <f t="shared" si="5"/>
        <v/>
      </c>
      <c r="H141" s="55" t="str">
        <f>IFERROR((VLOOKUP(G141,'Planilha de Cadastro - Previsão'!$A$2:$N$1100,2,FALSE()))," ")</f>
        <v xml:space="preserve"> </v>
      </c>
      <c r="I141" s="54" t="str">
        <f>IFERROR((VLOOKUP(G141,'Planilha de Cadastro - Previsão'!$A$2:$N$1100,3,FALSE()))," ")</f>
        <v xml:space="preserve"> </v>
      </c>
      <c r="J141" s="56" t="str">
        <f>IFERROR((VLOOKUP(G141,'Planilha de Cadastro - Previsão'!$A$2:$N$1100,5,FALSE()))," ")</f>
        <v xml:space="preserve"> </v>
      </c>
      <c r="K141" s="57" t="str">
        <f>IFERROR((VLOOKUP(G141,'Planilha de Cadastro - Previsão'!$A$2:$N$1100,9,FALSE()))," ")</f>
        <v xml:space="preserve"> </v>
      </c>
    </row>
    <row r="142" spans="1:11" x14ac:dyDescent="0.25">
      <c r="A142">
        <f>COUNTIF($C$2:C142,C142)</f>
        <v>141</v>
      </c>
      <c r="B142" s="1" t="str">
        <f t="shared" si="4"/>
        <v>141</v>
      </c>
      <c r="C142" s="1" t="str">
        <f>IFERROR(VLOOKUP(D142,'Planilha de Cadastro - Previsão'!$A$2:$O$1000,15,FALSE()),"")</f>
        <v/>
      </c>
      <c r="D142" s="1">
        <v>141</v>
      </c>
      <c r="E142" s="1"/>
      <c r="F142" s="1"/>
      <c r="G142" s="54" t="str">
        <f t="shared" si="5"/>
        <v/>
      </c>
      <c r="H142" s="55" t="str">
        <f>IFERROR((VLOOKUP(G142,'Planilha de Cadastro - Previsão'!$A$2:$N$1100,2,FALSE()))," ")</f>
        <v xml:space="preserve"> </v>
      </c>
      <c r="I142" s="54" t="str">
        <f>IFERROR((VLOOKUP(G142,'Planilha de Cadastro - Previsão'!$A$2:$N$1100,3,FALSE()))," ")</f>
        <v xml:space="preserve"> </v>
      </c>
      <c r="J142" s="56" t="str">
        <f>IFERROR((VLOOKUP(G142,'Planilha de Cadastro - Previsão'!$A$2:$N$1100,5,FALSE()))," ")</f>
        <v xml:space="preserve"> </v>
      </c>
      <c r="K142" s="57" t="str">
        <f>IFERROR((VLOOKUP(G142,'Planilha de Cadastro - Previsão'!$A$2:$N$1100,9,FALSE()))," ")</f>
        <v xml:space="preserve"> </v>
      </c>
    </row>
    <row r="143" spans="1:11" x14ac:dyDescent="0.25">
      <c r="A143">
        <f>COUNTIF($C$2:C143,C143)</f>
        <v>142</v>
      </c>
      <c r="B143" s="1" t="str">
        <f t="shared" si="4"/>
        <v>142</v>
      </c>
      <c r="C143" s="1" t="str">
        <f>IFERROR(VLOOKUP(D143,'Planilha de Cadastro - Previsão'!$A$2:$O$1000,15,FALSE()),"")</f>
        <v/>
      </c>
      <c r="D143" s="1">
        <v>142</v>
      </c>
      <c r="E143" s="1"/>
      <c r="F143" s="1"/>
      <c r="G143" s="54" t="str">
        <f t="shared" si="5"/>
        <v/>
      </c>
      <c r="H143" s="55" t="str">
        <f>IFERROR((VLOOKUP(G143,'Planilha de Cadastro - Previsão'!$A$2:$N$1100,2,FALSE()))," ")</f>
        <v xml:space="preserve"> </v>
      </c>
      <c r="I143" s="54" t="str">
        <f>IFERROR((VLOOKUP(G143,'Planilha de Cadastro - Previsão'!$A$2:$N$1100,3,FALSE()))," ")</f>
        <v xml:space="preserve"> </v>
      </c>
      <c r="J143" s="56" t="str">
        <f>IFERROR((VLOOKUP(G143,'Planilha de Cadastro - Previsão'!$A$2:$N$1100,5,FALSE()))," ")</f>
        <v xml:space="preserve"> </v>
      </c>
      <c r="K143" s="57" t="str">
        <f>IFERROR((VLOOKUP(G143,'Planilha de Cadastro - Previsão'!$A$2:$N$1100,9,FALSE()))," ")</f>
        <v xml:space="preserve"> </v>
      </c>
    </row>
    <row r="144" spans="1:11" x14ac:dyDescent="0.25">
      <c r="A144">
        <f>COUNTIF($C$2:C144,C144)</f>
        <v>143</v>
      </c>
      <c r="B144" s="1" t="str">
        <f t="shared" si="4"/>
        <v>143</v>
      </c>
      <c r="C144" s="1" t="str">
        <f>IFERROR(VLOOKUP(D144,'Planilha de Cadastro - Previsão'!$A$2:$O$1000,15,FALSE()),"")</f>
        <v/>
      </c>
      <c r="D144" s="1">
        <v>143</v>
      </c>
      <c r="E144" s="1"/>
      <c r="F144" s="1"/>
      <c r="G144" s="54" t="str">
        <f t="shared" si="5"/>
        <v/>
      </c>
      <c r="H144" s="55" t="str">
        <f>IFERROR((VLOOKUP(G144,'Planilha de Cadastro - Previsão'!$A$2:$N$1100,2,FALSE()))," ")</f>
        <v xml:space="preserve"> </v>
      </c>
      <c r="I144" s="54" t="str">
        <f>IFERROR((VLOOKUP(G144,'Planilha de Cadastro - Previsão'!$A$2:$N$1100,3,FALSE()))," ")</f>
        <v xml:space="preserve"> </v>
      </c>
      <c r="J144" s="56" t="str">
        <f>IFERROR((VLOOKUP(G144,'Planilha de Cadastro - Previsão'!$A$2:$N$1100,5,FALSE()))," ")</f>
        <v xml:space="preserve"> </v>
      </c>
      <c r="K144" s="57" t="str">
        <f>IFERROR((VLOOKUP(G144,'Planilha de Cadastro - Previsão'!$A$2:$N$1100,9,FALSE()))," ")</f>
        <v xml:space="preserve"> </v>
      </c>
    </row>
    <row r="145" spans="1:11" x14ac:dyDescent="0.25">
      <c r="A145">
        <f>COUNTIF($C$2:C145,C145)</f>
        <v>144</v>
      </c>
      <c r="B145" s="1" t="str">
        <f t="shared" si="4"/>
        <v>144</v>
      </c>
      <c r="C145" s="1" t="str">
        <f>IFERROR(VLOOKUP(D145,'Planilha de Cadastro - Previsão'!$A$2:$O$1000,15,FALSE()),"")</f>
        <v/>
      </c>
      <c r="D145" s="1">
        <v>144</v>
      </c>
      <c r="E145" s="1"/>
      <c r="F145" s="1"/>
      <c r="G145" s="54" t="str">
        <f t="shared" si="5"/>
        <v/>
      </c>
      <c r="H145" s="55" t="str">
        <f>IFERROR((VLOOKUP(G145,'Planilha de Cadastro - Previsão'!$A$2:$N$1100,2,FALSE()))," ")</f>
        <v xml:space="preserve"> </v>
      </c>
      <c r="I145" s="54" t="str">
        <f>IFERROR((VLOOKUP(G145,'Planilha de Cadastro - Previsão'!$A$2:$N$1100,3,FALSE()))," ")</f>
        <v xml:space="preserve"> </v>
      </c>
      <c r="J145" s="56" t="str">
        <f>IFERROR((VLOOKUP(G145,'Planilha de Cadastro - Previsão'!$A$2:$N$1100,5,FALSE()))," ")</f>
        <v xml:space="preserve"> </v>
      </c>
      <c r="K145" s="57" t="str">
        <f>IFERROR((VLOOKUP(G145,'Planilha de Cadastro - Previsão'!$A$2:$N$1100,9,FALSE()))," ")</f>
        <v xml:space="preserve"> </v>
      </c>
    </row>
    <row r="146" spans="1:11" x14ac:dyDescent="0.25">
      <c r="A146">
        <f>COUNTIF($C$2:C146,C146)</f>
        <v>145</v>
      </c>
      <c r="B146" s="1" t="str">
        <f t="shared" si="4"/>
        <v>145</v>
      </c>
      <c r="C146" s="1" t="str">
        <f>IFERROR(VLOOKUP(D146,'Planilha de Cadastro - Previsão'!$A$2:$O$1000,15,FALSE()),"")</f>
        <v/>
      </c>
      <c r="D146" s="1">
        <v>145</v>
      </c>
      <c r="E146" s="1"/>
      <c r="F146" s="1"/>
      <c r="G146" s="54" t="str">
        <f t="shared" si="5"/>
        <v/>
      </c>
      <c r="H146" s="55" t="str">
        <f>IFERROR((VLOOKUP(G146,'Planilha de Cadastro - Previsão'!$A$2:$N$1100,2,FALSE()))," ")</f>
        <v xml:space="preserve"> </v>
      </c>
      <c r="I146" s="54" t="str">
        <f>IFERROR((VLOOKUP(G146,'Planilha de Cadastro - Previsão'!$A$2:$N$1100,3,FALSE()))," ")</f>
        <v xml:space="preserve"> </v>
      </c>
      <c r="J146" s="56" t="str">
        <f>IFERROR((VLOOKUP(G146,'Planilha de Cadastro - Previsão'!$A$2:$N$1100,5,FALSE()))," ")</f>
        <v xml:space="preserve"> </v>
      </c>
      <c r="K146" s="57" t="str">
        <f>IFERROR((VLOOKUP(G146,'Planilha de Cadastro - Previsão'!$A$2:$N$1100,9,FALSE()))," ")</f>
        <v xml:space="preserve"> </v>
      </c>
    </row>
    <row r="147" spans="1:11" x14ac:dyDescent="0.25">
      <c r="A147">
        <f>COUNTIF($C$2:C147,C147)</f>
        <v>146</v>
      </c>
      <c r="B147" s="1" t="str">
        <f t="shared" si="4"/>
        <v>146</v>
      </c>
      <c r="C147" s="1" t="str">
        <f>IFERROR(VLOOKUP(D147,'Planilha de Cadastro - Previsão'!$A$2:$O$1000,15,FALSE()),"")</f>
        <v/>
      </c>
      <c r="D147" s="1">
        <v>146</v>
      </c>
      <c r="E147" s="1"/>
      <c r="F147" s="1"/>
      <c r="G147" s="54" t="str">
        <f t="shared" si="5"/>
        <v/>
      </c>
      <c r="H147" s="55" t="str">
        <f>IFERROR((VLOOKUP(G147,'Planilha de Cadastro - Previsão'!$A$2:$N$1100,2,FALSE()))," ")</f>
        <v xml:space="preserve"> </v>
      </c>
      <c r="I147" s="54" t="str">
        <f>IFERROR((VLOOKUP(G147,'Planilha de Cadastro - Previsão'!$A$2:$N$1100,3,FALSE()))," ")</f>
        <v xml:space="preserve"> </v>
      </c>
      <c r="J147" s="56" t="str">
        <f>IFERROR((VLOOKUP(G147,'Planilha de Cadastro - Previsão'!$A$2:$N$1100,5,FALSE()))," ")</f>
        <v xml:space="preserve"> </v>
      </c>
      <c r="K147" s="57" t="str">
        <f>IFERROR((VLOOKUP(G147,'Planilha de Cadastro - Previsão'!$A$2:$N$1100,9,FALSE()))," ")</f>
        <v xml:space="preserve"> </v>
      </c>
    </row>
    <row r="148" spans="1:11" x14ac:dyDescent="0.25">
      <c r="A148">
        <f>COUNTIF($C$2:C148,C148)</f>
        <v>147</v>
      </c>
      <c r="B148" s="1" t="str">
        <f t="shared" si="4"/>
        <v>147</v>
      </c>
      <c r="C148" s="1" t="str">
        <f>IFERROR(VLOOKUP(D148,'Planilha de Cadastro - Previsão'!$A$2:$O$1000,15,FALSE()),"")</f>
        <v/>
      </c>
      <c r="D148" s="1">
        <v>147</v>
      </c>
      <c r="E148" s="1"/>
      <c r="F148" s="1"/>
      <c r="G148" s="54" t="str">
        <f t="shared" si="5"/>
        <v/>
      </c>
      <c r="H148" s="55" t="str">
        <f>IFERROR((VLOOKUP(G148,'Planilha de Cadastro - Previsão'!$A$2:$N$1100,2,FALSE()))," ")</f>
        <v xml:space="preserve"> </v>
      </c>
      <c r="I148" s="54" t="str">
        <f>IFERROR((VLOOKUP(G148,'Planilha de Cadastro - Previsão'!$A$2:$N$1100,3,FALSE()))," ")</f>
        <v xml:space="preserve"> </v>
      </c>
      <c r="J148" s="56" t="str">
        <f>IFERROR((VLOOKUP(G148,'Planilha de Cadastro - Previsão'!$A$2:$N$1100,5,FALSE()))," ")</f>
        <v xml:space="preserve"> </v>
      </c>
      <c r="K148" s="57" t="str">
        <f>IFERROR((VLOOKUP(G148,'Planilha de Cadastro - Previsão'!$A$2:$N$1100,9,FALSE()))," ")</f>
        <v xml:space="preserve"> </v>
      </c>
    </row>
    <row r="149" spans="1:11" x14ac:dyDescent="0.25">
      <c r="A149">
        <f>COUNTIF($C$2:C149,C149)</f>
        <v>148</v>
      </c>
      <c r="B149" s="1" t="str">
        <f t="shared" si="4"/>
        <v>148</v>
      </c>
      <c r="C149" s="1" t="str">
        <f>IFERROR(VLOOKUP(D149,'Planilha de Cadastro - Previsão'!$A$2:$O$1000,15,FALSE()),"")</f>
        <v/>
      </c>
      <c r="D149" s="1">
        <v>148</v>
      </c>
      <c r="E149" s="1"/>
      <c r="F149" s="1"/>
      <c r="G149" s="54" t="str">
        <f t="shared" si="5"/>
        <v/>
      </c>
      <c r="H149" s="55" t="str">
        <f>IFERROR((VLOOKUP(G149,'Planilha de Cadastro - Previsão'!$A$2:$N$1100,2,FALSE()))," ")</f>
        <v xml:space="preserve"> </v>
      </c>
      <c r="I149" s="54" t="str">
        <f>IFERROR((VLOOKUP(G149,'Planilha de Cadastro - Previsão'!$A$2:$N$1100,3,FALSE()))," ")</f>
        <v xml:space="preserve"> </v>
      </c>
      <c r="J149" s="56" t="str">
        <f>IFERROR((VLOOKUP(G149,'Planilha de Cadastro - Previsão'!$A$2:$N$1100,5,FALSE()))," ")</f>
        <v xml:space="preserve"> </v>
      </c>
      <c r="K149" s="57" t="str">
        <f>IFERROR((VLOOKUP(G149,'Planilha de Cadastro - Previsão'!$A$2:$N$1100,9,FALSE()))," ")</f>
        <v xml:space="preserve"> </v>
      </c>
    </row>
    <row r="150" spans="1:11" x14ac:dyDescent="0.25">
      <c r="A150">
        <f>COUNTIF($C$2:C150,C150)</f>
        <v>149</v>
      </c>
      <c r="B150" s="1" t="str">
        <f t="shared" si="4"/>
        <v>149</v>
      </c>
      <c r="C150" s="1" t="str">
        <f>IFERROR(VLOOKUP(D150,'Planilha de Cadastro - Previsão'!$A$2:$O$1000,15,FALSE()),"")</f>
        <v/>
      </c>
      <c r="D150" s="1">
        <v>149</v>
      </c>
      <c r="E150" s="1"/>
      <c r="F150" s="1"/>
      <c r="G150" s="54" t="str">
        <f t="shared" si="5"/>
        <v/>
      </c>
      <c r="H150" s="55" t="str">
        <f>IFERROR((VLOOKUP(G150,'Planilha de Cadastro - Previsão'!$A$2:$N$1100,2,FALSE()))," ")</f>
        <v xml:space="preserve"> </v>
      </c>
      <c r="I150" s="54" t="str">
        <f>IFERROR((VLOOKUP(G150,'Planilha de Cadastro - Previsão'!$A$2:$N$1100,3,FALSE()))," ")</f>
        <v xml:space="preserve"> </v>
      </c>
      <c r="J150" s="56" t="str">
        <f>IFERROR((VLOOKUP(G150,'Planilha de Cadastro - Previsão'!$A$2:$N$1100,5,FALSE()))," ")</f>
        <v xml:space="preserve"> </v>
      </c>
      <c r="K150" s="57" t="str">
        <f>IFERROR((VLOOKUP(G150,'Planilha de Cadastro - Previsão'!$A$2:$N$1100,9,FALSE()))," ")</f>
        <v xml:space="preserve"> </v>
      </c>
    </row>
    <row r="151" spans="1:11" x14ac:dyDescent="0.25">
      <c r="A151">
        <f>COUNTIF($C$2:C151,C151)</f>
        <v>150</v>
      </c>
      <c r="B151" s="1" t="str">
        <f t="shared" si="4"/>
        <v>150</v>
      </c>
      <c r="C151" s="1" t="str">
        <f>IFERROR(VLOOKUP(D151,'Planilha de Cadastro - Previsão'!$A$2:$O$1000,15,FALSE()),"")</f>
        <v/>
      </c>
      <c r="D151" s="1">
        <v>150</v>
      </c>
      <c r="E151" s="1"/>
      <c r="F151" s="1"/>
      <c r="G151" s="54" t="str">
        <f t="shared" si="5"/>
        <v/>
      </c>
      <c r="H151" s="55" t="str">
        <f>IFERROR((VLOOKUP(G151,'Planilha de Cadastro - Previsão'!$A$2:$N$1100,2,FALSE()))," ")</f>
        <v xml:space="preserve"> </v>
      </c>
      <c r="I151" s="54" t="str">
        <f>IFERROR((VLOOKUP(G151,'Planilha de Cadastro - Previsão'!$A$2:$N$1100,3,FALSE()))," ")</f>
        <v xml:space="preserve"> </v>
      </c>
      <c r="J151" s="56" t="str">
        <f>IFERROR((VLOOKUP(G151,'Planilha de Cadastro - Previsão'!$A$2:$N$1100,5,FALSE()))," ")</f>
        <v xml:space="preserve"> </v>
      </c>
      <c r="K151" s="57" t="str">
        <f>IFERROR((VLOOKUP(G151,'Planilha de Cadastro - Previsão'!$A$2:$N$1100,9,FALSE()))," ")</f>
        <v xml:space="preserve"> </v>
      </c>
    </row>
    <row r="152" spans="1:11" x14ac:dyDescent="0.25">
      <c r="A152">
        <f>COUNTIF($C$2:C152,C152)</f>
        <v>151</v>
      </c>
      <c r="B152" s="1" t="str">
        <f t="shared" si="4"/>
        <v>151</v>
      </c>
      <c r="C152" s="1" t="str">
        <f>IFERROR(VLOOKUP(D152,'Planilha de Cadastro - Previsão'!$A$2:$O$1000,15,FALSE()),"")</f>
        <v/>
      </c>
      <c r="D152" s="1">
        <v>151</v>
      </c>
      <c r="E152" s="1"/>
      <c r="F152" s="1"/>
      <c r="G152" s="54" t="str">
        <f t="shared" si="5"/>
        <v/>
      </c>
      <c r="H152" s="55" t="str">
        <f>IFERROR((VLOOKUP(G152,'Planilha de Cadastro - Previsão'!$A$2:$N$1100,2,FALSE()))," ")</f>
        <v xml:space="preserve"> </v>
      </c>
      <c r="I152" s="54" t="str">
        <f>IFERROR((VLOOKUP(G152,'Planilha de Cadastro - Previsão'!$A$2:$N$1100,3,FALSE()))," ")</f>
        <v xml:space="preserve"> </v>
      </c>
      <c r="J152" s="56" t="str">
        <f>IFERROR((VLOOKUP(G152,'Planilha de Cadastro - Previsão'!$A$2:$N$1100,5,FALSE()))," ")</f>
        <v xml:space="preserve"> </v>
      </c>
      <c r="K152" s="57" t="str">
        <f>IFERROR((VLOOKUP(G152,'Planilha de Cadastro - Previsão'!$A$2:$N$1100,9,FALSE()))," ")</f>
        <v xml:space="preserve"> </v>
      </c>
    </row>
    <row r="153" spans="1:11" x14ac:dyDescent="0.25">
      <c r="A153">
        <f>COUNTIF($C$2:C153,C153)</f>
        <v>152</v>
      </c>
      <c r="B153" s="1" t="str">
        <f t="shared" si="4"/>
        <v>152</v>
      </c>
      <c r="C153" s="1" t="str">
        <f>IFERROR(VLOOKUP(D153,'Planilha de Cadastro - Previsão'!$A$2:$O$1000,15,FALSE()),"")</f>
        <v/>
      </c>
      <c r="D153" s="1">
        <v>152</v>
      </c>
      <c r="E153" s="1"/>
      <c r="F153" s="1"/>
      <c r="G153" s="54" t="str">
        <f t="shared" si="5"/>
        <v/>
      </c>
      <c r="H153" s="55" t="str">
        <f>IFERROR((VLOOKUP(G153,'Planilha de Cadastro - Previsão'!$A$2:$N$1100,2,FALSE()))," ")</f>
        <v xml:space="preserve"> </v>
      </c>
      <c r="I153" s="54" t="str">
        <f>IFERROR((VLOOKUP(G153,'Planilha de Cadastro - Previsão'!$A$2:$N$1100,3,FALSE()))," ")</f>
        <v xml:space="preserve"> </v>
      </c>
      <c r="J153" s="56" t="str">
        <f>IFERROR((VLOOKUP(G153,'Planilha de Cadastro - Previsão'!$A$2:$N$1100,5,FALSE()))," ")</f>
        <v xml:space="preserve"> </v>
      </c>
      <c r="K153" s="57" t="str">
        <f>IFERROR((VLOOKUP(G153,'Planilha de Cadastro - Previsão'!$A$2:$N$1100,9,FALSE()))," ")</f>
        <v xml:space="preserve"> </v>
      </c>
    </row>
    <row r="154" spans="1:11" x14ac:dyDescent="0.25">
      <c r="A154">
        <f>COUNTIF($C$2:C154,C154)</f>
        <v>153</v>
      </c>
      <c r="B154" s="1" t="str">
        <f t="shared" si="4"/>
        <v>153</v>
      </c>
      <c r="C154" s="1" t="str">
        <f>IFERROR(VLOOKUP(D154,'Planilha de Cadastro - Previsão'!$A$2:$O$1000,15,FALSE()),"")</f>
        <v/>
      </c>
      <c r="D154" s="1">
        <v>153</v>
      </c>
      <c r="E154" s="1"/>
      <c r="F154" s="1"/>
      <c r="G154" s="54" t="str">
        <f t="shared" si="5"/>
        <v/>
      </c>
      <c r="H154" s="55" t="str">
        <f>IFERROR((VLOOKUP(G154,'Planilha de Cadastro - Previsão'!$A$2:$N$1100,2,FALSE()))," ")</f>
        <v xml:space="preserve"> </v>
      </c>
      <c r="I154" s="54" t="str">
        <f>IFERROR((VLOOKUP(G154,'Planilha de Cadastro - Previsão'!$A$2:$N$1100,3,FALSE()))," ")</f>
        <v xml:space="preserve"> </v>
      </c>
      <c r="J154" s="56" t="str">
        <f>IFERROR((VLOOKUP(G154,'Planilha de Cadastro - Previsão'!$A$2:$N$1100,5,FALSE()))," ")</f>
        <v xml:space="preserve"> </v>
      </c>
      <c r="K154" s="57" t="str">
        <f>IFERROR((VLOOKUP(G154,'Planilha de Cadastro - Previsão'!$A$2:$N$1100,9,FALSE()))," ")</f>
        <v xml:space="preserve"> </v>
      </c>
    </row>
    <row r="155" spans="1:11" x14ac:dyDescent="0.25">
      <c r="A155">
        <f>COUNTIF($C$2:C155,C155)</f>
        <v>154</v>
      </c>
      <c r="B155" s="1" t="str">
        <f t="shared" si="4"/>
        <v>154</v>
      </c>
      <c r="C155" s="1" t="str">
        <f>IFERROR(VLOOKUP(D155,'Planilha de Cadastro - Previsão'!$A$2:$O$1000,15,FALSE()),"")</f>
        <v/>
      </c>
      <c r="D155" s="1">
        <v>154</v>
      </c>
      <c r="E155" s="1"/>
      <c r="F155" s="1"/>
      <c r="G155" s="54" t="str">
        <f t="shared" si="5"/>
        <v/>
      </c>
      <c r="H155" s="55" t="str">
        <f>IFERROR((VLOOKUP(G155,'Planilha de Cadastro - Previsão'!$A$2:$N$1100,2,FALSE()))," ")</f>
        <v xml:space="preserve"> </v>
      </c>
      <c r="I155" s="54" t="str">
        <f>IFERROR((VLOOKUP(G155,'Planilha de Cadastro - Previsão'!$A$2:$N$1100,3,FALSE()))," ")</f>
        <v xml:space="preserve"> </v>
      </c>
      <c r="J155" s="56" t="str">
        <f>IFERROR((VLOOKUP(G155,'Planilha de Cadastro - Previsão'!$A$2:$N$1100,5,FALSE()))," ")</f>
        <v xml:space="preserve"> </v>
      </c>
      <c r="K155" s="57" t="str">
        <f>IFERROR((VLOOKUP(G155,'Planilha de Cadastro - Previsão'!$A$2:$N$1100,9,FALSE()))," ")</f>
        <v xml:space="preserve"> </v>
      </c>
    </row>
    <row r="156" spans="1:11" x14ac:dyDescent="0.25">
      <c r="A156">
        <f>COUNTIF($C$2:C156,C156)</f>
        <v>155</v>
      </c>
      <c r="B156" s="1" t="str">
        <f t="shared" si="4"/>
        <v>155</v>
      </c>
      <c r="C156" s="1" t="str">
        <f>IFERROR(VLOOKUP(D156,'Planilha de Cadastro - Previsão'!$A$2:$O$1000,15,FALSE()),"")</f>
        <v/>
      </c>
      <c r="D156" s="1">
        <v>155</v>
      </c>
      <c r="E156" s="1"/>
      <c r="F156" s="1"/>
      <c r="G156" s="54" t="str">
        <f t="shared" si="5"/>
        <v/>
      </c>
      <c r="H156" s="55" t="str">
        <f>IFERROR((VLOOKUP(G156,'Planilha de Cadastro - Previsão'!$A$2:$N$1100,2,FALSE()))," ")</f>
        <v xml:space="preserve"> </v>
      </c>
      <c r="I156" s="54" t="str">
        <f>IFERROR((VLOOKUP(G156,'Planilha de Cadastro - Previsão'!$A$2:$N$1100,3,FALSE()))," ")</f>
        <v xml:space="preserve"> </v>
      </c>
      <c r="J156" s="56" t="str">
        <f>IFERROR((VLOOKUP(G156,'Planilha de Cadastro - Previsão'!$A$2:$N$1100,5,FALSE()))," ")</f>
        <v xml:space="preserve"> </v>
      </c>
      <c r="K156" s="57" t="str">
        <f>IFERROR((VLOOKUP(G156,'Planilha de Cadastro - Previsão'!$A$2:$N$1100,9,FALSE()))," ")</f>
        <v xml:space="preserve"> </v>
      </c>
    </row>
    <row r="157" spans="1:11" x14ac:dyDescent="0.25">
      <c r="A157">
        <f>COUNTIF($C$2:C157,C157)</f>
        <v>156</v>
      </c>
      <c r="B157" s="1" t="str">
        <f t="shared" si="4"/>
        <v>156</v>
      </c>
      <c r="C157" s="1" t="str">
        <f>IFERROR(VLOOKUP(D157,'Planilha de Cadastro - Previsão'!$A$2:$O$1000,15,FALSE()),"")</f>
        <v/>
      </c>
      <c r="D157" s="1">
        <v>156</v>
      </c>
      <c r="E157" s="1"/>
      <c r="F157" s="1"/>
      <c r="G157" s="54" t="str">
        <f t="shared" si="5"/>
        <v/>
      </c>
      <c r="H157" s="55" t="str">
        <f>IFERROR((VLOOKUP(G157,'Planilha de Cadastro - Previsão'!$A$2:$N$1100,2,FALSE()))," ")</f>
        <v xml:space="preserve"> </v>
      </c>
      <c r="I157" s="54" t="str">
        <f>IFERROR((VLOOKUP(G157,'Planilha de Cadastro - Previsão'!$A$2:$N$1100,3,FALSE()))," ")</f>
        <v xml:space="preserve"> </v>
      </c>
      <c r="J157" s="56" t="str">
        <f>IFERROR((VLOOKUP(G157,'Planilha de Cadastro - Previsão'!$A$2:$N$1100,5,FALSE()))," ")</f>
        <v xml:space="preserve"> </v>
      </c>
      <c r="K157" s="57" t="str">
        <f>IFERROR((VLOOKUP(G157,'Planilha de Cadastro - Previsão'!$A$2:$N$1100,9,FALSE()))," ")</f>
        <v xml:space="preserve"> </v>
      </c>
    </row>
    <row r="158" spans="1:11" x14ac:dyDescent="0.25">
      <c r="A158">
        <f>COUNTIF($C$2:C158,C158)</f>
        <v>157</v>
      </c>
      <c r="B158" s="1" t="str">
        <f t="shared" si="4"/>
        <v>157</v>
      </c>
      <c r="C158" s="1" t="str">
        <f>IFERROR(VLOOKUP(D158,'Planilha de Cadastro - Previsão'!$A$2:$O$1000,15,FALSE()),"")</f>
        <v/>
      </c>
      <c r="D158" s="1">
        <v>157</v>
      </c>
      <c r="E158" s="1"/>
      <c r="F158" s="1"/>
      <c r="G158" s="54" t="str">
        <f t="shared" si="5"/>
        <v/>
      </c>
      <c r="H158" s="55" t="str">
        <f>IFERROR((VLOOKUP(G158,'Planilha de Cadastro - Previsão'!$A$2:$N$1100,2,FALSE()))," ")</f>
        <v xml:space="preserve"> </v>
      </c>
      <c r="I158" s="54" t="str">
        <f>IFERROR((VLOOKUP(G158,'Planilha de Cadastro - Previsão'!$A$2:$N$1100,3,FALSE()))," ")</f>
        <v xml:space="preserve"> </v>
      </c>
      <c r="J158" s="56" t="str">
        <f>IFERROR((VLOOKUP(G158,'Planilha de Cadastro - Previsão'!$A$2:$N$1100,5,FALSE()))," ")</f>
        <v xml:space="preserve"> </v>
      </c>
      <c r="K158" s="57" t="str">
        <f>IFERROR((VLOOKUP(G158,'Planilha de Cadastro - Previsão'!$A$2:$N$1100,9,FALSE()))," ")</f>
        <v xml:space="preserve"> </v>
      </c>
    </row>
    <row r="159" spans="1:11" x14ac:dyDescent="0.25">
      <c r="A159">
        <f>COUNTIF($C$2:C159,C159)</f>
        <v>158</v>
      </c>
      <c r="B159" s="1" t="str">
        <f t="shared" si="4"/>
        <v>158</v>
      </c>
      <c r="C159" s="1" t="str">
        <f>IFERROR(VLOOKUP(D159,'Planilha de Cadastro - Previsão'!$A$2:$O$1000,15,FALSE()),"")</f>
        <v/>
      </c>
      <c r="D159" s="1">
        <v>158</v>
      </c>
      <c r="E159" s="1"/>
      <c r="F159" s="1"/>
      <c r="G159" s="54" t="str">
        <f t="shared" si="5"/>
        <v/>
      </c>
      <c r="H159" s="55" t="str">
        <f>IFERROR((VLOOKUP(G159,'Planilha de Cadastro - Previsão'!$A$2:$N$1100,2,FALSE()))," ")</f>
        <v xml:space="preserve"> </v>
      </c>
      <c r="I159" s="54" t="str">
        <f>IFERROR((VLOOKUP(G159,'Planilha de Cadastro - Previsão'!$A$2:$N$1100,3,FALSE()))," ")</f>
        <v xml:space="preserve"> </v>
      </c>
      <c r="J159" s="56" t="str">
        <f>IFERROR((VLOOKUP(G159,'Planilha de Cadastro - Previsão'!$A$2:$N$1100,5,FALSE()))," ")</f>
        <v xml:space="preserve"> </v>
      </c>
      <c r="K159" s="57" t="str">
        <f>IFERROR((VLOOKUP(G159,'Planilha de Cadastro - Previsão'!$A$2:$N$1100,9,FALSE()))," ")</f>
        <v xml:space="preserve"> </v>
      </c>
    </row>
    <row r="160" spans="1:11" x14ac:dyDescent="0.25">
      <c r="A160">
        <f>COUNTIF($C$2:C160,C160)</f>
        <v>159</v>
      </c>
      <c r="B160" s="1" t="str">
        <f t="shared" si="4"/>
        <v>159</v>
      </c>
      <c r="C160" s="1" t="str">
        <f>IFERROR(VLOOKUP(D160,'Planilha de Cadastro - Previsão'!$A$2:$O$1000,15,FALSE()),"")</f>
        <v/>
      </c>
      <c r="D160" s="1">
        <v>159</v>
      </c>
      <c r="E160" s="1"/>
      <c r="F160" s="1"/>
      <c r="G160" s="54" t="str">
        <f t="shared" si="5"/>
        <v/>
      </c>
      <c r="H160" s="55" t="str">
        <f>IFERROR((VLOOKUP(G160,'Planilha de Cadastro - Previsão'!$A$2:$N$1100,2,FALSE()))," ")</f>
        <v xml:space="preserve"> </v>
      </c>
      <c r="I160" s="54" t="str">
        <f>IFERROR((VLOOKUP(G160,'Planilha de Cadastro - Previsão'!$A$2:$N$1100,3,FALSE()))," ")</f>
        <v xml:space="preserve"> </v>
      </c>
      <c r="J160" s="56" t="str">
        <f>IFERROR((VLOOKUP(G160,'Planilha de Cadastro - Previsão'!$A$2:$N$1100,5,FALSE()))," ")</f>
        <v xml:space="preserve"> </v>
      </c>
      <c r="K160" s="57" t="str">
        <f>IFERROR((VLOOKUP(G160,'Planilha de Cadastro - Previsão'!$A$2:$N$1100,9,FALSE()))," ")</f>
        <v xml:space="preserve"> </v>
      </c>
    </row>
    <row r="161" spans="1:11" x14ac:dyDescent="0.25">
      <c r="A161">
        <f>COUNTIF($C$2:C161,C161)</f>
        <v>160</v>
      </c>
      <c r="B161" s="1" t="str">
        <f t="shared" si="4"/>
        <v>160</v>
      </c>
      <c r="C161" s="1" t="str">
        <f>IFERROR(VLOOKUP(D161,'Planilha de Cadastro - Previsão'!$A$2:$O$1000,15,FALSE()),"")</f>
        <v/>
      </c>
      <c r="D161" s="1">
        <v>160</v>
      </c>
      <c r="E161" s="1"/>
      <c r="F161" s="1"/>
      <c r="G161" s="54" t="str">
        <f t="shared" si="5"/>
        <v/>
      </c>
      <c r="H161" s="55" t="str">
        <f>IFERROR((VLOOKUP(G161,'Planilha de Cadastro - Previsão'!$A$2:$N$1100,2,FALSE()))," ")</f>
        <v xml:space="preserve"> </v>
      </c>
      <c r="I161" s="54" t="str">
        <f>IFERROR((VLOOKUP(G161,'Planilha de Cadastro - Previsão'!$A$2:$N$1100,3,FALSE()))," ")</f>
        <v xml:space="preserve"> </v>
      </c>
      <c r="J161" s="56" t="str">
        <f>IFERROR((VLOOKUP(G161,'Planilha de Cadastro - Previsão'!$A$2:$N$1100,5,FALSE()))," ")</f>
        <v xml:space="preserve"> </v>
      </c>
      <c r="K161" s="57" t="str">
        <f>IFERROR((VLOOKUP(G161,'Planilha de Cadastro - Previsão'!$A$2:$N$1100,9,FALSE()))," ")</f>
        <v xml:space="preserve"> </v>
      </c>
    </row>
    <row r="162" spans="1:11" x14ac:dyDescent="0.25">
      <c r="A162">
        <f>COUNTIF($C$2:C162,C162)</f>
        <v>161</v>
      </c>
      <c r="B162" s="1" t="str">
        <f t="shared" si="4"/>
        <v>161</v>
      </c>
      <c r="C162" s="1" t="str">
        <f>IFERROR(VLOOKUP(D162,'Planilha de Cadastro - Previsão'!$A$2:$O$1000,15,FALSE()),"")</f>
        <v/>
      </c>
      <c r="D162" s="1">
        <v>161</v>
      </c>
      <c r="E162" s="1"/>
      <c r="F162" s="1"/>
      <c r="G162" s="54" t="str">
        <f t="shared" si="5"/>
        <v/>
      </c>
      <c r="H162" s="55" t="str">
        <f>IFERROR((VLOOKUP(G162,'Planilha de Cadastro - Previsão'!$A$2:$N$1100,2,FALSE()))," ")</f>
        <v xml:space="preserve"> </v>
      </c>
      <c r="I162" s="54" t="str">
        <f>IFERROR((VLOOKUP(G162,'Planilha de Cadastro - Previsão'!$A$2:$N$1100,3,FALSE()))," ")</f>
        <v xml:space="preserve"> </v>
      </c>
      <c r="J162" s="56" t="str">
        <f>IFERROR((VLOOKUP(G162,'Planilha de Cadastro - Previsão'!$A$2:$N$1100,5,FALSE()))," ")</f>
        <v xml:space="preserve"> </v>
      </c>
      <c r="K162" s="57" t="str">
        <f>IFERROR((VLOOKUP(G162,'Planilha de Cadastro - Previsão'!$A$2:$N$1100,9,FALSE()))," ")</f>
        <v xml:space="preserve"> </v>
      </c>
    </row>
    <row r="163" spans="1:11" x14ac:dyDescent="0.25">
      <c r="A163">
        <f>COUNTIF($C$2:C163,C163)</f>
        <v>162</v>
      </c>
      <c r="B163" s="1" t="str">
        <f t="shared" si="4"/>
        <v>162</v>
      </c>
      <c r="C163" s="1" t="str">
        <f>IFERROR(VLOOKUP(D163,'Planilha de Cadastro - Previsão'!$A$2:$O$1000,15,FALSE()),"")</f>
        <v/>
      </c>
      <c r="D163" s="1">
        <v>162</v>
      </c>
      <c r="E163" s="1"/>
      <c r="F163" s="1"/>
      <c r="G163" s="54" t="str">
        <f t="shared" si="5"/>
        <v/>
      </c>
      <c r="H163" s="55" t="str">
        <f>IFERROR((VLOOKUP(G163,'Planilha de Cadastro - Previsão'!$A$2:$N$1100,2,FALSE()))," ")</f>
        <v xml:space="preserve"> </v>
      </c>
      <c r="I163" s="54" t="str">
        <f>IFERROR((VLOOKUP(G163,'Planilha de Cadastro - Previsão'!$A$2:$N$1100,3,FALSE()))," ")</f>
        <v xml:space="preserve"> </v>
      </c>
      <c r="J163" s="56" t="str">
        <f>IFERROR((VLOOKUP(G163,'Planilha de Cadastro - Previsão'!$A$2:$N$1100,5,FALSE()))," ")</f>
        <v xml:space="preserve"> </v>
      </c>
      <c r="K163" s="57" t="str">
        <f>IFERROR((VLOOKUP(G163,'Planilha de Cadastro - Previsão'!$A$2:$N$1100,9,FALSE()))," ")</f>
        <v xml:space="preserve"> </v>
      </c>
    </row>
    <row r="164" spans="1:11" x14ac:dyDescent="0.25">
      <c r="A164">
        <f>COUNTIF($C$2:C164,C164)</f>
        <v>163</v>
      </c>
      <c r="B164" s="1" t="str">
        <f t="shared" si="4"/>
        <v>163</v>
      </c>
      <c r="C164" s="1" t="str">
        <f>IFERROR(VLOOKUP(D164,'Planilha de Cadastro - Previsão'!$A$2:$O$1000,15,FALSE()),"")</f>
        <v/>
      </c>
      <c r="D164" s="1">
        <v>163</v>
      </c>
      <c r="E164" s="1"/>
      <c r="F164" s="1"/>
      <c r="G164" s="54" t="str">
        <f t="shared" si="5"/>
        <v/>
      </c>
      <c r="H164" s="55" t="str">
        <f>IFERROR((VLOOKUP(G164,'Planilha de Cadastro - Previsão'!$A$2:$N$1100,2,FALSE()))," ")</f>
        <v xml:space="preserve"> </v>
      </c>
      <c r="I164" s="54" t="str">
        <f>IFERROR((VLOOKUP(G164,'Planilha de Cadastro - Previsão'!$A$2:$N$1100,3,FALSE()))," ")</f>
        <v xml:space="preserve"> </v>
      </c>
      <c r="J164" s="56" t="str">
        <f>IFERROR((VLOOKUP(G164,'Planilha de Cadastro - Previsão'!$A$2:$N$1100,5,FALSE()))," ")</f>
        <v xml:space="preserve"> </v>
      </c>
      <c r="K164" s="57" t="str">
        <f>IFERROR((VLOOKUP(G164,'Planilha de Cadastro - Previsão'!$A$2:$N$1100,9,FALSE()))," ")</f>
        <v xml:space="preserve"> </v>
      </c>
    </row>
    <row r="165" spans="1:11" x14ac:dyDescent="0.25">
      <c r="A165">
        <f>COUNTIF($C$2:C165,C165)</f>
        <v>164</v>
      </c>
      <c r="B165" s="1" t="str">
        <f t="shared" si="4"/>
        <v>164</v>
      </c>
      <c r="C165" s="1" t="str">
        <f>IFERROR(VLOOKUP(D165,'Planilha de Cadastro - Previsão'!$A$2:$O$1000,15,FALSE()),"")</f>
        <v/>
      </c>
      <c r="D165" s="1">
        <v>164</v>
      </c>
      <c r="E165" s="1"/>
      <c r="F165" s="1"/>
      <c r="G165" s="54" t="str">
        <f t="shared" si="5"/>
        <v/>
      </c>
      <c r="H165" s="55" t="str">
        <f>IFERROR((VLOOKUP(G165,'Planilha de Cadastro - Previsão'!$A$2:$N$1100,2,FALSE()))," ")</f>
        <v xml:space="preserve"> </v>
      </c>
      <c r="I165" s="54" t="str">
        <f>IFERROR((VLOOKUP(G165,'Planilha de Cadastro - Previsão'!$A$2:$N$1100,3,FALSE()))," ")</f>
        <v xml:space="preserve"> </v>
      </c>
      <c r="J165" s="56" t="str">
        <f>IFERROR((VLOOKUP(G165,'Planilha de Cadastro - Previsão'!$A$2:$N$1100,5,FALSE()))," ")</f>
        <v xml:space="preserve"> </v>
      </c>
      <c r="K165" s="57" t="str">
        <f>IFERROR((VLOOKUP(G165,'Planilha de Cadastro - Previsão'!$A$2:$N$1100,9,FALSE()))," ")</f>
        <v xml:space="preserve"> </v>
      </c>
    </row>
    <row r="166" spans="1:11" x14ac:dyDescent="0.25">
      <c r="A166">
        <f>COUNTIF($C$2:C166,C166)</f>
        <v>165</v>
      </c>
      <c r="B166" s="1" t="str">
        <f t="shared" si="4"/>
        <v>165</v>
      </c>
      <c r="C166" s="1" t="str">
        <f>IFERROR(VLOOKUP(D166,'Planilha de Cadastro - Previsão'!$A$2:$O$1000,15,FALSE()),"")</f>
        <v/>
      </c>
      <c r="D166" s="1">
        <v>165</v>
      </c>
      <c r="E166" s="1"/>
      <c r="F166" s="1"/>
      <c r="G166" s="54" t="str">
        <f t="shared" si="5"/>
        <v/>
      </c>
      <c r="H166" s="55" t="str">
        <f>IFERROR((VLOOKUP(G166,'Planilha de Cadastro - Previsão'!$A$2:$N$1100,2,FALSE()))," ")</f>
        <v xml:space="preserve"> </v>
      </c>
      <c r="I166" s="54" t="str">
        <f>IFERROR((VLOOKUP(G166,'Planilha de Cadastro - Previsão'!$A$2:$N$1100,3,FALSE()))," ")</f>
        <v xml:space="preserve"> </v>
      </c>
      <c r="J166" s="56" t="str">
        <f>IFERROR((VLOOKUP(G166,'Planilha de Cadastro - Previsão'!$A$2:$N$1100,5,FALSE()))," ")</f>
        <v xml:space="preserve"> </v>
      </c>
      <c r="K166" s="57" t="str">
        <f>IFERROR((VLOOKUP(G166,'Planilha de Cadastro - Previsão'!$A$2:$N$1100,9,FALSE()))," ")</f>
        <v xml:space="preserve"> </v>
      </c>
    </row>
    <row r="167" spans="1:11" x14ac:dyDescent="0.25">
      <c r="A167">
        <f>COUNTIF($C$2:C167,C167)</f>
        <v>166</v>
      </c>
      <c r="B167" s="1" t="str">
        <f t="shared" si="4"/>
        <v>166</v>
      </c>
      <c r="C167" s="1" t="str">
        <f>IFERROR(VLOOKUP(D167,'Planilha de Cadastro - Previsão'!$A$2:$O$1000,15,FALSE()),"")</f>
        <v/>
      </c>
      <c r="D167" s="1">
        <v>166</v>
      </c>
      <c r="E167" s="1"/>
      <c r="F167" s="1"/>
      <c r="G167" s="54" t="str">
        <f t="shared" si="5"/>
        <v/>
      </c>
      <c r="H167" s="55" t="str">
        <f>IFERROR((VLOOKUP(G167,'Planilha de Cadastro - Previsão'!$A$2:$N$1100,2,FALSE()))," ")</f>
        <v xml:space="preserve"> </v>
      </c>
      <c r="I167" s="54" t="str">
        <f>IFERROR((VLOOKUP(G167,'Planilha de Cadastro - Previsão'!$A$2:$N$1100,3,FALSE()))," ")</f>
        <v xml:space="preserve"> </v>
      </c>
      <c r="J167" s="56" t="str">
        <f>IFERROR((VLOOKUP(G167,'Planilha de Cadastro - Previsão'!$A$2:$N$1100,5,FALSE()))," ")</f>
        <v xml:space="preserve"> </v>
      </c>
      <c r="K167" s="57" t="str">
        <f>IFERROR((VLOOKUP(G167,'Planilha de Cadastro - Previsão'!$A$2:$N$1100,9,FALSE()))," ")</f>
        <v xml:space="preserve"> </v>
      </c>
    </row>
    <row r="168" spans="1:11" x14ac:dyDescent="0.25">
      <c r="A168">
        <f>COUNTIF($C$2:C168,C168)</f>
        <v>167</v>
      </c>
      <c r="B168" s="1" t="str">
        <f t="shared" si="4"/>
        <v>167</v>
      </c>
      <c r="C168" s="1" t="str">
        <f>IFERROR(VLOOKUP(D168,'Planilha de Cadastro - Previsão'!$A$2:$O$1000,15,FALSE()),"")</f>
        <v/>
      </c>
      <c r="D168" s="1">
        <v>167</v>
      </c>
      <c r="E168" s="1"/>
      <c r="F168" s="1"/>
      <c r="G168" s="54" t="str">
        <f t="shared" si="5"/>
        <v/>
      </c>
      <c r="H168" s="55" t="str">
        <f>IFERROR((VLOOKUP(G168,'Planilha de Cadastro - Previsão'!$A$2:$N$1100,2,FALSE()))," ")</f>
        <v xml:space="preserve"> </v>
      </c>
      <c r="I168" s="54" t="str">
        <f>IFERROR((VLOOKUP(G168,'Planilha de Cadastro - Previsão'!$A$2:$N$1100,3,FALSE()))," ")</f>
        <v xml:space="preserve"> </v>
      </c>
      <c r="J168" s="56" t="str">
        <f>IFERROR((VLOOKUP(G168,'Planilha de Cadastro - Previsão'!$A$2:$N$1100,5,FALSE()))," ")</f>
        <v xml:space="preserve"> </v>
      </c>
      <c r="K168" s="57" t="str">
        <f>IFERROR((VLOOKUP(G168,'Planilha de Cadastro - Previsão'!$A$2:$N$1100,9,FALSE()))," ")</f>
        <v xml:space="preserve"> </v>
      </c>
    </row>
    <row r="169" spans="1:11" x14ac:dyDescent="0.25">
      <c r="A169">
        <f>COUNTIF($C$2:C169,C169)</f>
        <v>168</v>
      </c>
      <c r="B169" s="1" t="str">
        <f t="shared" si="4"/>
        <v>168</v>
      </c>
      <c r="C169" s="1" t="str">
        <f>IFERROR(VLOOKUP(D169,'Planilha de Cadastro - Previsão'!$A$2:$O$1000,15,FALSE()),"")</f>
        <v/>
      </c>
      <c r="D169" s="1">
        <v>168</v>
      </c>
      <c r="E169" s="1"/>
      <c r="F169" s="1"/>
      <c r="G169" s="54" t="str">
        <f t="shared" si="5"/>
        <v/>
      </c>
      <c r="H169" s="55" t="str">
        <f>IFERROR((VLOOKUP(G169,'Planilha de Cadastro - Previsão'!$A$2:$N$1100,2,FALSE()))," ")</f>
        <v xml:space="preserve"> </v>
      </c>
      <c r="I169" s="54" t="str">
        <f>IFERROR((VLOOKUP(G169,'Planilha de Cadastro - Previsão'!$A$2:$N$1100,3,FALSE()))," ")</f>
        <v xml:space="preserve"> </v>
      </c>
      <c r="J169" s="56" t="str">
        <f>IFERROR((VLOOKUP(G169,'Planilha de Cadastro - Previsão'!$A$2:$N$1100,5,FALSE()))," ")</f>
        <v xml:space="preserve"> </v>
      </c>
      <c r="K169" s="57" t="str">
        <f>IFERROR((VLOOKUP(G169,'Planilha de Cadastro - Previsão'!$A$2:$N$1100,9,FALSE()))," ")</f>
        <v xml:space="preserve"> </v>
      </c>
    </row>
    <row r="170" spans="1:11" x14ac:dyDescent="0.25">
      <c r="A170">
        <f>COUNTIF($C$2:C170,C170)</f>
        <v>169</v>
      </c>
      <c r="B170" s="1" t="str">
        <f t="shared" si="4"/>
        <v>169</v>
      </c>
      <c r="C170" s="1" t="str">
        <f>IFERROR(VLOOKUP(D170,'Planilha de Cadastro - Previsão'!$A$2:$O$1000,15,FALSE()),"")</f>
        <v/>
      </c>
      <c r="D170" s="1">
        <v>169</v>
      </c>
      <c r="E170" s="1"/>
      <c r="F170" s="1"/>
      <c r="G170" s="54" t="str">
        <f t="shared" si="5"/>
        <v/>
      </c>
      <c r="H170" s="55" t="str">
        <f>IFERROR((VLOOKUP(G170,'Planilha de Cadastro - Previsão'!$A$2:$N$1100,2,FALSE()))," ")</f>
        <v xml:space="preserve"> </v>
      </c>
      <c r="I170" s="54" t="str">
        <f>IFERROR((VLOOKUP(G170,'Planilha de Cadastro - Previsão'!$A$2:$N$1100,3,FALSE()))," ")</f>
        <v xml:space="preserve"> </v>
      </c>
      <c r="J170" s="56" t="str">
        <f>IFERROR((VLOOKUP(G170,'Planilha de Cadastro - Previsão'!$A$2:$N$1100,5,FALSE()))," ")</f>
        <v xml:space="preserve"> </v>
      </c>
      <c r="K170" s="57" t="str">
        <f>IFERROR((VLOOKUP(G170,'Planilha de Cadastro - Previsão'!$A$2:$N$1100,9,FALSE()))," ")</f>
        <v xml:space="preserve"> </v>
      </c>
    </row>
    <row r="171" spans="1:11" x14ac:dyDescent="0.25">
      <c r="A171">
        <f>COUNTIF($C$2:C171,C171)</f>
        <v>170</v>
      </c>
      <c r="B171" s="1" t="str">
        <f t="shared" si="4"/>
        <v>170</v>
      </c>
      <c r="C171" s="1" t="str">
        <f>IFERROR(VLOOKUP(D171,'Planilha de Cadastro - Previsão'!$A$2:$O$1000,15,FALSE()),"")</f>
        <v/>
      </c>
      <c r="D171" s="1">
        <v>170</v>
      </c>
      <c r="E171" s="1"/>
      <c r="F171" s="1"/>
      <c r="G171" s="54" t="str">
        <f t="shared" si="5"/>
        <v/>
      </c>
      <c r="H171" s="55" t="str">
        <f>IFERROR((VLOOKUP(G171,'Planilha de Cadastro - Previsão'!$A$2:$N$1100,2,FALSE()))," ")</f>
        <v xml:space="preserve"> </v>
      </c>
      <c r="I171" s="54" t="str">
        <f>IFERROR((VLOOKUP(G171,'Planilha de Cadastro - Previsão'!$A$2:$N$1100,3,FALSE()))," ")</f>
        <v xml:space="preserve"> </v>
      </c>
      <c r="J171" s="56" t="str">
        <f>IFERROR((VLOOKUP(G171,'Planilha de Cadastro - Previsão'!$A$2:$N$1100,5,FALSE()))," ")</f>
        <v xml:space="preserve"> </v>
      </c>
      <c r="K171" s="57" t="str">
        <f>IFERROR((VLOOKUP(G171,'Planilha de Cadastro - Previsão'!$A$2:$N$1100,9,FALSE()))," ")</f>
        <v xml:space="preserve"> </v>
      </c>
    </row>
    <row r="172" spans="1:11" x14ac:dyDescent="0.25">
      <c r="A172">
        <f>COUNTIF($C$2:C172,C172)</f>
        <v>171</v>
      </c>
      <c r="B172" s="1" t="str">
        <f t="shared" si="4"/>
        <v>171</v>
      </c>
      <c r="C172" s="1" t="str">
        <f>IFERROR(VLOOKUP(D172,'Planilha de Cadastro - Previsão'!$A$2:$O$1000,15,FALSE()),"")</f>
        <v/>
      </c>
      <c r="D172" s="1">
        <v>171</v>
      </c>
      <c r="E172" s="1"/>
      <c r="F172" s="1"/>
      <c r="G172" s="54" t="str">
        <f t="shared" si="5"/>
        <v/>
      </c>
      <c r="H172" s="55" t="str">
        <f>IFERROR((VLOOKUP(G172,'Planilha de Cadastro - Previsão'!$A$2:$N$1100,2,FALSE()))," ")</f>
        <v xml:space="preserve"> </v>
      </c>
      <c r="I172" s="54" t="str">
        <f>IFERROR((VLOOKUP(G172,'Planilha de Cadastro - Previsão'!$A$2:$N$1100,3,FALSE()))," ")</f>
        <v xml:space="preserve"> </v>
      </c>
      <c r="J172" s="56" t="str">
        <f>IFERROR((VLOOKUP(G172,'Planilha de Cadastro - Previsão'!$A$2:$N$1100,5,FALSE()))," ")</f>
        <v xml:space="preserve"> </v>
      </c>
      <c r="K172" s="57" t="str">
        <f>IFERROR((VLOOKUP(G172,'Planilha de Cadastro - Previsão'!$A$2:$N$1100,9,FALSE()))," ")</f>
        <v xml:space="preserve"> </v>
      </c>
    </row>
    <row r="173" spans="1:11" x14ac:dyDescent="0.25">
      <c r="A173">
        <f>COUNTIF($C$2:C173,C173)</f>
        <v>172</v>
      </c>
      <c r="B173" s="1" t="str">
        <f t="shared" si="4"/>
        <v>172</v>
      </c>
      <c r="C173" s="1" t="str">
        <f>IFERROR(VLOOKUP(D173,'Planilha de Cadastro - Previsão'!$A$2:$O$1000,15,FALSE()),"")</f>
        <v/>
      </c>
      <c r="D173" s="1">
        <v>172</v>
      </c>
      <c r="E173" s="1"/>
      <c r="F173" s="1"/>
      <c r="G173" s="54" t="str">
        <f t="shared" si="5"/>
        <v/>
      </c>
      <c r="H173" s="55" t="str">
        <f>IFERROR((VLOOKUP(G173,'Planilha de Cadastro - Previsão'!$A$2:$N$1100,2,FALSE()))," ")</f>
        <v xml:space="preserve"> </v>
      </c>
      <c r="I173" s="54" t="str">
        <f>IFERROR((VLOOKUP(G173,'Planilha de Cadastro - Previsão'!$A$2:$N$1100,3,FALSE()))," ")</f>
        <v xml:space="preserve"> </v>
      </c>
      <c r="J173" s="56" t="str">
        <f>IFERROR((VLOOKUP(G173,'Planilha de Cadastro - Previsão'!$A$2:$N$1100,5,FALSE()))," ")</f>
        <v xml:space="preserve"> </v>
      </c>
      <c r="K173" s="57" t="str">
        <f>IFERROR((VLOOKUP(G173,'Planilha de Cadastro - Previsão'!$A$2:$N$1100,9,FALSE()))," ")</f>
        <v xml:space="preserve"> </v>
      </c>
    </row>
    <row r="174" spans="1:11" x14ac:dyDescent="0.25">
      <c r="A174">
        <f>COUNTIF($C$2:C174,C174)</f>
        <v>173</v>
      </c>
      <c r="B174" s="1" t="str">
        <f t="shared" si="4"/>
        <v>173</v>
      </c>
      <c r="C174" s="1" t="str">
        <f>IFERROR(VLOOKUP(D174,'Planilha de Cadastro - Previsão'!$A$2:$O$1000,15,FALSE()),"")</f>
        <v/>
      </c>
      <c r="D174" s="1">
        <v>173</v>
      </c>
      <c r="E174" s="1"/>
      <c r="F174" s="1"/>
      <c r="G174" s="54" t="str">
        <f t="shared" si="5"/>
        <v/>
      </c>
      <c r="H174" s="55" t="str">
        <f>IFERROR((VLOOKUP(G174,'Planilha de Cadastro - Previsão'!$A$2:$N$1100,2,FALSE()))," ")</f>
        <v xml:space="preserve"> </v>
      </c>
      <c r="I174" s="54" t="str">
        <f>IFERROR((VLOOKUP(G174,'Planilha de Cadastro - Previsão'!$A$2:$N$1100,3,FALSE()))," ")</f>
        <v xml:space="preserve"> </v>
      </c>
      <c r="J174" s="56" t="str">
        <f>IFERROR((VLOOKUP(G174,'Planilha de Cadastro - Previsão'!$A$2:$N$1100,5,FALSE()))," ")</f>
        <v xml:space="preserve"> </v>
      </c>
      <c r="K174" s="57" t="str">
        <f>IFERROR((VLOOKUP(G174,'Planilha de Cadastro - Previsão'!$A$2:$N$1100,9,FALSE()))," ")</f>
        <v xml:space="preserve"> </v>
      </c>
    </row>
    <row r="175" spans="1:11" x14ac:dyDescent="0.25">
      <c r="A175">
        <f>COUNTIF($C$2:C175,C175)</f>
        <v>174</v>
      </c>
      <c r="B175" s="1" t="str">
        <f t="shared" si="4"/>
        <v>174</v>
      </c>
      <c r="C175" s="1" t="str">
        <f>IFERROR(VLOOKUP(D175,'Planilha de Cadastro - Previsão'!$A$2:$O$1000,15,FALSE()),"")</f>
        <v/>
      </c>
      <c r="D175" s="1">
        <v>174</v>
      </c>
      <c r="E175" s="1"/>
      <c r="F175" s="1"/>
      <c r="G175" s="54" t="str">
        <f t="shared" si="5"/>
        <v/>
      </c>
      <c r="H175" s="55" t="str">
        <f>IFERROR((VLOOKUP(G175,'Planilha de Cadastro - Previsão'!$A$2:$N$1100,2,FALSE()))," ")</f>
        <v xml:space="preserve"> </v>
      </c>
      <c r="I175" s="54" t="str">
        <f>IFERROR((VLOOKUP(G175,'Planilha de Cadastro - Previsão'!$A$2:$N$1100,3,FALSE()))," ")</f>
        <v xml:space="preserve"> </v>
      </c>
      <c r="J175" s="56" t="str">
        <f>IFERROR((VLOOKUP(G175,'Planilha de Cadastro - Previsão'!$A$2:$N$1100,5,FALSE()))," ")</f>
        <v xml:space="preserve"> </v>
      </c>
      <c r="K175" s="57" t="str">
        <f>IFERROR((VLOOKUP(G175,'Planilha de Cadastro - Previsão'!$A$2:$N$1100,9,FALSE()))," ")</f>
        <v xml:space="preserve"> </v>
      </c>
    </row>
    <row r="176" spans="1:11" x14ac:dyDescent="0.25">
      <c r="A176">
        <f>COUNTIF($C$2:C176,C176)</f>
        <v>175</v>
      </c>
      <c r="B176" s="1" t="str">
        <f t="shared" si="4"/>
        <v>175</v>
      </c>
      <c r="C176" s="1" t="str">
        <f>IFERROR(VLOOKUP(D176,'Planilha de Cadastro - Previsão'!$A$2:$O$1000,15,FALSE()),"")</f>
        <v/>
      </c>
      <c r="D176" s="1">
        <v>175</v>
      </c>
      <c r="E176" s="1"/>
      <c r="F176" s="1"/>
      <c r="G176" s="54" t="str">
        <f t="shared" si="5"/>
        <v/>
      </c>
      <c r="H176" s="55" t="str">
        <f>IFERROR((VLOOKUP(G176,'Planilha de Cadastro - Previsão'!$A$2:$N$1100,2,FALSE()))," ")</f>
        <v xml:space="preserve"> </v>
      </c>
      <c r="I176" s="54" t="str">
        <f>IFERROR((VLOOKUP(G176,'Planilha de Cadastro - Previsão'!$A$2:$N$1100,3,FALSE()))," ")</f>
        <v xml:space="preserve"> </v>
      </c>
      <c r="J176" s="56" t="str">
        <f>IFERROR((VLOOKUP(G176,'Planilha de Cadastro - Previsão'!$A$2:$N$1100,5,FALSE()))," ")</f>
        <v xml:space="preserve"> </v>
      </c>
      <c r="K176" s="57" t="str">
        <f>IFERROR((VLOOKUP(G176,'Planilha de Cadastro - Previsão'!$A$2:$N$1100,9,FALSE()))," ")</f>
        <v xml:space="preserve"> </v>
      </c>
    </row>
    <row r="177" spans="1:11" x14ac:dyDescent="0.25">
      <c r="A177">
        <f>COUNTIF($C$2:C177,C177)</f>
        <v>176</v>
      </c>
      <c r="B177" s="1" t="str">
        <f t="shared" si="4"/>
        <v>176</v>
      </c>
      <c r="C177" s="1" t="str">
        <f>IFERROR(VLOOKUP(D177,'Planilha de Cadastro - Previsão'!$A$2:$O$1000,15,FALSE()),"")</f>
        <v/>
      </c>
      <c r="D177" s="1">
        <v>176</v>
      </c>
      <c r="E177" s="1"/>
      <c r="F177" s="1"/>
      <c r="G177" s="54" t="str">
        <f t="shared" si="5"/>
        <v/>
      </c>
      <c r="H177" s="55" t="str">
        <f>IFERROR((VLOOKUP(G177,'Planilha de Cadastro - Previsão'!$A$2:$N$1100,2,FALSE()))," ")</f>
        <v xml:space="preserve"> </v>
      </c>
      <c r="I177" s="54" t="str">
        <f>IFERROR((VLOOKUP(G177,'Planilha de Cadastro - Previsão'!$A$2:$N$1100,3,FALSE()))," ")</f>
        <v xml:space="preserve"> </v>
      </c>
      <c r="J177" s="56" t="str">
        <f>IFERROR((VLOOKUP(G177,'Planilha de Cadastro - Previsão'!$A$2:$N$1100,5,FALSE()))," ")</f>
        <v xml:space="preserve"> </v>
      </c>
      <c r="K177" s="57" t="str">
        <f>IFERROR((VLOOKUP(G177,'Planilha de Cadastro - Previsão'!$A$2:$N$1100,9,FALSE()))," ")</f>
        <v xml:space="preserve"> </v>
      </c>
    </row>
    <row r="178" spans="1:11" x14ac:dyDescent="0.25">
      <c r="A178">
        <f>COUNTIF($C$2:C178,C178)</f>
        <v>177</v>
      </c>
      <c r="B178" s="1" t="str">
        <f t="shared" si="4"/>
        <v>177</v>
      </c>
      <c r="C178" s="1" t="str">
        <f>IFERROR(VLOOKUP(D178,'Planilha de Cadastro - Previsão'!$A$2:$O$1000,15,FALSE()),"")</f>
        <v/>
      </c>
      <c r="D178" s="1">
        <v>177</v>
      </c>
      <c r="E178" s="1"/>
      <c r="F178" s="1"/>
      <c r="G178" s="54" t="str">
        <f t="shared" si="5"/>
        <v/>
      </c>
      <c r="H178" s="55" t="str">
        <f>IFERROR((VLOOKUP(G178,'Planilha de Cadastro - Previsão'!$A$2:$N$1100,2,FALSE()))," ")</f>
        <v xml:space="preserve"> </v>
      </c>
      <c r="I178" s="54" t="str">
        <f>IFERROR((VLOOKUP(G178,'Planilha de Cadastro - Previsão'!$A$2:$N$1100,3,FALSE()))," ")</f>
        <v xml:space="preserve"> </v>
      </c>
      <c r="J178" s="56" t="str">
        <f>IFERROR((VLOOKUP(G178,'Planilha de Cadastro - Previsão'!$A$2:$N$1100,5,FALSE()))," ")</f>
        <v xml:space="preserve"> </v>
      </c>
      <c r="K178" s="57" t="str">
        <f>IFERROR((VLOOKUP(G178,'Planilha de Cadastro - Previsão'!$A$2:$N$1100,9,FALSE()))," ")</f>
        <v xml:space="preserve"> </v>
      </c>
    </row>
    <row r="179" spans="1:11" x14ac:dyDescent="0.25">
      <c r="A179">
        <f>COUNTIF($C$2:C179,C179)</f>
        <v>178</v>
      </c>
      <c r="B179" s="1" t="str">
        <f t="shared" si="4"/>
        <v>178</v>
      </c>
      <c r="C179" s="1" t="str">
        <f>IFERROR(VLOOKUP(D179,'Planilha de Cadastro - Previsão'!$A$2:$O$1000,15,FALSE()),"")</f>
        <v/>
      </c>
      <c r="D179" s="1">
        <v>178</v>
      </c>
      <c r="E179" s="1"/>
      <c r="F179" s="1"/>
      <c r="G179" s="54" t="str">
        <f t="shared" si="5"/>
        <v/>
      </c>
      <c r="H179" s="55" t="str">
        <f>IFERROR((VLOOKUP(G179,'Planilha de Cadastro - Previsão'!$A$2:$N$1100,2,FALSE()))," ")</f>
        <v xml:space="preserve"> </v>
      </c>
      <c r="I179" s="54" t="str">
        <f>IFERROR((VLOOKUP(G179,'Planilha de Cadastro - Previsão'!$A$2:$N$1100,3,FALSE()))," ")</f>
        <v xml:space="preserve"> </v>
      </c>
      <c r="J179" s="56" t="str">
        <f>IFERROR((VLOOKUP(G179,'Planilha de Cadastro - Previsão'!$A$2:$N$1100,5,FALSE()))," ")</f>
        <v xml:space="preserve"> </v>
      </c>
      <c r="K179" s="57" t="str">
        <f>IFERROR((VLOOKUP(G179,'Planilha de Cadastro - Previsão'!$A$2:$N$1100,9,FALSE()))," ")</f>
        <v xml:space="preserve"> </v>
      </c>
    </row>
    <row r="180" spans="1:11" x14ac:dyDescent="0.25">
      <c r="A180">
        <f>COUNTIF($C$2:C180,C180)</f>
        <v>179</v>
      </c>
      <c r="B180" s="1" t="str">
        <f t="shared" si="4"/>
        <v>179</v>
      </c>
      <c r="C180" s="1" t="str">
        <f>IFERROR(VLOOKUP(D180,'Planilha de Cadastro - Previsão'!$A$2:$O$1000,15,FALSE()),"")</f>
        <v/>
      </c>
      <c r="D180" s="1">
        <v>179</v>
      </c>
      <c r="E180" s="1"/>
      <c r="F180" s="1"/>
      <c r="G180" s="54" t="str">
        <f t="shared" si="5"/>
        <v/>
      </c>
      <c r="H180" s="55" t="str">
        <f>IFERROR((VLOOKUP(G180,'Planilha de Cadastro - Previsão'!$A$2:$N$1100,2,FALSE()))," ")</f>
        <v xml:space="preserve"> </v>
      </c>
      <c r="I180" s="54" t="str">
        <f>IFERROR((VLOOKUP(G180,'Planilha de Cadastro - Previsão'!$A$2:$N$1100,3,FALSE()))," ")</f>
        <v xml:space="preserve"> </v>
      </c>
      <c r="J180" s="56" t="str">
        <f>IFERROR((VLOOKUP(G180,'Planilha de Cadastro - Previsão'!$A$2:$N$1100,5,FALSE()))," ")</f>
        <v xml:space="preserve"> </v>
      </c>
      <c r="K180" s="57" t="str">
        <f>IFERROR((VLOOKUP(G180,'Planilha de Cadastro - Previsão'!$A$2:$N$1100,9,FALSE()))," ")</f>
        <v xml:space="preserve"> </v>
      </c>
    </row>
    <row r="181" spans="1:11" x14ac:dyDescent="0.25">
      <c r="A181">
        <f>COUNTIF($C$2:C181,C181)</f>
        <v>180</v>
      </c>
      <c r="B181" s="1" t="str">
        <f t="shared" si="4"/>
        <v>180</v>
      </c>
      <c r="C181" s="1" t="str">
        <f>IFERROR(VLOOKUP(D181,'Planilha de Cadastro - Previsão'!$A$2:$O$1000,15,FALSE()),"")</f>
        <v/>
      </c>
      <c r="D181" s="1">
        <v>180</v>
      </c>
      <c r="E181" s="1"/>
      <c r="F181" s="1"/>
      <c r="G181" s="54" t="str">
        <f t="shared" si="5"/>
        <v/>
      </c>
      <c r="H181" s="55" t="str">
        <f>IFERROR((VLOOKUP(G181,'Planilha de Cadastro - Previsão'!$A$2:$N$1100,2,FALSE()))," ")</f>
        <v xml:space="preserve"> </v>
      </c>
      <c r="I181" s="54" t="str">
        <f>IFERROR((VLOOKUP(G181,'Planilha de Cadastro - Previsão'!$A$2:$N$1100,3,FALSE()))," ")</f>
        <v xml:space="preserve"> </v>
      </c>
      <c r="J181" s="56" t="str">
        <f>IFERROR((VLOOKUP(G181,'Planilha de Cadastro - Previsão'!$A$2:$N$1100,5,FALSE()))," ")</f>
        <v xml:space="preserve"> </v>
      </c>
      <c r="K181" s="57" t="str">
        <f>IFERROR((VLOOKUP(G181,'Planilha de Cadastro - Previsão'!$A$2:$N$1100,9,FALSE()))," ")</f>
        <v xml:space="preserve"> </v>
      </c>
    </row>
    <row r="182" spans="1:11" x14ac:dyDescent="0.25">
      <c r="A182">
        <f>COUNTIF($C$2:C182,C182)</f>
        <v>181</v>
      </c>
      <c r="B182" s="1" t="str">
        <f t="shared" si="4"/>
        <v>181</v>
      </c>
      <c r="C182" s="1" t="str">
        <f>IFERROR(VLOOKUP(D182,'Planilha de Cadastro - Previsão'!$A$2:$O$1000,15,FALSE()),"")</f>
        <v/>
      </c>
      <c r="D182" s="1">
        <v>181</v>
      </c>
      <c r="E182" s="1"/>
      <c r="F182" s="1"/>
      <c r="G182" s="54" t="str">
        <f t="shared" si="5"/>
        <v/>
      </c>
      <c r="H182" s="55" t="str">
        <f>IFERROR((VLOOKUP(G182,'Planilha de Cadastro - Previsão'!$A$2:$N$1100,2,FALSE()))," ")</f>
        <v xml:space="preserve"> </v>
      </c>
      <c r="I182" s="54" t="str">
        <f>IFERROR((VLOOKUP(G182,'Planilha de Cadastro - Previsão'!$A$2:$N$1100,3,FALSE()))," ")</f>
        <v xml:space="preserve"> </v>
      </c>
      <c r="J182" s="56" t="str">
        <f>IFERROR((VLOOKUP(G182,'Planilha de Cadastro - Previsão'!$A$2:$N$1100,5,FALSE()))," ")</f>
        <v xml:space="preserve"> </v>
      </c>
      <c r="K182" s="57" t="str">
        <f>IFERROR((VLOOKUP(G182,'Planilha de Cadastro - Previsão'!$A$2:$N$1100,9,FALSE()))," ")</f>
        <v xml:space="preserve"> </v>
      </c>
    </row>
    <row r="183" spans="1:11" x14ac:dyDescent="0.25">
      <c r="A183">
        <f>COUNTIF($C$2:C183,C183)</f>
        <v>182</v>
      </c>
      <c r="B183" s="1" t="str">
        <f t="shared" si="4"/>
        <v>182</v>
      </c>
      <c r="C183" s="1" t="str">
        <f>IFERROR(VLOOKUP(D183,'Planilha de Cadastro - Previsão'!$A$2:$O$1000,15,FALSE()),"")</f>
        <v/>
      </c>
      <c r="D183" s="1">
        <v>182</v>
      </c>
      <c r="E183" s="1"/>
      <c r="F183" s="1"/>
      <c r="G183" s="54" t="str">
        <f t="shared" si="5"/>
        <v/>
      </c>
      <c r="H183" s="55" t="str">
        <f>IFERROR((VLOOKUP(G183,'Planilha de Cadastro - Previsão'!$A$2:$N$1100,2,FALSE()))," ")</f>
        <v xml:space="preserve"> </v>
      </c>
      <c r="I183" s="54" t="str">
        <f>IFERROR((VLOOKUP(G183,'Planilha de Cadastro - Previsão'!$A$2:$N$1100,3,FALSE()))," ")</f>
        <v xml:space="preserve"> </v>
      </c>
      <c r="J183" s="56" t="str">
        <f>IFERROR((VLOOKUP(G183,'Planilha de Cadastro - Previsão'!$A$2:$N$1100,5,FALSE()))," ")</f>
        <v xml:space="preserve"> </v>
      </c>
      <c r="K183" s="57" t="str">
        <f>IFERROR((VLOOKUP(G183,'Planilha de Cadastro - Previsão'!$A$2:$N$1100,9,FALSE()))," ")</f>
        <v xml:space="preserve"> </v>
      </c>
    </row>
    <row r="184" spans="1:11" x14ac:dyDescent="0.25">
      <c r="A184">
        <f>COUNTIF($C$2:C184,C184)</f>
        <v>183</v>
      </c>
      <c r="B184" s="1" t="str">
        <f t="shared" si="4"/>
        <v>183</v>
      </c>
      <c r="C184" s="1" t="str">
        <f>IFERROR(VLOOKUP(D184,'Planilha de Cadastro - Previsão'!$A$2:$O$1000,15,FALSE()),"")</f>
        <v/>
      </c>
      <c r="D184" s="1">
        <v>183</v>
      </c>
      <c r="E184" s="1"/>
      <c r="F184" s="1"/>
      <c r="G184" s="54" t="str">
        <f t="shared" si="5"/>
        <v/>
      </c>
      <c r="H184" s="55" t="str">
        <f>IFERROR((VLOOKUP(G184,'Planilha de Cadastro - Previsão'!$A$2:$N$1100,2,FALSE()))," ")</f>
        <v xml:space="preserve"> </v>
      </c>
      <c r="I184" s="54" t="str">
        <f>IFERROR((VLOOKUP(G184,'Planilha de Cadastro - Previsão'!$A$2:$N$1100,3,FALSE()))," ")</f>
        <v xml:space="preserve"> </v>
      </c>
      <c r="J184" s="56" t="str">
        <f>IFERROR((VLOOKUP(G184,'Planilha de Cadastro - Previsão'!$A$2:$N$1100,5,FALSE()))," ")</f>
        <v xml:space="preserve"> </v>
      </c>
      <c r="K184" s="57" t="str">
        <f>IFERROR((VLOOKUP(G184,'Planilha de Cadastro - Previsão'!$A$2:$N$1100,9,FALSE()))," ")</f>
        <v xml:space="preserve"> </v>
      </c>
    </row>
    <row r="185" spans="1:11" x14ac:dyDescent="0.25">
      <c r="A185">
        <f>COUNTIF($C$2:C185,C185)</f>
        <v>184</v>
      </c>
      <c r="B185" s="1" t="str">
        <f t="shared" si="4"/>
        <v>184</v>
      </c>
      <c r="C185" s="1" t="str">
        <f>IFERROR(VLOOKUP(D185,'Planilha de Cadastro - Previsão'!$A$2:$O$1000,15,FALSE()),"")</f>
        <v/>
      </c>
      <c r="D185" s="1">
        <v>184</v>
      </c>
      <c r="E185" s="1"/>
      <c r="F185" s="1"/>
      <c r="G185" s="54" t="str">
        <f t="shared" si="5"/>
        <v/>
      </c>
      <c r="H185" s="55" t="str">
        <f>IFERROR((VLOOKUP(G185,'Planilha de Cadastro - Previsão'!$A$2:$N$1100,2,FALSE()))," ")</f>
        <v xml:space="preserve"> </v>
      </c>
      <c r="I185" s="54" t="str">
        <f>IFERROR((VLOOKUP(G185,'Planilha de Cadastro - Previsão'!$A$2:$N$1100,3,FALSE()))," ")</f>
        <v xml:space="preserve"> </v>
      </c>
      <c r="J185" s="56" t="str">
        <f>IFERROR((VLOOKUP(G185,'Planilha de Cadastro - Previsão'!$A$2:$N$1100,5,FALSE()))," ")</f>
        <v xml:space="preserve"> </v>
      </c>
      <c r="K185" s="57" t="str">
        <f>IFERROR((VLOOKUP(G185,'Planilha de Cadastro - Previsão'!$A$2:$N$1100,9,FALSE()))," ")</f>
        <v xml:space="preserve"> </v>
      </c>
    </row>
    <row r="186" spans="1:11" x14ac:dyDescent="0.25">
      <c r="A186">
        <f>COUNTIF($C$2:C186,C186)</f>
        <v>185</v>
      </c>
      <c r="B186" s="1" t="str">
        <f t="shared" si="4"/>
        <v>185</v>
      </c>
      <c r="C186" s="1" t="str">
        <f>IFERROR(VLOOKUP(D186,'Planilha de Cadastro - Previsão'!$A$2:$O$1000,15,FALSE()),"")</f>
        <v/>
      </c>
      <c r="D186" s="1">
        <v>185</v>
      </c>
      <c r="E186" s="1"/>
      <c r="F186" s="1"/>
      <c r="G186" s="54" t="str">
        <f t="shared" si="5"/>
        <v/>
      </c>
      <c r="H186" s="55" t="str">
        <f>IFERROR((VLOOKUP(G186,'Planilha de Cadastro - Previsão'!$A$2:$N$1100,2,FALSE()))," ")</f>
        <v xml:space="preserve"> </v>
      </c>
      <c r="I186" s="54" t="str">
        <f>IFERROR((VLOOKUP(G186,'Planilha de Cadastro - Previsão'!$A$2:$N$1100,3,FALSE()))," ")</f>
        <v xml:space="preserve"> </v>
      </c>
      <c r="J186" s="56" t="str">
        <f>IFERROR((VLOOKUP(G186,'Planilha de Cadastro - Previsão'!$A$2:$N$1100,5,FALSE()))," ")</f>
        <v xml:space="preserve"> </v>
      </c>
      <c r="K186" s="57" t="str">
        <f>IFERROR((VLOOKUP(G186,'Planilha de Cadastro - Previsão'!$A$2:$N$1100,9,FALSE()))," ")</f>
        <v xml:space="preserve"> </v>
      </c>
    </row>
    <row r="187" spans="1:11" x14ac:dyDescent="0.25">
      <c r="A187">
        <f>COUNTIF($C$2:C187,C187)</f>
        <v>186</v>
      </c>
      <c r="B187" s="1" t="str">
        <f t="shared" si="4"/>
        <v>186</v>
      </c>
      <c r="C187" s="1" t="str">
        <f>IFERROR(VLOOKUP(D187,'Planilha de Cadastro - Previsão'!$A$2:$O$1000,15,FALSE()),"")</f>
        <v/>
      </c>
      <c r="D187" s="1">
        <v>186</v>
      </c>
      <c r="E187" s="1"/>
      <c r="F187" s="1"/>
      <c r="G187" s="54" t="str">
        <f t="shared" si="5"/>
        <v/>
      </c>
      <c r="H187" s="55" t="str">
        <f>IFERROR((VLOOKUP(G187,'Planilha de Cadastro - Previsão'!$A$2:$N$1100,2,FALSE()))," ")</f>
        <v xml:space="preserve"> </v>
      </c>
      <c r="I187" s="54" t="str">
        <f>IFERROR((VLOOKUP(G187,'Planilha de Cadastro - Previsão'!$A$2:$N$1100,3,FALSE()))," ")</f>
        <v xml:space="preserve"> </v>
      </c>
      <c r="J187" s="56" t="str">
        <f>IFERROR((VLOOKUP(G187,'Planilha de Cadastro - Previsão'!$A$2:$N$1100,5,FALSE()))," ")</f>
        <v xml:space="preserve"> </v>
      </c>
      <c r="K187" s="57" t="str">
        <f>IFERROR((VLOOKUP(G187,'Planilha de Cadastro - Previsão'!$A$2:$N$1100,9,FALSE()))," ")</f>
        <v xml:space="preserve"> </v>
      </c>
    </row>
    <row r="188" spans="1:11" x14ac:dyDescent="0.25">
      <c r="A188">
        <f>COUNTIF($C$2:C188,C188)</f>
        <v>187</v>
      </c>
      <c r="B188" s="1" t="str">
        <f t="shared" si="4"/>
        <v>187</v>
      </c>
      <c r="C188" s="1" t="str">
        <f>IFERROR(VLOOKUP(D188,'Planilha de Cadastro - Previsão'!$A$2:$O$1000,15,FALSE()),"")</f>
        <v/>
      </c>
      <c r="D188" s="1">
        <v>187</v>
      </c>
      <c r="E188" s="1"/>
      <c r="F188" s="1"/>
      <c r="G188" s="54" t="str">
        <f t="shared" si="5"/>
        <v/>
      </c>
      <c r="H188" s="55" t="str">
        <f>IFERROR((VLOOKUP(G188,'Planilha de Cadastro - Previsão'!$A$2:$N$1100,2,FALSE()))," ")</f>
        <v xml:space="preserve"> </v>
      </c>
      <c r="I188" s="54" t="str">
        <f>IFERROR((VLOOKUP(G188,'Planilha de Cadastro - Previsão'!$A$2:$N$1100,3,FALSE()))," ")</f>
        <v xml:space="preserve"> </v>
      </c>
      <c r="J188" s="56" t="str">
        <f>IFERROR((VLOOKUP(G188,'Planilha de Cadastro - Previsão'!$A$2:$N$1100,5,FALSE()))," ")</f>
        <v xml:space="preserve"> </v>
      </c>
      <c r="K188" s="57" t="str">
        <f>IFERROR((VLOOKUP(G188,'Planilha de Cadastro - Previsão'!$A$2:$N$1100,9,FALSE()))," ")</f>
        <v xml:space="preserve"> </v>
      </c>
    </row>
    <row r="189" spans="1:11" x14ac:dyDescent="0.25">
      <c r="A189">
        <f>COUNTIF($C$2:C189,C189)</f>
        <v>188</v>
      </c>
      <c r="B189" s="1" t="str">
        <f t="shared" si="4"/>
        <v>188</v>
      </c>
      <c r="C189" s="1" t="str">
        <f>IFERROR(VLOOKUP(D189,'Planilha de Cadastro - Previsão'!$A$2:$O$1000,15,FALSE()),"")</f>
        <v/>
      </c>
      <c r="D189" s="1">
        <v>188</v>
      </c>
      <c r="E189" s="1"/>
      <c r="F189" s="1"/>
      <c r="G189" s="54" t="str">
        <f t="shared" si="5"/>
        <v/>
      </c>
      <c r="H189" s="55" t="str">
        <f>IFERROR((VLOOKUP(G189,'Planilha de Cadastro - Previsão'!$A$2:$N$1100,2,FALSE()))," ")</f>
        <v xml:space="preserve"> </v>
      </c>
      <c r="I189" s="54" t="str">
        <f>IFERROR((VLOOKUP(G189,'Planilha de Cadastro - Previsão'!$A$2:$N$1100,3,FALSE()))," ")</f>
        <v xml:space="preserve"> </v>
      </c>
      <c r="J189" s="56" t="str">
        <f>IFERROR((VLOOKUP(G189,'Planilha de Cadastro - Previsão'!$A$2:$N$1100,5,FALSE()))," ")</f>
        <v xml:space="preserve"> </v>
      </c>
      <c r="K189" s="57" t="str">
        <f>IFERROR((VLOOKUP(G189,'Planilha de Cadastro - Previsão'!$A$2:$N$1100,9,FALSE()))," ")</f>
        <v xml:space="preserve"> </v>
      </c>
    </row>
    <row r="190" spans="1:11" x14ac:dyDescent="0.25">
      <c r="A190">
        <f>COUNTIF($C$2:C190,C190)</f>
        <v>189</v>
      </c>
      <c r="B190" s="1" t="str">
        <f t="shared" si="4"/>
        <v>189</v>
      </c>
      <c r="C190" s="1" t="str">
        <f>IFERROR(VLOOKUP(D190,'Planilha de Cadastro - Previsão'!$A$2:$O$1000,15,FALSE()),"")</f>
        <v/>
      </c>
      <c r="D190" s="1">
        <v>189</v>
      </c>
      <c r="E190" s="1"/>
      <c r="F190" s="1"/>
      <c r="G190" s="54" t="str">
        <f t="shared" si="5"/>
        <v/>
      </c>
      <c r="H190" s="55" t="str">
        <f>IFERROR((VLOOKUP(G190,'Planilha de Cadastro - Previsão'!$A$2:$N$1100,2,FALSE()))," ")</f>
        <v xml:space="preserve"> </v>
      </c>
      <c r="I190" s="54" t="str">
        <f>IFERROR((VLOOKUP(G190,'Planilha de Cadastro - Previsão'!$A$2:$N$1100,3,FALSE()))," ")</f>
        <v xml:space="preserve"> </v>
      </c>
      <c r="J190" s="56" t="str">
        <f>IFERROR((VLOOKUP(G190,'Planilha de Cadastro - Previsão'!$A$2:$N$1100,5,FALSE()))," ")</f>
        <v xml:space="preserve"> </v>
      </c>
      <c r="K190" s="57" t="str">
        <f>IFERROR((VLOOKUP(G190,'Planilha de Cadastro - Previsão'!$A$2:$N$1100,9,FALSE()))," ")</f>
        <v xml:space="preserve"> </v>
      </c>
    </row>
    <row r="191" spans="1:11" x14ac:dyDescent="0.25">
      <c r="A191">
        <f>COUNTIF($C$2:C191,C191)</f>
        <v>190</v>
      </c>
      <c r="B191" s="1" t="str">
        <f t="shared" si="4"/>
        <v>190</v>
      </c>
      <c r="C191" s="1" t="str">
        <f>IFERROR(VLOOKUP(D191,'Planilha de Cadastro - Previsão'!$A$2:$O$1000,15,FALSE()),"")</f>
        <v/>
      </c>
      <c r="D191" s="1">
        <v>190</v>
      </c>
      <c r="E191" s="1"/>
      <c r="F191" s="1"/>
      <c r="G191" s="54" t="str">
        <f t="shared" si="5"/>
        <v/>
      </c>
      <c r="H191" s="55" t="str">
        <f>IFERROR((VLOOKUP(G191,'Planilha de Cadastro - Previsão'!$A$2:$N$1100,2,FALSE()))," ")</f>
        <v xml:space="preserve"> </v>
      </c>
      <c r="I191" s="54" t="str">
        <f>IFERROR((VLOOKUP(G191,'Planilha de Cadastro - Previsão'!$A$2:$N$1100,3,FALSE()))," ")</f>
        <v xml:space="preserve"> </v>
      </c>
      <c r="J191" s="56" t="str">
        <f>IFERROR((VLOOKUP(G191,'Planilha de Cadastro - Previsão'!$A$2:$N$1100,5,FALSE()))," ")</f>
        <v xml:space="preserve"> </v>
      </c>
      <c r="K191" s="57" t="str">
        <f>IFERROR((VLOOKUP(G191,'Planilha de Cadastro - Previsão'!$A$2:$N$1100,9,FALSE()))," ")</f>
        <v xml:space="preserve"> </v>
      </c>
    </row>
    <row r="192" spans="1:11" x14ac:dyDescent="0.25">
      <c r="A192">
        <f>COUNTIF($C$2:C192,C192)</f>
        <v>191</v>
      </c>
      <c r="B192" s="1" t="str">
        <f t="shared" si="4"/>
        <v>191</v>
      </c>
      <c r="C192" s="1" t="str">
        <f>IFERROR(VLOOKUP(D192,'Planilha de Cadastro - Previsão'!$A$2:$O$1000,15,FALSE()),"")</f>
        <v/>
      </c>
      <c r="D192" s="1">
        <v>191</v>
      </c>
      <c r="E192" s="1"/>
      <c r="F192" s="1"/>
      <c r="G192" s="54" t="str">
        <f t="shared" si="5"/>
        <v/>
      </c>
      <c r="H192" s="55" t="str">
        <f>IFERROR((VLOOKUP(G192,'Planilha de Cadastro - Previsão'!$A$2:$N$1100,2,FALSE()))," ")</f>
        <v xml:space="preserve"> </v>
      </c>
      <c r="I192" s="54" t="str">
        <f>IFERROR((VLOOKUP(G192,'Planilha de Cadastro - Previsão'!$A$2:$N$1100,3,FALSE()))," ")</f>
        <v xml:space="preserve"> </v>
      </c>
      <c r="J192" s="56" t="str">
        <f>IFERROR((VLOOKUP(G192,'Planilha de Cadastro - Previsão'!$A$2:$N$1100,5,FALSE()))," ")</f>
        <v xml:space="preserve"> </v>
      </c>
      <c r="K192" s="57" t="str">
        <f>IFERROR((VLOOKUP(G192,'Planilha de Cadastro - Previsão'!$A$2:$N$1100,9,FALSE()))," ")</f>
        <v xml:space="preserve"> </v>
      </c>
    </row>
    <row r="193" spans="1:11" x14ac:dyDescent="0.25">
      <c r="A193">
        <f>COUNTIF($C$2:C193,C193)</f>
        <v>192</v>
      </c>
      <c r="B193" s="1" t="str">
        <f t="shared" si="4"/>
        <v>192</v>
      </c>
      <c r="C193" s="1" t="str">
        <f>IFERROR(VLOOKUP(D193,'Planilha de Cadastro - Previsão'!$A$2:$O$1000,15,FALSE()),"")</f>
        <v/>
      </c>
      <c r="D193" s="1">
        <v>192</v>
      </c>
      <c r="E193" s="1"/>
      <c r="F193" s="1"/>
      <c r="G193" s="54" t="str">
        <f t="shared" si="5"/>
        <v/>
      </c>
      <c r="H193" s="55" t="str">
        <f>IFERROR((VLOOKUP(G193,'Planilha de Cadastro - Previsão'!$A$2:$N$1100,2,FALSE()))," ")</f>
        <v xml:space="preserve"> </v>
      </c>
      <c r="I193" s="54" t="str">
        <f>IFERROR((VLOOKUP(G193,'Planilha de Cadastro - Previsão'!$A$2:$N$1100,3,FALSE()))," ")</f>
        <v xml:space="preserve"> </v>
      </c>
      <c r="J193" s="56" t="str">
        <f>IFERROR((VLOOKUP(G193,'Planilha de Cadastro - Previsão'!$A$2:$N$1100,5,FALSE()))," ")</f>
        <v xml:space="preserve"> </v>
      </c>
      <c r="K193" s="57" t="str">
        <f>IFERROR((VLOOKUP(G193,'Planilha de Cadastro - Previsão'!$A$2:$N$1100,9,FALSE()))," ")</f>
        <v xml:space="preserve"> </v>
      </c>
    </row>
    <row r="194" spans="1:11" x14ac:dyDescent="0.25">
      <c r="A194">
        <f>COUNTIF($C$2:C194,C194)</f>
        <v>193</v>
      </c>
      <c r="B194" s="1" t="str">
        <f t="shared" si="4"/>
        <v>193</v>
      </c>
      <c r="C194" s="1" t="str">
        <f>IFERROR(VLOOKUP(D194,'Planilha de Cadastro - Previsão'!$A$2:$O$1000,15,FALSE()),"")</f>
        <v/>
      </c>
      <c r="D194" s="1">
        <v>193</v>
      </c>
      <c r="E194" s="1"/>
      <c r="F194" s="1"/>
      <c r="G194" s="54" t="str">
        <f t="shared" si="5"/>
        <v/>
      </c>
      <c r="H194" s="55" t="str">
        <f>IFERROR((VLOOKUP(G194,'Planilha de Cadastro - Previsão'!$A$2:$N$1100,2,FALSE()))," ")</f>
        <v xml:space="preserve"> </v>
      </c>
      <c r="I194" s="54" t="str">
        <f>IFERROR((VLOOKUP(G194,'Planilha de Cadastro - Previsão'!$A$2:$N$1100,3,FALSE()))," ")</f>
        <v xml:space="preserve"> </v>
      </c>
      <c r="J194" s="56" t="str">
        <f>IFERROR((VLOOKUP(G194,'Planilha de Cadastro - Previsão'!$A$2:$N$1100,5,FALSE()))," ")</f>
        <v xml:space="preserve"> </v>
      </c>
      <c r="K194" s="57" t="str">
        <f>IFERROR((VLOOKUP(G194,'Planilha de Cadastro - Previsão'!$A$2:$N$1100,9,FALSE()))," ")</f>
        <v xml:space="preserve"> </v>
      </c>
    </row>
    <row r="195" spans="1:11" x14ac:dyDescent="0.25">
      <c r="A195">
        <f>COUNTIF($C$2:C195,C195)</f>
        <v>194</v>
      </c>
      <c r="B195" s="1" t="str">
        <f t="shared" ref="B195:B258" si="6">IFERROR(CONCATENATE(C195,A195),"")</f>
        <v>194</v>
      </c>
      <c r="C195" s="1" t="str">
        <f>IFERROR(VLOOKUP(D195,'Planilha de Cadastro - Previsão'!$A$2:$O$1000,15,FALSE()),"")</f>
        <v/>
      </c>
      <c r="D195" s="1">
        <v>194</v>
      </c>
      <c r="E195" s="1"/>
      <c r="F195" s="1"/>
      <c r="G195" s="54" t="str">
        <f t="shared" si="5"/>
        <v/>
      </c>
      <c r="H195" s="55" t="str">
        <f>IFERROR((VLOOKUP(G195,'Planilha de Cadastro - Previsão'!$A$2:$N$1100,2,FALSE()))," ")</f>
        <v xml:space="preserve"> </v>
      </c>
      <c r="I195" s="54" t="str">
        <f>IFERROR((VLOOKUP(G195,'Planilha de Cadastro - Previsão'!$A$2:$N$1100,3,FALSE()))," ")</f>
        <v xml:space="preserve"> </v>
      </c>
      <c r="J195" s="56" t="str">
        <f>IFERROR((VLOOKUP(G195,'Planilha de Cadastro - Previsão'!$A$2:$N$1100,5,FALSE()))," ")</f>
        <v xml:space="preserve"> </v>
      </c>
      <c r="K195" s="57" t="str">
        <f>IFERROR((VLOOKUP(G195,'Planilha de Cadastro - Previsão'!$A$2:$N$1100,9,FALSE()))," ")</f>
        <v xml:space="preserve"> </v>
      </c>
    </row>
    <row r="196" spans="1:11" x14ac:dyDescent="0.25">
      <c r="A196">
        <f>COUNTIF($C$2:C196,C196)</f>
        <v>195</v>
      </c>
      <c r="B196" s="1" t="str">
        <f t="shared" si="6"/>
        <v>195</v>
      </c>
      <c r="C196" s="1" t="str">
        <f>IFERROR(VLOOKUP(D196,'Planilha de Cadastro - Previsão'!$A$2:$O$1000,15,FALSE()),"")</f>
        <v/>
      </c>
      <c r="D196" s="1">
        <v>195</v>
      </c>
      <c r="E196" s="1"/>
      <c r="F196" s="1"/>
      <c r="G196" s="54" t="str">
        <f t="shared" si="5"/>
        <v/>
      </c>
      <c r="H196" s="55" t="str">
        <f>IFERROR((VLOOKUP(G196,'Planilha de Cadastro - Previsão'!$A$2:$N$1100,2,FALSE()))," ")</f>
        <v xml:space="preserve"> </v>
      </c>
      <c r="I196" s="54" t="str">
        <f>IFERROR((VLOOKUP(G196,'Planilha de Cadastro - Previsão'!$A$2:$N$1100,3,FALSE()))," ")</f>
        <v xml:space="preserve"> </v>
      </c>
      <c r="J196" s="56" t="str">
        <f>IFERROR((VLOOKUP(G196,'Planilha de Cadastro - Previsão'!$A$2:$N$1100,5,FALSE()))," ")</f>
        <v xml:space="preserve"> </v>
      </c>
      <c r="K196" s="57" t="str">
        <f>IFERROR((VLOOKUP(G196,'Planilha de Cadastro - Previsão'!$A$2:$N$1100,9,FALSE()))," ")</f>
        <v xml:space="preserve"> </v>
      </c>
    </row>
    <row r="197" spans="1:11" x14ac:dyDescent="0.25">
      <c r="A197">
        <f>COUNTIF($C$2:C197,C197)</f>
        <v>196</v>
      </c>
      <c r="B197" s="1" t="str">
        <f t="shared" si="6"/>
        <v>196</v>
      </c>
      <c r="C197" s="1" t="str">
        <f>IFERROR(VLOOKUP(D197,'Planilha de Cadastro - Previsão'!$A$2:$O$1000,15,FALSE()),"")</f>
        <v/>
      </c>
      <c r="D197" s="1">
        <v>196</v>
      </c>
      <c r="E197" s="1"/>
      <c r="F197" s="1"/>
      <c r="G197" s="54" t="str">
        <f t="shared" si="5"/>
        <v/>
      </c>
      <c r="H197" s="55" t="str">
        <f>IFERROR((VLOOKUP(G197,'Planilha de Cadastro - Previsão'!$A$2:$N$1100,2,FALSE()))," ")</f>
        <v xml:space="preserve"> </v>
      </c>
      <c r="I197" s="54" t="str">
        <f>IFERROR((VLOOKUP(G197,'Planilha de Cadastro - Previsão'!$A$2:$N$1100,3,FALSE()))," ")</f>
        <v xml:space="preserve"> </v>
      </c>
      <c r="J197" s="56" t="str">
        <f>IFERROR((VLOOKUP(G197,'Planilha de Cadastro - Previsão'!$A$2:$N$1100,5,FALSE()))," ")</f>
        <v xml:space="preserve"> </v>
      </c>
      <c r="K197" s="57" t="str">
        <f>IFERROR((VLOOKUP(G197,'Planilha de Cadastro - Previsão'!$A$2:$N$1100,9,FALSE()))," ")</f>
        <v xml:space="preserve"> </v>
      </c>
    </row>
    <row r="198" spans="1:11" x14ac:dyDescent="0.25">
      <c r="A198">
        <f>COUNTIF($C$2:C198,C198)</f>
        <v>197</v>
      </c>
      <c r="B198" s="1" t="str">
        <f t="shared" si="6"/>
        <v>197</v>
      </c>
      <c r="C198" s="1" t="str">
        <f>IFERROR(VLOOKUP(D198,'Planilha de Cadastro - Previsão'!$A$2:$O$1000,15,FALSE()),"")</f>
        <v/>
      </c>
      <c r="D198" s="1">
        <v>197</v>
      </c>
      <c r="E198" s="1"/>
      <c r="F198" s="1"/>
      <c r="G198" s="54" t="str">
        <f t="shared" si="5"/>
        <v/>
      </c>
      <c r="H198" s="55" t="str">
        <f>IFERROR((VLOOKUP(G198,'Planilha de Cadastro - Previsão'!$A$2:$N$1100,2,FALSE()))," ")</f>
        <v xml:space="preserve"> </v>
      </c>
      <c r="I198" s="54" t="str">
        <f>IFERROR((VLOOKUP(G198,'Planilha de Cadastro - Previsão'!$A$2:$N$1100,3,FALSE()))," ")</f>
        <v xml:space="preserve"> </v>
      </c>
      <c r="J198" s="56" t="str">
        <f>IFERROR((VLOOKUP(G198,'Planilha de Cadastro - Previsão'!$A$2:$N$1100,5,FALSE()))," ")</f>
        <v xml:space="preserve"> </v>
      </c>
      <c r="K198" s="57" t="str">
        <f>IFERROR((VLOOKUP(G198,'Planilha de Cadastro - Previsão'!$A$2:$N$1100,9,FALSE()))," ")</f>
        <v xml:space="preserve"> </v>
      </c>
    </row>
    <row r="199" spans="1:11" x14ac:dyDescent="0.25">
      <c r="A199">
        <f>COUNTIF($C$2:C199,C199)</f>
        <v>198</v>
      </c>
      <c r="B199" s="1" t="str">
        <f t="shared" si="6"/>
        <v>198</v>
      </c>
      <c r="C199" s="1" t="str">
        <f>IFERROR(VLOOKUP(D199,'Planilha de Cadastro - Previsão'!$A$2:$O$1000,15,FALSE()),"")</f>
        <v/>
      </c>
      <c r="D199" s="1">
        <v>198</v>
      </c>
      <c r="E199" s="1"/>
      <c r="F199" s="1"/>
      <c r="G199" s="54" t="str">
        <f t="shared" si="5"/>
        <v/>
      </c>
      <c r="H199" s="55" t="str">
        <f>IFERROR((VLOOKUP(G199,'Planilha de Cadastro - Previsão'!$A$2:$N$1100,2,FALSE()))," ")</f>
        <v xml:space="preserve"> </v>
      </c>
      <c r="I199" s="54" t="str">
        <f>IFERROR((VLOOKUP(G199,'Planilha de Cadastro - Previsão'!$A$2:$N$1100,3,FALSE()))," ")</f>
        <v xml:space="preserve"> </v>
      </c>
      <c r="J199" s="56" t="str">
        <f>IFERROR((VLOOKUP(G199,'Planilha de Cadastro - Previsão'!$A$2:$N$1100,5,FALSE()))," ")</f>
        <v xml:space="preserve"> </v>
      </c>
      <c r="K199" s="57" t="str">
        <f>IFERROR((VLOOKUP(G199,'Planilha de Cadastro - Previsão'!$A$2:$N$1100,9,FALSE()))," ")</f>
        <v xml:space="preserve"> </v>
      </c>
    </row>
    <row r="200" spans="1:11" x14ac:dyDescent="0.25">
      <c r="A200">
        <f>COUNTIF($C$2:C200,C200)</f>
        <v>199</v>
      </c>
      <c r="B200" s="1" t="str">
        <f t="shared" si="6"/>
        <v>199</v>
      </c>
      <c r="C200" s="1" t="str">
        <f>IFERROR(VLOOKUP(D200,'Planilha de Cadastro - Previsão'!$A$2:$O$1000,15,FALSE()),"")</f>
        <v/>
      </c>
      <c r="D200" s="1">
        <v>199</v>
      </c>
      <c r="E200" s="1"/>
      <c r="F200" s="1"/>
      <c r="G200" s="54" t="str">
        <f t="shared" si="5"/>
        <v/>
      </c>
      <c r="H200" s="55" t="str">
        <f>IFERROR((VLOOKUP(G200,'Planilha de Cadastro - Previsão'!$A$2:$N$1100,2,FALSE()))," ")</f>
        <v xml:space="preserve"> </v>
      </c>
      <c r="I200" s="54" t="str">
        <f>IFERROR((VLOOKUP(G200,'Planilha de Cadastro - Previsão'!$A$2:$N$1100,3,FALSE()))," ")</f>
        <v xml:space="preserve"> </v>
      </c>
      <c r="J200" s="56" t="str">
        <f>IFERROR((VLOOKUP(G200,'Planilha de Cadastro - Previsão'!$A$2:$N$1100,5,FALSE()))," ")</f>
        <v xml:space="preserve"> </v>
      </c>
      <c r="K200" s="57" t="str">
        <f>IFERROR((VLOOKUP(G200,'Planilha de Cadastro - Previsão'!$A$2:$N$1100,9,FALSE()))," ")</f>
        <v xml:space="preserve"> </v>
      </c>
    </row>
    <row r="201" spans="1:11" x14ac:dyDescent="0.25">
      <c r="A201">
        <f>COUNTIF($C$2:C201,C201)</f>
        <v>200</v>
      </c>
      <c r="B201" s="1" t="str">
        <f t="shared" si="6"/>
        <v>200</v>
      </c>
      <c r="C201" s="1" t="str">
        <f>IFERROR(VLOOKUP(D201,'Planilha de Cadastro - Previsão'!$A$2:$O$1000,15,FALSE()),"")</f>
        <v/>
      </c>
      <c r="D201" s="1">
        <v>200</v>
      </c>
      <c r="E201" s="1"/>
      <c r="F201" s="1"/>
      <c r="G201" s="54" t="str">
        <f t="shared" si="5"/>
        <v/>
      </c>
      <c r="H201" s="55" t="str">
        <f>IFERROR((VLOOKUP(G201,'Planilha de Cadastro - Previsão'!$A$2:$N$1100,2,FALSE()))," ")</f>
        <v xml:space="preserve"> </v>
      </c>
      <c r="I201" s="54" t="str">
        <f>IFERROR((VLOOKUP(G201,'Planilha de Cadastro - Previsão'!$A$2:$N$1100,3,FALSE()))," ")</f>
        <v xml:space="preserve"> </v>
      </c>
      <c r="J201" s="56" t="str">
        <f>IFERROR((VLOOKUP(G201,'Planilha de Cadastro - Previsão'!$A$2:$N$1100,5,FALSE()))," ")</f>
        <v xml:space="preserve"> </v>
      </c>
      <c r="K201" s="57" t="str">
        <f>IFERROR((VLOOKUP(G201,'Planilha de Cadastro - Previsão'!$A$2:$N$1100,9,FALSE()))," ")</f>
        <v xml:space="preserve"> </v>
      </c>
    </row>
    <row r="202" spans="1:11" x14ac:dyDescent="0.25">
      <c r="A202">
        <f>COUNTIF($C$2:C202,C202)</f>
        <v>201</v>
      </c>
      <c r="B202" s="1" t="str">
        <f t="shared" si="6"/>
        <v>201</v>
      </c>
      <c r="C202" s="1" t="str">
        <f>IFERROR(VLOOKUP(D202,'Planilha de Cadastro - Previsão'!$A$2:$O$1000,15,FALSE()),"")</f>
        <v/>
      </c>
      <c r="D202" s="1">
        <v>201</v>
      </c>
      <c r="E202" s="1"/>
      <c r="F202" s="1"/>
      <c r="G202" s="54" t="str">
        <f t="shared" ref="G202:G265" si="7">IFERROR((VLOOKUP(CONCATENATE("Sim",D194),$B$2:$D$1000,3,FALSE())),"")</f>
        <v/>
      </c>
      <c r="H202" s="55" t="str">
        <f>IFERROR((VLOOKUP(G202,'Planilha de Cadastro - Previsão'!$A$2:$N$1100,2,FALSE()))," ")</f>
        <v xml:space="preserve"> </v>
      </c>
      <c r="I202" s="54" t="str">
        <f>IFERROR((VLOOKUP(G202,'Planilha de Cadastro - Previsão'!$A$2:$N$1100,3,FALSE()))," ")</f>
        <v xml:space="preserve"> </v>
      </c>
      <c r="J202" s="56" t="str">
        <f>IFERROR((VLOOKUP(G202,'Planilha de Cadastro - Previsão'!$A$2:$N$1100,5,FALSE()))," ")</f>
        <v xml:space="preserve"> </v>
      </c>
      <c r="K202" s="57" t="str">
        <f>IFERROR((VLOOKUP(G202,'Planilha de Cadastro - Previsão'!$A$2:$N$1100,9,FALSE()))," ")</f>
        <v xml:space="preserve"> </v>
      </c>
    </row>
    <row r="203" spans="1:11" x14ac:dyDescent="0.25">
      <c r="A203">
        <f>COUNTIF($C$2:C203,C203)</f>
        <v>202</v>
      </c>
      <c r="B203" s="1" t="str">
        <f t="shared" si="6"/>
        <v>202</v>
      </c>
      <c r="C203" s="1" t="str">
        <f>IFERROR(VLOOKUP(D203,'Planilha de Cadastro - Previsão'!$A$2:$O$1000,15,FALSE()),"")</f>
        <v/>
      </c>
      <c r="D203" s="1">
        <v>202</v>
      </c>
      <c r="E203" s="1"/>
      <c r="F203" s="1"/>
      <c r="G203" s="54" t="str">
        <f t="shared" si="7"/>
        <v/>
      </c>
      <c r="H203" s="55" t="str">
        <f>IFERROR((VLOOKUP(G203,'Planilha de Cadastro - Previsão'!$A$2:$N$1100,2,FALSE()))," ")</f>
        <v xml:space="preserve"> </v>
      </c>
      <c r="I203" s="54" t="str">
        <f>IFERROR((VLOOKUP(G203,'Planilha de Cadastro - Previsão'!$A$2:$N$1100,3,FALSE()))," ")</f>
        <v xml:space="preserve"> </v>
      </c>
      <c r="J203" s="56" t="str">
        <f>IFERROR((VLOOKUP(G203,'Planilha de Cadastro - Previsão'!$A$2:$N$1100,5,FALSE()))," ")</f>
        <v xml:space="preserve"> </v>
      </c>
      <c r="K203" s="57" t="str">
        <f>IFERROR((VLOOKUP(G203,'Planilha de Cadastro - Previsão'!$A$2:$N$1100,9,FALSE()))," ")</f>
        <v xml:space="preserve"> </v>
      </c>
    </row>
    <row r="204" spans="1:11" x14ac:dyDescent="0.25">
      <c r="A204">
        <f>COUNTIF($C$2:C204,C204)</f>
        <v>203</v>
      </c>
      <c r="B204" s="1" t="str">
        <f t="shared" si="6"/>
        <v>203</v>
      </c>
      <c r="C204" s="1" t="str">
        <f>IFERROR(VLOOKUP(D204,'Planilha de Cadastro - Previsão'!$A$2:$O$1000,15,FALSE()),"")</f>
        <v/>
      </c>
      <c r="D204" s="1">
        <v>203</v>
      </c>
      <c r="E204" s="1"/>
      <c r="F204" s="1"/>
      <c r="G204" s="54" t="str">
        <f t="shared" si="7"/>
        <v/>
      </c>
      <c r="H204" s="55" t="str">
        <f>IFERROR((VLOOKUP(G204,'Planilha de Cadastro - Previsão'!$A$2:$N$1100,2,FALSE()))," ")</f>
        <v xml:space="preserve"> </v>
      </c>
      <c r="I204" s="54" t="str">
        <f>IFERROR((VLOOKUP(G204,'Planilha de Cadastro - Previsão'!$A$2:$N$1100,3,FALSE()))," ")</f>
        <v xml:space="preserve"> </v>
      </c>
      <c r="J204" s="56" t="str">
        <f>IFERROR((VLOOKUP(G204,'Planilha de Cadastro - Previsão'!$A$2:$N$1100,5,FALSE()))," ")</f>
        <v xml:space="preserve"> </v>
      </c>
      <c r="K204" s="57" t="str">
        <f>IFERROR((VLOOKUP(G204,'Planilha de Cadastro - Previsão'!$A$2:$N$1100,9,FALSE()))," ")</f>
        <v xml:space="preserve"> </v>
      </c>
    </row>
    <row r="205" spans="1:11" x14ac:dyDescent="0.25">
      <c r="A205">
        <f>COUNTIF($C$2:C205,C205)</f>
        <v>204</v>
      </c>
      <c r="B205" s="1" t="str">
        <f t="shared" si="6"/>
        <v>204</v>
      </c>
      <c r="C205" s="1" t="str">
        <f>IFERROR(VLOOKUP(D205,'Planilha de Cadastro - Previsão'!$A$2:$O$1000,15,FALSE()),"")</f>
        <v/>
      </c>
      <c r="D205" s="1">
        <v>204</v>
      </c>
      <c r="E205" s="1"/>
      <c r="F205" s="1"/>
      <c r="G205" s="54" t="str">
        <f t="shared" si="7"/>
        <v/>
      </c>
      <c r="H205" s="55" t="str">
        <f>IFERROR((VLOOKUP(G205,'Planilha de Cadastro - Previsão'!$A$2:$N$1100,2,FALSE()))," ")</f>
        <v xml:space="preserve"> </v>
      </c>
      <c r="I205" s="54" t="str">
        <f>IFERROR((VLOOKUP(G205,'Planilha de Cadastro - Previsão'!$A$2:$N$1100,3,FALSE()))," ")</f>
        <v xml:space="preserve"> </v>
      </c>
      <c r="J205" s="56" t="str">
        <f>IFERROR((VLOOKUP(G205,'Planilha de Cadastro - Previsão'!$A$2:$N$1100,5,FALSE()))," ")</f>
        <v xml:space="preserve"> </v>
      </c>
      <c r="K205" s="57" t="str">
        <f>IFERROR((VLOOKUP(G205,'Planilha de Cadastro - Previsão'!$A$2:$N$1100,9,FALSE()))," ")</f>
        <v xml:space="preserve"> </v>
      </c>
    </row>
    <row r="206" spans="1:11" x14ac:dyDescent="0.25">
      <c r="A206">
        <f>COUNTIF($C$2:C206,C206)</f>
        <v>205</v>
      </c>
      <c r="B206" s="1" t="str">
        <f t="shared" si="6"/>
        <v>205</v>
      </c>
      <c r="C206" s="1" t="str">
        <f>IFERROR(VLOOKUP(D206,'Planilha de Cadastro - Previsão'!$A$2:$O$1000,15,FALSE()),"")</f>
        <v/>
      </c>
      <c r="D206" s="1">
        <v>205</v>
      </c>
      <c r="E206" s="1"/>
      <c r="F206" s="1"/>
      <c r="G206" s="54" t="str">
        <f t="shared" si="7"/>
        <v/>
      </c>
      <c r="H206" s="55" t="str">
        <f>IFERROR((VLOOKUP(G206,'Planilha de Cadastro - Previsão'!$A$2:$N$1100,2,FALSE()))," ")</f>
        <v xml:space="preserve"> </v>
      </c>
      <c r="I206" s="54" t="str">
        <f>IFERROR((VLOOKUP(G206,'Planilha de Cadastro - Previsão'!$A$2:$N$1100,3,FALSE()))," ")</f>
        <v xml:space="preserve"> </v>
      </c>
      <c r="J206" s="56" t="str">
        <f>IFERROR((VLOOKUP(G206,'Planilha de Cadastro - Previsão'!$A$2:$N$1100,5,FALSE()))," ")</f>
        <v xml:space="preserve"> </v>
      </c>
      <c r="K206" s="57" t="str">
        <f>IFERROR((VLOOKUP(G206,'Planilha de Cadastro - Previsão'!$A$2:$N$1100,9,FALSE()))," ")</f>
        <v xml:space="preserve"> </v>
      </c>
    </row>
    <row r="207" spans="1:11" x14ac:dyDescent="0.25">
      <c r="A207">
        <f>COUNTIF($C$2:C207,C207)</f>
        <v>206</v>
      </c>
      <c r="B207" s="1" t="str">
        <f t="shared" si="6"/>
        <v>206</v>
      </c>
      <c r="C207" s="1" t="str">
        <f>IFERROR(VLOOKUP(D207,'Planilha de Cadastro - Previsão'!$A$2:$O$1000,15,FALSE()),"")</f>
        <v/>
      </c>
      <c r="D207" s="1">
        <v>206</v>
      </c>
      <c r="E207" s="1"/>
      <c r="F207" s="1"/>
      <c r="G207" s="54" t="str">
        <f t="shared" si="7"/>
        <v/>
      </c>
      <c r="H207" s="55" t="str">
        <f>IFERROR((VLOOKUP(G207,'Planilha de Cadastro - Previsão'!$A$2:$N$1100,2,FALSE()))," ")</f>
        <v xml:space="preserve"> </v>
      </c>
      <c r="I207" s="54" t="str">
        <f>IFERROR((VLOOKUP(G207,'Planilha de Cadastro - Previsão'!$A$2:$N$1100,3,FALSE()))," ")</f>
        <v xml:space="preserve"> </v>
      </c>
      <c r="J207" s="56" t="str">
        <f>IFERROR((VLOOKUP(G207,'Planilha de Cadastro - Previsão'!$A$2:$N$1100,5,FALSE()))," ")</f>
        <v xml:space="preserve"> </v>
      </c>
      <c r="K207" s="57" t="str">
        <f>IFERROR((VLOOKUP(G207,'Planilha de Cadastro - Previsão'!$A$2:$N$1100,9,FALSE()))," ")</f>
        <v xml:space="preserve"> </v>
      </c>
    </row>
    <row r="208" spans="1:11" x14ac:dyDescent="0.25">
      <c r="A208">
        <f>COUNTIF($C$2:C208,C208)</f>
        <v>207</v>
      </c>
      <c r="B208" s="1" t="str">
        <f t="shared" si="6"/>
        <v>207</v>
      </c>
      <c r="C208" s="1" t="str">
        <f>IFERROR(VLOOKUP(D208,'Planilha de Cadastro - Previsão'!$A$2:$O$1000,15,FALSE()),"")</f>
        <v/>
      </c>
      <c r="D208" s="1">
        <v>207</v>
      </c>
      <c r="E208" s="1"/>
      <c r="F208" s="1"/>
      <c r="G208" s="54" t="str">
        <f t="shared" si="7"/>
        <v/>
      </c>
      <c r="H208" s="55" t="str">
        <f>IFERROR((VLOOKUP(G208,'Planilha de Cadastro - Previsão'!$A$2:$N$1100,2,FALSE()))," ")</f>
        <v xml:space="preserve"> </v>
      </c>
      <c r="I208" s="54" t="str">
        <f>IFERROR((VLOOKUP(G208,'Planilha de Cadastro - Previsão'!$A$2:$N$1100,3,FALSE()))," ")</f>
        <v xml:space="preserve"> </v>
      </c>
      <c r="J208" s="56" t="str">
        <f>IFERROR((VLOOKUP(G208,'Planilha de Cadastro - Previsão'!$A$2:$N$1100,5,FALSE()))," ")</f>
        <v xml:space="preserve"> </v>
      </c>
      <c r="K208" s="57" t="str">
        <f>IFERROR((VLOOKUP(G208,'Planilha de Cadastro - Previsão'!$A$2:$N$1100,9,FALSE()))," ")</f>
        <v xml:space="preserve"> </v>
      </c>
    </row>
    <row r="209" spans="1:11" x14ac:dyDescent="0.25">
      <c r="A209">
        <f>COUNTIF($C$2:C209,C209)</f>
        <v>208</v>
      </c>
      <c r="B209" s="1" t="str">
        <f t="shared" si="6"/>
        <v>208</v>
      </c>
      <c r="C209" s="1" t="str">
        <f>IFERROR(VLOOKUP(D209,'Planilha de Cadastro - Previsão'!$A$2:$O$1000,15,FALSE()),"")</f>
        <v/>
      </c>
      <c r="D209" s="1">
        <v>208</v>
      </c>
      <c r="E209" s="1"/>
      <c r="F209" s="1"/>
      <c r="G209" s="54" t="str">
        <f t="shared" si="7"/>
        <v/>
      </c>
      <c r="H209" s="55" t="str">
        <f>IFERROR((VLOOKUP(G209,'Planilha de Cadastro - Previsão'!$A$2:$N$1100,2,FALSE()))," ")</f>
        <v xml:space="preserve"> </v>
      </c>
      <c r="I209" s="54" t="str">
        <f>IFERROR((VLOOKUP(G209,'Planilha de Cadastro - Previsão'!$A$2:$N$1100,3,FALSE()))," ")</f>
        <v xml:space="preserve"> </v>
      </c>
      <c r="J209" s="56" t="str">
        <f>IFERROR((VLOOKUP(G209,'Planilha de Cadastro - Previsão'!$A$2:$N$1100,5,FALSE()))," ")</f>
        <v xml:space="preserve"> </v>
      </c>
      <c r="K209" s="57" t="str">
        <f>IFERROR((VLOOKUP(G209,'Planilha de Cadastro - Previsão'!$A$2:$N$1100,9,FALSE()))," ")</f>
        <v xml:space="preserve"> </v>
      </c>
    </row>
    <row r="210" spans="1:11" x14ac:dyDescent="0.25">
      <c r="A210">
        <f>COUNTIF($C$2:C210,C210)</f>
        <v>209</v>
      </c>
      <c r="B210" s="1" t="str">
        <f t="shared" si="6"/>
        <v>209</v>
      </c>
      <c r="C210" s="1" t="str">
        <f>IFERROR(VLOOKUP(D210,'Planilha de Cadastro - Previsão'!$A$2:$O$1000,15,FALSE()),"")</f>
        <v/>
      </c>
      <c r="D210" s="1">
        <v>209</v>
      </c>
      <c r="E210" s="1"/>
      <c r="F210" s="1"/>
      <c r="G210" s="54" t="str">
        <f t="shared" si="7"/>
        <v/>
      </c>
      <c r="H210" s="55" t="str">
        <f>IFERROR((VLOOKUP(G210,'Planilha de Cadastro - Previsão'!$A$2:$N$1100,2,FALSE()))," ")</f>
        <v xml:space="preserve"> </v>
      </c>
      <c r="I210" s="54" t="str">
        <f>IFERROR((VLOOKUP(G210,'Planilha de Cadastro - Previsão'!$A$2:$N$1100,3,FALSE()))," ")</f>
        <v xml:space="preserve"> </v>
      </c>
      <c r="J210" s="56" t="str">
        <f>IFERROR((VLOOKUP(G210,'Planilha de Cadastro - Previsão'!$A$2:$N$1100,5,FALSE()))," ")</f>
        <v xml:space="preserve"> </v>
      </c>
      <c r="K210" s="57" t="str">
        <f>IFERROR((VLOOKUP(G210,'Planilha de Cadastro - Previsão'!$A$2:$N$1100,9,FALSE()))," ")</f>
        <v xml:space="preserve"> </v>
      </c>
    </row>
    <row r="211" spans="1:11" x14ac:dyDescent="0.25">
      <c r="A211">
        <f>COUNTIF($C$2:C211,C211)</f>
        <v>210</v>
      </c>
      <c r="B211" s="1" t="str">
        <f t="shared" si="6"/>
        <v>210</v>
      </c>
      <c r="C211" s="1" t="str">
        <f>IFERROR(VLOOKUP(D211,'Planilha de Cadastro - Previsão'!$A$2:$O$1000,15,FALSE()),"")</f>
        <v/>
      </c>
      <c r="D211" s="1">
        <v>210</v>
      </c>
      <c r="E211" s="1"/>
      <c r="F211" s="1"/>
      <c r="G211" s="54" t="str">
        <f t="shared" si="7"/>
        <v/>
      </c>
      <c r="H211" s="55" t="str">
        <f>IFERROR((VLOOKUP(G211,'Planilha de Cadastro - Previsão'!$A$2:$N$1100,2,FALSE()))," ")</f>
        <v xml:space="preserve"> </v>
      </c>
      <c r="I211" s="54" t="str">
        <f>IFERROR((VLOOKUP(G211,'Planilha de Cadastro - Previsão'!$A$2:$N$1100,3,FALSE()))," ")</f>
        <v xml:space="preserve"> </v>
      </c>
      <c r="J211" s="56" t="str">
        <f>IFERROR((VLOOKUP(G211,'Planilha de Cadastro - Previsão'!$A$2:$N$1100,5,FALSE()))," ")</f>
        <v xml:space="preserve"> </v>
      </c>
      <c r="K211" s="57" t="str">
        <f>IFERROR((VLOOKUP(G211,'Planilha de Cadastro - Previsão'!$A$2:$N$1100,9,FALSE()))," ")</f>
        <v xml:space="preserve"> </v>
      </c>
    </row>
    <row r="212" spans="1:11" x14ac:dyDescent="0.25">
      <c r="A212">
        <f>COUNTIF($C$2:C212,C212)</f>
        <v>211</v>
      </c>
      <c r="B212" s="1" t="str">
        <f t="shared" si="6"/>
        <v>211</v>
      </c>
      <c r="C212" s="1" t="str">
        <f>IFERROR(VLOOKUP(D212,'Planilha de Cadastro - Previsão'!$A$2:$O$1000,15,FALSE()),"")</f>
        <v/>
      </c>
      <c r="D212" s="1">
        <v>211</v>
      </c>
      <c r="E212" s="1"/>
      <c r="F212" s="1"/>
      <c r="G212" s="54" t="str">
        <f t="shared" si="7"/>
        <v/>
      </c>
      <c r="H212" s="55" t="str">
        <f>IFERROR((VLOOKUP(G212,'Planilha de Cadastro - Previsão'!$A$2:$N$1100,2,FALSE()))," ")</f>
        <v xml:space="preserve"> </v>
      </c>
      <c r="I212" s="54" t="str">
        <f>IFERROR((VLOOKUP(G212,'Planilha de Cadastro - Previsão'!$A$2:$N$1100,3,FALSE()))," ")</f>
        <v xml:space="preserve"> </v>
      </c>
      <c r="J212" s="56" t="str">
        <f>IFERROR((VLOOKUP(G212,'Planilha de Cadastro - Previsão'!$A$2:$N$1100,5,FALSE()))," ")</f>
        <v xml:space="preserve"> </v>
      </c>
      <c r="K212" s="57" t="str">
        <f>IFERROR((VLOOKUP(G212,'Planilha de Cadastro - Previsão'!$A$2:$N$1100,9,FALSE()))," ")</f>
        <v xml:space="preserve"> </v>
      </c>
    </row>
    <row r="213" spans="1:11" x14ac:dyDescent="0.25">
      <c r="A213">
        <f>COUNTIF($C$2:C213,C213)</f>
        <v>212</v>
      </c>
      <c r="B213" s="1" t="str">
        <f t="shared" si="6"/>
        <v>212</v>
      </c>
      <c r="C213" s="1" t="str">
        <f>IFERROR(VLOOKUP(D213,'Planilha de Cadastro - Previsão'!$A$2:$O$1000,15,FALSE()),"")</f>
        <v/>
      </c>
      <c r="D213" s="1">
        <v>212</v>
      </c>
      <c r="E213" s="1"/>
      <c r="F213" s="1"/>
      <c r="G213" s="54" t="str">
        <f t="shared" si="7"/>
        <v/>
      </c>
      <c r="H213" s="55" t="str">
        <f>IFERROR((VLOOKUP(G213,'Planilha de Cadastro - Previsão'!$A$2:$N$1100,2,FALSE()))," ")</f>
        <v xml:space="preserve"> </v>
      </c>
      <c r="I213" s="54" t="str">
        <f>IFERROR((VLOOKUP(G213,'Planilha de Cadastro - Previsão'!$A$2:$N$1100,3,FALSE()))," ")</f>
        <v xml:space="preserve"> </v>
      </c>
      <c r="J213" s="56" t="str">
        <f>IFERROR((VLOOKUP(G213,'Planilha de Cadastro - Previsão'!$A$2:$N$1100,5,FALSE()))," ")</f>
        <v xml:space="preserve"> </v>
      </c>
      <c r="K213" s="57" t="str">
        <f>IFERROR((VLOOKUP(G213,'Planilha de Cadastro - Previsão'!$A$2:$N$1100,9,FALSE()))," ")</f>
        <v xml:space="preserve"> </v>
      </c>
    </row>
    <row r="214" spans="1:11" x14ac:dyDescent="0.25">
      <c r="A214">
        <f>COUNTIF($C$2:C214,C214)</f>
        <v>213</v>
      </c>
      <c r="B214" s="1" t="str">
        <f t="shared" si="6"/>
        <v>213</v>
      </c>
      <c r="C214" s="1" t="str">
        <f>IFERROR(VLOOKUP(D214,'Planilha de Cadastro - Previsão'!$A$2:$O$1000,15,FALSE()),"")</f>
        <v/>
      </c>
      <c r="D214" s="1">
        <v>213</v>
      </c>
      <c r="E214" s="1"/>
      <c r="F214" s="1"/>
      <c r="G214" s="54" t="str">
        <f t="shared" si="7"/>
        <v/>
      </c>
      <c r="H214" s="55" t="str">
        <f>IFERROR((VLOOKUP(G214,'Planilha de Cadastro - Previsão'!$A$2:$N$1100,2,FALSE()))," ")</f>
        <v xml:space="preserve"> </v>
      </c>
      <c r="I214" s="54" t="str">
        <f>IFERROR((VLOOKUP(G214,'Planilha de Cadastro - Previsão'!$A$2:$N$1100,3,FALSE()))," ")</f>
        <v xml:space="preserve"> </v>
      </c>
      <c r="J214" s="56" t="str">
        <f>IFERROR((VLOOKUP(G214,'Planilha de Cadastro - Previsão'!$A$2:$N$1100,5,FALSE()))," ")</f>
        <v xml:space="preserve"> </v>
      </c>
      <c r="K214" s="57" t="str">
        <f>IFERROR((VLOOKUP(G214,'Planilha de Cadastro - Previsão'!$A$2:$N$1100,9,FALSE()))," ")</f>
        <v xml:space="preserve"> </v>
      </c>
    </row>
    <row r="215" spans="1:11" x14ac:dyDescent="0.25">
      <c r="A215">
        <f>COUNTIF($C$2:C215,C215)</f>
        <v>214</v>
      </c>
      <c r="B215" s="1" t="str">
        <f t="shared" si="6"/>
        <v>214</v>
      </c>
      <c r="C215" s="1" t="str">
        <f>IFERROR(VLOOKUP(D215,'Planilha de Cadastro - Previsão'!$A$2:$O$1000,15,FALSE()),"")</f>
        <v/>
      </c>
      <c r="D215" s="1">
        <v>214</v>
      </c>
      <c r="E215" s="1"/>
      <c r="F215" s="1"/>
      <c r="G215" s="54" t="str">
        <f t="shared" si="7"/>
        <v/>
      </c>
      <c r="H215" s="55" t="str">
        <f>IFERROR((VLOOKUP(G215,'Planilha de Cadastro - Previsão'!$A$2:$N$1100,2,FALSE()))," ")</f>
        <v xml:space="preserve"> </v>
      </c>
      <c r="I215" s="54" t="str">
        <f>IFERROR((VLOOKUP(G215,'Planilha de Cadastro - Previsão'!$A$2:$N$1100,3,FALSE()))," ")</f>
        <v xml:space="preserve"> </v>
      </c>
      <c r="J215" s="56" t="str">
        <f>IFERROR((VLOOKUP(G215,'Planilha de Cadastro - Previsão'!$A$2:$N$1100,5,FALSE()))," ")</f>
        <v xml:space="preserve"> </v>
      </c>
      <c r="K215" s="57" t="str">
        <f>IFERROR((VLOOKUP(G215,'Planilha de Cadastro - Previsão'!$A$2:$N$1100,9,FALSE()))," ")</f>
        <v xml:space="preserve"> </v>
      </c>
    </row>
    <row r="216" spans="1:11" x14ac:dyDescent="0.25">
      <c r="A216">
        <f>COUNTIF($C$2:C216,C216)</f>
        <v>215</v>
      </c>
      <c r="B216" s="1" t="str">
        <f t="shared" si="6"/>
        <v>215</v>
      </c>
      <c r="C216" s="1" t="str">
        <f>IFERROR(VLOOKUP(D216,'Planilha de Cadastro - Previsão'!$A$2:$O$1000,15,FALSE()),"")</f>
        <v/>
      </c>
      <c r="D216" s="1">
        <v>215</v>
      </c>
      <c r="E216" s="1"/>
      <c r="F216" s="1"/>
      <c r="G216" s="54" t="str">
        <f t="shared" si="7"/>
        <v/>
      </c>
      <c r="H216" s="55" t="str">
        <f>IFERROR((VLOOKUP(G216,'Planilha de Cadastro - Previsão'!$A$2:$N$1100,2,FALSE()))," ")</f>
        <v xml:space="preserve"> </v>
      </c>
      <c r="I216" s="54" t="str">
        <f>IFERROR((VLOOKUP(G216,'Planilha de Cadastro - Previsão'!$A$2:$N$1100,3,FALSE()))," ")</f>
        <v xml:space="preserve"> </v>
      </c>
      <c r="J216" s="56" t="str">
        <f>IFERROR((VLOOKUP(G216,'Planilha de Cadastro - Previsão'!$A$2:$N$1100,5,FALSE()))," ")</f>
        <v xml:space="preserve"> </v>
      </c>
      <c r="K216" s="57" t="str">
        <f>IFERROR((VLOOKUP(G216,'Planilha de Cadastro - Previsão'!$A$2:$N$1100,9,FALSE()))," ")</f>
        <v xml:space="preserve"> </v>
      </c>
    </row>
    <row r="217" spans="1:11" x14ac:dyDescent="0.25">
      <c r="A217">
        <f>COUNTIF($C$2:C217,C217)</f>
        <v>216</v>
      </c>
      <c r="B217" s="1" t="str">
        <f t="shared" si="6"/>
        <v>216</v>
      </c>
      <c r="C217" s="1" t="str">
        <f>IFERROR(VLOOKUP(D217,'Planilha de Cadastro - Previsão'!$A$2:$O$1000,15,FALSE()),"")</f>
        <v/>
      </c>
      <c r="D217" s="1">
        <v>216</v>
      </c>
      <c r="E217" s="1"/>
      <c r="F217" s="1"/>
      <c r="G217" s="54" t="str">
        <f t="shared" si="7"/>
        <v/>
      </c>
      <c r="H217" s="55" t="str">
        <f>IFERROR((VLOOKUP(G217,'Planilha de Cadastro - Previsão'!$A$2:$N$1100,2,FALSE()))," ")</f>
        <v xml:space="preserve"> </v>
      </c>
      <c r="I217" s="54" t="str">
        <f>IFERROR((VLOOKUP(G217,'Planilha de Cadastro - Previsão'!$A$2:$N$1100,3,FALSE()))," ")</f>
        <v xml:space="preserve"> </v>
      </c>
      <c r="J217" s="56" t="str">
        <f>IFERROR((VLOOKUP(G217,'Planilha de Cadastro - Previsão'!$A$2:$N$1100,5,FALSE()))," ")</f>
        <v xml:space="preserve"> </v>
      </c>
      <c r="K217" s="57" t="str">
        <f>IFERROR((VLOOKUP(G217,'Planilha de Cadastro - Previsão'!$A$2:$N$1100,9,FALSE()))," ")</f>
        <v xml:space="preserve"> </v>
      </c>
    </row>
    <row r="218" spans="1:11" x14ac:dyDescent="0.25">
      <c r="A218">
        <f>COUNTIF($C$2:C218,C218)</f>
        <v>217</v>
      </c>
      <c r="B218" s="1" t="str">
        <f t="shared" si="6"/>
        <v>217</v>
      </c>
      <c r="C218" s="1" t="str">
        <f>IFERROR(VLOOKUP(D218,'Planilha de Cadastro - Previsão'!$A$2:$O$1000,15,FALSE()),"")</f>
        <v/>
      </c>
      <c r="D218" s="1">
        <v>217</v>
      </c>
      <c r="E218" s="1"/>
      <c r="F218" s="1"/>
      <c r="G218" s="54" t="str">
        <f t="shared" si="7"/>
        <v/>
      </c>
      <c r="H218" s="55" t="str">
        <f>IFERROR((VLOOKUP(G218,'Planilha de Cadastro - Previsão'!$A$2:$N$1100,2,FALSE()))," ")</f>
        <v xml:space="preserve"> </v>
      </c>
      <c r="I218" s="54" t="str">
        <f>IFERROR((VLOOKUP(G218,'Planilha de Cadastro - Previsão'!$A$2:$N$1100,3,FALSE()))," ")</f>
        <v xml:space="preserve"> </v>
      </c>
      <c r="J218" s="56" t="str">
        <f>IFERROR((VLOOKUP(G218,'Planilha de Cadastro - Previsão'!$A$2:$N$1100,5,FALSE()))," ")</f>
        <v xml:space="preserve"> </v>
      </c>
      <c r="K218" s="57" t="str">
        <f>IFERROR((VLOOKUP(G218,'Planilha de Cadastro - Previsão'!$A$2:$N$1100,9,FALSE()))," ")</f>
        <v xml:space="preserve"> </v>
      </c>
    </row>
    <row r="219" spans="1:11" x14ac:dyDescent="0.25">
      <c r="A219">
        <f>COUNTIF($C$2:C219,C219)</f>
        <v>218</v>
      </c>
      <c r="B219" s="1" t="str">
        <f t="shared" si="6"/>
        <v>218</v>
      </c>
      <c r="C219" s="1" t="str">
        <f>IFERROR(VLOOKUP(D219,'Planilha de Cadastro - Previsão'!$A$2:$O$1000,15,FALSE()),"")</f>
        <v/>
      </c>
      <c r="D219" s="1">
        <v>218</v>
      </c>
      <c r="E219" s="1"/>
      <c r="F219" s="1"/>
      <c r="G219" s="54" t="str">
        <f t="shared" si="7"/>
        <v/>
      </c>
      <c r="H219" s="55" t="str">
        <f>IFERROR((VLOOKUP(G219,'Planilha de Cadastro - Previsão'!$A$2:$N$1100,2,FALSE()))," ")</f>
        <v xml:space="preserve"> </v>
      </c>
      <c r="I219" s="54" t="str">
        <f>IFERROR((VLOOKUP(G219,'Planilha de Cadastro - Previsão'!$A$2:$N$1100,3,FALSE()))," ")</f>
        <v xml:space="preserve"> </v>
      </c>
      <c r="J219" s="56" t="str">
        <f>IFERROR((VLOOKUP(G219,'Planilha de Cadastro - Previsão'!$A$2:$N$1100,5,FALSE()))," ")</f>
        <v xml:space="preserve"> </v>
      </c>
      <c r="K219" s="57" t="str">
        <f>IFERROR((VLOOKUP(G219,'Planilha de Cadastro - Previsão'!$A$2:$N$1100,9,FALSE()))," ")</f>
        <v xml:space="preserve"> </v>
      </c>
    </row>
    <row r="220" spans="1:11" x14ac:dyDescent="0.25">
      <c r="A220">
        <f>COUNTIF($C$2:C220,C220)</f>
        <v>219</v>
      </c>
      <c r="B220" s="1" t="str">
        <f t="shared" si="6"/>
        <v>219</v>
      </c>
      <c r="C220" s="1" t="str">
        <f>IFERROR(VLOOKUP(D220,'Planilha de Cadastro - Previsão'!$A$2:$O$1000,15,FALSE()),"")</f>
        <v/>
      </c>
      <c r="D220" s="1">
        <v>219</v>
      </c>
      <c r="E220" s="1"/>
      <c r="F220" s="1"/>
      <c r="G220" s="54" t="str">
        <f t="shared" si="7"/>
        <v/>
      </c>
      <c r="H220" s="55" t="str">
        <f>IFERROR((VLOOKUP(G220,'Planilha de Cadastro - Previsão'!$A$2:$N$1100,2,FALSE()))," ")</f>
        <v xml:space="preserve"> </v>
      </c>
      <c r="I220" s="54" t="str">
        <f>IFERROR((VLOOKUP(G220,'Planilha de Cadastro - Previsão'!$A$2:$N$1100,3,FALSE()))," ")</f>
        <v xml:space="preserve"> </v>
      </c>
      <c r="J220" s="56" t="str">
        <f>IFERROR((VLOOKUP(G220,'Planilha de Cadastro - Previsão'!$A$2:$N$1100,5,FALSE()))," ")</f>
        <v xml:space="preserve"> </v>
      </c>
      <c r="K220" s="57" t="str">
        <f>IFERROR((VLOOKUP(G220,'Planilha de Cadastro - Previsão'!$A$2:$N$1100,9,FALSE()))," ")</f>
        <v xml:space="preserve"> </v>
      </c>
    </row>
    <row r="221" spans="1:11" x14ac:dyDescent="0.25">
      <c r="A221">
        <f>COUNTIF($C$2:C221,C221)</f>
        <v>220</v>
      </c>
      <c r="B221" s="1" t="str">
        <f t="shared" si="6"/>
        <v>220</v>
      </c>
      <c r="C221" s="1" t="str">
        <f>IFERROR(VLOOKUP(D221,'Planilha de Cadastro - Previsão'!$A$2:$O$1000,15,FALSE()),"")</f>
        <v/>
      </c>
      <c r="D221" s="1">
        <v>220</v>
      </c>
      <c r="E221" s="1"/>
      <c r="F221" s="1"/>
      <c r="G221" s="54" t="str">
        <f t="shared" si="7"/>
        <v/>
      </c>
      <c r="H221" s="55" t="str">
        <f>IFERROR((VLOOKUP(G221,'Planilha de Cadastro - Previsão'!$A$2:$N$1100,2,FALSE()))," ")</f>
        <v xml:space="preserve"> </v>
      </c>
      <c r="I221" s="54" t="str">
        <f>IFERROR((VLOOKUP(G221,'Planilha de Cadastro - Previsão'!$A$2:$N$1100,3,FALSE()))," ")</f>
        <v xml:space="preserve"> </v>
      </c>
      <c r="J221" s="56" t="str">
        <f>IFERROR((VLOOKUP(G221,'Planilha de Cadastro - Previsão'!$A$2:$N$1100,5,FALSE()))," ")</f>
        <v xml:space="preserve"> </v>
      </c>
      <c r="K221" s="57" t="str">
        <f>IFERROR((VLOOKUP(G221,'Planilha de Cadastro - Previsão'!$A$2:$N$1100,9,FALSE()))," ")</f>
        <v xml:space="preserve"> </v>
      </c>
    </row>
    <row r="222" spans="1:11" x14ac:dyDescent="0.25">
      <c r="A222">
        <f>COUNTIF($C$2:C222,C222)</f>
        <v>221</v>
      </c>
      <c r="B222" s="1" t="str">
        <f t="shared" si="6"/>
        <v>221</v>
      </c>
      <c r="C222" s="1" t="str">
        <f>IFERROR(VLOOKUP(D222,'Planilha de Cadastro - Previsão'!$A$2:$O$1000,15,FALSE()),"")</f>
        <v/>
      </c>
      <c r="D222" s="1">
        <v>221</v>
      </c>
      <c r="E222" s="1"/>
      <c r="F222" s="1"/>
      <c r="G222" s="54" t="str">
        <f t="shared" si="7"/>
        <v/>
      </c>
      <c r="H222" s="55" t="str">
        <f>IFERROR((VLOOKUP(G222,'Planilha de Cadastro - Previsão'!$A$2:$N$1100,2,FALSE()))," ")</f>
        <v xml:space="preserve"> </v>
      </c>
      <c r="I222" s="54" t="str">
        <f>IFERROR((VLOOKUP(G222,'Planilha de Cadastro - Previsão'!$A$2:$N$1100,3,FALSE()))," ")</f>
        <v xml:space="preserve"> </v>
      </c>
      <c r="J222" s="56" t="str">
        <f>IFERROR((VLOOKUP(G222,'Planilha de Cadastro - Previsão'!$A$2:$N$1100,5,FALSE()))," ")</f>
        <v xml:space="preserve"> </v>
      </c>
      <c r="K222" s="57" t="str">
        <f>IFERROR((VLOOKUP(G222,'Planilha de Cadastro - Previsão'!$A$2:$N$1100,9,FALSE()))," ")</f>
        <v xml:space="preserve"> </v>
      </c>
    </row>
    <row r="223" spans="1:11" x14ac:dyDescent="0.25">
      <c r="A223">
        <f>COUNTIF($C$2:C223,C223)</f>
        <v>222</v>
      </c>
      <c r="B223" s="1" t="str">
        <f t="shared" si="6"/>
        <v>222</v>
      </c>
      <c r="C223" s="1" t="str">
        <f>IFERROR(VLOOKUP(D223,'Planilha de Cadastro - Previsão'!$A$2:$O$1000,15,FALSE()),"")</f>
        <v/>
      </c>
      <c r="D223" s="1">
        <v>222</v>
      </c>
      <c r="E223" s="1"/>
      <c r="F223" s="1"/>
      <c r="G223" s="54" t="str">
        <f t="shared" si="7"/>
        <v/>
      </c>
      <c r="H223" s="55" t="str">
        <f>IFERROR((VLOOKUP(G223,'Planilha de Cadastro - Previsão'!$A$2:$N$1100,2,FALSE()))," ")</f>
        <v xml:space="preserve"> </v>
      </c>
      <c r="I223" s="54" t="str">
        <f>IFERROR((VLOOKUP(G223,'Planilha de Cadastro - Previsão'!$A$2:$N$1100,3,FALSE()))," ")</f>
        <v xml:space="preserve"> </v>
      </c>
      <c r="J223" s="56" t="str">
        <f>IFERROR((VLOOKUP(G223,'Planilha de Cadastro - Previsão'!$A$2:$N$1100,5,FALSE()))," ")</f>
        <v xml:space="preserve"> </v>
      </c>
      <c r="K223" s="57" t="str">
        <f>IFERROR((VLOOKUP(G223,'Planilha de Cadastro - Previsão'!$A$2:$N$1100,9,FALSE()))," ")</f>
        <v xml:space="preserve"> </v>
      </c>
    </row>
    <row r="224" spans="1:11" x14ac:dyDescent="0.25">
      <c r="A224">
        <f>COUNTIF($C$2:C224,C224)</f>
        <v>223</v>
      </c>
      <c r="B224" s="1" t="str">
        <f t="shared" si="6"/>
        <v>223</v>
      </c>
      <c r="C224" s="1" t="str">
        <f>IFERROR(VLOOKUP(D224,'Planilha de Cadastro - Previsão'!$A$2:$O$1000,15,FALSE()),"")</f>
        <v/>
      </c>
      <c r="D224" s="1">
        <v>223</v>
      </c>
      <c r="E224" s="1"/>
      <c r="F224" s="1"/>
      <c r="G224" s="54" t="str">
        <f t="shared" si="7"/>
        <v/>
      </c>
      <c r="H224" s="55" t="str">
        <f>IFERROR((VLOOKUP(G224,'Planilha de Cadastro - Previsão'!$A$2:$N$1100,2,FALSE()))," ")</f>
        <v xml:space="preserve"> </v>
      </c>
      <c r="I224" s="54" t="str">
        <f>IFERROR((VLOOKUP(G224,'Planilha de Cadastro - Previsão'!$A$2:$N$1100,3,FALSE()))," ")</f>
        <v xml:space="preserve"> </v>
      </c>
      <c r="J224" s="56" t="str">
        <f>IFERROR((VLOOKUP(G224,'Planilha de Cadastro - Previsão'!$A$2:$N$1100,5,FALSE()))," ")</f>
        <v xml:space="preserve"> </v>
      </c>
      <c r="K224" s="57" t="str">
        <f>IFERROR((VLOOKUP(G224,'Planilha de Cadastro - Previsão'!$A$2:$N$1100,9,FALSE()))," ")</f>
        <v xml:space="preserve"> </v>
      </c>
    </row>
    <row r="225" spans="1:11" x14ac:dyDescent="0.25">
      <c r="A225">
        <f>COUNTIF($C$2:C225,C225)</f>
        <v>224</v>
      </c>
      <c r="B225" s="1" t="str">
        <f t="shared" si="6"/>
        <v>224</v>
      </c>
      <c r="C225" s="1" t="str">
        <f>IFERROR(VLOOKUP(D225,'Planilha de Cadastro - Previsão'!$A$2:$O$1000,15,FALSE()),"")</f>
        <v/>
      </c>
      <c r="D225" s="1">
        <v>224</v>
      </c>
      <c r="E225" s="1"/>
      <c r="F225" s="1"/>
      <c r="G225" s="54" t="str">
        <f t="shared" si="7"/>
        <v/>
      </c>
      <c r="H225" s="55" t="str">
        <f>IFERROR((VLOOKUP(G225,'Planilha de Cadastro - Previsão'!$A$2:$N$1100,2,FALSE()))," ")</f>
        <v xml:space="preserve"> </v>
      </c>
      <c r="I225" s="54" t="str">
        <f>IFERROR((VLOOKUP(G225,'Planilha de Cadastro - Previsão'!$A$2:$N$1100,3,FALSE()))," ")</f>
        <v xml:space="preserve"> </v>
      </c>
      <c r="J225" s="56" t="str">
        <f>IFERROR((VLOOKUP(G225,'Planilha de Cadastro - Previsão'!$A$2:$N$1100,5,FALSE()))," ")</f>
        <v xml:space="preserve"> </v>
      </c>
      <c r="K225" s="57" t="str">
        <f>IFERROR((VLOOKUP(G225,'Planilha de Cadastro - Previsão'!$A$2:$N$1100,9,FALSE()))," ")</f>
        <v xml:space="preserve"> </v>
      </c>
    </row>
    <row r="226" spans="1:11" x14ac:dyDescent="0.25">
      <c r="A226">
        <f>COUNTIF($C$2:C226,C226)</f>
        <v>225</v>
      </c>
      <c r="B226" s="1" t="str">
        <f t="shared" si="6"/>
        <v>225</v>
      </c>
      <c r="C226" s="1" t="str">
        <f>IFERROR(VLOOKUP(D226,'Planilha de Cadastro - Previsão'!$A$2:$O$1000,15,FALSE()),"")</f>
        <v/>
      </c>
      <c r="D226" s="1">
        <v>225</v>
      </c>
      <c r="E226" s="1"/>
      <c r="F226" s="1"/>
      <c r="G226" s="54" t="str">
        <f t="shared" si="7"/>
        <v/>
      </c>
      <c r="H226" s="55" t="str">
        <f>IFERROR((VLOOKUP(G226,'Planilha de Cadastro - Previsão'!$A$2:$N$1100,2,FALSE()))," ")</f>
        <v xml:space="preserve"> </v>
      </c>
      <c r="I226" s="54" t="str">
        <f>IFERROR((VLOOKUP(G226,'Planilha de Cadastro - Previsão'!$A$2:$N$1100,3,FALSE()))," ")</f>
        <v xml:space="preserve"> </v>
      </c>
      <c r="J226" s="56" t="str">
        <f>IFERROR((VLOOKUP(G226,'Planilha de Cadastro - Previsão'!$A$2:$N$1100,5,FALSE()))," ")</f>
        <v xml:space="preserve"> </v>
      </c>
      <c r="K226" s="57" t="str">
        <f>IFERROR((VLOOKUP(G226,'Planilha de Cadastro - Previsão'!$A$2:$N$1100,9,FALSE()))," ")</f>
        <v xml:space="preserve"> </v>
      </c>
    </row>
    <row r="227" spans="1:11" x14ac:dyDescent="0.25">
      <c r="A227">
        <f>COUNTIF($C$2:C227,C227)</f>
        <v>226</v>
      </c>
      <c r="B227" s="1" t="str">
        <f t="shared" si="6"/>
        <v>226</v>
      </c>
      <c r="C227" s="1" t="str">
        <f>IFERROR(VLOOKUP(D227,'Planilha de Cadastro - Previsão'!$A$2:$O$1000,15,FALSE()),"")</f>
        <v/>
      </c>
      <c r="D227" s="1">
        <v>226</v>
      </c>
      <c r="E227" s="1"/>
      <c r="F227" s="1"/>
      <c r="G227" s="54" t="str">
        <f t="shared" si="7"/>
        <v/>
      </c>
      <c r="H227" s="55" t="str">
        <f>IFERROR((VLOOKUP(G227,'Planilha de Cadastro - Previsão'!$A$2:$N$1100,2,FALSE()))," ")</f>
        <v xml:space="preserve"> </v>
      </c>
      <c r="I227" s="54" t="str">
        <f>IFERROR((VLOOKUP(G227,'Planilha de Cadastro - Previsão'!$A$2:$N$1100,3,FALSE()))," ")</f>
        <v xml:space="preserve"> </v>
      </c>
      <c r="J227" s="56" t="str">
        <f>IFERROR((VLOOKUP(G227,'Planilha de Cadastro - Previsão'!$A$2:$N$1100,5,FALSE()))," ")</f>
        <v xml:space="preserve"> </v>
      </c>
      <c r="K227" s="57" t="str">
        <f>IFERROR((VLOOKUP(G227,'Planilha de Cadastro - Previsão'!$A$2:$N$1100,9,FALSE()))," ")</f>
        <v xml:space="preserve"> </v>
      </c>
    </row>
    <row r="228" spans="1:11" x14ac:dyDescent="0.25">
      <c r="A228">
        <f>COUNTIF($C$2:C228,C228)</f>
        <v>227</v>
      </c>
      <c r="B228" s="1" t="str">
        <f t="shared" si="6"/>
        <v>227</v>
      </c>
      <c r="C228" s="1" t="str">
        <f>IFERROR(VLOOKUP(D228,'Planilha de Cadastro - Previsão'!$A$2:$O$1000,15,FALSE()),"")</f>
        <v/>
      </c>
      <c r="D228" s="1">
        <v>227</v>
      </c>
      <c r="E228" s="1"/>
      <c r="F228" s="1"/>
      <c r="G228" s="54" t="str">
        <f t="shared" si="7"/>
        <v/>
      </c>
      <c r="H228" s="55" t="str">
        <f>IFERROR((VLOOKUP(G228,'Planilha de Cadastro - Previsão'!$A$2:$N$1100,2,FALSE()))," ")</f>
        <v xml:space="preserve"> </v>
      </c>
      <c r="I228" s="54" t="str">
        <f>IFERROR((VLOOKUP(G228,'Planilha de Cadastro - Previsão'!$A$2:$N$1100,3,FALSE()))," ")</f>
        <v xml:space="preserve"> </v>
      </c>
      <c r="J228" s="56" t="str">
        <f>IFERROR((VLOOKUP(G228,'Planilha de Cadastro - Previsão'!$A$2:$N$1100,5,FALSE()))," ")</f>
        <v xml:space="preserve"> </v>
      </c>
      <c r="K228" s="57" t="str">
        <f>IFERROR((VLOOKUP(G228,'Planilha de Cadastro - Previsão'!$A$2:$N$1100,9,FALSE()))," ")</f>
        <v xml:space="preserve"> </v>
      </c>
    </row>
    <row r="229" spans="1:11" x14ac:dyDescent="0.25">
      <c r="A229">
        <f>COUNTIF($C$2:C229,C229)</f>
        <v>228</v>
      </c>
      <c r="B229" s="1" t="str">
        <f t="shared" si="6"/>
        <v>228</v>
      </c>
      <c r="C229" s="1" t="str">
        <f>IFERROR(VLOOKUP(D229,'Planilha de Cadastro - Previsão'!$A$2:$O$1000,15,FALSE()),"")</f>
        <v/>
      </c>
      <c r="D229" s="1">
        <v>228</v>
      </c>
      <c r="E229" s="1"/>
      <c r="F229" s="1"/>
      <c r="G229" s="54" t="str">
        <f t="shared" si="7"/>
        <v/>
      </c>
      <c r="H229" s="55" t="str">
        <f>IFERROR((VLOOKUP(G229,'Planilha de Cadastro - Previsão'!$A$2:$N$1100,2,FALSE()))," ")</f>
        <v xml:space="preserve"> </v>
      </c>
      <c r="I229" s="54" t="str">
        <f>IFERROR((VLOOKUP(G229,'Planilha de Cadastro - Previsão'!$A$2:$N$1100,3,FALSE()))," ")</f>
        <v xml:space="preserve"> </v>
      </c>
      <c r="J229" s="56" t="str">
        <f>IFERROR((VLOOKUP(G229,'Planilha de Cadastro - Previsão'!$A$2:$N$1100,5,FALSE()))," ")</f>
        <v xml:space="preserve"> </v>
      </c>
      <c r="K229" s="57" t="str">
        <f>IFERROR((VLOOKUP(G229,'Planilha de Cadastro - Previsão'!$A$2:$N$1100,9,FALSE()))," ")</f>
        <v xml:space="preserve"> </v>
      </c>
    </row>
    <row r="230" spans="1:11" x14ac:dyDescent="0.25">
      <c r="A230">
        <f>COUNTIF($C$2:C230,C230)</f>
        <v>229</v>
      </c>
      <c r="B230" s="1" t="str">
        <f t="shared" si="6"/>
        <v>229</v>
      </c>
      <c r="C230" s="1" t="str">
        <f>IFERROR(VLOOKUP(D230,'Planilha de Cadastro - Previsão'!$A$2:$O$1000,15,FALSE()),"")</f>
        <v/>
      </c>
      <c r="D230" s="1">
        <v>229</v>
      </c>
      <c r="E230" s="1"/>
      <c r="F230" s="1"/>
      <c r="G230" s="54" t="str">
        <f t="shared" si="7"/>
        <v/>
      </c>
      <c r="H230" s="55" t="str">
        <f>IFERROR((VLOOKUP(G230,'Planilha de Cadastro - Previsão'!$A$2:$N$1100,2,FALSE()))," ")</f>
        <v xml:space="preserve"> </v>
      </c>
      <c r="I230" s="54" t="str">
        <f>IFERROR((VLOOKUP(G230,'Planilha de Cadastro - Previsão'!$A$2:$N$1100,3,FALSE()))," ")</f>
        <v xml:space="preserve"> </v>
      </c>
      <c r="J230" s="56" t="str">
        <f>IFERROR((VLOOKUP(G230,'Planilha de Cadastro - Previsão'!$A$2:$N$1100,5,FALSE()))," ")</f>
        <v xml:space="preserve"> </v>
      </c>
      <c r="K230" s="57" t="str">
        <f>IFERROR((VLOOKUP(G230,'Planilha de Cadastro - Previsão'!$A$2:$N$1100,9,FALSE()))," ")</f>
        <v xml:space="preserve"> </v>
      </c>
    </row>
    <row r="231" spans="1:11" x14ac:dyDescent="0.25">
      <c r="A231">
        <f>COUNTIF($C$2:C231,C231)</f>
        <v>230</v>
      </c>
      <c r="B231" s="1" t="str">
        <f t="shared" si="6"/>
        <v>230</v>
      </c>
      <c r="C231" s="1" t="str">
        <f>IFERROR(VLOOKUP(D231,'Planilha de Cadastro - Previsão'!$A$2:$O$1000,15,FALSE()),"")</f>
        <v/>
      </c>
      <c r="D231" s="1">
        <v>230</v>
      </c>
      <c r="E231" s="1"/>
      <c r="F231" s="1"/>
      <c r="G231" s="54" t="str">
        <f t="shared" si="7"/>
        <v/>
      </c>
      <c r="H231" s="55" t="str">
        <f>IFERROR((VLOOKUP(G231,'Planilha de Cadastro - Previsão'!$A$2:$N$1100,2,FALSE()))," ")</f>
        <v xml:space="preserve"> </v>
      </c>
      <c r="I231" s="54" t="str">
        <f>IFERROR((VLOOKUP(G231,'Planilha de Cadastro - Previsão'!$A$2:$N$1100,3,FALSE()))," ")</f>
        <v xml:space="preserve"> </v>
      </c>
      <c r="J231" s="56" t="str">
        <f>IFERROR((VLOOKUP(G231,'Planilha de Cadastro - Previsão'!$A$2:$N$1100,5,FALSE()))," ")</f>
        <v xml:space="preserve"> </v>
      </c>
      <c r="K231" s="57" t="str">
        <f>IFERROR((VLOOKUP(G231,'Planilha de Cadastro - Previsão'!$A$2:$N$1100,9,FALSE()))," ")</f>
        <v xml:space="preserve"> </v>
      </c>
    </row>
    <row r="232" spans="1:11" x14ac:dyDescent="0.25">
      <c r="A232">
        <f>COUNTIF($C$2:C232,C232)</f>
        <v>231</v>
      </c>
      <c r="B232" s="1" t="str">
        <f t="shared" si="6"/>
        <v>231</v>
      </c>
      <c r="C232" s="1" t="str">
        <f>IFERROR(VLOOKUP(D232,'Planilha de Cadastro - Previsão'!$A$2:$O$1000,15,FALSE()),"")</f>
        <v/>
      </c>
      <c r="D232" s="1">
        <v>231</v>
      </c>
      <c r="E232" s="1"/>
      <c r="F232" s="1"/>
      <c r="G232" s="54" t="str">
        <f t="shared" si="7"/>
        <v/>
      </c>
      <c r="H232" s="55" t="str">
        <f>IFERROR((VLOOKUP(G232,'Planilha de Cadastro - Previsão'!$A$2:$N$1100,2,FALSE()))," ")</f>
        <v xml:space="preserve"> </v>
      </c>
      <c r="I232" s="54" t="str">
        <f>IFERROR((VLOOKUP(G232,'Planilha de Cadastro - Previsão'!$A$2:$N$1100,3,FALSE()))," ")</f>
        <v xml:space="preserve"> </v>
      </c>
      <c r="J232" s="56" t="str">
        <f>IFERROR((VLOOKUP(G232,'Planilha de Cadastro - Previsão'!$A$2:$N$1100,5,FALSE()))," ")</f>
        <v xml:space="preserve"> </v>
      </c>
      <c r="K232" s="57" t="str">
        <f>IFERROR((VLOOKUP(G232,'Planilha de Cadastro - Previsão'!$A$2:$N$1100,9,FALSE()))," ")</f>
        <v xml:space="preserve"> </v>
      </c>
    </row>
    <row r="233" spans="1:11" x14ac:dyDescent="0.25">
      <c r="A233">
        <f>COUNTIF($C$2:C233,C233)</f>
        <v>232</v>
      </c>
      <c r="B233" s="1" t="str">
        <f t="shared" si="6"/>
        <v>232</v>
      </c>
      <c r="C233" s="1" t="str">
        <f>IFERROR(VLOOKUP(D233,'Planilha de Cadastro - Previsão'!$A$2:$O$1000,15,FALSE()),"")</f>
        <v/>
      </c>
      <c r="D233" s="1">
        <v>232</v>
      </c>
      <c r="E233" s="1"/>
      <c r="F233" s="1"/>
      <c r="G233" s="54" t="str">
        <f t="shared" si="7"/>
        <v/>
      </c>
      <c r="H233" s="55" t="str">
        <f>IFERROR((VLOOKUP(G233,'Planilha de Cadastro - Previsão'!$A$2:$N$1100,2,FALSE()))," ")</f>
        <v xml:space="preserve"> </v>
      </c>
      <c r="I233" s="54" t="str">
        <f>IFERROR((VLOOKUP(G233,'Planilha de Cadastro - Previsão'!$A$2:$N$1100,3,FALSE()))," ")</f>
        <v xml:space="preserve"> </v>
      </c>
      <c r="J233" s="56" t="str">
        <f>IFERROR((VLOOKUP(G233,'Planilha de Cadastro - Previsão'!$A$2:$N$1100,5,FALSE()))," ")</f>
        <v xml:space="preserve"> </v>
      </c>
      <c r="K233" s="57" t="str">
        <f>IFERROR((VLOOKUP(G233,'Planilha de Cadastro - Previsão'!$A$2:$N$1100,9,FALSE()))," ")</f>
        <v xml:space="preserve"> </v>
      </c>
    </row>
    <row r="234" spans="1:11" x14ac:dyDescent="0.25">
      <c r="A234">
        <f>COUNTIF($C$2:C234,C234)</f>
        <v>233</v>
      </c>
      <c r="B234" s="1" t="str">
        <f t="shared" si="6"/>
        <v>233</v>
      </c>
      <c r="C234" s="1" t="str">
        <f>IFERROR(VLOOKUP(D234,'Planilha de Cadastro - Previsão'!$A$2:$O$1000,15,FALSE()),"")</f>
        <v/>
      </c>
      <c r="D234" s="1">
        <v>233</v>
      </c>
      <c r="E234" s="1"/>
      <c r="F234" s="1"/>
      <c r="G234" s="54" t="str">
        <f t="shared" si="7"/>
        <v/>
      </c>
      <c r="H234" s="55" t="str">
        <f>IFERROR((VLOOKUP(G234,'Planilha de Cadastro - Previsão'!$A$2:$N$1100,2,FALSE()))," ")</f>
        <v xml:space="preserve"> </v>
      </c>
      <c r="I234" s="54" t="str">
        <f>IFERROR((VLOOKUP(G234,'Planilha de Cadastro - Previsão'!$A$2:$N$1100,3,FALSE()))," ")</f>
        <v xml:space="preserve"> </v>
      </c>
      <c r="J234" s="56" t="str">
        <f>IFERROR((VLOOKUP(G234,'Planilha de Cadastro - Previsão'!$A$2:$N$1100,5,FALSE()))," ")</f>
        <v xml:space="preserve"> </v>
      </c>
      <c r="K234" s="57" t="str">
        <f>IFERROR((VLOOKUP(G234,'Planilha de Cadastro - Previsão'!$A$2:$N$1100,9,FALSE()))," ")</f>
        <v xml:space="preserve"> </v>
      </c>
    </row>
    <row r="235" spans="1:11" x14ac:dyDescent="0.25">
      <c r="A235">
        <f>COUNTIF($C$2:C235,C235)</f>
        <v>234</v>
      </c>
      <c r="B235" s="1" t="str">
        <f t="shared" si="6"/>
        <v>234</v>
      </c>
      <c r="C235" s="1" t="str">
        <f>IFERROR(VLOOKUP(D235,'Planilha de Cadastro - Previsão'!$A$2:$O$1000,15,FALSE()),"")</f>
        <v/>
      </c>
      <c r="D235" s="1">
        <v>234</v>
      </c>
      <c r="E235" s="1"/>
      <c r="F235" s="1"/>
      <c r="G235" s="54" t="str">
        <f t="shared" si="7"/>
        <v/>
      </c>
      <c r="H235" s="55" t="str">
        <f>IFERROR((VLOOKUP(G235,'Planilha de Cadastro - Previsão'!$A$2:$N$1100,2,FALSE()))," ")</f>
        <v xml:space="preserve"> </v>
      </c>
      <c r="I235" s="54" t="str">
        <f>IFERROR((VLOOKUP(G235,'Planilha de Cadastro - Previsão'!$A$2:$N$1100,3,FALSE()))," ")</f>
        <v xml:space="preserve"> </v>
      </c>
      <c r="J235" s="56" t="str">
        <f>IFERROR((VLOOKUP(G235,'Planilha de Cadastro - Previsão'!$A$2:$N$1100,5,FALSE()))," ")</f>
        <v xml:space="preserve"> </v>
      </c>
      <c r="K235" s="57" t="str">
        <f>IFERROR((VLOOKUP(G235,'Planilha de Cadastro - Previsão'!$A$2:$N$1100,9,FALSE()))," ")</f>
        <v xml:space="preserve"> </v>
      </c>
    </row>
    <row r="236" spans="1:11" x14ac:dyDescent="0.25">
      <c r="A236">
        <f>COUNTIF($C$2:C236,C236)</f>
        <v>235</v>
      </c>
      <c r="B236" s="1" t="str">
        <f t="shared" si="6"/>
        <v>235</v>
      </c>
      <c r="C236" s="1" t="str">
        <f>IFERROR(VLOOKUP(D236,'Planilha de Cadastro - Previsão'!$A$2:$O$1000,15,FALSE()),"")</f>
        <v/>
      </c>
      <c r="D236" s="1">
        <v>235</v>
      </c>
      <c r="E236" s="1"/>
      <c r="F236" s="1"/>
      <c r="G236" s="54" t="str">
        <f t="shared" si="7"/>
        <v/>
      </c>
      <c r="H236" s="55" t="str">
        <f>IFERROR((VLOOKUP(G236,'Planilha de Cadastro - Previsão'!$A$2:$N$1100,2,FALSE()))," ")</f>
        <v xml:space="preserve"> </v>
      </c>
      <c r="I236" s="54" t="str">
        <f>IFERROR((VLOOKUP(G236,'Planilha de Cadastro - Previsão'!$A$2:$N$1100,3,FALSE()))," ")</f>
        <v xml:space="preserve"> </v>
      </c>
      <c r="J236" s="56" t="str">
        <f>IFERROR((VLOOKUP(G236,'Planilha de Cadastro - Previsão'!$A$2:$N$1100,5,FALSE()))," ")</f>
        <v xml:space="preserve"> </v>
      </c>
      <c r="K236" s="57" t="str">
        <f>IFERROR((VLOOKUP(G236,'Planilha de Cadastro - Previsão'!$A$2:$N$1100,9,FALSE()))," ")</f>
        <v xml:space="preserve"> </v>
      </c>
    </row>
    <row r="237" spans="1:11" x14ac:dyDescent="0.25">
      <c r="A237">
        <f>COUNTIF($C$2:C237,C237)</f>
        <v>236</v>
      </c>
      <c r="B237" s="1" t="str">
        <f t="shared" si="6"/>
        <v>236</v>
      </c>
      <c r="C237" s="1" t="str">
        <f>IFERROR(VLOOKUP(D237,'Planilha de Cadastro - Previsão'!$A$2:$O$1000,15,FALSE()),"")</f>
        <v/>
      </c>
      <c r="D237" s="1">
        <v>236</v>
      </c>
      <c r="E237" s="1"/>
      <c r="F237" s="1"/>
      <c r="G237" s="54" t="str">
        <f t="shared" si="7"/>
        <v/>
      </c>
      <c r="H237" s="55" t="str">
        <f>IFERROR((VLOOKUP(G237,'Planilha de Cadastro - Previsão'!$A$2:$N$1100,2,FALSE()))," ")</f>
        <v xml:space="preserve"> </v>
      </c>
      <c r="I237" s="54" t="str">
        <f>IFERROR((VLOOKUP(G237,'Planilha de Cadastro - Previsão'!$A$2:$N$1100,3,FALSE()))," ")</f>
        <v xml:space="preserve"> </v>
      </c>
      <c r="J237" s="56" t="str">
        <f>IFERROR((VLOOKUP(G237,'Planilha de Cadastro - Previsão'!$A$2:$N$1100,5,FALSE()))," ")</f>
        <v xml:space="preserve"> </v>
      </c>
      <c r="K237" s="57" t="str">
        <f>IFERROR((VLOOKUP(G237,'Planilha de Cadastro - Previsão'!$A$2:$N$1100,9,FALSE()))," ")</f>
        <v xml:space="preserve"> </v>
      </c>
    </row>
    <row r="238" spans="1:11" x14ac:dyDescent="0.25">
      <c r="A238">
        <f>COUNTIF($C$2:C238,C238)</f>
        <v>237</v>
      </c>
      <c r="B238" s="1" t="str">
        <f t="shared" si="6"/>
        <v>237</v>
      </c>
      <c r="C238" s="1" t="str">
        <f>IFERROR(VLOOKUP(D238,'Planilha de Cadastro - Previsão'!$A$2:$O$1000,15,FALSE()),"")</f>
        <v/>
      </c>
      <c r="D238" s="1">
        <v>237</v>
      </c>
      <c r="E238" s="1"/>
      <c r="F238" s="1"/>
      <c r="G238" s="54" t="str">
        <f t="shared" si="7"/>
        <v/>
      </c>
      <c r="H238" s="55" t="str">
        <f>IFERROR((VLOOKUP(G238,'Planilha de Cadastro - Previsão'!$A$2:$N$1100,2,FALSE()))," ")</f>
        <v xml:space="preserve"> </v>
      </c>
      <c r="I238" s="54" t="str">
        <f>IFERROR((VLOOKUP(G238,'Planilha de Cadastro - Previsão'!$A$2:$N$1100,3,FALSE()))," ")</f>
        <v xml:space="preserve"> </v>
      </c>
      <c r="J238" s="56" t="str">
        <f>IFERROR((VLOOKUP(G238,'Planilha de Cadastro - Previsão'!$A$2:$N$1100,5,FALSE()))," ")</f>
        <v xml:space="preserve"> </v>
      </c>
      <c r="K238" s="57" t="str">
        <f>IFERROR((VLOOKUP(G238,'Planilha de Cadastro - Previsão'!$A$2:$N$1100,9,FALSE()))," ")</f>
        <v xml:space="preserve"> </v>
      </c>
    </row>
    <row r="239" spans="1:11" x14ac:dyDescent="0.25">
      <c r="A239">
        <f>COUNTIF($C$2:C239,C239)</f>
        <v>238</v>
      </c>
      <c r="B239" s="1" t="str">
        <f t="shared" si="6"/>
        <v>238</v>
      </c>
      <c r="C239" s="1" t="str">
        <f>IFERROR(VLOOKUP(D239,'Planilha de Cadastro - Previsão'!$A$2:$O$1000,15,FALSE()),"")</f>
        <v/>
      </c>
      <c r="D239" s="1">
        <v>238</v>
      </c>
      <c r="E239" s="1"/>
      <c r="F239" s="1"/>
      <c r="G239" s="54" t="str">
        <f t="shared" si="7"/>
        <v/>
      </c>
      <c r="H239" s="55" t="str">
        <f>IFERROR((VLOOKUP(G239,'Planilha de Cadastro - Previsão'!$A$2:$N$1100,2,FALSE()))," ")</f>
        <v xml:space="preserve"> </v>
      </c>
      <c r="I239" s="54" t="str">
        <f>IFERROR((VLOOKUP(G239,'Planilha de Cadastro - Previsão'!$A$2:$N$1100,3,FALSE()))," ")</f>
        <v xml:space="preserve"> </v>
      </c>
      <c r="J239" s="56" t="str">
        <f>IFERROR((VLOOKUP(G239,'Planilha de Cadastro - Previsão'!$A$2:$N$1100,5,FALSE()))," ")</f>
        <v xml:space="preserve"> </v>
      </c>
      <c r="K239" s="57" t="str">
        <f>IFERROR((VLOOKUP(G239,'Planilha de Cadastro - Previsão'!$A$2:$N$1100,9,FALSE()))," ")</f>
        <v xml:space="preserve"> </v>
      </c>
    </row>
    <row r="240" spans="1:11" x14ac:dyDescent="0.25">
      <c r="A240">
        <f>COUNTIF($C$2:C240,C240)</f>
        <v>239</v>
      </c>
      <c r="B240" s="1" t="str">
        <f t="shared" si="6"/>
        <v>239</v>
      </c>
      <c r="C240" s="1" t="str">
        <f>IFERROR(VLOOKUP(D240,'Planilha de Cadastro - Previsão'!$A$2:$O$1000,15,FALSE()),"")</f>
        <v/>
      </c>
      <c r="D240" s="1">
        <v>239</v>
      </c>
      <c r="E240" s="1"/>
      <c r="F240" s="1"/>
      <c r="G240" s="54" t="str">
        <f t="shared" si="7"/>
        <v/>
      </c>
      <c r="H240" s="55" t="str">
        <f>IFERROR((VLOOKUP(G240,'Planilha de Cadastro - Previsão'!$A$2:$N$1100,2,FALSE()))," ")</f>
        <v xml:space="preserve"> </v>
      </c>
      <c r="I240" s="54" t="str">
        <f>IFERROR((VLOOKUP(G240,'Planilha de Cadastro - Previsão'!$A$2:$N$1100,3,FALSE()))," ")</f>
        <v xml:space="preserve"> </v>
      </c>
      <c r="J240" s="56" t="str">
        <f>IFERROR((VLOOKUP(G240,'Planilha de Cadastro - Previsão'!$A$2:$N$1100,5,FALSE()))," ")</f>
        <v xml:space="preserve"> </v>
      </c>
      <c r="K240" s="57" t="str">
        <f>IFERROR((VLOOKUP(G240,'Planilha de Cadastro - Previsão'!$A$2:$N$1100,9,FALSE()))," ")</f>
        <v xml:space="preserve"> </v>
      </c>
    </row>
    <row r="241" spans="1:11" x14ac:dyDescent="0.25">
      <c r="A241">
        <f>COUNTIF($C$2:C241,C241)</f>
        <v>240</v>
      </c>
      <c r="B241" s="1" t="str">
        <f t="shared" si="6"/>
        <v>240</v>
      </c>
      <c r="C241" s="1" t="str">
        <f>IFERROR(VLOOKUP(D241,'Planilha de Cadastro - Previsão'!$A$2:$O$1000,15,FALSE()),"")</f>
        <v/>
      </c>
      <c r="D241" s="1">
        <v>240</v>
      </c>
      <c r="E241" s="1"/>
      <c r="F241" s="1"/>
      <c r="G241" s="54" t="str">
        <f t="shared" si="7"/>
        <v/>
      </c>
      <c r="H241" s="55" t="str">
        <f>IFERROR((VLOOKUP(G241,'Planilha de Cadastro - Previsão'!$A$2:$N$1100,2,FALSE()))," ")</f>
        <v xml:space="preserve"> </v>
      </c>
      <c r="I241" s="54" t="str">
        <f>IFERROR((VLOOKUP(G241,'Planilha de Cadastro - Previsão'!$A$2:$N$1100,3,FALSE()))," ")</f>
        <v xml:space="preserve"> </v>
      </c>
      <c r="J241" s="56" t="str">
        <f>IFERROR((VLOOKUP(G241,'Planilha de Cadastro - Previsão'!$A$2:$N$1100,5,FALSE()))," ")</f>
        <v xml:space="preserve"> </v>
      </c>
      <c r="K241" s="57" t="str">
        <f>IFERROR((VLOOKUP(G241,'Planilha de Cadastro - Previsão'!$A$2:$N$1100,9,FALSE()))," ")</f>
        <v xml:space="preserve"> </v>
      </c>
    </row>
    <row r="242" spans="1:11" x14ac:dyDescent="0.25">
      <c r="A242">
        <f>COUNTIF($C$2:C242,C242)</f>
        <v>241</v>
      </c>
      <c r="B242" s="1" t="str">
        <f t="shared" si="6"/>
        <v>241</v>
      </c>
      <c r="C242" s="1" t="str">
        <f>IFERROR(VLOOKUP(D242,'Planilha de Cadastro - Previsão'!$A$2:$O$1000,15,FALSE()),"")</f>
        <v/>
      </c>
      <c r="D242" s="1">
        <v>241</v>
      </c>
      <c r="E242" s="1"/>
      <c r="F242" s="1"/>
      <c r="G242" s="54" t="str">
        <f t="shared" si="7"/>
        <v/>
      </c>
      <c r="H242" s="55" t="str">
        <f>IFERROR((VLOOKUP(G242,'Planilha de Cadastro - Previsão'!$A$2:$N$1100,2,FALSE()))," ")</f>
        <v xml:space="preserve"> </v>
      </c>
      <c r="I242" s="54" t="str">
        <f>IFERROR((VLOOKUP(G242,'Planilha de Cadastro - Previsão'!$A$2:$N$1100,3,FALSE()))," ")</f>
        <v xml:space="preserve"> </v>
      </c>
      <c r="J242" s="56" t="str">
        <f>IFERROR((VLOOKUP(G242,'Planilha de Cadastro - Previsão'!$A$2:$N$1100,5,FALSE()))," ")</f>
        <v xml:space="preserve"> </v>
      </c>
      <c r="K242" s="57" t="str">
        <f>IFERROR((VLOOKUP(G242,'Planilha de Cadastro - Previsão'!$A$2:$N$1100,9,FALSE()))," ")</f>
        <v xml:space="preserve"> </v>
      </c>
    </row>
    <row r="243" spans="1:11" x14ac:dyDescent="0.25">
      <c r="A243">
        <f>COUNTIF($C$2:C243,C243)</f>
        <v>242</v>
      </c>
      <c r="B243" s="1" t="str">
        <f t="shared" si="6"/>
        <v>242</v>
      </c>
      <c r="C243" s="1" t="str">
        <f>IFERROR(VLOOKUP(D243,'Planilha de Cadastro - Previsão'!$A$2:$O$1000,15,FALSE()),"")</f>
        <v/>
      </c>
      <c r="D243" s="1">
        <v>242</v>
      </c>
      <c r="E243" s="1"/>
      <c r="F243" s="1"/>
      <c r="G243" s="54" t="str">
        <f t="shared" si="7"/>
        <v/>
      </c>
      <c r="H243" s="55" t="str">
        <f>IFERROR((VLOOKUP(G243,'Planilha de Cadastro - Previsão'!$A$2:$N$1100,2,FALSE()))," ")</f>
        <v xml:space="preserve"> </v>
      </c>
      <c r="I243" s="54" t="str">
        <f>IFERROR((VLOOKUP(G243,'Planilha de Cadastro - Previsão'!$A$2:$N$1100,3,FALSE()))," ")</f>
        <v xml:space="preserve"> </v>
      </c>
      <c r="J243" s="56" t="str">
        <f>IFERROR((VLOOKUP(G243,'Planilha de Cadastro - Previsão'!$A$2:$N$1100,5,FALSE()))," ")</f>
        <v xml:space="preserve"> </v>
      </c>
      <c r="K243" s="57" t="str">
        <f>IFERROR((VLOOKUP(G243,'Planilha de Cadastro - Previsão'!$A$2:$N$1100,9,FALSE()))," ")</f>
        <v xml:space="preserve"> </v>
      </c>
    </row>
    <row r="244" spans="1:11" x14ac:dyDescent="0.25">
      <c r="A244">
        <f>COUNTIF($C$2:C244,C244)</f>
        <v>243</v>
      </c>
      <c r="B244" s="1" t="str">
        <f t="shared" si="6"/>
        <v>243</v>
      </c>
      <c r="C244" s="1" t="str">
        <f>IFERROR(VLOOKUP(D244,'Planilha de Cadastro - Previsão'!$A$2:$O$1000,15,FALSE()),"")</f>
        <v/>
      </c>
      <c r="D244" s="1">
        <v>243</v>
      </c>
      <c r="E244" s="1"/>
      <c r="F244" s="1"/>
      <c r="G244" s="54" t="str">
        <f t="shared" si="7"/>
        <v/>
      </c>
      <c r="H244" s="55" t="str">
        <f>IFERROR((VLOOKUP(G244,'Planilha de Cadastro - Previsão'!$A$2:$N$1100,2,FALSE()))," ")</f>
        <v xml:space="preserve"> </v>
      </c>
      <c r="I244" s="54" t="str">
        <f>IFERROR((VLOOKUP(G244,'Planilha de Cadastro - Previsão'!$A$2:$N$1100,3,FALSE()))," ")</f>
        <v xml:space="preserve"> </v>
      </c>
      <c r="J244" s="56" t="str">
        <f>IFERROR((VLOOKUP(G244,'Planilha de Cadastro - Previsão'!$A$2:$N$1100,5,FALSE()))," ")</f>
        <v xml:space="preserve"> </v>
      </c>
      <c r="K244" s="57" t="str">
        <f>IFERROR((VLOOKUP(G244,'Planilha de Cadastro - Previsão'!$A$2:$N$1100,9,FALSE()))," ")</f>
        <v xml:space="preserve"> </v>
      </c>
    </row>
    <row r="245" spans="1:11" x14ac:dyDescent="0.25">
      <c r="A245">
        <f>COUNTIF($C$2:C245,C245)</f>
        <v>244</v>
      </c>
      <c r="B245" s="1" t="str">
        <f t="shared" si="6"/>
        <v>244</v>
      </c>
      <c r="C245" s="1" t="str">
        <f>IFERROR(VLOOKUP(D245,'Planilha de Cadastro - Previsão'!$A$2:$O$1000,15,FALSE()),"")</f>
        <v/>
      </c>
      <c r="D245" s="1">
        <v>244</v>
      </c>
      <c r="E245" s="1"/>
      <c r="F245" s="1"/>
      <c r="G245" s="54" t="str">
        <f t="shared" si="7"/>
        <v/>
      </c>
      <c r="H245" s="55" t="str">
        <f>IFERROR((VLOOKUP(G245,'Planilha de Cadastro - Previsão'!$A$2:$N$1100,2,FALSE()))," ")</f>
        <v xml:space="preserve"> </v>
      </c>
      <c r="I245" s="54" t="str">
        <f>IFERROR((VLOOKUP(G245,'Planilha de Cadastro - Previsão'!$A$2:$N$1100,3,FALSE()))," ")</f>
        <v xml:space="preserve"> </v>
      </c>
      <c r="J245" s="56" t="str">
        <f>IFERROR((VLOOKUP(G245,'Planilha de Cadastro - Previsão'!$A$2:$N$1100,5,FALSE()))," ")</f>
        <v xml:space="preserve"> </v>
      </c>
      <c r="K245" s="57" t="str">
        <f>IFERROR((VLOOKUP(G245,'Planilha de Cadastro - Previsão'!$A$2:$N$1100,9,FALSE()))," ")</f>
        <v xml:space="preserve"> </v>
      </c>
    </row>
    <row r="246" spans="1:11" x14ac:dyDescent="0.25">
      <c r="A246">
        <f>COUNTIF($C$2:C246,C246)</f>
        <v>245</v>
      </c>
      <c r="B246" s="1" t="str">
        <f t="shared" si="6"/>
        <v>245</v>
      </c>
      <c r="C246" s="1" t="str">
        <f>IFERROR(VLOOKUP(D246,'Planilha de Cadastro - Previsão'!$A$2:$O$1000,15,FALSE()),"")</f>
        <v/>
      </c>
      <c r="D246" s="1">
        <v>245</v>
      </c>
      <c r="E246" s="1"/>
      <c r="F246" s="1"/>
      <c r="G246" s="54" t="str">
        <f t="shared" si="7"/>
        <v/>
      </c>
      <c r="H246" s="55" t="str">
        <f>IFERROR((VLOOKUP(G246,'Planilha de Cadastro - Previsão'!$A$2:$N$1100,2,FALSE()))," ")</f>
        <v xml:space="preserve"> </v>
      </c>
      <c r="I246" s="54" t="str">
        <f>IFERROR((VLOOKUP(G246,'Planilha de Cadastro - Previsão'!$A$2:$N$1100,3,FALSE()))," ")</f>
        <v xml:space="preserve"> </v>
      </c>
      <c r="J246" s="56" t="str">
        <f>IFERROR((VLOOKUP(G246,'Planilha de Cadastro - Previsão'!$A$2:$N$1100,5,FALSE()))," ")</f>
        <v xml:space="preserve"> </v>
      </c>
      <c r="K246" s="57" t="str">
        <f>IFERROR((VLOOKUP(G246,'Planilha de Cadastro - Previsão'!$A$2:$N$1100,9,FALSE()))," ")</f>
        <v xml:space="preserve"> </v>
      </c>
    </row>
    <row r="247" spans="1:11" x14ac:dyDescent="0.25">
      <c r="A247">
        <f>COUNTIF($C$2:C247,C247)</f>
        <v>246</v>
      </c>
      <c r="B247" s="1" t="str">
        <f t="shared" si="6"/>
        <v>246</v>
      </c>
      <c r="C247" s="1" t="str">
        <f>IFERROR(VLOOKUP(D247,'Planilha de Cadastro - Previsão'!$A$2:$O$1000,15,FALSE()),"")</f>
        <v/>
      </c>
      <c r="D247" s="1">
        <v>246</v>
      </c>
      <c r="E247" s="1"/>
      <c r="F247" s="1"/>
      <c r="G247" s="54" t="str">
        <f t="shared" si="7"/>
        <v/>
      </c>
      <c r="H247" s="55" t="str">
        <f>IFERROR((VLOOKUP(G247,'Planilha de Cadastro - Previsão'!$A$2:$N$1100,2,FALSE()))," ")</f>
        <v xml:space="preserve"> </v>
      </c>
      <c r="I247" s="54" t="str">
        <f>IFERROR((VLOOKUP(G247,'Planilha de Cadastro - Previsão'!$A$2:$N$1100,3,FALSE()))," ")</f>
        <v xml:space="preserve"> </v>
      </c>
      <c r="J247" s="56" t="str">
        <f>IFERROR((VLOOKUP(G247,'Planilha de Cadastro - Previsão'!$A$2:$N$1100,5,FALSE()))," ")</f>
        <v xml:space="preserve"> </v>
      </c>
      <c r="K247" s="57" t="str">
        <f>IFERROR((VLOOKUP(G247,'Planilha de Cadastro - Previsão'!$A$2:$N$1100,9,FALSE()))," ")</f>
        <v xml:space="preserve"> </v>
      </c>
    </row>
    <row r="248" spans="1:11" x14ac:dyDescent="0.25">
      <c r="A248">
        <f>COUNTIF($C$2:C248,C248)</f>
        <v>247</v>
      </c>
      <c r="B248" s="1" t="str">
        <f t="shared" si="6"/>
        <v>247</v>
      </c>
      <c r="C248" s="1" t="str">
        <f>IFERROR(VLOOKUP(D248,'Planilha de Cadastro - Previsão'!$A$2:$O$1000,15,FALSE()),"")</f>
        <v/>
      </c>
      <c r="D248" s="1">
        <v>247</v>
      </c>
      <c r="E248" s="1"/>
      <c r="F248" s="1"/>
      <c r="G248" s="54" t="str">
        <f t="shared" si="7"/>
        <v/>
      </c>
      <c r="H248" s="55" t="str">
        <f>IFERROR((VLOOKUP(G248,'Planilha de Cadastro - Previsão'!$A$2:$N$1100,2,FALSE()))," ")</f>
        <v xml:space="preserve"> </v>
      </c>
      <c r="I248" s="54" t="str">
        <f>IFERROR((VLOOKUP(G248,'Planilha de Cadastro - Previsão'!$A$2:$N$1100,3,FALSE()))," ")</f>
        <v xml:space="preserve"> </v>
      </c>
      <c r="J248" s="56" t="str">
        <f>IFERROR((VLOOKUP(G248,'Planilha de Cadastro - Previsão'!$A$2:$N$1100,5,FALSE()))," ")</f>
        <v xml:space="preserve"> </v>
      </c>
      <c r="K248" s="57" t="str">
        <f>IFERROR((VLOOKUP(G248,'Planilha de Cadastro - Previsão'!$A$2:$N$1100,9,FALSE()))," ")</f>
        <v xml:space="preserve"> </v>
      </c>
    </row>
    <row r="249" spans="1:11" x14ac:dyDescent="0.25">
      <c r="A249">
        <f>COUNTIF($C$2:C249,C249)</f>
        <v>248</v>
      </c>
      <c r="B249" s="1" t="str">
        <f t="shared" si="6"/>
        <v>248</v>
      </c>
      <c r="C249" s="1" t="str">
        <f>IFERROR(VLOOKUP(D249,'Planilha de Cadastro - Previsão'!$A$2:$O$1000,15,FALSE()),"")</f>
        <v/>
      </c>
      <c r="D249" s="1">
        <v>248</v>
      </c>
      <c r="E249" s="1"/>
      <c r="F249" s="1"/>
      <c r="G249" s="54" t="str">
        <f t="shared" si="7"/>
        <v/>
      </c>
      <c r="H249" s="55" t="str">
        <f>IFERROR((VLOOKUP(G249,'Planilha de Cadastro - Previsão'!$A$2:$N$1100,2,FALSE()))," ")</f>
        <v xml:space="preserve"> </v>
      </c>
      <c r="I249" s="54" t="str">
        <f>IFERROR((VLOOKUP(G249,'Planilha de Cadastro - Previsão'!$A$2:$N$1100,3,FALSE()))," ")</f>
        <v xml:space="preserve"> </v>
      </c>
      <c r="J249" s="56" t="str">
        <f>IFERROR((VLOOKUP(G249,'Planilha de Cadastro - Previsão'!$A$2:$N$1100,5,FALSE()))," ")</f>
        <v xml:space="preserve"> </v>
      </c>
      <c r="K249" s="57" t="str">
        <f>IFERROR((VLOOKUP(G249,'Planilha de Cadastro - Previsão'!$A$2:$N$1100,9,FALSE()))," ")</f>
        <v xml:space="preserve"> </v>
      </c>
    </row>
    <row r="250" spans="1:11" x14ac:dyDescent="0.25">
      <c r="A250">
        <f>COUNTIF($C$2:C250,C250)</f>
        <v>249</v>
      </c>
      <c r="B250" s="1" t="str">
        <f t="shared" si="6"/>
        <v>249</v>
      </c>
      <c r="C250" s="1" t="str">
        <f>IFERROR(VLOOKUP(D250,'Planilha de Cadastro - Previsão'!$A$2:$O$1000,15,FALSE()),"")</f>
        <v/>
      </c>
      <c r="D250" s="1">
        <v>249</v>
      </c>
      <c r="E250" s="1"/>
      <c r="F250" s="1"/>
      <c r="G250" s="54" t="str">
        <f t="shared" si="7"/>
        <v/>
      </c>
      <c r="H250" s="55" t="str">
        <f>IFERROR((VLOOKUP(G250,'Planilha de Cadastro - Previsão'!$A$2:$N$1100,2,FALSE()))," ")</f>
        <v xml:space="preserve"> </v>
      </c>
      <c r="I250" s="54" t="str">
        <f>IFERROR((VLOOKUP(G250,'Planilha de Cadastro - Previsão'!$A$2:$N$1100,3,FALSE()))," ")</f>
        <v xml:space="preserve"> </v>
      </c>
      <c r="J250" s="56" t="str">
        <f>IFERROR((VLOOKUP(G250,'Planilha de Cadastro - Previsão'!$A$2:$N$1100,5,FALSE()))," ")</f>
        <v xml:space="preserve"> </v>
      </c>
      <c r="K250" s="57" t="str">
        <f>IFERROR((VLOOKUP(G250,'Planilha de Cadastro - Previsão'!$A$2:$N$1100,9,FALSE()))," ")</f>
        <v xml:space="preserve"> </v>
      </c>
    </row>
    <row r="251" spans="1:11" x14ac:dyDescent="0.25">
      <c r="A251">
        <f>COUNTIF($C$2:C251,C251)</f>
        <v>250</v>
      </c>
      <c r="B251" s="1" t="str">
        <f t="shared" si="6"/>
        <v>250</v>
      </c>
      <c r="C251" s="1" t="str">
        <f>IFERROR(VLOOKUP(D251,'Planilha de Cadastro - Previsão'!$A$2:$O$1000,15,FALSE()),"")</f>
        <v/>
      </c>
      <c r="D251" s="1">
        <v>250</v>
      </c>
      <c r="E251" s="1"/>
      <c r="F251" s="1"/>
      <c r="G251" s="54" t="str">
        <f t="shared" si="7"/>
        <v/>
      </c>
      <c r="H251" s="55" t="str">
        <f>IFERROR((VLOOKUP(G251,'Planilha de Cadastro - Previsão'!$A$2:$N$1100,2,FALSE()))," ")</f>
        <v xml:space="preserve"> </v>
      </c>
      <c r="I251" s="54" t="str">
        <f>IFERROR((VLOOKUP(G251,'Planilha de Cadastro - Previsão'!$A$2:$N$1100,3,FALSE()))," ")</f>
        <v xml:space="preserve"> </v>
      </c>
      <c r="J251" s="56" t="str">
        <f>IFERROR((VLOOKUP(G251,'Planilha de Cadastro - Previsão'!$A$2:$N$1100,5,FALSE()))," ")</f>
        <v xml:space="preserve"> </v>
      </c>
      <c r="K251" s="57" t="str">
        <f>IFERROR((VLOOKUP(G251,'Planilha de Cadastro - Previsão'!$A$2:$N$1100,9,FALSE()))," ")</f>
        <v xml:space="preserve"> </v>
      </c>
    </row>
    <row r="252" spans="1:11" x14ac:dyDescent="0.25">
      <c r="A252">
        <f>COUNTIF($C$2:C252,C252)</f>
        <v>251</v>
      </c>
      <c r="B252" s="1" t="str">
        <f t="shared" si="6"/>
        <v>251</v>
      </c>
      <c r="C252" s="1" t="str">
        <f>IFERROR(VLOOKUP(D252,'Planilha de Cadastro - Previsão'!$A$2:$O$1000,15,FALSE()),"")</f>
        <v/>
      </c>
      <c r="D252" s="1">
        <v>251</v>
      </c>
      <c r="E252" s="1"/>
      <c r="F252" s="1"/>
      <c r="G252" s="54" t="str">
        <f t="shared" si="7"/>
        <v/>
      </c>
      <c r="H252" s="55" t="str">
        <f>IFERROR((VLOOKUP(G252,'Planilha de Cadastro - Previsão'!$A$2:$N$1100,2,FALSE()))," ")</f>
        <v xml:space="preserve"> </v>
      </c>
      <c r="I252" s="54" t="str">
        <f>IFERROR((VLOOKUP(G252,'Planilha de Cadastro - Previsão'!$A$2:$N$1100,3,FALSE()))," ")</f>
        <v xml:space="preserve"> </v>
      </c>
      <c r="J252" s="56" t="str">
        <f>IFERROR((VLOOKUP(G252,'Planilha de Cadastro - Previsão'!$A$2:$N$1100,5,FALSE()))," ")</f>
        <v xml:space="preserve"> </v>
      </c>
      <c r="K252" s="57" t="str">
        <f>IFERROR((VLOOKUP(G252,'Planilha de Cadastro - Previsão'!$A$2:$N$1100,9,FALSE()))," ")</f>
        <v xml:space="preserve"> </v>
      </c>
    </row>
    <row r="253" spans="1:11" x14ac:dyDescent="0.25">
      <c r="A253">
        <f>COUNTIF($C$2:C253,C253)</f>
        <v>252</v>
      </c>
      <c r="B253" s="1" t="str">
        <f t="shared" si="6"/>
        <v>252</v>
      </c>
      <c r="C253" s="1" t="str">
        <f>IFERROR(VLOOKUP(D253,'Planilha de Cadastro - Previsão'!$A$2:$O$1000,15,FALSE()),"")</f>
        <v/>
      </c>
      <c r="D253" s="1">
        <v>252</v>
      </c>
      <c r="E253" s="1"/>
      <c r="F253" s="1"/>
      <c r="G253" s="54" t="str">
        <f t="shared" si="7"/>
        <v/>
      </c>
      <c r="H253" s="55" t="str">
        <f>IFERROR((VLOOKUP(G253,'Planilha de Cadastro - Previsão'!$A$2:$N$1100,2,FALSE()))," ")</f>
        <v xml:space="preserve"> </v>
      </c>
      <c r="I253" s="54" t="str">
        <f>IFERROR((VLOOKUP(G253,'Planilha de Cadastro - Previsão'!$A$2:$N$1100,3,FALSE()))," ")</f>
        <v xml:space="preserve"> </v>
      </c>
      <c r="J253" s="56" t="str">
        <f>IFERROR((VLOOKUP(G253,'Planilha de Cadastro - Previsão'!$A$2:$N$1100,5,FALSE()))," ")</f>
        <v xml:space="preserve"> </v>
      </c>
      <c r="K253" s="57" t="str">
        <f>IFERROR((VLOOKUP(G253,'Planilha de Cadastro - Previsão'!$A$2:$N$1100,9,FALSE()))," ")</f>
        <v xml:space="preserve"> </v>
      </c>
    </row>
    <row r="254" spans="1:11" x14ac:dyDescent="0.25">
      <c r="A254">
        <f>COUNTIF($C$2:C254,C254)</f>
        <v>253</v>
      </c>
      <c r="B254" s="1" t="str">
        <f t="shared" si="6"/>
        <v>253</v>
      </c>
      <c r="C254" s="1" t="str">
        <f>IFERROR(VLOOKUP(D254,'Planilha de Cadastro - Previsão'!$A$2:$O$1000,15,FALSE()),"")</f>
        <v/>
      </c>
      <c r="D254" s="1">
        <v>253</v>
      </c>
      <c r="E254" s="1"/>
      <c r="F254" s="1"/>
      <c r="G254" s="54" t="str">
        <f t="shared" si="7"/>
        <v/>
      </c>
      <c r="H254" s="55" t="str">
        <f>IFERROR((VLOOKUP(G254,'Planilha de Cadastro - Previsão'!$A$2:$N$1100,2,FALSE()))," ")</f>
        <v xml:space="preserve"> </v>
      </c>
      <c r="I254" s="54" t="str">
        <f>IFERROR((VLOOKUP(G254,'Planilha de Cadastro - Previsão'!$A$2:$N$1100,3,FALSE()))," ")</f>
        <v xml:space="preserve"> </v>
      </c>
      <c r="J254" s="56" t="str">
        <f>IFERROR((VLOOKUP(G254,'Planilha de Cadastro - Previsão'!$A$2:$N$1100,5,FALSE()))," ")</f>
        <v xml:space="preserve"> </v>
      </c>
      <c r="K254" s="57" t="str">
        <f>IFERROR((VLOOKUP(G254,'Planilha de Cadastro - Previsão'!$A$2:$N$1100,9,FALSE()))," ")</f>
        <v xml:space="preserve"> </v>
      </c>
    </row>
    <row r="255" spans="1:11" x14ac:dyDescent="0.25">
      <c r="A255">
        <f>COUNTIF($C$2:C255,C255)</f>
        <v>254</v>
      </c>
      <c r="B255" s="1" t="str">
        <f t="shared" si="6"/>
        <v>254</v>
      </c>
      <c r="C255" s="1" t="str">
        <f>IFERROR(VLOOKUP(D255,'Planilha de Cadastro - Previsão'!$A$2:$O$1000,15,FALSE()),"")</f>
        <v/>
      </c>
      <c r="D255" s="1">
        <v>254</v>
      </c>
      <c r="E255" s="1"/>
      <c r="F255" s="1"/>
      <c r="G255" s="54" t="str">
        <f t="shared" si="7"/>
        <v/>
      </c>
      <c r="H255" s="55" t="str">
        <f>IFERROR((VLOOKUP(G255,'Planilha de Cadastro - Previsão'!$A$2:$N$1100,2,FALSE()))," ")</f>
        <v xml:space="preserve"> </v>
      </c>
      <c r="I255" s="54" t="str">
        <f>IFERROR((VLOOKUP(G255,'Planilha de Cadastro - Previsão'!$A$2:$N$1100,3,FALSE()))," ")</f>
        <v xml:space="preserve"> </v>
      </c>
      <c r="J255" s="56" t="str">
        <f>IFERROR((VLOOKUP(G255,'Planilha de Cadastro - Previsão'!$A$2:$N$1100,5,FALSE()))," ")</f>
        <v xml:space="preserve"> </v>
      </c>
      <c r="K255" s="57" t="str">
        <f>IFERROR((VLOOKUP(G255,'Planilha de Cadastro - Previsão'!$A$2:$N$1100,9,FALSE()))," ")</f>
        <v xml:space="preserve"> </v>
      </c>
    </row>
    <row r="256" spans="1:11" x14ac:dyDescent="0.25">
      <c r="A256">
        <f>COUNTIF($C$2:C256,C256)</f>
        <v>255</v>
      </c>
      <c r="B256" s="1" t="str">
        <f t="shared" si="6"/>
        <v>255</v>
      </c>
      <c r="C256" s="1" t="str">
        <f>IFERROR(VLOOKUP(D256,'Planilha de Cadastro - Previsão'!$A$2:$O$1000,15,FALSE()),"")</f>
        <v/>
      </c>
      <c r="D256" s="1">
        <v>255</v>
      </c>
      <c r="E256" s="1"/>
      <c r="F256" s="1"/>
      <c r="G256" s="54" t="str">
        <f t="shared" si="7"/>
        <v/>
      </c>
      <c r="H256" s="55" t="str">
        <f>IFERROR((VLOOKUP(G256,'Planilha de Cadastro - Previsão'!$A$2:$N$1100,2,FALSE()))," ")</f>
        <v xml:space="preserve"> </v>
      </c>
      <c r="I256" s="54" t="str">
        <f>IFERROR((VLOOKUP(G256,'Planilha de Cadastro - Previsão'!$A$2:$N$1100,3,FALSE()))," ")</f>
        <v xml:space="preserve"> </v>
      </c>
      <c r="J256" s="56" t="str">
        <f>IFERROR((VLOOKUP(G256,'Planilha de Cadastro - Previsão'!$A$2:$N$1100,5,FALSE()))," ")</f>
        <v xml:space="preserve"> </v>
      </c>
      <c r="K256" s="57" t="str">
        <f>IFERROR((VLOOKUP(G256,'Planilha de Cadastro - Previsão'!$A$2:$N$1100,9,FALSE()))," ")</f>
        <v xml:space="preserve"> </v>
      </c>
    </row>
    <row r="257" spans="1:11" x14ac:dyDescent="0.25">
      <c r="A257">
        <f>COUNTIF($C$2:C257,C257)</f>
        <v>256</v>
      </c>
      <c r="B257" s="1" t="str">
        <f t="shared" si="6"/>
        <v>256</v>
      </c>
      <c r="C257" s="1" t="str">
        <f>IFERROR(VLOOKUP(D257,'Planilha de Cadastro - Previsão'!$A$2:$O$1000,15,FALSE()),"")</f>
        <v/>
      </c>
      <c r="D257" s="1">
        <v>256</v>
      </c>
      <c r="E257" s="1"/>
      <c r="F257" s="1"/>
      <c r="G257" s="54" t="str">
        <f t="shared" si="7"/>
        <v/>
      </c>
      <c r="H257" s="55" t="str">
        <f>IFERROR((VLOOKUP(G257,'Planilha de Cadastro - Previsão'!$A$2:$N$1100,2,FALSE()))," ")</f>
        <v xml:space="preserve"> </v>
      </c>
      <c r="I257" s="54" t="str">
        <f>IFERROR((VLOOKUP(G257,'Planilha de Cadastro - Previsão'!$A$2:$N$1100,3,FALSE()))," ")</f>
        <v xml:space="preserve"> </v>
      </c>
      <c r="J257" s="56" t="str">
        <f>IFERROR((VLOOKUP(G257,'Planilha de Cadastro - Previsão'!$A$2:$N$1100,5,FALSE()))," ")</f>
        <v xml:space="preserve"> </v>
      </c>
      <c r="K257" s="57" t="str">
        <f>IFERROR((VLOOKUP(G257,'Planilha de Cadastro - Previsão'!$A$2:$N$1100,9,FALSE()))," ")</f>
        <v xml:space="preserve"> </v>
      </c>
    </row>
    <row r="258" spans="1:11" x14ac:dyDescent="0.25">
      <c r="A258">
        <f>COUNTIF($C$2:C258,C258)</f>
        <v>257</v>
      </c>
      <c r="B258" s="1" t="str">
        <f t="shared" si="6"/>
        <v>257</v>
      </c>
      <c r="C258" s="1" t="str">
        <f>IFERROR(VLOOKUP(D258,'Planilha de Cadastro - Previsão'!$A$2:$O$1000,15,FALSE()),"")</f>
        <v/>
      </c>
      <c r="D258" s="1">
        <v>257</v>
      </c>
      <c r="E258" s="1"/>
      <c r="F258" s="1"/>
      <c r="G258" s="54" t="str">
        <f t="shared" si="7"/>
        <v/>
      </c>
      <c r="H258" s="55" t="str">
        <f>IFERROR((VLOOKUP(G258,'Planilha de Cadastro - Previsão'!$A$2:$N$1100,2,FALSE()))," ")</f>
        <v xml:space="preserve"> </v>
      </c>
      <c r="I258" s="54" t="str">
        <f>IFERROR((VLOOKUP(G258,'Planilha de Cadastro - Previsão'!$A$2:$N$1100,3,FALSE()))," ")</f>
        <v xml:space="preserve"> </v>
      </c>
      <c r="J258" s="56" t="str">
        <f>IFERROR((VLOOKUP(G258,'Planilha de Cadastro - Previsão'!$A$2:$N$1100,5,FALSE()))," ")</f>
        <v xml:space="preserve"> </v>
      </c>
      <c r="K258" s="57" t="str">
        <f>IFERROR((VLOOKUP(G258,'Planilha de Cadastro - Previsão'!$A$2:$N$1100,9,FALSE()))," ")</f>
        <v xml:space="preserve"> </v>
      </c>
    </row>
    <row r="259" spans="1:11" x14ac:dyDescent="0.25">
      <c r="A259">
        <f>COUNTIF($C$2:C259,C259)</f>
        <v>258</v>
      </c>
      <c r="B259" s="1" t="str">
        <f t="shared" ref="B259:B322" si="8">IFERROR(CONCATENATE(C259,A259),"")</f>
        <v>258</v>
      </c>
      <c r="C259" s="1" t="str">
        <f>IFERROR(VLOOKUP(D259,'Planilha de Cadastro - Previsão'!$A$2:$O$1000,15,FALSE()),"")</f>
        <v/>
      </c>
      <c r="D259" s="1">
        <v>258</v>
      </c>
      <c r="E259" s="1"/>
      <c r="F259" s="1"/>
      <c r="G259" s="54" t="str">
        <f t="shared" si="7"/>
        <v/>
      </c>
      <c r="H259" s="55" t="str">
        <f>IFERROR((VLOOKUP(G259,'Planilha de Cadastro - Previsão'!$A$2:$N$1100,2,FALSE()))," ")</f>
        <v xml:space="preserve"> </v>
      </c>
      <c r="I259" s="54" t="str">
        <f>IFERROR((VLOOKUP(G259,'Planilha de Cadastro - Previsão'!$A$2:$N$1100,3,FALSE()))," ")</f>
        <v xml:space="preserve"> </v>
      </c>
      <c r="J259" s="56" t="str">
        <f>IFERROR((VLOOKUP(G259,'Planilha de Cadastro - Previsão'!$A$2:$N$1100,5,FALSE()))," ")</f>
        <v xml:space="preserve"> </v>
      </c>
      <c r="K259" s="57" t="str">
        <f>IFERROR((VLOOKUP(G259,'Planilha de Cadastro - Previsão'!$A$2:$N$1100,9,FALSE()))," ")</f>
        <v xml:space="preserve"> </v>
      </c>
    </row>
    <row r="260" spans="1:11" x14ac:dyDescent="0.25">
      <c r="A260">
        <f>COUNTIF($C$2:C260,C260)</f>
        <v>259</v>
      </c>
      <c r="B260" s="1" t="str">
        <f t="shared" si="8"/>
        <v>259</v>
      </c>
      <c r="C260" s="1" t="str">
        <f>IFERROR(VLOOKUP(D260,'Planilha de Cadastro - Previsão'!$A$2:$O$1000,15,FALSE()),"")</f>
        <v/>
      </c>
      <c r="D260" s="1">
        <v>259</v>
      </c>
      <c r="E260" s="1"/>
      <c r="F260" s="1"/>
      <c r="G260" s="54" t="str">
        <f t="shared" si="7"/>
        <v/>
      </c>
      <c r="H260" s="55" t="str">
        <f>IFERROR((VLOOKUP(G260,'Planilha de Cadastro - Previsão'!$A$2:$N$1100,2,FALSE()))," ")</f>
        <v xml:space="preserve"> </v>
      </c>
      <c r="I260" s="54" t="str">
        <f>IFERROR((VLOOKUP(G260,'Planilha de Cadastro - Previsão'!$A$2:$N$1100,3,FALSE()))," ")</f>
        <v xml:space="preserve"> </v>
      </c>
      <c r="J260" s="56" t="str">
        <f>IFERROR((VLOOKUP(G260,'Planilha de Cadastro - Previsão'!$A$2:$N$1100,5,FALSE()))," ")</f>
        <v xml:space="preserve"> </v>
      </c>
      <c r="K260" s="57" t="str">
        <f>IFERROR((VLOOKUP(G260,'Planilha de Cadastro - Previsão'!$A$2:$N$1100,9,FALSE()))," ")</f>
        <v xml:space="preserve"> </v>
      </c>
    </row>
    <row r="261" spans="1:11" x14ac:dyDescent="0.25">
      <c r="A261">
        <f>COUNTIF($C$2:C261,C261)</f>
        <v>260</v>
      </c>
      <c r="B261" s="1" t="str">
        <f t="shared" si="8"/>
        <v>260</v>
      </c>
      <c r="C261" s="1" t="str">
        <f>IFERROR(VLOOKUP(D261,'Planilha de Cadastro - Previsão'!$A$2:$O$1000,15,FALSE()),"")</f>
        <v/>
      </c>
      <c r="D261" s="1">
        <v>260</v>
      </c>
      <c r="E261" s="1"/>
      <c r="F261" s="1"/>
      <c r="G261" s="54" t="str">
        <f t="shared" si="7"/>
        <v/>
      </c>
      <c r="H261" s="55" t="str">
        <f>IFERROR((VLOOKUP(G261,'Planilha de Cadastro - Previsão'!$A$2:$N$1100,2,FALSE()))," ")</f>
        <v xml:space="preserve"> </v>
      </c>
      <c r="I261" s="54" t="str">
        <f>IFERROR((VLOOKUP(G261,'Planilha de Cadastro - Previsão'!$A$2:$N$1100,3,FALSE()))," ")</f>
        <v xml:space="preserve"> </v>
      </c>
      <c r="J261" s="56" t="str">
        <f>IFERROR((VLOOKUP(G261,'Planilha de Cadastro - Previsão'!$A$2:$N$1100,5,FALSE()))," ")</f>
        <v xml:space="preserve"> </v>
      </c>
      <c r="K261" s="57" t="str">
        <f>IFERROR((VLOOKUP(G261,'Planilha de Cadastro - Previsão'!$A$2:$N$1100,9,FALSE()))," ")</f>
        <v xml:space="preserve"> </v>
      </c>
    </row>
    <row r="262" spans="1:11" x14ac:dyDescent="0.25">
      <c r="A262">
        <f>COUNTIF($C$2:C262,C262)</f>
        <v>261</v>
      </c>
      <c r="B262" s="1" t="str">
        <f t="shared" si="8"/>
        <v>261</v>
      </c>
      <c r="C262" s="1" t="str">
        <f>IFERROR(VLOOKUP(D262,'Planilha de Cadastro - Previsão'!$A$2:$O$1000,15,FALSE()),"")</f>
        <v/>
      </c>
      <c r="D262" s="1">
        <v>261</v>
      </c>
      <c r="E262" s="1"/>
      <c r="F262" s="1"/>
      <c r="G262" s="54" t="str">
        <f t="shared" si="7"/>
        <v/>
      </c>
      <c r="H262" s="55" t="str">
        <f>IFERROR((VLOOKUP(G262,'Planilha de Cadastro - Previsão'!$A$2:$N$1100,2,FALSE()))," ")</f>
        <v xml:space="preserve"> </v>
      </c>
      <c r="I262" s="54" t="str">
        <f>IFERROR((VLOOKUP(G262,'Planilha de Cadastro - Previsão'!$A$2:$N$1100,3,FALSE()))," ")</f>
        <v xml:space="preserve"> </v>
      </c>
      <c r="J262" s="56" t="str">
        <f>IFERROR((VLOOKUP(G262,'Planilha de Cadastro - Previsão'!$A$2:$N$1100,5,FALSE()))," ")</f>
        <v xml:space="preserve"> </v>
      </c>
      <c r="K262" s="57" t="str">
        <f>IFERROR((VLOOKUP(G262,'Planilha de Cadastro - Previsão'!$A$2:$N$1100,9,FALSE()))," ")</f>
        <v xml:space="preserve"> </v>
      </c>
    </row>
    <row r="263" spans="1:11" x14ac:dyDescent="0.25">
      <c r="A263">
        <f>COUNTIF($C$2:C263,C263)</f>
        <v>262</v>
      </c>
      <c r="B263" s="1" t="str">
        <f t="shared" si="8"/>
        <v>262</v>
      </c>
      <c r="C263" s="1" t="str">
        <f>IFERROR(VLOOKUP(D263,'Planilha de Cadastro - Previsão'!$A$2:$O$1000,15,FALSE()),"")</f>
        <v/>
      </c>
      <c r="D263" s="1">
        <v>262</v>
      </c>
      <c r="E263" s="1"/>
      <c r="F263" s="1"/>
      <c r="G263" s="54" t="str">
        <f t="shared" si="7"/>
        <v/>
      </c>
      <c r="H263" s="55" t="str">
        <f>IFERROR((VLOOKUP(G263,'Planilha de Cadastro - Previsão'!$A$2:$N$1100,2,FALSE()))," ")</f>
        <v xml:space="preserve"> </v>
      </c>
      <c r="I263" s="54" t="str">
        <f>IFERROR((VLOOKUP(G263,'Planilha de Cadastro - Previsão'!$A$2:$N$1100,3,FALSE()))," ")</f>
        <v xml:space="preserve"> </v>
      </c>
      <c r="J263" s="56" t="str">
        <f>IFERROR((VLOOKUP(G263,'Planilha de Cadastro - Previsão'!$A$2:$N$1100,5,FALSE()))," ")</f>
        <v xml:space="preserve"> </v>
      </c>
      <c r="K263" s="57" t="str">
        <f>IFERROR((VLOOKUP(G263,'Planilha de Cadastro - Previsão'!$A$2:$N$1100,9,FALSE()))," ")</f>
        <v xml:space="preserve"> </v>
      </c>
    </row>
    <row r="264" spans="1:11" x14ac:dyDescent="0.25">
      <c r="A264">
        <f>COUNTIF($C$2:C264,C264)</f>
        <v>263</v>
      </c>
      <c r="B264" s="1" t="str">
        <f t="shared" si="8"/>
        <v>263</v>
      </c>
      <c r="C264" s="1" t="str">
        <f>IFERROR(VLOOKUP(D264,'Planilha de Cadastro - Previsão'!$A$2:$O$1000,15,FALSE()),"")</f>
        <v/>
      </c>
      <c r="D264" s="1">
        <v>263</v>
      </c>
      <c r="E264" s="1"/>
      <c r="F264" s="1"/>
      <c r="G264" s="54" t="str">
        <f t="shared" si="7"/>
        <v/>
      </c>
      <c r="H264" s="55" t="str">
        <f>IFERROR((VLOOKUP(G264,'Planilha de Cadastro - Previsão'!$A$2:$N$1100,2,FALSE()))," ")</f>
        <v xml:space="preserve"> </v>
      </c>
      <c r="I264" s="54" t="str">
        <f>IFERROR((VLOOKUP(G264,'Planilha de Cadastro - Previsão'!$A$2:$N$1100,3,FALSE()))," ")</f>
        <v xml:space="preserve"> </v>
      </c>
      <c r="J264" s="56" t="str">
        <f>IFERROR((VLOOKUP(G264,'Planilha de Cadastro - Previsão'!$A$2:$N$1100,5,FALSE()))," ")</f>
        <v xml:space="preserve"> </v>
      </c>
      <c r="K264" s="57" t="str">
        <f>IFERROR((VLOOKUP(G264,'Planilha de Cadastro - Previsão'!$A$2:$N$1100,9,FALSE()))," ")</f>
        <v xml:space="preserve"> </v>
      </c>
    </row>
    <row r="265" spans="1:11" x14ac:dyDescent="0.25">
      <c r="A265">
        <f>COUNTIF($C$2:C265,C265)</f>
        <v>264</v>
      </c>
      <c r="B265" s="1" t="str">
        <f t="shared" si="8"/>
        <v>264</v>
      </c>
      <c r="C265" s="1" t="str">
        <f>IFERROR(VLOOKUP(D265,'Planilha de Cadastro - Previsão'!$A$2:$O$1000,15,FALSE()),"")</f>
        <v/>
      </c>
      <c r="D265" s="1">
        <v>264</v>
      </c>
      <c r="E265" s="1"/>
      <c r="F265" s="1"/>
      <c r="G265" s="54" t="str">
        <f t="shared" si="7"/>
        <v/>
      </c>
      <c r="H265" s="55" t="str">
        <f>IFERROR((VLOOKUP(G265,'Planilha de Cadastro - Previsão'!$A$2:$N$1100,2,FALSE()))," ")</f>
        <v xml:space="preserve"> </v>
      </c>
      <c r="I265" s="54" t="str">
        <f>IFERROR((VLOOKUP(G265,'Planilha de Cadastro - Previsão'!$A$2:$N$1100,3,FALSE()))," ")</f>
        <v xml:space="preserve"> </v>
      </c>
      <c r="J265" s="56" t="str">
        <f>IFERROR((VLOOKUP(G265,'Planilha de Cadastro - Previsão'!$A$2:$N$1100,5,FALSE()))," ")</f>
        <v xml:space="preserve"> </v>
      </c>
      <c r="K265" s="57" t="str">
        <f>IFERROR((VLOOKUP(G265,'Planilha de Cadastro - Previsão'!$A$2:$N$1100,9,FALSE()))," ")</f>
        <v xml:space="preserve"> </v>
      </c>
    </row>
    <row r="266" spans="1:11" x14ac:dyDescent="0.25">
      <c r="A266">
        <f>COUNTIF($C$2:C266,C266)</f>
        <v>265</v>
      </c>
      <c r="B266" s="1" t="str">
        <f t="shared" si="8"/>
        <v>265</v>
      </c>
      <c r="C266" s="1" t="str">
        <f>IFERROR(VLOOKUP(D266,'Planilha de Cadastro - Previsão'!$A$2:$O$1000,15,FALSE()),"")</f>
        <v/>
      </c>
      <c r="D266" s="1">
        <v>265</v>
      </c>
      <c r="E266" s="1"/>
      <c r="F266" s="1"/>
      <c r="G266" s="54" t="str">
        <f t="shared" ref="G266:G329" si="9">IFERROR((VLOOKUP(CONCATENATE("Sim",D258),$B$2:$D$1000,3,FALSE())),"")</f>
        <v/>
      </c>
      <c r="H266" s="55" t="str">
        <f>IFERROR((VLOOKUP(G266,'Planilha de Cadastro - Previsão'!$A$2:$N$1100,2,FALSE()))," ")</f>
        <v xml:space="preserve"> </v>
      </c>
      <c r="I266" s="54" t="str">
        <f>IFERROR((VLOOKUP(G266,'Planilha de Cadastro - Previsão'!$A$2:$N$1100,3,FALSE()))," ")</f>
        <v xml:space="preserve"> </v>
      </c>
      <c r="J266" s="56" t="str">
        <f>IFERROR((VLOOKUP(G266,'Planilha de Cadastro - Previsão'!$A$2:$N$1100,5,FALSE()))," ")</f>
        <v xml:space="preserve"> </v>
      </c>
      <c r="K266" s="57" t="str">
        <f>IFERROR((VLOOKUP(G266,'Planilha de Cadastro - Previsão'!$A$2:$N$1100,9,FALSE()))," ")</f>
        <v xml:space="preserve"> </v>
      </c>
    </row>
    <row r="267" spans="1:11" x14ac:dyDescent="0.25">
      <c r="A267">
        <f>COUNTIF($C$2:C267,C267)</f>
        <v>266</v>
      </c>
      <c r="B267" s="1" t="str">
        <f t="shared" si="8"/>
        <v>266</v>
      </c>
      <c r="C267" s="1" t="str">
        <f>IFERROR(VLOOKUP(D267,'Planilha de Cadastro - Previsão'!$A$2:$O$1000,15,FALSE()),"")</f>
        <v/>
      </c>
      <c r="D267" s="1">
        <v>266</v>
      </c>
      <c r="E267" s="1"/>
      <c r="F267" s="1"/>
      <c r="G267" s="54" t="str">
        <f t="shared" si="9"/>
        <v/>
      </c>
      <c r="H267" s="55" t="str">
        <f>IFERROR((VLOOKUP(G267,'Planilha de Cadastro - Previsão'!$A$2:$N$1100,2,FALSE()))," ")</f>
        <v xml:space="preserve"> </v>
      </c>
      <c r="I267" s="54" t="str">
        <f>IFERROR((VLOOKUP(G267,'Planilha de Cadastro - Previsão'!$A$2:$N$1100,3,FALSE()))," ")</f>
        <v xml:space="preserve"> </v>
      </c>
      <c r="J267" s="56" t="str">
        <f>IFERROR((VLOOKUP(G267,'Planilha de Cadastro - Previsão'!$A$2:$N$1100,5,FALSE()))," ")</f>
        <v xml:space="preserve"> </v>
      </c>
      <c r="K267" s="57" t="str">
        <f>IFERROR((VLOOKUP(G267,'Planilha de Cadastro - Previsão'!$A$2:$N$1100,9,FALSE()))," ")</f>
        <v xml:space="preserve"> </v>
      </c>
    </row>
    <row r="268" spans="1:11" x14ac:dyDescent="0.25">
      <c r="A268">
        <f>COUNTIF($C$2:C268,C268)</f>
        <v>267</v>
      </c>
      <c r="B268" s="1" t="str">
        <f t="shared" si="8"/>
        <v>267</v>
      </c>
      <c r="C268" s="1" t="str">
        <f>IFERROR(VLOOKUP(D268,'Planilha de Cadastro - Previsão'!$A$2:$O$1000,15,FALSE()),"")</f>
        <v/>
      </c>
      <c r="D268" s="1">
        <v>267</v>
      </c>
      <c r="E268" s="1"/>
      <c r="F268" s="1"/>
      <c r="G268" s="54" t="str">
        <f t="shared" si="9"/>
        <v/>
      </c>
      <c r="H268" s="55" t="str">
        <f>IFERROR((VLOOKUP(G268,'Planilha de Cadastro - Previsão'!$A$2:$N$1100,2,FALSE()))," ")</f>
        <v xml:space="preserve"> </v>
      </c>
      <c r="I268" s="54" t="str">
        <f>IFERROR((VLOOKUP(G268,'Planilha de Cadastro - Previsão'!$A$2:$N$1100,3,FALSE()))," ")</f>
        <v xml:space="preserve"> </v>
      </c>
      <c r="J268" s="56" t="str">
        <f>IFERROR((VLOOKUP(G268,'Planilha de Cadastro - Previsão'!$A$2:$N$1100,5,FALSE()))," ")</f>
        <v xml:space="preserve"> </v>
      </c>
      <c r="K268" s="57" t="str">
        <f>IFERROR((VLOOKUP(G268,'Planilha de Cadastro - Previsão'!$A$2:$N$1100,9,FALSE()))," ")</f>
        <v xml:space="preserve"> </v>
      </c>
    </row>
    <row r="269" spans="1:11" x14ac:dyDescent="0.25">
      <c r="A269">
        <f>COUNTIF($C$2:C269,C269)</f>
        <v>268</v>
      </c>
      <c r="B269" s="1" t="str">
        <f t="shared" si="8"/>
        <v>268</v>
      </c>
      <c r="C269" s="1" t="str">
        <f>IFERROR(VLOOKUP(D269,'Planilha de Cadastro - Previsão'!$A$2:$O$1000,15,FALSE()),"")</f>
        <v/>
      </c>
      <c r="D269" s="1">
        <v>268</v>
      </c>
      <c r="E269" s="1"/>
      <c r="F269" s="1"/>
      <c r="G269" s="54" t="str">
        <f t="shared" si="9"/>
        <v/>
      </c>
      <c r="H269" s="55" t="str">
        <f>IFERROR((VLOOKUP(G269,'Planilha de Cadastro - Previsão'!$A$2:$N$1100,2,FALSE()))," ")</f>
        <v xml:space="preserve"> </v>
      </c>
      <c r="I269" s="54" t="str">
        <f>IFERROR((VLOOKUP(G269,'Planilha de Cadastro - Previsão'!$A$2:$N$1100,3,FALSE()))," ")</f>
        <v xml:space="preserve"> </v>
      </c>
      <c r="J269" s="56" t="str">
        <f>IFERROR((VLOOKUP(G269,'Planilha de Cadastro - Previsão'!$A$2:$N$1100,5,FALSE()))," ")</f>
        <v xml:space="preserve"> </v>
      </c>
      <c r="K269" s="57" t="str">
        <f>IFERROR((VLOOKUP(G269,'Planilha de Cadastro - Previsão'!$A$2:$N$1100,9,FALSE()))," ")</f>
        <v xml:space="preserve"> </v>
      </c>
    </row>
    <row r="270" spans="1:11" x14ac:dyDescent="0.25">
      <c r="A270">
        <f>COUNTIF($C$2:C270,C270)</f>
        <v>269</v>
      </c>
      <c r="B270" s="1" t="str">
        <f t="shared" si="8"/>
        <v>269</v>
      </c>
      <c r="C270" s="1" t="str">
        <f>IFERROR(VLOOKUP(D270,'Planilha de Cadastro - Previsão'!$A$2:$O$1000,15,FALSE()),"")</f>
        <v/>
      </c>
      <c r="D270" s="1">
        <v>269</v>
      </c>
      <c r="E270" s="1"/>
      <c r="F270" s="1"/>
      <c r="G270" s="54" t="str">
        <f t="shared" si="9"/>
        <v/>
      </c>
      <c r="H270" s="55" t="str">
        <f>IFERROR((VLOOKUP(G270,'Planilha de Cadastro - Previsão'!$A$2:$N$1100,2,FALSE()))," ")</f>
        <v xml:space="preserve"> </v>
      </c>
      <c r="I270" s="54" t="str">
        <f>IFERROR((VLOOKUP(G270,'Planilha de Cadastro - Previsão'!$A$2:$N$1100,3,FALSE()))," ")</f>
        <v xml:space="preserve"> </v>
      </c>
      <c r="J270" s="56" t="str">
        <f>IFERROR((VLOOKUP(G270,'Planilha de Cadastro - Previsão'!$A$2:$N$1100,5,FALSE()))," ")</f>
        <v xml:space="preserve"> </v>
      </c>
      <c r="K270" s="57" t="str">
        <f>IFERROR((VLOOKUP(G270,'Planilha de Cadastro - Previsão'!$A$2:$N$1100,9,FALSE()))," ")</f>
        <v xml:space="preserve"> </v>
      </c>
    </row>
    <row r="271" spans="1:11" x14ac:dyDescent="0.25">
      <c r="A271">
        <f>COUNTIF($C$2:C271,C271)</f>
        <v>270</v>
      </c>
      <c r="B271" s="1" t="str">
        <f t="shared" si="8"/>
        <v>270</v>
      </c>
      <c r="C271" s="1" t="str">
        <f>IFERROR(VLOOKUP(D271,'Planilha de Cadastro - Previsão'!$A$2:$O$1000,15,FALSE()),"")</f>
        <v/>
      </c>
      <c r="D271" s="1">
        <v>270</v>
      </c>
      <c r="E271" s="1"/>
      <c r="F271" s="1"/>
      <c r="G271" s="54" t="str">
        <f t="shared" si="9"/>
        <v/>
      </c>
      <c r="H271" s="55" t="str">
        <f>IFERROR((VLOOKUP(G271,'Planilha de Cadastro - Previsão'!$A$2:$N$1100,2,FALSE()))," ")</f>
        <v xml:space="preserve"> </v>
      </c>
      <c r="I271" s="54" t="str">
        <f>IFERROR((VLOOKUP(G271,'Planilha de Cadastro - Previsão'!$A$2:$N$1100,3,FALSE()))," ")</f>
        <v xml:space="preserve"> </v>
      </c>
      <c r="J271" s="56" t="str">
        <f>IFERROR((VLOOKUP(G271,'Planilha de Cadastro - Previsão'!$A$2:$N$1100,5,FALSE()))," ")</f>
        <v xml:space="preserve"> </v>
      </c>
      <c r="K271" s="57" t="str">
        <f>IFERROR((VLOOKUP(G271,'Planilha de Cadastro - Previsão'!$A$2:$N$1100,9,FALSE()))," ")</f>
        <v xml:space="preserve"> </v>
      </c>
    </row>
    <row r="272" spans="1:11" x14ac:dyDescent="0.25">
      <c r="A272">
        <f>COUNTIF($C$2:C272,C272)</f>
        <v>271</v>
      </c>
      <c r="B272" s="1" t="str">
        <f t="shared" si="8"/>
        <v>271</v>
      </c>
      <c r="C272" s="1" t="str">
        <f>IFERROR(VLOOKUP(D272,'Planilha de Cadastro - Previsão'!$A$2:$O$1000,15,FALSE()),"")</f>
        <v/>
      </c>
      <c r="D272" s="1">
        <v>271</v>
      </c>
      <c r="E272" s="1"/>
      <c r="F272" s="1"/>
      <c r="G272" s="54" t="str">
        <f t="shared" si="9"/>
        <v/>
      </c>
      <c r="H272" s="55" t="str">
        <f>IFERROR((VLOOKUP(G272,'Planilha de Cadastro - Previsão'!$A$2:$N$1100,2,FALSE()))," ")</f>
        <v xml:space="preserve"> </v>
      </c>
      <c r="I272" s="54" t="str">
        <f>IFERROR((VLOOKUP(G272,'Planilha de Cadastro - Previsão'!$A$2:$N$1100,3,FALSE()))," ")</f>
        <v xml:space="preserve"> </v>
      </c>
      <c r="J272" s="56" t="str">
        <f>IFERROR((VLOOKUP(G272,'Planilha de Cadastro - Previsão'!$A$2:$N$1100,5,FALSE()))," ")</f>
        <v xml:space="preserve"> </v>
      </c>
      <c r="K272" s="57" t="str">
        <f>IFERROR((VLOOKUP(G272,'Planilha de Cadastro - Previsão'!$A$2:$N$1100,9,FALSE()))," ")</f>
        <v xml:space="preserve"> </v>
      </c>
    </row>
    <row r="273" spans="1:11" x14ac:dyDescent="0.25">
      <c r="A273">
        <f>COUNTIF($C$2:C273,C273)</f>
        <v>272</v>
      </c>
      <c r="B273" s="1" t="str">
        <f t="shared" si="8"/>
        <v>272</v>
      </c>
      <c r="C273" s="1" t="str">
        <f>IFERROR(VLOOKUP(D273,'Planilha de Cadastro - Previsão'!$A$2:$O$1000,15,FALSE()),"")</f>
        <v/>
      </c>
      <c r="D273" s="1">
        <v>272</v>
      </c>
      <c r="E273" s="1"/>
      <c r="F273" s="1"/>
      <c r="G273" s="54" t="str">
        <f t="shared" si="9"/>
        <v/>
      </c>
      <c r="H273" s="55" t="str">
        <f>IFERROR((VLOOKUP(G273,'Planilha de Cadastro - Previsão'!$A$2:$N$1100,2,FALSE()))," ")</f>
        <v xml:space="preserve"> </v>
      </c>
      <c r="I273" s="54" t="str">
        <f>IFERROR((VLOOKUP(G273,'Planilha de Cadastro - Previsão'!$A$2:$N$1100,3,FALSE()))," ")</f>
        <v xml:space="preserve"> </v>
      </c>
      <c r="J273" s="56" t="str">
        <f>IFERROR((VLOOKUP(G273,'Planilha de Cadastro - Previsão'!$A$2:$N$1100,5,FALSE()))," ")</f>
        <v xml:space="preserve"> </v>
      </c>
      <c r="K273" s="57" t="str">
        <f>IFERROR((VLOOKUP(G273,'Planilha de Cadastro - Previsão'!$A$2:$N$1100,9,FALSE()))," ")</f>
        <v xml:space="preserve"> </v>
      </c>
    </row>
    <row r="274" spans="1:11" x14ac:dyDescent="0.25">
      <c r="A274">
        <f>COUNTIF($C$2:C274,C274)</f>
        <v>273</v>
      </c>
      <c r="B274" s="1" t="str">
        <f t="shared" si="8"/>
        <v>273</v>
      </c>
      <c r="C274" s="1" t="str">
        <f>IFERROR(VLOOKUP(D274,'Planilha de Cadastro - Previsão'!$A$2:$O$1000,15,FALSE()),"")</f>
        <v/>
      </c>
      <c r="D274" s="1">
        <v>273</v>
      </c>
      <c r="E274" s="1"/>
      <c r="F274" s="1"/>
      <c r="G274" s="54" t="str">
        <f t="shared" si="9"/>
        <v/>
      </c>
      <c r="H274" s="55" t="str">
        <f>IFERROR((VLOOKUP(G274,'Planilha de Cadastro - Previsão'!$A$2:$N$1100,2,FALSE()))," ")</f>
        <v xml:space="preserve"> </v>
      </c>
      <c r="I274" s="54" t="str">
        <f>IFERROR((VLOOKUP(G274,'Planilha de Cadastro - Previsão'!$A$2:$N$1100,3,FALSE()))," ")</f>
        <v xml:space="preserve"> </v>
      </c>
      <c r="J274" s="56" t="str">
        <f>IFERROR((VLOOKUP(G274,'Planilha de Cadastro - Previsão'!$A$2:$N$1100,5,FALSE()))," ")</f>
        <v xml:space="preserve"> </v>
      </c>
      <c r="K274" s="57" t="str">
        <f>IFERROR((VLOOKUP(G274,'Planilha de Cadastro - Previsão'!$A$2:$N$1100,9,FALSE()))," ")</f>
        <v xml:space="preserve"> </v>
      </c>
    </row>
    <row r="275" spans="1:11" x14ac:dyDescent="0.25">
      <c r="A275">
        <f>COUNTIF($C$2:C275,C275)</f>
        <v>274</v>
      </c>
      <c r="B275" s="1" t="str">
        <f t="shared" si="8"/>
        <v>274</v>
      </c>
      <c r="C275" s="1" t="str">
        <f>IFERROR(VLOOKUP(D275,'Planilha de Cadastro - Previsão'!$A$2:$O$1000,15,FALSE()),"")</f>
        <v/>
      </c>
      <c r="D275" s="1">
        <v>274</v>
      </c>
      <c r="E275" s="1"/>
      <c r="F275" s="1"/>
      <c r="G275" s="54" t="str">
        <f t="shared" si="9"/>
        <v/>
      </c>
      <c r="H275" s="55" t="str">
        <f>IFERROR((VLOOKUP(G275,'Planilha de Cadastro - Previsão'!$A$2:$N$1100,2,FALSE()))," ")</f>
        <v xml:space="preserve"> </v>
      </c>
      <c r="I275" s="54" t="str">
        <f>IFERROR((VLOOKUP(G275,'Planilha de Cadastro - Previsão'!$A$2:$N$1100,3,FALSE()))," ")</f>
        <v xml:space="preserve"> </v>
      </c>
      <c r="J275" s="56" t="str">
        <f>IFERROR((VLOOKUP(G275,'Planilha de Cadastro - Previsão'!$A$2:$N$1100,5,FALSE()))," ")</f>
        <v xml:space="preserve"> </v>
      </c>
      <c r="K275" s="57" t="str">
        <f>IFERROR((VLOOKUP(G275,'Planilha de Cadastro - Previsão'!$A$2:$N$1100,9,FALSE()))," ")</f>
        <v xml:space="preserve"> </v>
      </c>
    </row>
    <row r="276" spans="1:11" x14ac:dyDescent="0.25">
      <c r="A276">
        <f>COUNTIF($C$2:C276,C276)</f>
        <v>275</v>
      </c>
      <c r="B276" s="1" t="str">
        <f t="shared" si="8"/>
        <v>275</v>
      </c>
      <c r="C276" s="1" t="str">
        <f>IFERROR(VLOOKUP(D276,'Planilha de Cadastro - Previsão'!$A$2:$O$1000,15,FALSE()),"")</f>
        <v/>
      </c>
      <c r="D276" s="1">
        <v>275</v>
      </c>
      <c r="E276" s="1"/>
      <c r="F276" s="1"/>
      <c r="G276" s="54" t="str">
        <f t="shared" si="9"/>
        <v/>
      </c>
      <c r="H276" s="55" t="str">
        <f>IFERROR((VLOOKUP(G276,'Planilha de Cadastro - Previsão'!$A$2:$N$1100,2,FALSE()))," ")</f>
        <v xml:space="preserve"> </v>
      </c>
      <c r="I276" s="54" t="str">
        <f>IFERROR((VLOOKUP(G276,'Planilha de Cadastro - Previsão'!$A$2:$N$1100,3,FALSE()))," ")</f>
        <v xml:space="preserve"> </v>
      </c>
      <c r="J276" s="56" t="str">
        <f>IFERROR((VLOOKUP(G276,'Planilha de Cadastro - Previsão'!$A$2:$N$1100,5,FALSE()))," ")</f>
        <v xml:space="preserve"> </v>
      </c>
      <c r="K276" s="57" t="str">
        <f>IFERROR((VLOOKUP(G276,'Planilha de Cadastro - Previsão'!$A$2:$N$1100,9,FALSE()))," ")</f>
        <v xml:space="preserve"> </v>
      </c>
    </row>
    <row r="277" spans="1:11" x14ac:dyDescent="0.25">
      <c r="A277">
        <f>COUNTIF($C$2:C277,C277)</f>
        <v>276</v>
      </c>
      <c r="B277" s="1" t="str">
        <f t="shared" si="8"/>
        <v>276</v>
      </c>
      <c r="C277" s="1" t="str">
        <f>IFERROR(VLOOKUP(D277,'Planilha de Cadastro - Previsão'!$A$2:$O$1000,15,FALSE()),"")</f>
        <v/>
      </c>
      <c r="D277" s="1">
        <v>276</v>
      </c>
      <c r="E277" s="1"/>
      <c r="F277" s="1"/>
      <c r="G277" s="54" t="str">
        <f t="shared" si="9"/>
        <v/>
      </c>
      <c r="H277" s="55" t="str">
        <f>IFERROR((VLOOKUP(G277,'Planilha de Cadastro - Previsão'!$A$2:$N$1100,2,FALSE()))," ")</f>
        <v xml:space="preserve"> </v>
      </c>
      <c r="I277" s="54" t="str">
        <f>IFERROR((VLOOKUP(G277,'Planilha de Cadastro - Previsão'!$A$2:$N$1100,3,FALSE()))," ")</f>
        <v xml:space="preserve"> </v>
      </c>
      <c r="J277" s="56" t="str">
        <f>IFERROR((VLOOKUP(G277,'Planilha de Cadastro - Previsão'!$A$2:$N$1100,5,FALSE()))," ")</f>
        <v xml:space="preserve"> </v>
      </c>
      <c r="K277" s="57" t="str">
        <f>IFERROR((VLOOKUP(G277,'Planilha de Cadastro - Previsão'!$A$2:$N$1100,9,FALSE()))," ")</f>
        <v xml:space="preserve"> </v>
      </c>
    </row>
    <row r="278" spans="1:11" x14ac:dyDescent="0.25">
      <c r="A278">
        <f>COUNTIF($C$2:C278,C278)</f>
        <v>277</v>
      </c>
      <c r="B278" s="1" t="str">
        <f t="shared" si="8"/>
        <v>277</v>
      </c>
      <c r="C278" s="1" t="str">
        <f>IFERROR(VLOOKUP(D278,'Planilha de Cadastro - Previsão'!$A$2:$O$1000,15,FALSE()),"")</f>
        <v/>
      </c>
      <c r="D278" s="1">
        <v>277</v>
      </c>
      <c r="E278" s="1"/>
      <c r="F278" s="1"/>
      <c r="G278" s="54" t="str">
        <f t="shared" si="9"/>
        <v/>
      </c>
      <c r="H278" s="55" t="str">
        <f>IFERROR((VLOOKUP(G278,'Planilha de Cadastro - Previsão'!$A$2:$N$1100,2,FALSE()))," ")</f>
        <v xml:space="preserve"> </v>
      </c>
      <c r="I278" s="54" t="str">
        <f>IFERROR((VLOOKUP(G278,'Planilha de Cadastro - Previsão'!$A$2:$N$1100,3,FALSE()))," ")</f>
        <v xml:space="preserve"> </v>
      </c>
      <c r="J278" s="56" t="str">
        <f>IFERROR((VLOOKUP(G278,'Planilha de Cadastro - Previsão'!$A$2:$N$1100,5,FALSE()))," ")</f>
        <v xml:space="preserve"> </v>
      </c>
      <c r="K278" s="57" t="str">
        <f>IFERROR((VLOOKUP(G278,'Planilha de Cadastro - Previsão'!$A$2:$N$1100,9,FALSE()))," ")</f>
        <v xml:space="preserve"> </v>
      </c>
    </row>
    <row r="279" spans="1:11" x14ac:dyDescent="0.25">
      <c r="A279">
        <f>COUNTIF($C$2:C279,C279)</f>
        <v>278</v>
      </c>
      <c r="B279" s="1" t="str">
        <f t="shared" si="8"/>
        <v>278</v>
      </c>
      <c r="C279" s="1" t="str">
        <f>IFERROR(VLOOKUP(D279,'Planilha de Cadastro - Previsão'!$A$2:$O$1000,15,FALSE()),"")</f>
        <v/>
      </c>
      <c r="D279" s="1">
        <v>278</v>
      </c>
      <c r="E279" s="1"/>
      <c r="F279" s="1"/>
      <c r="G279" s="54" t="str">
        <f t="shared" si="9"/>
        <v/>
      </c>
      <c r="H279" s="55" t="str">
        <f>IFERROR((VLOOKUP(G279,'Planilha de Cadastro - Previsão'!$A$2:$N$1100,2,FALSE()))," ")</f>
        <v xml:space="preserve"> </v>
      </c>
      <c r="I279" s="54" t="str">
        <f>IFERROR((VLOOKUP(G279,'Planilha de Cadastro - Previsão'!$A$2:$N$1100,3,FALSE()))," ")</f>
        <v xml:space="preserve"> </v>
      </c>
      <c r="J279" s="56" t="str">
        <f>IFERROR((VLOOKUP(G279,'Planilha de Cadastro - Previsão'!$A$2:$N$1100,5,FALSE()))," ")</f>
        <v xml:space="preserve"> </v>
      </c>
      <c r="K279" s="57" t="str">
        <f>IFERROR((VLOOKUP(G279,'Planilha de Cadastro - Previsão'!$A$2:$N$1100,9,FALSE()))," ")</f>
        <v xml:space="preserve"> </v>
      </c>
    </row>
    <row r="280" spans="1:11" x14ac:dyDescent="0.25">
      <c r="A280">
        <f>COUNTIF($C$2:C280,C280)</f>
        <v>279</v>
      </c>
      <c r="B280" s="1" t="str">
        <f t="shared" si="8"/>
        <v>279</v>
      </c>
      <c r="C280" s="1" t="str">
        <f>IFERROR(VLOOKUP(D280,'Planilha de Cadastro - Previsão'!$A$2:$O$1000,15,FALSE()),"")</f>
        <v/>
      </c>
      <c r="D280" s="1">
        <v>279</v>
      </c>
      <c r="E280" s="1"/>
      <c r="F280" s="1"/>
      <c r="G280" s="54" t="str">
        <f t="shared" si="9"/>
        <v/>
      </c>
      <c r="H280" s="55" t="str">
        <f>IFERROR((VLOOKUP(G280,'Planilha de Cadastro - Previsão'!$A$2:$N$1100,2,FALSE()))," ")</f>
        <v xml:space="preserve"> </v>
      </c>
      <c r="I280" s="54" t="str">
        <f>IFERROR((VLOOKUP(G280,'Planilha de Cadastro - Previsão'!$A$2:$N$1100,3,FALSE()))," ")</f>
        <v xml:space="preserve"> </v>
      </c>
      <c r="J280" s="56" t="str">
        <f>IFERROR((VLOOKUP(G280,'Planilha de Cadastro - Previsão'!$A$2:$N$1100,5,FALSE()))," ")</f>
        <v xml:space="preserve"> </v>
      </c>
      <c r="K280" s="57" t="str">
        <f>IFERROR((VLOOKUP(G280,'Planilha de Cadastro - Previsão'!$A$2:$N$1100,9,FALSE()))," ")</f>
        <v xml:space="preserve"> </v>
      </c>
    </row>
    <row r="281" spans="1:11" x14ac:dyDescent="0.25">
      <c r="A281">
        <f>COUNTIF($C$2:C281,C281)</f>
        <v>280</v>
      </c>
      <c r="B281" s="1" t="str">
        <f t="shared" si="8"/>
        <v>280</v>
      </c>
      <c r="C281" s="1" t="str">
        <f>IFERROR(VLOOKUP(D281,'Planilha de Cadastro - Previsão'!$A$2:$O$1000,15,FALSE()),"")</f>
        <v/>
      </c>
      <c r="D281" s="1">
        <v>280</v>
      </c>
      <c r="E281" s="1"/>
      <c r="F281" s="1"/>
      <c r="G281" s="54" t="str">
        <f t="shared" si="9"/>
        <v/>
      </c>
      <c r="H281" s="55" t="str">
        <f>IFERROR((VLOOKUP(G281,'Planilha de Cadastro - Previsão'!$A$2:$N$1100,2,FALSE()))," ")</f>
        <v xml:space="preserve"> </v>
      </c>
      <c r="I281" s="54" t="str">
        <f>IFERROR((VLOOKUP(G281,'Planilha de Cadastro - Previsão'!$A$2:$N$1100,3,FALSE()))," ")</f>
        <v xml:space="preserve"> </v>
      </c>
      <c r="J281" s="56" t="str">
        <f>IFERROR((VLOOKUP(G281,'Planilha de Cadastro - Previsão'!$A$2:$N$1100,5,FALSE()))," ")</f>
        <v xml:space="preserve"> </v>
      </c>
      <c r="K281" s="57" t="str">
        <f>IFERROR((VLOOKUP(G281,'Planilha de Cadastro - Previsão'!$A$2:$N$1100,9,FALSE()))," ")</f>
        <v xml:space="preserve"> </v>
      </c>
    </row>
    <row r="282" spans="1:11" x14ac:dyDescent="0.25">
      <c r="A282">
        <f>COUNTIF($C$2:C282,C282)</f>
        <v>281</v>
      </c>
      <c r="B282" s="1" t="str">
        <f t="shared" si="8"/>
        <v>281</v>
      </c>
      <c r="C282" s="1" t="str">
        <f>IFERROR(VLOOKUP(D282,'Planilha de Cadastro - Previsão'!$A$2:$O$1000,15,FALSE()),"")</f>
        <v/>
      </c>
      <c r="D282" s="1">
        <v>281</v>
      </c>
      <c r="E282" s="1"/>
      <c r="F282" s="1"/>
      <c r="G282" s="54" t="str">
        <f t="shared" si="9"/>
        <v/>
      </c>
      <c r="H282" s="55" t="str">
        <f>IFERROR((VLOOKUP(G282,'Planilha de Cadastro - Previsão'!$A$2:$N$1100,2,FALSE()))," ")</f>
        <v xml:space="preserve"> </v>
      </c>
      <c r="I282" s="54" t="str">
        <f>IFERROR((VLOOKUP(G282,'Planilha de Cadastro - Previsão'!$A$2:$N$1100,3,FALSE()))," ")</f>
        <v xml:space="preserve"> </v>
      </c>
      <c r="J282" s="56" t="str">
        <f>IFERROR((VLOOKUP(G282,'Planilha de Cadastro - Previsão'!$A$2:$N$1100,5,FALSE()))," ")</f>
        <v xml:space="preserve"> </v>
      </c>
      <c r="K282" s="57" t="str">
        <f>IFERROR((VLOOKUP(G282,'Planilha de Cadastro - Previsão'!$A$2:$N$1100,9,FALSE()))," ")</f>
        <v xml:space="preserve"> </v>
      </c>
    </row>
    <row r="283" spans="1:11" x14ac:dyDescent="0.25">
      <c r="A283">
        <f>COUNTIF($C$2:C283,C283)</f>
        <v>282</v>
      </c>
      <c r="B283" s="1" t="str">
        <f t="shared" si="8"/>
        <v>282</v>
      </c>
      <c r="C283" s="1" t="str">
        <f>IFERROR(VLOOKUP(D283,'Planilha de Cadastro - Previsão'!$A$2:$O$1000,15,FALSE()),"")</f>
        <v/>
      </c>
      <c r="D283" s="1">
        <v>282</v>
      </c>
      <c r="E283" s="1"/>
      <c r="F283" s="1"/>
      <c r="G283" s="54" t="str">
        <f t="shared" si="9"/>
        <v/>
      </c>
      <c r="H283" s="55" t="str">
        <f>IFERROR((VLOOKUP(G283,'Planilha de Cadastro - Previsão'!$A$2:$N$1100,2,FALSE()))," ")</f>
        <v xml:space="preserve"> </v>
      </c>
      <c r="I283" s="54" t="str">
        <f>IFERROR((VLOOKUP(G283,'Planilha de Cadastro - Previsão'!$A$2:$N$1100,3,FALSE()))," ")</f>
        <v xml:space="preserve"> </v>
      </c>
      <c r="J283" s="56" t="str">
        <f>IFERROR((VLOOKUP(G283,'Planilha de Cadastro - Previsão'!$A$2:$N$1100,5,FALSE()))," ")</f>
        <v xml:space="preserve"> </v>
      </c>
      <c r="K283" s="57" t="str">
        <f>IFERROR((VLOOKUP(G283,'Planilha de Cadastro - Previsão'!$A$2:$N$1100,9,FALSE()))," ")</f>
        <v xml:space="preserve"> </v>
      </c>
    </row>
    <row r="284" spans="1:11" x14ac:dyDescent="0.25">
      <c r="A284">
        <f>COUNTIF($C$2:C284,C284)</f>
        <v>283</v>
      </c>
      <c r="B284" s="1" t="str">
        <f t="shared" si="8"/>
        <v>283</v>
      </c>
      <c r="C284" s="1" t="str">
        <f>IFERROR(VLOOKUP(D284,'Planilha de Cadastro - Previsão'!$A$2:$O$1000,15,FALSE()),"")</f>
        <v/>
      </c>
      <c r="D284" s="1">
        <v>283</v>
      </c>
      <c r="E284" s="1"/>
      <c r="F284" s="1"/>
      <c r="G284" s="54" t="str">
        <f t="shared" si="9"/>
        <v/>
      </c>
      <c r="H284" s="55" t="str">
        <f>IFERROR((VLOOKUP(G284,'Planilha de Cadastro - Previsão'!$A$2:$N$1100,2,FALSE()))," ")</f>
        <v xml:space="preserve"> </v>
      </c>
      <c r="I284" s="54" t="str">
        <f>IFERROR((VLOOKUP(G284,'Planilha de Cadastro - Previsão'!$A$2:$N$1100,3,FALSE()))," ")</f>
        <v xml:space="preserve"> </v>
      </c>
      <c r="J284" s="56" t="str">
        <f>IFERROR((VLOOKUP(G284,'Planilha de Cadastro - Previsão'!$A$2:$N$1100,5,FALSE()))," ")</f>
        <v xml:space="preserve"> </v>
      </c>
      <c r="K284" s="57" t="str">
        <f>IFERROR((VLOOKUP(G284,'Planilha de Cadastro - Previsão'!$A$2:$N$1100,9,FALSE()))," ")</f>
        <v xml:space="preserve"> </v>
      </c>
    </row>
    <row r="285" spans="1:11" x14ac:dyDescent="0.25">
      <c r="A285">
        <f>COUNTIF($C$2:C285,C285)</f>
        <v>284</v>
      </c>
      <c r="B285" s="1" t="str">
        <f t="shared" si="8"/>
        <v>284</v>
      </c>
      <c r="C285" s="1" t="str">
        <f>IFERROR(VLOOKUP(D285,'Planilha de Cadastro - Previsão'!$A$2:$O$1000,15,FALSE()),"")</f>
        <v/>
      </c>
      <c r="D285" s="1">
        <v>284</v>
      </c>
      <c r="E285" s="1"/>
      <c r="F285" s="1"/>
      <c r="G285" s="54" t="str">
        <f t="shared" si="9"/>
        <v/>
      </c>
      <c r="H285" s="55" t="str">
        <f>IFERROR((VLOOKUP(G285,'Planilha de Cadastro - Previsão'!$A$2:$N$1100,2,FALSE()))," ")</f>
        <v xml:space="preserve"> </v>
      </c>
      <c r="I285" s="54" t="str">
        <f>IFERROR((VLOOKUP(G285,'Planilha de Cadastro - Previsão'!$A$2:$N$1100,3,FALSE()))," ")</f>
        <v xml:space="preserve"> </v>
      </c>
      <c r="J285" s="56" t="str">
        <f>IFERROR((VLOOKUP(G285,'Planilha de Cadastro - Previsão'!$A$2:$N$1100,5,FALSE()))," ")</f>
        <v xml:space="preserve"> </v>
      </c>
      <c r="K285" s="57" t="str">
        <f>IFERROR((VLOOKUP(G285,'Planilha de Cadastro - Previsão'!$A$2:$N$1100,9,FALSE()))," ")</f>
        <v xml:space="preserve"> </v>
      </c>
    </row>
    <row r="286" spans="1:11" x14ac:dyDescent="0.25">
      <c r="A286">
        <f>COUNTIF($C$2:C286,C286)</f>
        <v>285</v>
      </c>
      <c r="B286" s="1" t="str">
        <f t="shared" si="8"/>
        <v>285</v>
      </c>
      <c r="C286" s="1" t="str">
        <f>IFERROR(VLOOKUP(D286,'Planilha de Cadastro - Previsão'!$A$2:$O$1000,15,FALSE()),"")</f>
        <v/>
      </c>
      <c r="D286" s="1">
        <v>285</v>
      </c>
      <c r="E286" s="1"/>
      <c r="F286" s="1"/>
      <c r="G286" s="54" t="str">
        <f t="shared" si="9"/>
        <v/>
      </c>
      <c r="H286" s="55" t="str">
        <f>IFERROR((VLOOKUP(G286,'Planilha de Cadastro - Previsão'!$A$2:$N$1100,2,FALSE()))," ")</f>
        <v xml:space="preserve"> </v>
      </c>
      <c r="I286" s="54" t="str">
        <f>IFERROR((VLOOKUP(G286,'Planilha de Cadastro - Previsão'!$A$2:$N$1100,3,FALSE()))," ")</f>
        <v xml:space="preserve"> </v>
      </c>
      <c r="J286" s="56" t="str">
        <f>IFERROR((VLOOKUP(G286,'Planilha de Cadastro - Previsão'!$A$2:$N$1100,5,FALSE()))," ")</f>
        <v xml:space="preserve"> </v>
      </c>
      <c r="K286" s="57" t="str">
        <f>IFERROR((VLOOKUP(G286,'Planilha de Cadastro - Previsão'!$A$2:$N$1100,9,FALSE()))," ")</f>
        <v xml:space="preserve"> </v>
      </c>
    </row>
    <row r="287" spans="1:11" x14ac:dyDescent="0.25">
      <c r="A287">
        <f>COUNTIF($C$2:C287,C287)</f>
        <v>286</v>
      </c>
      <c r="B287" s="1" t="str">
        <f t="shared" si="8"/>
        <v>286</v>
      </c>
      <c r="C287" s="1" t="str">
        <f>IFERROR(VLOOKUP(D287,'Planilha de Cadastro - Previsão'!$A$2:$O$1000,15,FALSE()),"")</f>
        <v/>
      </c>
      <c r="D287" s="1">
        <v>286</v>
      </c>
      <c r="E287" s="1"/>
      <c r="F287" s="1"/>
      <c r="G287" s="54" t="str">
        <f t="shared" si="9"/>
        <v/>
      </c>
      <c r="H287" s="55" t="str">
        <f>IFERROR((VLOOKUP(G287,'Planilha de Cadastro - Previsão'!$A$2:$N$1100,2,FALSE()))," ")</f>
        <v xml:space="preserve"> </v>
      </c>
      <c r="I287" s="54" t="str">
        <f>IFERROR((VLOOKUP(G287,'Planilha de Cadastro - Previsão'!$A$2:$N$1100,3,FALSE()))," ")</f>
        <v xml:space="preserve"> </v>
      </c>
      <c r="J287" s="56" t="str">
        <f>IFERROR((VLOOKUP(G287,'Planilha de Cadastro - Previsão'!$A$2:$N$1100,5,FALSE()))," ")</f>
        <v xml:space="preserve"> </v>
      </c>
      <c r="K287" s="57" t="str">
        <f>IFERROR((VLOOKUP(G287,'Planilha de Cadastro - Previsão'!$A$2:$N$1100,9,FALSE()))," ")</f>
        <v xml:space="preserve"> </v>
      </c>
    </row>
    <row r="288" spans="1:11" x14ac:dyDescent="0.25">
      <c r="A288">
        <f>COUNTIF($C$2:C288,C288)</f>
        <v>287</v>
      </c>
      <c r="B288" s="1" t="str">
        <f t="shared" si="8"/>
        <v>287</v>
      </c>
      <c r="C288" s="1" t="str">
        <f>IFERROR(VLOOKUP(D288,'Planilha de Cadastro - Previsão'!$A$2:$O$1000,15,FALSE()),"")</f>
        <v/>
      </c>
      <c r="D288" s="1">
        <v>287</v>
      </c>
      <c r="E288" s="1"/>
      <c r="F288" s="1"/>
      <c r="G288" s="54" t="str">
        <f t="shared" si="9"/>
        <v/>
      </c>
      <c r="H288" s="55" t="str">
        <f>IFERROR((VLOOKUP(G288,'Planilha de Cadastro - Previsão'!$A$2:$N$1100,2,FALSE()))," ")</f>
        <v xml:space="preserve"> </v>
      </c>
      <c r="I288" s="54" t="str">
        <f>IFERROR((VLOOKUP(G288,'Planilha de Cadastro - Previsão'!$A$2:$N$1100,3,FALSE()))," ")</f>
        <v xml:space="preserve"> </v>
      </c>
      <c r="J288" s="56" t="str">
        <f>IFERROR((VLOOKUP(G288,'Planilha de Cadastro - Previsão'!$A$2:$N$1100,5,FALSE()))," ")</f>
        <v xml:space="preserve"> </v>
      </c>
      <c r="K288" s="57" t="str">
        <f>IFERROR((VLOOKUP(G288,'Planilha de Cadastro - Previsão'!$A$2:$N$1100,9,FALSE()))," ")</f>
        <v xml:space="preserve"> </v>
      </c>
    </row>
    <row r="289" spans="1:11" x14ac:dyDescent="0.25">
      <c r="A289">
        <f>COUNTIF($C$2:C289,C289)</f>
        <v>288</v>
      </c>
      <c r="B289" s="1" t="str">
        <f t="shared" si="8"/>
        <v>288</v>
      </c>
      <c r="C289" s="1" t="str">
        <f>IFERROR(VLOOKUP(D289,'Planilha de Cadastro - Previsão'!$A$2:$O$1000,15,FALSE()),"")</f>
        <v/>
      </c>
      <c r="D289" s="1">
        <v>288</v>
      </c>
      <c r="E289" s="1"/>
      <c r="F289" s="1"/>
      <c r="G289" s="54" t="str">
        <f t="shared" si="9"/>
        <v/>
      </c>
      <c r="H289" s="55" t="str">
        <f>IFERROR((VLOOKUP(G289,'Planilha de Cadastro - Previsão'!$A$2:$N$1100,2,FALSE()))," ")</f>
        <v xml:space="preserve"> </v>
      </c>
      <c r="I289" s="54" t="str">
        <f>IFERROR((VLOOKUP(G289,'Planilha de Cadastro - Previsão'!$A$2:$N$1100,3,FALSE()))," ")</f>
        <v xml:space="preserve"> </v>
      </c>
      <c r="J289" s="56" t="str">
        <f>IFERROR((VLOOKUP(G289,'Planilha de Cadastro - Previsão'!$A$2:$N$1100,5,FALSE()))," ")</f>
        <v xml:space="preserve"> </v>
      </c>
      <c r="K289" s="57" t="str">
        <f>IFERROR((VLOOKUP(G289,'Planilha de Cadastro - Previsão'!$A$2:$N$1100,9,FALSE()))," ")</f>
        <v xml:space="preserve"> </v>
      </c>
    </row>
    <row r="290" spans="1:11" x14ac:dyDescent="0.25">
      <c r="A290">
        <f>COUNTIF($C$2:C290,C290)</f>
        <v>289</v>
      </c>
      <c r="B290" s="1" t="str">
        <f t="shared" si="8"/>
        <v>289</v>
      </c>
      <c r="C290" s="1" t="str">
        <f>IFERROR(VLOOKUP(D290,'Planilha de Cadastro - Previsão'!$A$2:$O$1000,15,FALSE()),"")</f>
        <v/>
      </c>
      <c r="D290" s="1">
        <v>289</v>
      </c>
      <c r="E290" s="1"/>
      <c r="F290" s="1"/>
      <c r="G290" s="54" t="str">
        <f t="shared" si="9"/>
        <v/>
      </c>
      <c r="H290" s="55" t="str">
        <f>IFERROR((VLOOKUP(G290,'Planilha de Cadastro - Previsão'!$A$2:$N$1100,2,FALSE()))," ")</f>
        <v xml:space="preserve"> </v>
      </c>
      <c r="I290" s="54" t="str">
        <f>IFERROR((VLOOKUP(G290,'Planilha de Cadastro - Previsão'!$A$2:$N$1100,3,FALSE()))," ")</f>
        <v xml:space="preserve"> </v>
      </c>
      <c r="J290" s="56" t="str">
        <f>IFERROR((VLOOKUP(G290,'Planilha de Cadastro - Previsão'!$A$2:$N$1100,5,FALSE()))," ")</f>
        <v xml:space="preserve"> </v>
      </c>
      <c r="K290" s="57" t="str">
        <f>IFERROR((VLOOKUP(G290,'Planilha de Cadastro - Previsão'!$A$2:$N$1100,9,FALSE()))," ")</f>
        <v xml:space="preserve"> </v>
      </c>
    </row>
    <row r="291" spans="1:11" x14ac:dyDescent="0.25">
      <c r="A291">
        <f>COUNTIF($C$2:C291,C291)</f>
        <v>290</v>
      </c>
      <c r="B291" s="1" t="str">
        <f t="shared" si="8"/>
        <v>290</v>
      </c>
      <c r="C291" s="1" t="str">
        <f>IFERROR(VLOOKUP(D291,'Planilha de Cadastro - Previsão'!$A$2:$O$1000,15,FALSE()),"")</f>
        <v/>
      </c>
      <c r="D291" s="1">
        <v>290</v>
      </c>
      <c r="E291" s="1"/>
      <c r="F291" s="1"/>
      <c r="G291" s="54" t="str">
        <f t="shared" si="9"/>
        <v/>
      </c>
      <c r="H291" s="55" t="str">
        <f>IFERROR((VLOOKUP(G291,'Planilha de Cadastro - Previsão'!$A$2:$N$1100,2,FALSE()))," ")</f>
        <v xml:space="preserve"> </v>
      </c>
      <c r="I291" s="54" t="str">
        <f>IFERROR((VLOOKUP(G291,'Planilha de Cadastro - Previsão'!$A$2:$N$1100,3,FALSE()))," ")</f>
        <v xml:space="preserve"> </v>
      </c>
      <c r="J291" s="56" t="str">
        <f>IFERROR((VLOOKUP(G291,'Planilha de Cadastro - Previsão'!$A$2:$N$1100,5,FALSE()))," ")</f>
        <v xml:space="preserve"> </v>
      </c>
      <c r="K291" s="57" t="str">
        <f>IFERROR((VLOOKUP(G291,'Planilha de Cadastro - Previsão'!$A$2:$N$1100,9,FALSE()))," ")</f>
        <v xml:space="preserve"> </v>
      </c>
    </row>
    <row r="292" spans="1:11" x14ac:dyDescent="0.25">
      <c r="A292">
        <f>COUNTIF($C$2:C292,C292)</f>
        <v>291</v>
      </c>
      <c r="B292" s="1" t="str">
        <f t="shared" si="8"/>
        <v>291</v>
      </c>
      <c r="C292" s="1" t="str">
        <f>IFERROR(VLOOKUP(D292,'Planilha de Cadastro - Previsão'!$A$2:$O$1000,15,FALSE()),"")</f>
        <v/>
      </c>
      <c r="D292" s="1">
        <v>291</v>
      </c>
      <c r="E292" s="1"/>
      <c r="F292" s="1"/>
      <c r="G292" s="54" t="str">
        <f t="shared" si="9"/>
        <v/>
      </c>
      <c r="H292" s="55" t="str">
        <f>IFERROR((VLOOKUP(G292,'Planilha de Cadastro - Previsão'!$A$2:$N$1100,2,FALSE()))," ")</f>
        <v xml:space="preserve"> </v>
      </c>
      <c r="I292" s="54" t="str">
        <f>IFERROR((VLOOKUP(G292,'Planilha de Cadastro - Previsão'!$A$2:$N$1100,3,FALSE()))," ")</f>
        <v xml:space="preserve"> </v>
      </c>
      <c r="J292" s="56" t="str">
        <f>IFERROR((VLOOKUP(G292,'Planilha de Cadastro - Previsão'!$A$2:$N$1100,5,FALSE()))," ")</f>
        <v xml:space="preserve"> </v>
      </c>
      <c r="K292" s="57" t="str">
        <f>IFERROR((VLOOKUP(G292,'Planilha de Cadastro - Previsão'!$A$2:$N$1100,9,FALSE()))," ")</f>
        <v xml:space="preserve"> </v>
      </c>
    </row>
    <row r="293" spans="1:11" x14ac:dyDescent="0.25">
      <c r="A293">
        <f>COUNTIF($C$2:C293,C293)</f>
        <v>292</v>
      </c>
      <c r="B293" s="1" t="str">
        <f t="shared" si="8"/>
        <v>292</v>
      </c>
      <c r="C293" s="1" t="str">
        <f>IFERROR(VLOOKUP(D293,'Planilha de Cadastro - Previsão'!$A$2:$O$1000,15,FALSE()),"")</f>
        <v/>
      </c>
      <c r="D293" s="1">
        <v>292</v>
      </c>
      <c r="E293" s="1"/>
      <c r="F293" s="1"/>
      <c r="G293" s="54" t="str">
        <f t="shared" si="9"/>
        <v/>
      </c>
      <c r="H293" s="55" t="str">
        <f>IFERROR((VLOOKUP(G293,'Planilha de Cadastro - Previsão'!$A$2:$N$1100,2,FALSE()))," ")</f>
        <v xml:space="preserve"> </v>
      </c>
      <c r="I293" s="54" t="str">
        <f>IFERROR((VLOOKUP(G293,'Planilha de Cadastro - Previsão'!$A$2:$N$1100,3,FALSE()))," ")</f>
        <v xml:space="preserve"> </v>
      </c>
      <c r="J293" s="56" t="str">
        <f>IFERROR((VLOOKUP(G293,'Planilha de Cadastro - Previsão'!$A$2:$N$1100,5,FALSE()))," ")</f>
        <v xml:space="preserve"> </v>
      </c>
      <c r="K293" s="57" t="str">
        <f>IFERROR((VLOOKUP(G293,'Planilha de Cadastro - Previsão'!$A$2:$N$1100,9,FALSE()))," ")</f>
        <v xml:space="preserve"> </v>
      </c>
    </row>
    <row r="294" spans="1:11" x14ac:dyDescent="0.25">
      <c r="A294">
        <f>COUNTIF($C$2:C294,C294)</f>
        <v>293</v>
      </c>
      <c r="B294" s="1" t="str">
        <f t="shared" si="8"/>
        <v>293</v>
      </c>
      <c r="C294" s="1" t="str">
        <f>IFERROR(VLOOKUP(D294,'Planilha de Cadastro - Previsão'!$A$2:$O$1000,15,FALSE()),"")</f>
        <v/>
      </c>
      <c r="D294" s="1">
        <v>293</v>
      </c>
      <c r="E294" s="1"/>
      <c r="F294" s="1"/>
      <c r="G294" s="54" t="str">
        <f t="shared" si="9"/>
        <v/>
      </c>
      <c r="H294" s="55" t="str">
        <f>IFERROR((VLOOKUP(G294,'Planilha de Cadastro - Previsão'!$A$2:$N$1100,2,FALSE()))," ")</f>
        <v xml:space="preserve"> </v>
      </c>
      <c r="I294" s="54" t="str">
        <f>IFERROR((VLOOKUP(G294,'Planilha de Cadastro - Previsão'!$A$2:$N$1100,3,FALSE()))," ")</f>
        <v xml:space="preserve"> </v>
      </c>
      <c r="J294" s="56" t="str">
        <f>IFERROR((VLOOKUP(G294,'Planilha de Cadastro - Previsão'!$A$2:$N$1100,5,FALSE()))," ")</f>
        <v xml:space="preserve"> </v>
      </c>
      <c r="K294" s="57" t="str">
        <f>IFERROR((VLOOKUP(G294,'Planilha de Cadastro - Previsão'!$A$2:$N$1100,9,FALSE()))," ")</f>
        <v xml:space="preserve"> </v>
      </c>
    </row>
    <row r="295" spans="1:11" x14ac:dyDescent="0.25">
      <c r="A295">
        <f>COUNTIF($C$2:C295,C295)</f>
        <v>294</v>
      </c>
      <c r="B295" s="1" t="str">
        <f t="shared" si="8"/>
        <v>294</v>
      </c>
      <c r="C295" s="1" t="str">
        <f>IFERROR(VLOOKUP(D295,'Planilha de Cadastro - Previsão'!$A$2:$O$1000,15,FALSE()),"")</f>
        <v/>
      </c>
      <c r="D295" s="1">
        <v>294</v>
      </c>
      <c r="E295" s="1"/>
      <c r="F295" s="1"/>
      <c r="G295" s="54" t="str">
        <f t="shared" si="9"/>
        <v/>
      </c>
      <c r="H295" s="55" t="str">
        <f>IFERROR((VLOOKUP(G295,'Planilha de Cadastro - Previsão'!$A$2:$N$1100,2,FALSE()))," ")</f>
        <v xml:space="preserve"> </v>
      </c>
      <c r="I295" s="54" t="str">
        <f>IFERROR((VLOOKUP(G295,'Planilha de Cadastro - Previsão'!$A$2:$N$1100,3,FALSE()))," ")</f>
        <v xml:space="preserve"> </v>
      </c>
      <c r="J295" s="56" t="str">
        <f>IFERROR((VLOOKUP(G295,'Planilha de Cadastro - Previsão'!$A$2:$N$1100,5,FALSE()))," ")</f>
        <v xml:space="preserve"> </v>
      </c>
      <c r="K295" s="57" t="str">
        <f>IFERROR((VLOOKUP(G295,'Planilha de Cadastro - Previsão'!$A$2:$N$1100,9,FALSE()))," ")</f>
        <v xml:space="preserve"> </v>
      </c>
    </row>
    <row r="296" spans="1:11" x14ac:dyDescent="0.25">
      <c r="A296">
        <f>COUNTIF($C$2:C296,C296)</f>
        <v>295</v>
      </c>
      <c r="B296" s="1" t="str">
        <f t="shared" si="8"/>
        <v>295</v>
      </c>
      <c r="C296" s="1" t="str">
        <f>IFERROR(VLOOKUP(D296,'Planilha de Cadastro - Previsão'!$A$2:$O$1000,15,FALSE()),"")</f>
        <v/>
      </c>
      <c r="D296" s="1">
        <v>295</v>
      </c>
      <c r="E296" s="1"/>
      <c r="F296" s="1"/>
      <c r="G296" s="54" t="str">
        <f t="shared" si="9"/>
        <v/>
      </c>
      <c r="H296" s="55" t="str">
        <f>IFERROR((VLOOKUP(G296,'Planilha de Cadastro - Previsão'!$A$2:$N$1100,2,FALSE()))," ")</f>
        <v xml:space="preserve"> </v>
      </c>
      <c r="I296" s="54" t="str">
        <f>IFERROR((VLOOKUP(G296,'Planilha de Cadastro - Previsão'!$A$2:$N$1100,3,FALSE()))," ")</f>
        <v xml:space="preserve"> </v>
      </c>
      <c r="J296" s="56" t="str">
        <f>IFERROR((VLOOKUP(G296,'Planilha de Cadastro - Previsão'!$A$2:$N$1100,5,FALSE()))," ")</f>
        <v xml:space="preserve"> </v>
      </c>
      <c r="K296" s="57" t="str">
        <f>IFERROR((VLOOKUP(G296,'Planilha de Cadastro - Previsão'!$A$2:$N$1100,9,FALSE()))," ")</f>
        <v xml:space="preserve"> </v>
      </c>
    </row>
    <row r="297" spans="1:11" x14ac:dyDescent="0.25">
      <c r="A297">
        <f>COUNTIF($C$2:C297,C297)</f>
        <v>296</v>
      </c>
      <c r="B297" s="1" t="str">
        <f t="shared" si="8"/>
        <v>296</v>
      </c>
      <c r="C297" s="1" t="str">
        <f>IFERROR(VLOOKUP(D297,'Planilha de Cadastro - Previsão'!$A$2:$O$1000,15,FALSE()),"")</f>
        <v/>
      </c>
      <c r="D297" s="1">
        <v>296</v>
      </c>
      <c r="E297" s="1"/>
      <c r="F297" s="1"/>
      <c r="G297" s="54" t="str">
        <f t="shared" si="9"/>
        <v/>
      </c>
      <c r="H297" s="55" t="str">
        <f>IFERROR((VLOOKUP(G297,'Planilha de Cadastro - Previsão'!$A$2:$N$1100,2,FALSE()))," ")</f>
        <v xml:space="preserve"> </v>
      </c>
      <c r="I297" s="54" t="str">
        <f>IFERROR((VLOOKUP(G297,'Planilha de Cadastro - Previsão'!$A$2:$N$1100,3,FALSE()))," ")</f>
        <v xml:space="preserve"> </v>
      </c>
      <c r="J297" s="56" t="str">
        <f>IFERROR((VLOOKUP(G297,'Planilha de Cadastro - Previsão'!$A$2:$N$1100,5,FALSE()))," ")</f>
        <v xml:space="preserve"> </v>
      </c>
      <c r="K297" s="57" t="str">
        <f>IFERROR((VLOOKUP(G297,'Planilha de Cadastro - Previsão'!$A$2:$N$1100,9,FALSE()))," ")</f>
        <v xml:space="preserve"> </v>
      </c>
    </row>
    <row r="298" spans="1:11" x14ac:dyDescent="0.25">
      <c r="A298">
        <f>COUNTIF($C$2:C298,C298)</f>
        <v>297</v>
      </c>
      <c r="B298" s="1" t="str">
        <f t="shared" si="8"/>
        <v>297</v>
      </c>
      <c r="C298" s="1" t="str">
        <f>IFERROR(VLOOKUP(D298,'Planilha de Cadastro - Previsão'!$A$2:$O$1000,15,FALSE()),"")</f>
        <v/>
      </c>
      <c r="D298" s="1">
        <v>297</v>
      </c>
      <c r="E298" s="1"/>
      <c r="F298" s="1"/>
      <c r="G298" s="54" t="str">
        <f t="shared" si="9"/>
        <v/>
      </c>
      <c r="H298" s="55" t="str">
        <f>IFERROR((VLOOKUP(G298,'Planilha de Cadastro - Previsão'!$A$2:$N$1100,2,FALSE()))," ")</f>
        <v xml:space="preserve"> </v>
      </c>
      <c r="I298" s="54" t="str">
        <f>IFERROR((VLOOKUP(G298,'Planilha de Cadastro - Previsão'!$A$2:$N$1100,3,FALSE()))," ")</f>
        <v xml:space="preserve"> </v>
      </c>
      <c r="J298" s="56" t="str">
        <f>IFERROR((VLOOKUP(G298,'Planilha de Cadastro - Previsão'!$A$2:$N$1100,5,FALSE()))," ")</f>
        <v xml:space="preserve"> </v>
      </c>
      <c r="K298" s="57" t="str">
        <f>IFERROR((VLOOKUP(G298,'Planilha de Cadastro - Previsão'!$A$2:$N$1100,9,FALSE()))," ")</f>
        <v xml:space="preserve"> </v>
      </c>
    </row>
    <row r="299" spans="1:11" x14ac:dyDescent="0.25">
      <c r="A299">
        <f>COUNTIF($C$2:C299,C299)</f>
        <v>298</v>
      </c>
      <c r="B299" s="1" t="str">
        <f t="shared" si="8"/>
        <v>298</v>
      </c>
      <c r="C299" s="1" t="str">
        <f>IFERROR(VLOOKUP(D299,'Planilha de Cadastro - Previsão'!$A$2:$O$1000,15,FALSE()),"")</f>
        <v/>
      </c>
      <c r="D299" s="1">
        <v>298</v>
      </c>
      <c r="E299" s="1"/>
      <c r="F299" s="1"/>
      <c r="G299" s="54" t="str">
        <f t="shared" si="9"/>
        <v/>
      </c>
      <c r="H299" s="55" t="str">
        <f>IFERROR((VLOOKUP(G299,'Planilha de Cadastro - Previsão'!$A$2:$N$1100,2,FALSE()))," ")</f>
        <v xml:space="preserve"> </v>
      </c>
      <c r="I299" s="54" t="str">
        <f>IFERROR((VLOOKUP(G299,'Planilha de Cadastro - Previsão'!$A$2:$N$1100,3,FALSE()))," ")</f>
        <v xml:space="preserve"> </v>
      </c>
      <c r="J299" s="56" t="str">
        <f>IFERROR((VLOOKUP(G299,'Planilha de Cadastro - Previsão'!$A$2:$N$1100,5,FALSE()))," ")</f>
        <v xml:space="preserve"> </v>
      </c>
      <c r="K299" s="57" t="str">
        <f>IFERROR((VLOOKUP(G299,'Planilha de Cadastro - Previsão'!$A$2:$N$1100,9,FALSE()))," ")</f>
        <v xml:space="preserve"> </v>
      </c>
    </row>
    <row r="300" spans="1:11" x14ac:dyDescent="0.25">
      <c r="A300">
        <f>COUNTIF($C$2:C300,C300)</f>
        <v>299</v>
      </c>
      <c r="B300" s="1" t="str">
        <f t="shared" si="8"/>
        <v>299</v>
      </c>
      <c r="C300" s="1" t="str">
        <f>IFERROR(VLOOKUP(D300,'Planilha de Cadastro - Previsão'!$A$2:$O$1000,15,FALSE()),"")</f>
        <v/>
      </c>
      <c r="D300" s="1">
        <v>299</v>
      </c>
      <c r="E300" s="1"/>
      <c r="F300" s="1"/>
      <c r="G300" s="54" t="str">
        <f t="shared" si="9"/>
        <v/>
      </c>
      <c r="H300" s="55" t="str">
        <f>IFERROR((VLOOKUP(G300,'Planilha de Cadastro - Previsão'!$A$2:$N$1100,2,FALSE()))," ")</f>
        <v xml:space="preserve"> </v>
      </c>
      <c r="I300" s="54" t="str">
        <f>IFERROR((VLOOKUP(G300,'Planilha de Cadastro - Previsão'!$A$2:$N$1100,3,FALSE()))," ")</f>
        <v xml:space="preserve"> </v>
      </c>
      <c r="J300" s="56" t="str">
        <f>IFERROR((VLOOKUP(G300,'Planilha de Cadastro - Previsão'!$A$2:$N$1100,5,FALSE()))," ")</f>
        <v xml:space="preserve"> </v>
      </c>
      <c r="K300" s="57" t="str">
        <f>IFERROR((VLOOKUP(G300,'Planilha de Cadastro - Previsão'!$A$2:$N$1100,9,FALSE()))," ")</f>
        <v xml:space="preserve"> </v>
      </c>
    </row>
    <row r="301" spans="1:11" x14ac:dyDescent="0.25">
      <c r="A301">
        <f>COUNTIF($C$2:C301,C301)</f>
        <v>300</v>
      </c>
      <c r="B301" s="1" t="str">
        <f t="shared" si="8"/>
        <v>300</v>
      </c>
      <c r="C301" s="1" t="str">
        <f>IFERROR(VLOOKUP(D301,'Planilha de Cadastro - Previsão'!$A$2:$O$1000,15,FALSE()),"")</f>
        <v/>
      </c>
      <c r="D301" s="1">
        <v>300</v>
      </c>
      <c r="E301" s="1"/>
      <c r="F301" s="1"/>
      <c r="G301" s="54" t="str">
        <f t="shared" si="9"/>
        <v/>
      </c>
      <c r="H301" s="55" t="str">
        <f>IFERROR((VLOOKUP(G301,'Planilha de Cadastro - Previsão'!$A$2:$N$1100,2,FALSE()))," ")</f>
        <v xml:space="preserve"> </v>
      </c>
      <c r="I301" s="54" t="str">
        <f>IFERROR((VLOOKUP(G301,'Planilha de Cadastro - Previsão'!$A$2:$N$1100,3,FALSE()))," ")</f>
        <v xml:space="preserve"> </v>
      </c>
      <c r="J301" s="56" t="str">
        <f>IFERROR((VLOOKUP(G301,'Planilha de Cadastro - Previsão'!$A$2:$N$1100,5,FALSE()))," ")</f>
        <v xml:space="preserve"> </v>
      </c>
      <c r="K301" s="57" t="str">
        <f>IFERROR((VLOOKUP(G301,'Planilha de Cadastro - Previsão'!$A$2:$N$1100,9,FALSE()))," ")</f>
        <v xml:space="preserve"> </v>
      </c>
    </row>
    <row r="302" spans="1:11" x14ac:dyDescent="0.25">
      <c r="A302">
        <f>COUNTIF($C$2:C302,C302)</f>
        <v>301</v>
      </c>
      <c r="B302" s="1" t="str">
        <f t="shared" si="8"/>
        <v>301</v>
      </c>
      <c r="C302" s="1" t="str">
        <f>IFERROR(VLOOKUP(D302,'Planilha de Cadastro - Previsão'!$A$2:$O$1000,15,FALSE()),"")</f>
        <v/>
      </c>
      <c r="D302" s="1">
        <v>301</v>
      </c>
      <c r="E302" s="1"/>
      <c r="F302" s="1"/>
      <c r="G302" s="54" t="str">
        <f t="shared" si="9"/>
        <v/>
      </c>
      <c r="H302" s="55" t="str">
        <f>IFERROR((VLOOKUP(G302,'Planilha de Cadastro - Previsão'!$A$2:$N$1100,2,FALSE()))," ")</f>
        <v xml:space="preserve"> </v>
      </c>
      <c r="I302" s="54" t="str">
        <f>IFERROR((VLOOKUP(G302,'Planilha de Cadastro - Previsão'!$A$2:$N$1100,3,FALSE()))," ")</f>
        <v xml:space="preserve"> </v>
      </c>
      <c r="J302" s="56" t="str">
        <f>IFERROR((VLOOKUP(G302,'Planilha de Cadastro - Previsão'!$A$2:$N$1100,5,FALSE()))," ")</f>
        <v xml:space="preserve"> </v>
      </c>
      <c r="K302" s="57" t="str">
        <f>IFERROR((VLOOKUP(G302,'Planilha de Cadastro - Previsão'!$A$2:$N$1100,9,FALSE()))," ")</f>
        <v xml:space="preserve"> </v>
      </c>
    </row>
    <row r="303" spans="1:11" x14ac:dyDescent="0.25">
      <c r="A303">
        <f>COUNTIF($C$2:C303,C303)</f>
        <v>302</v>
      </c>
      <c r="B303" s="1" t="str">
        <f t="shared" si="8"/>
        <v>302</v>
      </c>
      <c r="C303" s="1" t="str">
        <f>IFERROR(VLOOKUP(D303,'Planilha de Cadastro - Previsão'!$A$2:$O$1000,15,FALSE()),"")</f>
        <v/>
      </c>
      <c r="D303" s="1">
        <v>302</v>
      </c>
      <c r="E303" s="1"/>
      <c r="F303" s="1"/>
      <c r="G303" s="54" t="str">
        <f t="shared" si="9"/>
        <v/>
      </c>
      <c r="H303" s="55" t="str">
        <f>IFERROR((VLOOKUP(G303,'Planilha de Cadastro - Previsão'!$A$2:$N$1100,2,FALSE()))," ")</f>
        <v xml:space="preserve"> </v>
      </c>
      <c r="I303" s="54" t="str">
        <f>IFERROR((VLOOKUP(G303,'Planilha de Cadastro - Previsão'!$A$2:$N$1100,3,FALSE()))," ")</f>
        <v xml:space="preserve"> </v>
      </c>
      <c r="J303" s="56" t="str">
        <f>IFERROR((VLOOKUP(G303,'Planilha de Cadastro - Previsão'!$A$2:$N$1100,5,FALSE()))," ")</f>
        <v xml:space="preserve"> </v>
      </c>
      <c r="K303" s="57" t="str">
        <f>IFERROR((VLOOKUP(G303,'Planilha de Cadastro - Previsão'!$A$2:$N$1100,9,FALSE()))," ")</f>
        <v xml:space="preserve"> </v>
      </c>
    </row>
    <row r="304" spans="1:11" x14ac:dyDescent="0.25">
      <c r="A304">
        <f>COUNTIF($C$2:C304,C304)</f>
        <v>303</v>
      </c>
      <c r="B304" s="1" t="str">
        <f t="shared" si="8"/>
        <v>303</v>
      </c>
      <c r="C304" s="1" t="str">
        <f>IFERROR(VLOOKUP(D304,'Planilha de Cadastro - Previsão'!$A$2:$O$1000,15,FALSE()),"")</f>
        <v/>
      </c>
      <c r="D304" s="1">
        <v>303</v>
      </c>
      <c r="E304" s="1"/>
      <c r="F304" s="1"/>
      <c r="G304" s="54" t="str">
        <f t="shared" si="9"/>
        <v/>
      </c>
      <c r="H304" s="55" t="str">
        <f>IFERROR((VLOOKUP(G304,'Planilha de Cadastro - Previsão'!$A$2:$N$1100,2,FALSE()))," ")</f>
        <v xml:space="preserve"> </v>
      </c>
      <c r="I304" s="54" t="str">
        <f>IFERROR((VLOOKUP(G304,'Planilha de Cadastro - Previsão'!$A$2:$N$1100,3,FALSE()))," ")</f>
        <v xml:space="preserve"> </v>
      </c>
      <c r="J304" s="56" t="str">
        <f>IFERROR((VLOOKUP(G304,'Planilha de Cadastro - Previsão'!$A$2:$N$1100,5,FALSE()))," ")</f>
        <v xml:space="preserve"> </v>
      </c>
      <c r="K304" s="57" t="str">
        <f>IFERROR((VLOOKUP(G304,'Planilha de Cadastro - Previsão'!$A$2:$N$1100,9,FALSE()))," ")</f>
        <v xml:space="preserve"> </v>
      </c>
    </row>
    <row r="305" spans="1:11" x14ac:dyDescent="0.25">
      <c r="A305">
        <f>COUNTIF($C$2:C305,C305)</f>
        <v>304</v>
      </c>
      <c r="B305" s="1" t="str">
        <f t="shared" si="8"/>
        <v>304</v>
      </c>
      <c r="C305" s="1" t="str">
        <f>IFERROR(VLOOKUP(D305,'Planilha de Cadastro - Previsão'!$A$2:$O$1000,15,FALSE()),"")</f>
        <v/>
      </c>
      <c r="D305" s="1">
        <v>304</v>
      </c>
      <c r="E305" s="1"/>
      <c r="F305" s="1"/>
      <c r="G305" s="54" t="str">
        <f t="shared" si="9"/>
        <v/>
      </c>
      <c r="H305" s="55" t="str">
        <f>IFERROR((VLOOKUP(G305,'Planilha de Cadastro - Previsão'!$A$2:$N$1100,2,FALSE()))," ")</f>
        <v xml:space="preserve"> </v>
      </c>
      <c r="I305" s="54" t="str">
        <f>IFERROR((VLOOKUP(G305,'Planilha de Cadastro - Previsão'!$A$2:$N$1100,3,FALSE()))," ")</f>
        <v xml:space="preserve"> </v>
      </c>
      <c r="J305" s="56" t="str">
        <f>IFERROR((VLOOKUP(G305,'Planilha de Cadastro - Previsão'!$A$2:$N$1100,5,FALSE()))," ")</f>
        <v xml:space="preserve"> </v>
      </c>
      <c r="K305" s="57" t="str">
        <f>IFERROR((VLOOKUP(G305,'Planilha de Cadastro - Previsão'!$A$2:$N$1100,9,FALSE()))," ")</f>
        <v xml:space="preserve"> </v>
      </c>
    </row>
    <row r="306" spans="1:11" x14ac:dyDescent="0.25">
      <c r="A306">
        <f>COUNTIF($C$2:C306,C306)</f>
        <v>305</v>
      </c>
      <c r="B306" s="1" t="str">
        <f t="shared" si="8"/>
        <v>305</v>
      </c>
      <c r="C306" s="1" t="str">
        <f>IFERROR(VLOOKUP(D306,'Planilha de Cadastro - Previsão'!$A$2:$O$1000,15,FALSE()),"")</f>
        <v/>
      </c>
      <c r="D306" s="1">
        <v>305</v>
      </c>
      <c r="E306" s="1"/>
      <c r="F306" s="1"/>
      <c r="G306" s="54" t="str">
        <f t="shared" si="9"/>
        <v/>
      </c>
      <c r="H306" s="55" t="str">
        <f>IFERROR((VLOOKUP(G306,'Planilha de Cadastro - Previsão'!$A$2:$N$1100,2,FALSE()))," ")</f>
        <v xml:space="preserve"> </v>
      </c>
      <c r="I306" s="54" t="str">
        <f>IFERROR((VLOOKUP(G306,'Planilha de Cadastro - Previsão'!$A$2:$N$1100,3,FALSE()))," ")</f>
        <v xml:space="preserve"> </v>
      </c>
      <c r="J306" s="56" t="str">
        <f>IFERROR((VLOOKUP(G306,'Planilha de Cadastro - Previsão'!$A$2:$N$1100,5,FALSE()))," ")</f>
        <v xml:space="preserve"> </v>
      </c>
      <c r="K306" s="57" t="str">
        <f>IFERROR((VLOOKUP(G306,'Planilha de Cadastro - Previsão'!$A$2:$N$1100,9,FALSE()))," ")</f>
        <v xml:space="preserve"> </v>
      </c>
    </row>
    <row r="307" spans="1:11" x14ac:dyDescent="0.25">
      <c r="A307">
        <f>COUNTIF($C$2:C307,C307)</f>
        <v>306</v>
      </c>
      <c r="B307" s="1" t="str">
        <f t="shared" si="8"/>
        <v>306</v>
      </c>
      <c r="C307" s="1" t="str">
        <f>IFERROR(VLOOKUP(D307,'Planilha de Cadastro - Previsão'!$A$2:$O$1000,15,FALSE()),"")</f>
        <v/>
      </c>
      <c r="D307" s="1">
        <v>306</v>
      </c>
      <c r="E307" s="1"/>
      <c r="F307" s="1"/>
      <c r="G307" s="54" t="str">
        <f t="shared" si="9"/>
        <v/>
      </c>
      <c r="H307" s="55" t="str">
        <f>IFERROR((VLOOKUP(G307,'Planilha de Cadastro - Previsão'!$A$2:$N$1100,2,FALSE()))," ")</f>
        <v xml:space="preserve"> </v>
      </c>
      <c r="I307" s="54" t="str">
        <f>IFERROR((VLOOKUP(G307,'Planilha de Cadastro - Previsão'!$A$2:$N$1100,3,FALSE()))," ")</f>
        <v xml:space="preserve"> </v>
      </c>
      <c r="J307" s="56" t="str">
        <f>IFERROR((VLOOKUP(G307,'Planilha de Cadastro - Previsão'!$A$2:$N$1100,5,FALSE()))," ")</f>
        <v xml:space="preserve"> </v>
      </c>
      <c r="K307" s="57" t="str">
        <f>IFERROR((VLOOKUP(G307,'Planilha de Cadastro - Previsão'!$A$2:$N$1100,9,FALSE()))," ")</f>
        <v xml:space="preserve"> </v>
      </c>
    </row>
    <row r="308" spans="1:11" x14ac:dyDescent="0.25">
      <c r="A308">
        <f>COUNTIF($C$2:C308,C308)</f>
        <v>307</v>
      </c>
      <c r="B308" s="1" t="str">
        <f t="shared" si="8"/>
        <v>307</v>
      </c>
      <c r="C308" s="1" t="str">
        <f>IFERROR(VLOOKUP(D308,'Planilha de Cadastro - Previsão'!$A$2:$O$1000,15,FALSE()),"")</f>
        <v/>
      </c>
      <c r="D308" s="1">
        <v>307</v>
      </c>
      <c r="E308" s="1"/>
      <c r="F308" s="1"/>
      <c r="G308" s="54" t="str">
        <f t="shared" si="9"/>
        <v/>
      </c>
      <c r="H308" s="55" t="str">
        <f>IFERROR((VLOOKUP(G308,'Planilha de Cadastro - Previsão'!$A$2:$N$1100,2,FALSE()))," ")</f>
        <v xml:space="preserve"> </v>
      </c>
      <c r="I308" s="54" t="str">
        <f>IFERROR((VLOOKUP(G308,'Planilha de Cadastro - Previsão'!$A$2:$N$1100,3,FALSE()))," ")</f>
        <v xml:space="preserve"> </v>
      </c>
      <c r="J308" s="56" t="str">
        <f>IFERROR((VLOOKUP(G308,'Planilha de Cadastro - Previsão'!$A$2:$N$1100,5,FALSE()))," ")</f>
        <v xml:space="preserve"> </v>
      </c>
      <c r="K308" s="57" t="str">
        <f>IFERROR((VLOOKUP(G308,'Planilha de Cadastro - Previsão'!$A$2:$N$1100,9,FALSE()))," ")</f>
        <v xml:space="preserve"> </v>
      </c>
    </row>
    <row r="309" spans="1:11" x14ac:dyDescent="0.25">
      <c r="A309">
        <f>COUNTIF($C$2:C309,C309)</f>
        <v>308</v>
      </c>
      <c r="B309" s="1" t="str">
        <f t="shared" si="8"/>
        <v>308</v>
      </c>
      <c r="C309" s="1" t="str">
        <f>IFERROR(VLOOKUP(D309,'Planilha de Cadastro - Previsão'!$A$2:$O$1000,15,FALSE()),"")</f>
        <v/>
      </c>
      <c r="D309" s="1">
        <v>308</v>
      </c>
      <c r="E309" s="1"/>
      <c r="F309" s="1"/>
      <c r="G309" s="54" t="str">
        <f t="shared" si="9"/>
        <v/>
      </c>
      <c r="H309" s="55" t="str">
        <f>IFERROR((VLOOKUP(G309,'Planilha de Cadastro - Previsão'!$A$2:$N$1100,2,FALSE()))," ")</f>
        <v xml:space="preserve"> </v>
      </c>
      <c r="I309" s="54" t="str">
        <f>IFERROR((VLOOKUP(G309,'Planilha de Cadastro - Previsão'!$A$2:$N$1100,3,FALSE()))," ")</f>
        <v xml:space="preserve"> </v>
      </c>
      <c r="J309" s="56" t="str">
        <f>IFERROR((VLOOKUP(G309,'Planilha de Cadastro - Previsão'!$A$2:$N$1100,5,FALSE()))," ")</f>
        <v xml:space="preserve"> </v>
      </c>
      <c r="K309" s="57" t="str">
        <f>IFERROR((VLOOKUP(G309,'Planilha de Cadastro - Previsão'!$A$2:$N$1100,9,FALSE()))," ")</f>
        <v xml:space="preserve"> </v>
      </c>
    </row>
    <row r="310" spans="1:11" x14ac:dyDescent="0.25">
      <c r="A310">
        <f>COUNTIF($C$2:C310,C310)</f>
        <v>309</v>
      </c>
      <c r="B310" s="1" t="str">
        <f t="shared" si="8"/>
        <v>309</v>
      </c>
      <c r="C310" s="1" t="str">
        <f>IFERROR(VLOOKUP(D310,'Planilha de Cadastro - Previsão'!$A$2:$O$1000,15,FALSE()),"")</f>
        <v/>
      </c>
      <c r="D310" s="1">
        <v>309</v>
      </c>
      <c r="E310" s="1"/>
      <c r="F310" s="1"/>
      <c r="G310" s="54" t="str">
        <f t="shared" si="9"/>
        <v/>
      </c>
      <c r="H310" s="55" t="str">
        <f>IFERROR((VLOOKUP(G310,'Planilha de Cadastro - Previsão'!$A$2:$N$1100,2,FALSE()))," ")</f>
        <v xml:space="preserve"> </v>
      </c>
      <c r="I310" s="54" t="str">
        <f>IFERROR((VLOOKUP(G310,'Planilha de Cadastro - Previsão'!$A$2:$N$1100,3,FALSE()))," ")</f>
        <v xml:space="preserve"> </v>
      </c>
      <c r="J310" s="56" t="str">
        <f>IFERROR((VLOOKUP(G310,'Planilha de Cadastro - Previsão'!$A$2:$N$1100,5,FALSE()))," ")</f>
        <v xml:space="preserve"> </v>
      </c>
      <c r="K310" s="57" t="str">
        <f>IFERROR((VLOOKUP(G310,'Planilha de Cadastro - Previsão'!$A$2:$N$1100,9,FALSE()))," ")</f>
        <v xml:space="preserve"> </v>
      </c>
    </row>
    <row r="311" spans="1:11" x14ac:dyDescent="0.25">
      <c r="A311">
        <f>COUNTIF($C$2:C311,C311)</f>
        <v>310</v>
      </c>
      <c r="B311" s="1" t="str">
        <f t="shared" si="8"/>
        <v>310</v>
      </c>
      <c r="C311" s="1" t="str">
        <f>IFERROR(VLOOKUP(D311,'Planilha de Cadastro - Previsão'!$A$2:$O$1000,15,FALSE()),"")</f>
        <v/>
      </c>
      <c r="D311" s="1">
        <v>310</v>
      </c>
      <c r="E311" s="1"/>
      <c r="F311" s="1"/>
      <c r="G311" s="54" t="str">
        <f t="shared" si="9"/>
        <v/>
      </c>
      <c r="H311" s="55" t="str">
        <f>IFERROR((VLOOKUP(G311,'Planilha de Cadastro - Previsão'!$A$2:$N$1100,2,FALSE()))," ")</f>
        <v xml:space="preserve"> </v>
      </c>
      <c r="I311" s="54" t="str">
        <f>IFERROR((VLOOKUP(G311,'Planilha de Cadastro - Previsão'!$A$2:$N$1100,3,FALSE()))," ")</f>
        <v xml:space="preserve"> </v>
      </c>
      <c r="J311" s="56" t="str">
        <f>IFERROR((VLOOKUP(G311,'Planilha de Cadastro - Previsão'!$A$2:$N$1100,5,FALSE()))," ")</f>
        <v xml:space="preserve"> </v>
      </c>
      <c r="K311" s="57" t="str">
        <f>IFERROR((VLOOKUP(G311,'Planilha de Cadastro - Previsão'!$A$2:$N$1100,9,FALSE()))," ")</f>
        <v xml:space="preserve"> </v>
      </c>
    </row>
    <row r="312" spans="1:11" x14ac:dyDescent="0.25">
      <c r="A312">
        <f>COUNTIF($C$2:C312,C312)</f>
        <v>311</v>
      </c>
      <c r="B312" s="1" t="str">
        <f t="shared" si="8"/>
        <v>311</v>
      </c>
      <c r="C312" s="1" t="str">
        <f>IFERROR(VLOOKUP(D312,'Planilha de Cadastro - Previsão'!$A$2:$O$1000,15,FALSE()),"")</f>
        <v/>
      </c>
      <c r="D312" s="1">
        <v>311</v>
      </c>
      <c r="E312" s="1"/>
      <c r="F312" s="1"/>
      <c r="G312" s="54" t="str">
        <f t="shared" si="9"/>
        <v/>
      </c>
      <c r="H312" s="55" t="str">
        <f>IFERROR((VLOOKUP(G312,'Planilha de Cadastro - Previsão'!$A$2:$N$1100,2,FALSE()))," ")</f>
        <v xml:space="preserve"> </v>
      </c>
      <c r="I312" s="54" t="str">
        <f>IFERROR((VLOOKUP(G312,'Planilha de Cadastro - Previsão'!$A$2:$N$1100,3,FALSE()))," ")</f>
        <v xml:space="preserve"> </v>
      </c>
      <c r="J312" s="56" t="str">
        <f>IFERROR((VLOOKUP(G312,'Planilha de Cadastro - Previsão'!$A$2:$N$1100,5,FALSE()))," ")</f>
        <v xml:space="preserve"> </v>
      </c>
      <c r="K312" s="57" t="str">
        <f>IFERROR((VLOOKUP(G312,'Planilha de Cadastro - Previsão'!$A$2:$N$1100,9,FALSE()))," ")</f>
        <v xml:space="preserve"> </v>
      </c>
    </row>
    <row r="313" spans="1:11" x14ac:dyDescent="0.25">
      <c r="A313">
        <f>COUNTIF($C$2:C313,C313)</f>
        <v>312</v>
      </c>
      <c r="B313" s="1" t="str">
        <f t="shared" si="8"/>
        <v>312</v>
      </c>
      <c r="C313" s="1" t="str">
        <f>IFERROR(VLOOKUP(D313,'Planilha de Cadastro - Previsão'!$A$2:$O$1000,15,FALSE()),"")</f>
        <v/>
      </c>
      <c r="D313" s="1">
        <v>312</v>
      </c>
      <c r="E313" s="1"/>
      <c r="F313" s="1"/>
      <c r="G313" s="54" t="str">
        <f t="shared" si="9"/>
        <v/>
      </c>
      <c r="H313" s="55" t="str">
        <f>IFERROR((VLOOKUP(G313,'Planilha de Cadastro - Previsão'!$A$2:$N$1100,2,FALSE()))," ")</f>
        <v xml:space="preserve"> </v>
      </c>
      <c r="I313" s="54" t="str">
        <f>IFERROR((VLOOKUP(G313,'Planilha de Cadastro - Previsão'!$A$2:$N$1100,3,FALSE()))," ")</f>
        <v xml:space="preserve"> </v>
      </c>
      <c r="J313" s="56" t="str">
        <f>IFERROR((VLOOKUP(G313,'Planilha de Cadastro - Previsão'!$A$2:$N$1100,5,FALSE()))," ")</f>
        <v xml:space="preserve"> </v>
      </c>
      <c r="K313" s="57" t="str">
        <f>IFERROR((VLOOKUP(G313,'Planilha de Cadastro - Previsão'!$A$2:$N$1100,9,FALSE()))," ")</f>
        <v xml:space="preserve"> </v>
      </c>
    </row>
    <row r="314" spans="1:11" x14ac:dyDescent="0.25">
      <c r="A314">
        <f>COUNTIF($C$2:C314,C314)</f>
        <v>313</v>
      </c>
      <c r="B314" s="1" t="str">
        <f t="shared" si="8"/>
        <v>313</v>
      </c>
      <c r="C314" s="1" t="str">
        <f>IFERROR(VLOOKUP(D314,'Planilha de Cadastro - Previsão'!$A$2:$O$1000,15,FALSE()),"")</f>
        <v/>
      </c>
      <c r="D314" s="1">
        <v>313</v>
      </c>
      <c r="E314" s="1"/>
      <c r="F314" s="1"/>
      <c r="G314" s="54" t="str">
        <f t="shared" si="9"/>
        <v/>
      </c>
      <c r="H314" s="55" t="str">
        <f>IFERROR((VLOOKUP(G314,'Planilha de Cadastro - Previsão'!$A$2:$N$1100,2,FALSE()))," ")</f>
        <v xml:space="preserve"> </v>
      </c>
      <c r="I314" s="54" t="str">
        <f>IFERROR((VLOOKUP(G314,'Planilha de Cadastro - Previsão'!$A$2:$N$1100,3,FALSE()))," ")</f>
        <v xml:space="preserve"> </v>
      </c>
      <c r="J314" s="56" t="str">
        <f>IFERROR((VLOOKUP(G314,'Planilha de Cadastro - Previsão'!$A$2:$N$1100,5,FALSE()))," ")</f>
        <v xml:space="preserve"> </v>
      </c>
      <c r="K314" s="57" t="str">
        <f>IFERROR((VLOOKUP(G314,'Planilha de Cadastro - Previsão'!$A$2:$N$1100,9,FALSE()))," ")</f>
        <v xml:space="preserve"> </v>
      </c>
    </row>
    <row r="315" spans="1:11" x14ac:dyDescent="0.25">
      <c r="A315">
        <f>COUNTIF($C$2:C315,C315)</f>
        <v>314</v>
      </c>
      <c r="B315" s="1" t="str">
        <f t="shared" si="8"/>
        <v>314</v>
      </c>
      <c r="C315" s="1" t="str">
        <f>IFERROR(VLOOKUP(D315,'Planilha de Cadastro - Previsão'!$A$2:$O$1000,15,FALSE()),"")</f>
        <v/>
      </c>
      <c r="D315" s="1">
        <v>314</v>
      </c>
      <c r="E315" s="1"/>
      <c r="F315" s="1"/>
      <c r="G315" s="54" t="str">
        <f t="shared" si="9"/>
        <v/>
      </c>
      <c r="H315" s="55" t="str">
        <f>IFERROR((VLOOKUP(G315,'Planilha de Cadastro - Previsão'!$A$2:$N$1100,2,FALSE()))," ")</f>
        <v xml:space="preserve"> </v>
      </c>
      <c r="I315" s="54" t="str">
        <f>IFERROR((VLOOKUP(G315,'Planilha de Cadastro - Previsão'!$A$2:$N$1100,3,FALSE()))," ")</f>
        <v xml:space="preserve"> </v>
      </c>
      <c r="J315" s="56" t="str">
        <f>IFERROR((VLOOKUP(G315,'Planilha de Cadastro - Previsão'!$A$2:$N$1100,5,FALSE()))," ")</f>
        <v xml:space="preserve"> </v>
      </c>
      <c r="K315" s="57" t="str">
        <f>IFERROR((VLOOKUP(G315,'Planilha de Cadastro - Previsão'!$A$2:$N$1100,9,FALSE()))," ")</f>
        <v xml:space="preserve"> </v>
      </c>
    </row>
    <row r="316" spans="1:11" x14ac:dyDescent="0.25">
      <c r="A316">
        <f>COUNTIF($C$2:C316,C316)</f>
        <v>315</v>
      </c>
      <c r="B316" s="1" t="str">
        <f t="shared" si="8"/>
        <v>315</v>
      </c>
      <c r="C316" s="1" t="str">
        <f>IFERROR(VLOOKUP(D316,'Planilha de Cadastro - Previsão'!$A$2:$O$1000,15,FALSE()),"")</f>
        <v/>
      </c>
      <c r="D316" s="1">
        <v>315</v>
      </c>
      <c r="E316" s="1"/>
      <c r="F316" s="1"/>
      <c r="G316" s="54" t="str">
        <f t="shared" si="9"/>
        <v/>
      </c>
      <c r="H316" s="55" t="str">
        <f>IFERROR((VLOOKUP(G316,'Planilha de Cadastro - Previsão'!$A$2:$N$1100,2,FALSE()))," ")</f>
        <v xml:space="preserve"> </v>
      </c>
      <c r="I316" s="54" t="str">
        <f>IFERROR((VLOOKUP(G316,'Planilha de Cadastro - Previsão'!$A$2:$N$1100,3,FALSE()))," ")</f>
        <v xml:space="preserve"> </v>
      </c>
      <c r="J316" s="56" t="str">
        <f>IFERROR((VLOOKUP(G316,'Planilha de Cadastro - Previsão'!$A$2:$N$1100,5,FALSE()))," ")</f>
        <v xml:space="preserve"> </v>
      </c>
      <c r="K316" s="57" t="str">
        <f>IFERROR((VLOOKUP(G316,'Planilha de Cadastro - Previsão'!$A$2:$N$1100,9,FALSE()))," ")</f>
        <v xml:space="preserve"> </v>
      </c>
    </row>
    <row r="317" spans="1:11" x14ac:dyDescent="0.25">
      <c r="A317">
        <f>COUNTIF($C$2:C317,C317)</f>
        <v>316</v>
      </c>
      <c r="B317" s="1" t="str">
        <f t="shared" si="8"/>
        <v>316</v>
      </c>
      <c r="C317" s="1" t="str">
        <f>IFERROR(VLOOKUP(D317,'Planilha de Cadastro - Previsão'!$A$2:$O$1000,15,FALSE()),"")</f>
        <v/>
      </c>
      <c r="D317" s="1">
        <v>316</v>
      </c>
      <c r="E317" s="1"/>
      <c r="F317" s="1"/>
      <c r="G317" s="54" t="str">
        <f t="shared" si="9"/>
        <v/>
      </c>
      <c r="H317" s="55" t="str">
        <f>IFERROR((VLOOKUP(G317,'Planilha de Cadastro - Previsão'!$A$2:$N$1100,2,FALSE()))," ")</f>
        <v xml:space="preserve"> </v>
      </c>
      <c r="I317" s="54" t="str">
        <f>IFERROR((VLOOKUP(G317,'Planilha de Cadastro - Previsão'!$A$2:$N$1100,3,FALSE()))," ")</f>
        <v xml:space="preserve"> </v>
      </c>
      <c r="J317" s="56" t="str">
        <f>IFERROR((VLOOKUP(G317,'Planilha de Cadastro - Previsão'!$A$2:$N$1100,5,FALSE()))," ")</f>
        <v xml:space="preserve"> </v>
      </c>
      <c r="K317" s="57" t="str">
        <f>IFERROR((VLOOKUP(G317,'Planilha de Cadastro - Previsão'!$A$2:$N$1100,9,FALSE()))," ")</f>
        <v xml:space="preserve"> </v>
      </c>
    </row>
    <row r="318" spans="1:11" x14ac:dyDescent="0.25">
      <c r="A318">
        <f>COUNTIF($C$2:C318,C318)</f>
        <v>317</v>
      </c>
      <c r="B318" s="1" t="str">
        <f t="shared" si="8"/>
        <v>317</v>
      </c>
      <c r="C318" s="1" t="str">
        <f>IFERROR(VLOOKUP(D318,'Planilha de Cadastro - Previsão'!$A$2:$O$1000,15,FALSE()),"")</f>
        <v/>
      </c>
      <c r="D318" s="1">
        <v>317</v>
      </c>
      <c r="E318" s="1"/>
      <c r="F318" s="1"/>
      <c r="G318" s="54" t="str">
        <f t="shared" si="9"/>
        <v/>
      </c>
      <c r="H318" s="55" t="str">
        <f>IFERROR((VLOOKUP(G318,'Planilha de Cadastro - Previsão'!$A$2:$N$1100,2,FALSE()))," ")</f>
        <v xml:space="preserve"> </v>
      </c>
      <c r="I318" s="54" t="str">
        <f>IFERROR((VLOOKUP(G318,'Planilha de Cadastro - Previsão'!$A$2:$N$1100,3,FALSE()))," ")</f>
        <v xml:space="preserve"> </v>
      </c>
      <c r="J318" s="56" t="str">
        <f>IFERROR((VLOOKUP(G318,'Planilha de Cadastro - Previsão'!$A$2:$N$1100,5,FALSE()))," ")</f>
        <v xml:space="preserve"> </v>
      </c>
      <c r="K318" s="57" t="str">
        <f>IFERROR((VLOOKUP(G318,'Planilha de Cadastro - Previsão'!$A$2:$N$1100,9,FALSE()))," ")</f>
        <v xml:space="preserve"> </v>
      </c>
    </row>
    <row r="319" spans="1:11" x14ac:dyDescent="0.25">
      <c r="A319">
        <f>COUNTIF($C$2:C319,C319)</f>
        <v>318</v>
      </c>
      <c r="B319" s="1" t="str">
        <f t="shared" si="8"/>
        <v>318</v>
      </c>
      <c r="C319" s="1" t="str">
        <f>IFERROR(VLOOKUP(D319,'Planilha de Cadastro - Previsão'!$A$2:$O$1000,15,FALSE()),"")</f>
        <v/>
      </c>
      <c r="D319" s="1">
        <v>318</v>
      </c>
      <c r="E319" s="1"/>
      <c r="F319" s="1"/>
      <c r="G319" s="54" t="str">
        <f t="shared" si="9"/>
        <v/>
      </c>
      <c r="H319" s="55" t="str">
        <f>IFERROR((VLOOKUP(G319,'Planilha de Cadastro - Previsão'!$A$2:$N$1100,2,FALSE()))," ")</f>
        <v xml:space="preserve"> </v>
      </c>
      <c r="I319" s="54" t="str">
        <f>IFERROR((VLOOKUP(G319,'Planilha de Cadastro - Previsão'!$A$2:$N$1100,3,FALSE()))," ")</f>
        <v xml:space="preserve"> </v>
      </c>
      <c r="J319" s="56" t="str">
        <f>IFERROR((VLOOKUP(G319,'Planilha de Cadastro - Previsão'!$A$2:$N$1100,5,FALSE()))," ")</f>
        <v xml:space="preserve"> </v>
      </c>
      <c r="K319" s="57" t="str">
        <f>IFERROR((VLOOKUP(G319,'Planilha de Cadastro - Previsão'!$A$2:$N$1100,9,FALSE()))," ")</f>
        <v xml:space="preserve"> </v>
      </c>
    </row>
    <row r="320" spans="1:11" x14ac:dyDescent="0.25">
      <c r="A320">
        <f>COUNTIF($C$2:C320,C320)</f>
        <v>319</v>
      </c>
      <c r="B320" s="1" t="str">
        <f t="shared" si="8"/>
        <v>319</v>
      </c>
      <c r="C320" s="1" t="str">
        <f>IFERROR(VLOOKUP(D320,'Planilha de Cadastro - Previsão'!$A$2:$O$1000,15,FALSE()),"")</f>
        <v/>
      </c>
      <c r="D320" s="1">
        <v>319</v>
      </c>
      <c r="E320" s="1"/>
      <c r="F320" s="1"/>
      <c r="G320" s="54" t="str">
        <f t="shared" si="9"/>
        <v/>
      </c>
      <c r="H320" s="55" t="str">
        <f>IFERROR((VLOOKUP(G320,'Planilha de Cadastro - Previsão'!$A$2:$N$1100,2,FALSE()))," ")</f>
        <v xml:space="preserve"> </v>
      </c>
      <c r="I320" s="54" t="str">
        <f>IFERROR((VLOOKUP(G320,'Planilha de Cadastro - Previsão'!$A$2:$N$1100,3,FALSE()))," ")</f>
        <v xml:space="preserve"> </v>
      </c>
      <c r="J320" s="56" t="str">
        <f>IFERROR((VLOOKUP(G320,'Planilha de Cadastro - Previsão'!$A$2:$N$1100,5,FALSE()))," ")</f>
        <v xml:space="preserve"> </v>
      </c>
      <c r="K320" s="57" t="str">
        <f>IFERROR((VLOOKUP(G320,'Planilha de Cadastro - Previsão'!$A$2:$N$1100,9,FALSE()))," ")</f>
        <v xml:space="preserve"> </v>
      </c>
    </row>
    <row r="321" spans="1:11" x14ac:dyDescent="0.25">
      <c r="A321">
        <f>COUNTIF($C$2:C321,C321)</f>
        <v>320</v>
      </c>
      <c r="B321" s="1" t="str">
        <f t="shared" si="8"/>
        <v>320</v>
      </c>
      <c r="C321" s="1" t="str">
        <f>IFERROR(VLOOKUP(D321,'Planilha de Cadastro - Previsão'!$A$2:$O$1000,15,FALSE()),"")</f>
        <v/>
      </c>
      <c r="D321" s="1">
        <v>320</v>
      </c>
      <c r="E321" s="1"/>
      <c r="F321" s="1"/>
      <c r="G321" s="54" t="str">
        <f t="shared" si="9"/>
        <v/>
      </c>
      <c r="H321" s="55" t="str">
        <f>IFERROR((VLOOKUP(G321,'Planilha de Cadastro - Previsão'!$A$2:$N$1100,2,FALSE()))," ")</f>
        <v xml:space="preserve"> </v>
      </c>
      <c r="I321" s="54" t="str">
        <f>IFERROR((VLOOKUP(G321,'Planilha de Cadastro - Previsão'!$A$2:$N$1100,3,FALSE()))," ")</f>
        <v xml:space="preserve"> </v>
      </c>
      <c r="J321" s="56" t="str">
        <f>IFERROR((VLOOKUP(G321,'Planilha de Cadastro - Previsão'!$A$2:$N$1100,5,FALSE()))," ")</f>
        <v xml:space="preserve"> </v>
      </c>
      <c r="K321" s="57" t="str">
        <f>IFERROR((VLOOKUP(G321,'Planilha de Cadastro - Previsão'!$A$2:$N$1100,9,FALSE()))," ")</f>
        <v xml:space="preserve"> </v>
      </c>
    </row>
    <row r="322" spans="1:11" x14ac:dyDescent="0.25">
      <c r="A322">
        <f>COUNTIF($C$2:C322,C322)</f>
        <v>321</v>
      </c>
      <c r="B322" s="1" t="str">
        <f t="shared" si="8"/>
        <v>321</v>
      </c>
      <c r="C322" s="1" t="str">
        <f>IFERROR(VLOOKUP(D322,'Planilha de Cadastro - Previsão'!$A$2:$O$1000,15,FALSE()),"")</f>
        <v/>
      </c>
      <c r="D322" s="1">
        <v>321</v>
      </c>
      <c r="E322" s="1"/>
      <c r="F322" s="1"/>
      <c r="G322" s="54" t="str">
        <f t="shared" si="9"/>
        <v/>
      </c>
      <c r="H322" s="55" t="str">
        <f>IFERROR((VLOOKUP(G322,'Planilha de Cadastro - Previsão'!$A$2:$N$1100,2,FALSE()))," ")</f>
        <v xml:space="preserve"> </v>
      </c>
      <c r="I322" s="54" t="str">
        <f>IFERROR((VLOOKUP(G322,'Planilha de Cadastro - Previsão'!$A$2:$N$1100,3,FALSE()))," ")</f>
        <v xml:space="preserve"> </v>
      </c>
      <c r="J322" s="56" t="str">
        <f>IFERROR((VLOOKUP(G322,'Planilha de Cadastro - Previsão'!$A$2:$N$1100,5,FALSE()))," ")</f>
        <v xml:space="preserve"> </v>
      </c>
      <c r="K322" s="57" t="str">
        <f>IFERROR((VLOOKUP(G322,'Planilha de Cadastro - Previsão'!$A$2:$N$1100,9,FALSE()))," ")</f>
        <v xml:space="preserve"> </v>
      </c>
    </row>
    <row r="323" spans="1:11" x14ac:dyDescent="0.25">
      <c r="A323">
        <f>COUNTIF($C$2:C323,C323)</f>
        <v>322</v>
      </c>
      <c r="B323" s="1" t="str">
        <f t="shared" ref="B323:B386" si="10">IFERROR(CONCATENATE(C323,A323),"")</f>
        <v>322</v>
      </c>
      <c r="C323" s="1" t="str">
        <f>IFERROR(VLOOKUP(D323,'Planilha de Cadastro - Previsão'!$A$2:$O$1000,15,FALSE()),"")</f>
        <v/>
      </c>
      <c r="D323" s="1">
        <v>322</v>
      </c>
      <c r="E323" s="1"/>
      <c r="F323" s="1"/>
      <c r="G323" s="54" t="str">
        <f t="shared" si="9"/>
        <v/>
      </c>
      <c r="H323" s="55" t="str">
        <f>IFERROR((VLOOKUP(G323,'Planilha de Cadastro - Previsão'!$A$2:$N$1100,2,FALSE()))," ")</f>
        <v xml:space="preserve"> </v>
      </c>
      <c r="I323" s="54" t="str">
        <f>IFERROR((VLOOKUP(G323,'Planilha de Cadastro - Previsão'!$A$2:$N$1100,3,FALSE()))," ")</f>
        <v xml:space="preserve"> </v>
      </c>
      <c r="J323" s="56" t="str">
        <f>IFERROR((VLOOKUP(G323,'Planilha de Cadastro - Previsão'!$A$2:$N$1100,5,FALSE()))," ")</f>
        <v xml:space="preserve"> </v>
      </c>
      <c r="K323" s="57" t="str">
        <f>IFERROR((VLOOKUP(G323,'Planilha de Cadastro - Previsão'!$A$2:$N$1100,9,FALSE()))," ")</f>
        <v xml:space="preserve"> </v>
      </c>
    </row>
    <row r="324" spans="1:11" x14ac:dyDescent="0.25">
      <c r="A324">
        <f>COUNTIF($C$2:C324,C324)</f>
        <v>323</v>
      </c>
      <c r="B324" s="1" t="str">
        <f t="shared" si="10"/>
        <v>323</v>
      </c>
      <c r="C324" s="1" t="str">
        <f>IFERROR(VLOOKUP(D324,'Planilha de Cadastro - Previsão'!$A$2:$O$1000,15,FALSE()),"")</f>
        <v/>
      </c>
      <c r="D324" s="1">
        <v>323</v>
      </c>
      <c r="E324" s="1"/>
      <c r="F324" s="1"/>
      <c r="G324" s="54" t="str">
        <f t="shared" si="9"/>
        <v/>
      </c>
      <c r="H324" s="55" t="str">
        <f>IFERROR((VLOOKUP(G324,'Planilha de Cadastro - Previsão'!$A$2:$N$1100,2,FALSE()))," ")</f>
        <v xml:space="preserve"> </v>
      </c>
      <c r="I324" s="54" t="str">
        <f>IFERROR((VLOOKUP(G324,'Planilha de Cadastro - Previsão'!$A$2:$N$1100,3,FALSE()))," ")</f>
        <v xml:space="preserve"> </v>
      </c>
      <c r="J324" s="56" t="str">
        <f>IFERROR((VLOOKUP(G324,'Planilha de Cadastro - Previsão'!$A$2:$N$1100,5,FALSE()))," ")</f>
        <v xml:space="preserve"> </v>
      </c>
      <c r="K324" s="57" t="str">
        <f>IFERROR((VLOOKUP(G324,'Planilha de Cadastro - Previsão'!$A$2:$N$1100,9,FALSE()))," ")</f>
        <v xml:space="preserve"> </v>
      </c>
    </row>
    <row r="325" spans="1:11" x14ac:dyDescent="0.25">
      <c r="A325">
        <f>COUNTIF($C$2:C325,C325)</f>
        <v>324</v>
      </c>
      <c r="B325" s="1" t="str">
        <f t="shared" si="10"/>
        <v>324</v>
      </c>
      <c r="C325" s="1" t="str">
        <f>IFERROR(VLOOKUP(D325,'Planilha de Cadastro - Previsão'!$A$2:$O$1000,15,FALSE()),"")</f>
        <v/>
      </c>
      <c r="D325" s="1">
        <v>324</v>
      </c>
      <c r="E325" s="1"/>
      <c r="F325" s="1"/>
      <c r="G325" s="54" t="str">
        <f t="shared" si="9"/>
        <v/>
      </c>
      <c r="H325" s="55" t="str">
        <f>IFERROR((VLOOKUP(G325,'Planilha de Cadastro - Previsão'!$A$2:$N$1100,2,FALSE()))," ")</f>
        <v xml:space="preserve"> </v>
      </c>
      <c r="I325" s="54" t="str">
        <f>IFERROR((VLOOKUP(G325,'Planilha de Cadastro - Previsão'!$A$2:$N$1100,3,FALSE()))," ")</f>
        <v xml:space="preserve"> </v>
      </c>
      <c r="J325" s="56" t="str">
        <f>IFERROR((VLOOKUP(G325,'Planilha de Cadastro - Previsão'!$A$2:$N$1100,5,FALSE()))," ")</f>
        <v xml:space="preserve"> </v>
      </c>
      <c r="K325" s="57" t="str">
        <f>IFERROR((VLOOKUP(G325,'Planilha de Cadastro - Previsão'!$A$2:$N$1100,9,FALSE()))," ")</f>
        <v xml:space="preserve"> </v>
      </c>
    </row>
    <row r="326" spans="1:11" x14ac:dyDescent="0.25">
      <c r="A326">
        <f>COUNTIF($C$2:C326,C326)</f>
        <v>325</v>
      </c>
      <c r="B326" s="1" t="str">
        <f t="shared" si="10"/>
        <v>325</v>
      </c>
      <c r="C326" s="1" t="str">
        <f>IFERROR(VLOOKUP(D326,'Planilha de Cadastro - Previsão'!$A$2:$O$1000,15,FALSE()),"")</f>
        <v/>
      </c>
      <c r="D326" s="1">
        <v>325</v>
      </c>
      <c r="E326" s="1"/>
      <c r="F326" s="1"/>
      <c r="G326" s="54" t="str">
        <f t="shared" si="9"/>
        <v/>
      </c>
      <c r="H326" s="55" t="str">
        <f>IFERROR((VLOOKUP(G326,'Planilha de Cadastro - Previsão'!$A$2:$N$1100,2,FALSE()))," ")</f>
        <v xml:space="preserve"> </v>
      </c>
      <c r="I326" s="54" t="str">
        <f>IFERROR((VLOOKUP(G326,'Planilha de Cadastro - Previsão'!$A$2:$N$1100,3,FALSE()))," ")</f>
        <v xml:space="preserve"> </v>
      </c>
      <c r="J326" s="56" t="str">
        <f>IFERROR((VLOOKUP(G326,'Planilha de Cadastro - Previsão'!$A$2:$N$1100,5,FALSE()))," ")</f>
        <v xml:space="preserve"> </v>
      </c>
      <c r="K326" s="57" t="str">
        <f>IFERROR((VLOOKUP(G326,'Planilha de Cadastro - Previsão'!$A$2:$N$1100,9,FALSE()))," ")</f>
        <v xml:space="preserve"> </v>
      </c>
    </row>
    <row r="327" spans="1:11" x14ac:dyDescent="0.25">
      <c r="A327">
        <f>COUNTIF($C$2:C327,C327)</f>
        <v>326</v>
      </c>
      <c r="B327" s="1" t="str">
        <f t="shared" si="10"/>
        <v>326</v>
      </c>
      <c r="C327" s="1" t="str">
        <f>IFERROR(VLOOKUP(D327,'Planilha de Cadastro - Previsão'!$A$2:$O$1000,15,FALSE()),"")</f>
        <v/>
      </c>
      <c r="D327" s="1">
        <v>326</v>
      </c>
      <c r="E327" s="1"/>
      <c r="F327" s="1"/>
      <c r="G327" s="54" t="str">
        <f t="shared" si="9"/>
        <v/>
      </c>
      <c r="H327" s="55" t="str">
        <f>IFERROR((VLOOKUP(G327,'Planilha de Cadastro - Previsão'!$A$2:$N$1100,2,FALSE()))," ")</f>
        <v xml:space="preserve"> </v>
      </c>
      <c r="I327" s="54" t="str">
        <f>IFERROR((VLOOKUP(G327,'Planilha de Cadastro - Previsão'!$A$2:$N$1100,3,FALSE()))," ")</f>
        <v xml:space="preserve"> </v>
      </c>
      <c r="J327" s="56" t="str">
        <f>IFERROR((VLOOKUP(G327,'Planilha de Cadastro - Previsão'!$A$2:$N$1100,5,FALSE()))," ")</f>
        <v xml:space="preserve"> </v>
      </c>
      <c r="K327" s="57" t="str">
        <f>IFERROR((VLOOKUP(G327,'Planilha de Cadastro - Previsão'!$A$2:$N$1100,9,FALSE()))," ")</f>
        <v xml:space="preserve"> </v>
      </c>
    </row>
    <row r="328" spans="1:11" x14ac:dyDescent="0.25">
      <c r="A328">
        <f>COUNTIF($C$2:C328,C328)</f>
        <v>327</v>
      </c>
      <c r="B328" s="1" t="str">
        <f t="shared" si="10"/>
        <v>327</v>
      </c>
      <c r="C328" s="1" t="str">
        <f>IFERROR(VLOOKUP(D328,'Planilha de Cadastro - Previsão'!$A$2:$O$1000,15,FALSE()),"")</f>
        <v/>
      </c>
      <c r="D328" s="1">
        <v>327</v>
      </c>
      <c r="E328" s="1"/>
      <c r="F328" s="1"/>
      <c r="G328" s="54" t="str">
        <f t="shared" si="9"/>
        <v/>
      </c>
      <c r="H328" s="55" t="str">
        <f>IFERROR((VLOOKUP(G328,'Planilha de Cadastro - Previsão'!$A$2:$N$1100,2,FALSE()))," ")</f>
        <v xml:space="preserve"> </v>
      </c>
      <c r="I328" s="54" t="str">
        <f>IFERROR((VLOOKUP(G328,'Planilha de Cadastro - Previsão'!$A$2:$N$1100,3,FALSE()))," ")</f>
        <v xml:space="preserve"> </v>
      </c>
      <c r="J328" s="56" t="str">
        <f>IFERROR((VLOOKUP(G328,'Planilha de Cadastro - Previsão'!$A$2:$N$1100,5,FALSE()))," ")</f>
        <v xml:space="preserve"> </v>
      </c>
      <c r="K328" s="57" t="str">
        <f>IFERROR((VLOOKUP(G328,'Planilha de Cadastro - Previsão'!$A$2:$N$1100,9,FALSE()))," ")</f>
        <v xml:space="preserve"> </v>
      </c>
    </row>
    <row r="329" spans="1:11" x14ac:dyDescent="0.25">
      <c r="A329">
        <f>COUNTIF($C$2:C329,C329)</f>
        <v>328</v>
      </c>
      <c r="B329" s="1" t="str">
        <f t="shared" si="10"/>
        <v>328</v>
      </c>
      <c r="C329" s="1" t="str">
        <f>IFERROR(VLOOKUP(D329,'Planilha de Cadastro - Previsão'!$A$2:$O$1000,15,FALSE()),"")</f>
        <v/>
      </c>
      <c r="D329" s="1">
        <v>328</v>
      </c>
      <c r="E329" s="1"/>
      <c r="F329" s="1"/>
      <c r="G329" s="54" t="str">
        <f t="shared" si="9"/>
        <v/>
      </c>
      <c r="H329" s="55" t="str">
        <f>IFERROR((VLOOKUP(G329,'Planilha de Cadastro - Previsão'!$A$2:$N$1100,2,FALSE()))," ")</f>
        <v xml:space="preserve"> </v>
      </c>
      <c r="I329" s="54" t="str">
        <f>IFERROR((VLOOKUP(G329,'Planilha de Cadastro - Previsão'!$A$2:$N$1100,3,FALSE()))," ")</f>
        <v xml:space="preserve"> </v>
      </c>
      <c r="J329" s="56" t="str">
        <f>IFERROR((VLOOKUP(G329,'Planilha de Cadastro - Previsão'!$A$2:$N$1100,5,FALSE()))," ")</f>
        <v xml:space="preserve"> </v>
      </c>
      <c r="K329" s="57" t="str">
        <f>IFERROR((VLOOKUP(G329,'Planilha de Cadastro - Previsão'!$A$2:$N$1100,9,FALSE()))," ")</f>
        <v xml:space="preserve"> </v>
      </c>
    </row>
    <row r="330" spans="1:11" x14ac:dyDescent="0.25">
      <c r="A330">
        <f>COUNTIF($C$2:C330,C330)</f>
        <v>329</v>
      </c>
      <c r="B330" s="1" t="str">
        <f t="shared" si="10"/>
        <v>329</v>
      </c>
      <c r="C330" s="1" t="str">
        <f>IFERROR(VLOOKUP(D330,'Planilha de Cadastro - Previsão'!$A$2:$O$1000,15,FALSE()),"")</f>
        <v/>
      </c>
      <c r="D330" s="1">
        <v>329</v>
      </c>
      <c r="E330" s="1"/>
      <c r="F330" s="1"/>
      <c r="G330" s="54" t="str">
        <f t="shared" ref="G330:G393" si="11">IFERROR((VLOOKUP(CONCATENATE("Sim",D322),$B$2:$D$1000,3,FALSE())),"")</f>
        <v/>
      </c>
      <c r="H330" s="55" t="str">
        <f>IFERROR((VLOOKUP(G330,'Planilha de Cadastro - Previsão'!$A$2:$N$1100,2,FALSE()))," ")</f>
        <v xml:space="preserve"> </v>
      </c>
      <c r="I330" s="54" t="str">
        <f>IFERROR((VLOOKUP(G330,'Planilha de Cadastro - Previsão'!$A$2:$N$1100,3,FALSE()))," ")</f>
        <v xml:space="preserve"> </v>
      </c>
      <c r="J330" s="56" t="str">
        <f>IFERROR((VLOOKUP(G330,'Planilha de Cadastro - Previsão'!$A$2:$N$1100,5,FALSE()))," ")</f>
        <v xml:space="preserve"> </v>
      </c>
      <c r="K330" s="57" t="str">
        <f>IFERROR((VLOOKUP(G330,'Planilha de Cadastro - Previsão'!$A$2:$N$1100,9,FALSE()))," ")</f>
        <v xml:space="preserve"> </v>
      </c>
    </row>
    <row r="331" spans="1:11" x14ac:dyDescent="0.25">
      <c r="A331">
        <f>COUNTIF($C$2:C331,C331)</f>
        <v>330</v>
      </c>
      <c r="B331" s="1" t="str">
        <f t="shared" si="10"/>
        <v>330</v>
      </c>
      <c r="C331" s="1" t="str">
        <f>IFERROR(VLOOKUP(D331,'Planilha de Cadastro - Previsão'!$A$2:$O$1000,15,FALSE()),"")</f>
        <v/>
      </c>
      <c r="D331" s="1">
        <v>330</v>
      </c>
      <c r="E331" s="1"/>
      <c r="F331" s="1"/>
      <c r="G331" s="54" t="str">
        <f t="shared" si="11"/>
        <v/>
      </c>
      <c r="H331" s="55" t="str">
        <f>IFERROR((VLOOKUP(G331,'Planilha de Cadastro - Previsão'!$A$2:$N$1100,2,FALSE()))," ")</f>
        <v xml:space="preserve"> </v>
      </c>
      <c r="I331" s="54" t="str">
        <f>IFERROR((VLOOKUP(G331,'Planilha de Cadastro - Previsão'!$A$2:$N$1100,3,FALSE()))," ")</f>
        <v xml:space="preserve"> </v>
      </c>
      <c r="J331" s="56" t="str">
        <f>IFERROR((VLOOKUP(G331,'Planilha de Cadastro - Previsão'!$A$2:$N$1100,5,FALSE()))," ")</f>
        <v xml:space="preserve"> </v>
      </c>
      <c r="K331" s="57" t="str">
        <f>IFERROR((VLOOKUP(G331,'Planilha de Cadastro - Previsão'!$A$2:$N$1100,9,FALSE()))," ")</f>
        <v xml:space="preserve"> </v>
      </c>
    </row>
    <row r="332" spans="1:11" x14ac:dyDescent="0.25">
      <c r="A332">
        <f>COUNTIF($C$2:C332,C332)</f>
        <v>331</v>
      </c>
      <c r="B332" s="1" t="str">
        <f t="shared" si="10"/>
        <v>331</v>
      </c>
      <c r="C332" s="1" t="str">
        <f>IFERROR(VLOOKUP(D332,'Planilha de Cadastro - Previsão'!$A$2:$O$1000,15,FALSE()),"")</f>
        <v/>
      </c>
      <c r="D332" s="1">
        <v>331</v>
      </c>
      <c r="E332" s="1"/>
      <c r="F332" s="1"/>
      <c r="G332" s="54" t="str">
        <f t="shared" si="11"/>
        <v/>
      </c>
      <c r="H332" s="55" t="str">
        <f>IFERROR((VLOOKUP(G332,'Planilha de Cadastro - Previsão'!$A$2:$N$1100,2,FALSE()))," ")</f>
        <v xml:space="preserve"> </v>
      </c>
      <c r="I332" s="54" t="str">
        <f>IFERROR((VLOOKUP(G332,'Planilha de Cadastro - Previsão'!$A$2:$N$1100,3,FALSE()))," ")</f>
        <v xml:space="preserve"> </v>
      </c>
      <c r="J332" s="56" t="str">
        <f>IFERROR((VLOOKUP(G332,'Planilha de Cadastro - Previsão'!$A$2:$N$1100,5,FALSE()))," ")</f>
        <v xml:space="preserve"> </v>
      </c>
      <c r="K332" s="57" t="str">
        <f>IFERROR((VLOOKUP(G332,'Planilha de Cadastro - Previsão'!$A$2:$N$1100,9,FALSE()))," ")</f>
        <v xml:space="preserve"> </v>
      </c>
    </row>
    <row r="333" spans="1:11" x14ac:dyDescent="0.25">
      <c r="A333">
        <f>COUNTIF($C$2:C333,C333)</f>
        <v>332</v>
      </c>
      <c r="B333" s="1" t="str">
        <f t="shared" si="10"/>
        <v>332</v>
      </c>
      <c r="C333" s="1" t="str">
        <f>IFERROR(VLOOKUP(D333,'Planilha de Cadastro - Previsão'!$A$2:$O$1000,15,FALSE()),"")</f>
        <v/>
      </c>
      <c r="D333" s="1">
        <v>332</v>
      </c>
      <c r="E333" s="1"/>
      <c r="F333" s="1"/>
      <c r="G333" s="54" t="str">
        <f t="shared" si="11"/>
        <v/>
      </c>
      <c r="H333" s="55" t="str">
        <f>IFERROR((VLOOKUP(G333,'Planilha de Cadastro - Previsão'!$A$2:$N$1100,2,FALSE()))," ")</f>
        <v xml:space="preserve"> </v>
      </c>
      <c r="I333" s="54" t="str">
        <f>IFERROR((VLOOKUP(G333,'Planilha de Cadastro - Previsão'!$A$2:$N$1100,3,FALSE()))," ")</f>
        <v xml:space="preserve"> </v>
      </c>
      <c r="J333" s="56" t="str">
        <f>IFERROR((VLOOKUP(G333,'Planilha de Cadastro - Previsão'!$A$2:$N$1100,5,FALSE()))," ")</f>
        <v xml:space="preserve"> </v>
      </c>
      <c r="K333" s="57" t="str">
        <f>IFERROR((VLOOKUP(G333,'Planilha de Cadastro - Previsão'!$A$2:$N$1100,9,FALSE()))," ")</f>
        <v xml:space="preserve"> </v>
      </c>
    </row>
    <row r="334" spans="1:11" x14ac:dyDescent="0.25">
      <c r="A334">
        <f>COUNTIF($C$2:C334,C334)</f>
        <v>333</v>
      </c>
      <c r="B334" s="1" t="str">
        <f t="shared" si="10"/>
        <v>333</v>
      </c>
      <c r="C334" s="1" t="str">
        <f>IFERROR(VLOOKUP(D334,'Planilha de Cadastro - Previsão'!$A$2:$O$1000,15,FALSE()),"")</f>
        <v/>
      </c>
      <c r="D334" s="1">
        <v>333</v>
      </c>
      <c r="E334" s="1"/>
      <c r="F334" s="1"/>
      <c r="G334" s="54" t="str">
        <f t="shared" si="11"/>
        <v/>
      </c>
      <c r="H334" s="55" t="str">
        <f>IFERROR((VLOOKUP(G334,'Planilha de Cadastro - Previsão'!$A$2:$N$1100,2,FALSE()))," ")</f>
        <v xml:space="preserve"> </v>
      </c>
      <c r="I334" s="54" t="str">
        <f>IFERROR((VLOOKUP(G334,'Planilha de Cadastro - Previsão'!$A$2:$N$1100,3,FALSE()))," ")</f>
        <v xml:space="preserve"> </v>
      </c>
      <c r="J334" s="56" t="str">
        <f>IFERROR((VLOOKUP(G334,'Planilha de Cadastro - Previsão'!$A$2:$N$1100,5,FALSE()))," ")</f>
        <v xml:space="preserve"> </v>
      </c>
      <c r="K334" s="57" t="str">
        <f>IFERROR((VLOOKUP(G334,'Planilha de Cadastro - Previsão'!$A$2:$N$1100,9,FALSE()))," ")</f>
        <v xml:space="preserve"> </v>
      </c>
    </row>
    <row r="335" spans="1:11" x14ac:dyDescent="0.25">
      <c r="A335">
        <f>COUNTIF($C$2:C335,C335)</f>
        <v>334</v>
      </c>
      <c r="B335" s="1" t="str">
        <f t="shared" si="10"/>
        <v>334</v>
      </c>
      <c r="C335" s="1" t="str">
        <f>IFERROR(VLOOKUP(D335,'Planilha de Cadastro - Previsão'!$A$2:$O$1000,15,FALSE()),"")</f>
        <v/>
      </c>
      <c r="D335" s="1">
        <v>334</v>
      </c>
      <c r="E335" s="1"/>
      <c r="F335" s="1"/>
      <c r="G335" s="54" t="str">
        <f t="shared" si="11"/>
        <v/>
      </c>
      <c r="H335" s="55" t="str">
        <f>IFERROR((VLOOKUP(G335,'Planilha de Cadastro - Previsão'!$A$2:$N$1100,2,FALSE()))," ")</f>
        <v xml:space="preserve"> </v>
      </c>
      <c r="I335" s="54" t="str">
        <f>IFERROR((VLOOKUP(G335,'Planilha de Cadastro - Previsão'!$A$2:$N$1100,3,FALSE()))," ")</f>
        <v xml:space="preserve"> </v>
      </c>
      <c r="J335" s="56" t="str">
        <f>IFERROR((VLOOKUP(G335,'Planilha de Cadastro - Previsão'!$A$2:$N$1100,5,FALSE()))," ")</f>
        <v xml:space="preserve"> </v>
      </c>
      <c r="K335" s="57" t="str">
        <f>IFERROR((VLOOKUP(G335,'Planilha de Cadastro - Previsão'!$A$2:$N$1100,9,FALSE()))," ")</f>
        <v xml:space="preserve"> </v>
      </c>
    </row>
    <row r="336" spans="1:11" x14ac:dyDescent="0.25">
      <c r="A336">
        <f>COUNTIF($C$2:C336,C336)</f>
        <v>335</v>
      </c>
      <c r="B336" s="1" t="str">
        <f t="shared" si="10"/>
        <v>335</v>
      </c>
      <c r="C336" s="1" t="str">
        <f>IFERROR(VLOOKUP(D336,'Planilha de Cadastro - Previsão'!$A$2:$O$1000,15,FALSE()),"")</f>
        <v/>
      </c>
      <c r="D336" s="1">
        <v>335</v>
      </c>
      <c r="E336" s="1"/>
      <c r="F336" s="1"/>
      <c r="G336" s="54" t="str">
        <f t="shared" si="11"/>
        <v/>
      </c>
      <c r="H336" s="55" t="str">
        <f>IFERROR((VLOOKUP(G336,'Planilha de Cadastro - Previsão'!$A$2:$N$1100,2,FALSE()))," ")</f>
        <v xml:space="preserve"> </v>
      </c>
      <c r="I336" s="54" t="str">
        <f>IFERROR((VLOOKUP(G336,'Planilha de Cadastro - Previsão'!$A$2:$N$1100,3,FALSE()))," ")</f>
        <v xml:space="preserve"> </v>
      </c>
      <c r="J336" s="56" t="str">
        <f>IFERROR((VLOOKUP(G336,'Planilha de Cadastro - Previsão'!$A$2:$N$1100,5,FALSE()))," ")</f>
        <v xml:space="preserve"> </v>
      </c>
      <c r="K336" s="57" t="str">
        <f>IFERROR((VLOOKUP(G336,'Planilha de Cadastro - Previsão'!$A$2:$N$1100,9,FALSE()))," ")</f>
        <v xml:space="preserve"> </v>
      </c>
    </row>
    <row r="337" spans="1:11" x14ac:dyDescent="0.25">
      <c r="A337">
        <f>COUNTIF($C$2:C337,C337)</f>
        <v>336</v>
      </c>
      <c r="B337" s="1" t="str">
        <f t="shared" si="10"/>
        <v>336</v>
      </c>
      <c r="C337" s="1" t="str">
        <f>IFERROR(VLOOKUP(D337,'Planilha de Cadastro - Previsão'!$A$2:$O$1000,15,FALSE()),"")</f>
        <v/>
      </c>
      <c r="D337" s="1">
        <v>336</v>
      </c>
      <c r="E337" s="1"/>
      <c r="F337" s="1"/>
      <c r="G337" s="54" t="str">
        <f t="shared" si="11"/>
        <v/>
      </c>
      <c r="H337" s="55" t="str">
        <f>IFERROR((VLOOKUP(G337,'Planilha de Cadastro - Previsão'!$A$2:$N$1100,2,FALSE()))," ")</f>
        <v xml:space="preserve"> </v>
      </c>
      <c r="I337" s="54" t="str">
        <f>IFERROR((VLOOKUP(G337,'Planilha de Cadastro - Previsão'!$A$2:$N$1100,3,FALSE()))," ")</f>
        <v xml:space="preserve"> </v>
      </c>
      <c r="J337" s="56" t="str">
        <f>IFERROR((VLOOKUP(G337,'Planilha de Cadastro - Previsão'!$A$2:$N$1100,5,FALSE()))," ")</f>
        <v xml:space="preserve"> </v>
      </c>
      <c r="K337" s="57" t="str">
        <f>IFERROR((VLOOKUP(G337,'Planilha de Cadastro - Previsão'!$A$2:$N$1100,9,FALSE()))," ")</f>
        <v xml:space="preserve"> </v>
      </c>
    </row>
    <row r="338" spans="1:11" x14ac:dyDescent="0.25">
      <c r="A338">
        <f>COUNTIF($C$2:C338,C338)</f>
        <v>337</v>
      </c>
      <c r="B338" s="1" t="str">
        <f t="shared" si="10"/>
        <v>337</v>
      </c>
      <c r="C338" s="1" t="str">
        <f>IFERROR(VLOOKUP(D338,'Planilha de Cadastro - Previsão'!$A$2:$O$1000,15,FALSE()),"")</f>
        <v/>
      </c>
      <c r="D338" s="1">
        <v>337</v>
      </c>
      <c r="E338" s="1"/>
      <c r="F338" s="1"/>
      <c r="G338" s="54" t="str">
        <f t="shared" si="11"/>
        <v/>
      </c>
      <c r="H338" s="55" t="str">
        <f>IFERROR((VLOOKUP(G338,'Planilha de Cadastro - Previsão'!$A$2:$N$1100,2,FALSE()))," ")</f>
        <v xml:space="preserve"> </v>
      </c>
      <c r="I338" s="54" t="str">
        <f>IFERROR((VLOOKUP(G338,'Planilha de Cadastro - Previsão'!$A$2:$N$1100,3,FALSE()))," ")</f>
        <v xml:space="preserve"> </v>
      </c>
      <c r="J338" s="56" t="str">
        <f>IFERROR((VLOOKUP(G338,'Planilha de Cadastro - Previsão'!$A$2:$N$1100,5,FALSE()))," ")</f>
        <v xml:space="preserve"> </v>
      </c>
      <c r="K338" s="57" t="str">
        <f>IFERROR((VLOOKUP(G338,'Planilha de Cadastro - Previsão'!$A$2:$N$1100,9,FALSE()))," ")</f>
        <v xml:space="preserve"> </v>
      </c>
    </row>
    <row r="339" spans="1:11" x14ac:dyDescent="0.25">
      <c r="A339">
        <f>COUNTIF($C$2:C339,C339)</f>
        <v>338</v>
      </c>
      <c r="B339" s="1" t="str">
        <f t="shared" si="10"/>
        <v>338</v>
      </c>
      <c r="C339" s="1" t="str">
        <f>IFERROR(VLOOKUP(D339,'Planilha de Cadastro - Previsão'!$A$2:$O$1000,15,FALSE()),"")</f>
        <v/>
      </c>
      <c r="D339" s="1">
        <v>338</v>
      </c>
      <c r="E339" s="1"/>
      <c r="F339" s="1"/>
      <c r="G339" s="54" t="str">
        <f t="shared" si="11"/>
        <v/>
      </c>
      <c r="H339" s="55" t="str">
        <f>IFERROR((VLOOKUP(G339,'Planilha de Cadastro - Previsão'!$A$2:$N$1100,2,FALSE()))," ")</f>
        <v xml:space="preserve"> </v>
      </c>
      <c r="I339" s="54" t="str">
        <f>IFERROR((VLOOKUP(G339,'Planilha de Cadastro - Previsão'!$A$2:$N$1100,3,FALSE()))," ")</f>
        <v xml:space="preserve"> </v>
      </c>
      <c r="J339" s="56" t="str">
        <f>IFERROR((VLOOKUP(G339,'Planilha de Cadastro - Previsão'!$A$2:$N$1100,5,FALSE()))," ")</f>
        <v xml:space="preserve"> </v>
      </c>
      <c r="K339" s="57" t="str">
        <f>IFERROR((VLOOKUP(G339,'Planilha de Cadastro - Previsão'!$A$2:$N$1100,9,FALSE()))," ")</f>
        <v xml:space="preserve"> </v>
      </c>
    </row>
    <row r="340" spans="1:11" x14ac:dyDescent="0.25">
      <c r="A340">
        <f>COUNTIF($C$2:C340,C340)</f>
        <v>339</v>
      </c>
      <c r="B340" s="1" t="str">
        <f t="shared" si="10"/>
        <v>339</v>
      </c>
      <c r="C340" s="1" t="str">
        <f>IFERROR(VLOOKUP(D340,'Planilha de Cadastro - Previsão'!$A$2:$O$1000,15,FALSE()),"")</f>
        <v/>
      </c>
      <c r="D340" s="1">
        <v>339</v>
      </c>
      <c r="E340" s="1"/>
      <c r="F340" s="1"/>
      <c r="G340" s="54" t="str">
        <f t="shared" si="11"/>
        <v/>
      </c>
      <c r="H340" s="55" t="str">
        <f>IFERROR((VLOOKUP(G340,'Planilha de Cadastro - Previsão'!$A$2:$N$1100,2,FALSE()))," ")</f>
        <v xml:space="preserve"> </v>
      </c>
      <c r="I340" s="54" t="str">
        <f>IFERROR((VLOOKUP(G340,'Planilha de Cadastro - Previsão'!$A$2:$N$1100,3,FALSE()))," ")</f>
        <v xml:space="preserve"> </v>
      </c>
      <c r="J340" s="56" t="str">
        <f>IFERROR((VLOOKUP(G340,'Planilha de Cadastro - Previsão'!$A$2:$N$1100,5,FALSE()))," ")</f>
        <v xml:space="preserve"> </v>
      </c>
      <c r="K340" s="57" t="str">
        <f>IFERROR((VLOOKUP(G340,'Planilha de Cadastro - Previsão'!$A$2:$N$1100,9,FALSE()))," ")</f>
        <v xml:space="preserve"> </v>
      </c>
    </row>
    <row r="341" spans="1:11" x14ac:dyDescent="0.25">
      <c r="A341">
        <f>COUNTIF($C$2:C341,C341)</f>
        <v>340</v>
      </c>
      <c r="B341" s="1" t="str">
        <f t="shared" si="10"/>
        <v>340</v>
      </c>
      <c r="C341" s="1" t="str">
        <f>IFERROR(VLOOKUP(D341,'Planilha de Cadastro - Previsão'!$A$2:$O$1000,15,FALSE()),"")</f>
        <v/>
      </c>
      <c r="D341" s="1">
        <v>340</v>
      </c>
      <c r="E341" s="1"/>
      <c r="F341" s="1"/>
      <c r="G341" s="54" t="str">
        <f t="shared" si="11"/>
        <v/>
      </c>
      <c r="H341" s="55" t="str">
        <f>IFERROR((VLOOKUP(G341,'Planilha de Cadastro - Previsão'!$A$2:$N$1100,2,FALSE()))," ")</f>
        <v xml:space="preserve"> </v>
      </c>
      <c r="I341" s="54" t="str">
        <f>IFERROR((VLOOKUP(G341,'Planilha de Cadastro - Previsão'!$A$2:$N$1100,3,FALSE()))," ")</f>
        <v xml:space="preserve"> </v>
      </c>
      <c r="J341" s="56" t="str">
        <f>IFERROR((VLOOKUP(G341,'Planilha de Cadastro - Previsão'!$A$2:$N$1100,5,FALSE()))," ")</f>
        <v xml:space="preserve"> </v>
      </c>
      <c r="K341" s="57" t="str">
        <f>IFERROR((VLOOKUP(G341,'Planilha de Cadastro - Previsão'!$A$2:$N$1100,9,FALSE()))," ")</f>
        <v xml:space="preserve"> </v>
      </c>
    </row>
    <row r="342" spans="1:11" x14ac:dyDescent="0.25">
      <c r="A342">
        <f>COUNTIF($C$2:C342,C342)</f>
        <v>341</v>
      </c>
      <c r="B342" s="1" t="str">
        <f t="shared" si="10"/>
        <v>341</v>
      </c>
      <c r="C342" s="1" t="str">
        <f>IFERROR(VLOOKUP(D342,'Planilha de Cadastro - Previsão'!$A$2:$O$1000,15,FALSE()),"")</f>
        <v/>
      </c>
      <c r="D342" s="1">
        <v>341</v>
      </c>
      <c r="E342" s="1"/>
      <c r="F342" s="1"/>
      <c r="G342" s="54" t="str">
        <f t="shared" si="11"/>
        <v/>
      </c>
      <c r="H342" s="55" t="str">
        <f>IFERROR((VLOOKUP(G342,'Planilha de Cadastro - Previsão'!$A$2:$N$1100,2,FALSE()))," ")</f>
        <v xml:space="preserve"> </v>
      </c>
      <c r="I342" s="54" t="str">
        <f>IFERROR((VLOOKUP(G342,'Planilha de Cadastro - Previsão'!$A$2:$N$1100,3,FALSE()))," ")</f>
        <v xml:space="preserve"> </v>
      </c>
      <c r="J342" s="56" t="str">
        <f>IFERROR((VLOOKUP(G342,'Planilha de Cadastro - Previsão'!$A$2:$N$1100,5,FALSE()))," ")</f>
        <v xml:space="preserve"> </v>
      </c>
      <c r="K342" s="57" t="str">
        <f>IFERROR((VLOOKUP(G342,'Planilha de Cadastro - Previsão'!$A$2:$N$1100,9,FALSE()))," ")</f>
        <v xml:space="preserve"> </v>
      </c>
    </row>
    <row r="343" spans="1:11" x14ac:dyDescent="0.25">
      <c r="A343">
        <f>COUNTIF($C$2:C343,C343)</f>
        <v>342</v>
      </c>
      <c r="B343" s="1" t="str">
        <f t="shared" si="10"/>
        <v>342</v>
      </c>
      <c r="C343" s="1" t="str">
        <f>IFERROR(VLOOKUP(D343,'Planilha de Cadastro - Previsão'!$A$2:$O$1000,15,FALSE()),"")</f>
        <v/>
      </c>
      <c r="D343" s="1">
        <v>342</v>
      </c>
      <c r="E343" s="1"/>
      <c r="F343" s="1"/>
      <c r="G343" s="54" t="str">
        <f t="shared" si="11"/>
        <v/>
      </c>
      <c r="H343" s="55" t="str">
        <f>IFERROR((VLOOKUP(G343,'Planilha de Cadastro - Previsão'!$A$2:$N$1100,2,FALSE()))," ")</f>
        <v xml:space="preserve"> </v>
      </c>
      <c r="I343" s="54" t="str">
        <f>IFERROR((VLOOKUP(G343,'Planilha de Cadastro - Previsão'!$A$2:$N$1100,3,FALSE()))," ")</f>
        <v xml:space="preserve"> </v>
      </c>
      <c r="J343" s="56" t="str">
        <f>IFERROR((VLOOKUP(G343,'Planilha de Cadastro - Previsão'!$A$2:$N$1100,5,FALSE()))," ")</f>
        <v xml:space="preserve"> </v>
      </c>
      <c r="K343" s="57" t="str">
        <f>IFERROR((VLOOKUP(G343,'Planilha de Cadastro - Previsão'!$A$2:$N$1100,9,FALSE()))," ")</f>
        <v xml:space="preserve"> </v>
      </c>
    </row>
    <row r="344" spans="1:11" x14ac:dyDescent="0.25">
      <c r="A344">
        <f>COUNTIF($C$2:C344,C344)</f>
        <v>343</v>
      </c>
      <c r="B344" s="1" t="str">
        <f t="shared" si="10"/>
        <v>343</v>
      </c>
      <c r="C344" s="1" t="str">
        <f>IFERROR(VLOOKUP(D344,'Planilha de Cadastro - Previsão'!$A$2:$O$1000,15,FALSE()),"")</f>
        <v/>
      </c>
      <c r="D344" s="1">
        <v>343</v>
      </c>
      <c r="E344" s="1"/>
      <c r="F344" s="1"/>
      <c r="G344" s="54" t="str">
        <f t="shared" si="11"/>
        <v/>
      </c>
      <c r="H344" s="55" t="str">
        <f>IFERROR((VLOOKUP(G344,'Planilha de Cadastro - Previsão'!$A$2:$N$1100,2,FALSE()))," ")</f>
        <v xml:space="preserve"> </v>
      </c>
      <c r="I344" s="54" t="str">
        <f>IFERROR((VLOOKUP(G344,'Planilha de Cadastro - Previsão'!$A$2:$N$1100,3,FALSE()))," ")</f>
        <v xml:space="preserve"> </v>
      </c>
      <c r="J344" s="56" t="str">
        <f>IFERROR((VLOOKUP(G344,'Planilha de Cadastro - Previsão'!$A$2:$N$1100,5,FALSE()))," ")</f>
        <v xml:space="preserve"> </v>
      </c>
      <c r="K344" s="57" t="str">
        <f>IFERROR((VLOOKUP(G344,'Planilha de Cadastro - Previsão'!$A$2:$N$1100,9,FALSE()))," ")</f>
        <v xml:space="preserve"> </v>
      </c>
    </row>
    <row r="345" spans="1:11" x14ac:dyDescent="0.25">
      <c r="A345">
        <f>COUNTIF($C$2:C345,C345)</f>
        <v>344</v>
      </c>
      <c r="B345" s="1" t="str">
        <f t="shared" si="10"/>
        <v>344</v>
      </c>
      <c r="C345" s="1" t="str">
        <f>IFERROR(VLOOKUP(D345,'Planilha de Cadastro - Previsão'!$A$2:$O$1000,15,FALSE()),"")</f>
        <v/>
      </c>
      <c r="D345" s="1">
        <v>344</v>
      </c>
      <c r="E345" s="1"/>
      <c r="F345" s="1"/>
      <c r="G345" s="54" t="str">
        <f t="shared" si="11"/>
        <v/>
      </c>
      <c r="H345" s="55" t="str">
        <f>IFERROR((VLOOKUP(G345,'Planilha de Cadastro - Previsão'!$A$2:$N$1100,2,FALSE()))," ")</f>
        <v xml:space="preserve"> </v>
      </c>
      <c r="I345" s="54" t="str">
        <f>IFERROR((VLOOKUP(G345,'Planilha de Cadastro - Previsão'!$A$2:$N$1100,3,FALSE()))," ")</f>
        <v xml:space="preserve"> </v>
      </c>
      <c r="J345" s="56" t="str">
        <f>IFERROR((VLOOKUP(G345,'Planilha de Cadastro - Previsão'!$A$2:$N$1100,5,FALSE()))," ")</f>
        <v xml:space="preserve"> </v>
      </c>
      <c r="K345" s="57" t="str">
        <f>IFERROR((VLOOKUP(G345,'Planilha de Cadastro - Previsão'!$A$2:$N$1100,9,FALSE()))," ")</f>
        <v xml:space="preserve"> </v>
      </c>
    </row>
    <row r="346" spans="1:11" x14ac:dyDescent="0.25">
      <c r="A346">
        <f>COUNTIF($C$2:C346,C346)</f>
        <v>345</v>
      </c>
      <c r="B346" s="1" t="str">
        <f t="shared" si="10"/>
        <v>345</v>
      </c>
      <c r="C346" s="1" t="str">
        <f>IFERROR(VLOOKUP(D346,'Planilha de Cadastro - Previsão'!$A$2:$O$1000,15,FALSE()),"")</f>
        <v/>
      </c>
      <c r="D346" s="1">
        <v>345</v>
      </c>
      <c r="E346" s="1"/>
      <c r="F346" s="1"/>
      <c r="G346" s="54" t="str">
        <f t="shared" si="11"/>
        <v/>
      </c>
      <c r="H346" s="55" t="str">
        <f>IFERROR((VLOOKUP(G346,'Planilha de Cadastro - Previsão'!$A$2:$N$1100,2,FALSE()))," ")</f>
        <v xml:space="preserve"> </v>
      </c>
      <c r="I346" s="54" t="str">
        <f>IFERROR((VLOOKUP(G346,'Planilha de Cadastro - Previsão'!$A$2:$N$1100,3,FALSE()))," ")</f>
        <v xml:space="preserve"> </v>
      </c>
      <c r="J346" s="56" t="str">
        <f>IFERROR((VLOOKUP(G346,'Planilha de Cadastro - Previsão'!$A$2:$N$1100,5,FALSE()))," ")</f>
        <v xml:space="preserve"> </v>
      </c>
      <c r="K346" s="57" t="str">
        <f>IFERROR((VLOOKUP(G346,'Planilha de Cadastro - Previsão'!$A$2:$N$1100,9,FALSE()))," ")</f>
        <v xml:space="preserve"> </v>
      </c>
    </row>
    <row r="347" spans="1:11" x14ac:dyDescent="0.25">
      <c r="A347">
        <f>COUNTIF($C$2:C347,C347)</f>
        <v>346</v>
      </c>
      <c r="B347" s="1" t="str">
        <f t="shared" si="10"/>
        <v>346</v>
      </c>
      <c r="C347" s="1" t="str">
        <f>IFERROR(VLOOKUP(D347,'Planilha de Cadastro - Previsão'!$A$2:$O$1000,15,FALSE()),"")</f>
        <v/>
      </c>
      <c r="D347" s="1">
        <v>346</v>
      </c>
      <c r="E347" s="1"/>
      <c r="F347" s="1"/>
      <c r="G347" s="54" t="str">
        <f t="shared" si="11"/>
        <v/>
      </c>
      <c r="H347" s="55" t="str">
        <f>IFERROR((VLOOKUP(G347,'Planilha de Cadastro - Previsão'!$A$2:$N$1100,2,FALSE()))," ")</f>
        <v xml:space="preserve"> </v>
      </c>
      <c r="I347" s="54" t="str">
        <f>IFERROR((VLOOKUP(G347,'Planilha de Cadastro - Previsão'!$A$2:$N$1100,3,FALSE()))," ")</f>
        <v xml:space="preserve"> </v>
      </c>
      <c r="J347" s="56" t="str">
        <f>IFERROR((VLOOKUP(G347,'Planilha de Cadastro - Previsão'!$A$2:$N$1100,5,FALSE()))," ")</f>
        <v xml:space="preserve"> </v>
      </c>
      <c r="K347" s="57" t="str">
        <f>IFERROR((VLOOKUP(G347,'Planilha de Cadastro - Previsão'!$A$2:$N$1100,9,FALSE()))," ")</f>
        <v xml:space="preserve"> </v>
      </c>
    </row>
    <row r="348" spans="1:11" x14ac:dyDescent="0.25">
      <c r="A348">
        <f>COUNTIF($C$2:C348,C348)</f>
        <v>347</v>
      </c>
      <c r="B348" s="1" t="str">
        <f t="shared" si="10"/>
        <v>347</v>
      </c>
      <c r="C348" s="1" t="str">
        <f>IFERROR(VLOOKUP(D348,'Planilha de Cadastro - Previsão'!$A$2:$O$1000,15,FALSE()),"")</f>
        <v/>
      </c>
      <c r="D348" s="1">
        <v>347</v>
      </c>
      <c r="E348" s="1"/>
      <c r="F348" s="1"/>
      <c r="G348" s="54" t="str">
        <f t="shared" si="11"/>
        <v/>
      </c>
      <c r="H348" s="55" t="str">
        <f>IFERROR((VLOOKUP(G348,'Planilha de Cadastro - Previsão'!$A$2:$N$1100,2,FALSE()))," ")</f>
        <v xml:space="preserve"> </v>
      </c>
      <c r="I348" s="54" t="str">
        <f>IFERROR((VLOOKUP(G348,'Planilha de Cadastro - Previsão'!$A$2:$N$1100,3,FALSE()))," ")</f>
        <v xml:space="preserve"> </v>
      </c>
      <c r="J348" s="56" t="str">
        <f>IFERROR((VLOOKUP(G348,'Planilha de Cadastro - Previsão'!$A$2:$N$1100,5,FALSE()))," ")</f>
        <v xml:space="preserve"> </v>
      </c>
      <c r="K348" s="57" t="str">
        <f>IFERROR((VLOOKUP(G348,'Planilha de Cadastro - Previsão'!$A$2:$N$1100,9,FALSE()))," ")</f>
        <v xml:space="preserve"> </v>
      </c>
    </row>
    <row r="349" spans="1:11" x14ac:dyDescent="0.25">
      <c r="A349">
        <f>COUNTIF($C$2:C349,C349)</f>
        <v>348</v>
      </c>
      <c r="B349" s="1" t="str">
        <f t="shared" si="10"/>
        <v>348</v>
      </c>
      <c r="C349" s="1" t="str">
        <f>IFERROR(VLOOKUP(D349,'Planilha de Cadastro - Previsão'!$A$2:$O$1000,15,FALSE()),"")</f>
        <v/>
      </c>
      <c r="D349" s="1">
        <v>348</v>
      </c>
      <c r="E349" s="1"/>
      <c r="F349" s="1"/>
      <c r="G349" s="54" t="str">
        <f t="shared" si="11"/>
        <v/>
      </c>
      <c r="H349" s="55" t="str">
        <f>IFERROR((VLOOKUP(G349,'Planilha de Cadastro - Previsão'!$A$2:$N$1100,2,FALSE()))," ")</f>
        <v xml:space="preserve"> </v>
      </c>
      <c r="I349" s="54" t="str">
        <f>IFERROR((VLOOKUP(G349,'Planilha de Cadastro - Previsão'!$A$2:$N$1100,3,FALSE()))," ")</f>
        <v xml:space="preserve"> </v>
      </c>
      <c r="J349" s="56" t="str">
        <f>IFERROR((VLOOKUP(G349,'Planilha de Cadastro - Previsão'!$A$2:$N$1100,5,FALSE()))," ")</f>
        <v xml:space="preserve"> </v>
      </c>
      <c r="K349" s="57" t="str">
        <f>IFERROR((VLOOKUP(G349,'Planilha de Cadastro - Previsão'!$A$2:$N$1100,9,FALSE()))," ")</f>
        <v xml:space="preserve"> </v>
      </c>
    </row>
    <row r="350" spans="1:11" x14ac:dyDescent="0.25">
      <c r="A350">
        <f>COUNTIF($C$2:C350,C350)</f>
        <v>349</v>
      </c>
      <c r="B350" s="1" t="str">
        <f t="shared" si="10"/>
        <v>349</v>
      </c>
      <c r="C350" s="1" t="str">
        <f>IFERROR(VLOOKUP(D350,'Planilha de Cadastro - Previsão'!$A$2:$O$1000,15,FALSE()),"")</f>
        <v/>
      </c>
      <c r="D350" s="1">
        <v>349</v>
      </c>
      <c r="E350" s="1"/>
      <c r="F350" s="1"/>
      <c r="G350" s="54" t="str">
        <f t="shared" si="11"/>
        <v/>
      </c>
      <c r="H350" s="55" t="str">
        <f>IFERROR((VLOOKUP(G350,'Planilha de Cadastro - Previsão'!$A$2:$N$1100,2,FALSE()))," ")</f>
        <v xml:space="preserve"> </v>
      </c>
      <c r="I350" s="54" t="str">
        <f>IFERROR((VLOOKUP(G350,'Planilha de Cadastro - Previsão'!$A$2:$N$1100,3,FALSE()))," ")</f>
        <v xml:space="preserve"> </v>
      </c>
      <c r="J350" s="56" t="str">
        <f>IFERROR((VLOOKUP(G350,'Planilha de Cadastro - Previsão'!$A$2:$N$1100,5,FALSE()))," ")</f>
        <v xml:space="preserve"> </v>
      </c>
      <c r="K350" s="57" t="str">
        <f>IFERROR((VLOOKUP(G350,'Planilha de Cadastro - Previsão'!$A$2:$N$1100,9,FALSE()))," ")</f>
        <v xml:space="preserve"> </v>
      </c>
    </row>
    <row r="351" spans="1:11" x14ac:dyDescent="0.25">
      <c r="A351">
        <f>COUNTIF($C$2:C351,C351)</f>
        <v>350</v>
      </c>
      <c r="B351" s="1" t="str">
        <f t="shared" si="10"/>
        <v>350</v>
      </c>
      <c r="C351" s="1" t="str">
        <f>IFERROR(VLOOKUP(D351,'Planilha de Cadastro - Previsão'!$A$2:$O$1000,15,FALSE()),"")</f>
        <v/>
      </c>
      <c r="D351" s="1">
        <v>350</v>
      </c>
      <c r="E351" s="1"/>
      <c r="F351" s="1"/>
      <c r="G351" s="54" t="str">
        <f t="shared" si="11"/>
        <v/>
      </c>
      <c r="H351" s="55" t="str">
        <f>IFERROR((VLOOKUP(G351,'Planilha de Cadastro - Previsão'!$A$2:$N$1100,2,FALSE()))," ")</f>
        <v xml:space="preserve"> </v>
      </c>
      <c r="I351" s="54" t="str">
        <f>IFERROR((VLOOKUP(G351,'Planilha de Cadastro - Previsão'!$A$2:$N$1100,3,FALSE()))," ")</f>
        <v xml:space="preserve"> </v>
      </c>
      <c r="J351" s="56" t="str">
        <f>IFERROR((VLOOKUP(G351,'Planilha de Cadastro - Previsão'!$A$2:$N$1100,5,FALSE()))," ")</f>
        <v xml:space="preserve"> </v>
      </c>
      <c r="K351" s="57" t="str">
        <f>IFERROR((VLOOKUP(G351,'Planilha de Cadastro - Previsão'!$A$2:$N$1100,9,FALSE()))," ")</f>
        <v xml:space="preserve"> </v>
      </c>
    </row>
    <row r="352" spans="1:11" x14ac:dyDescent="0.25">
      <c r="A352">
        <f>COUNTIF($C$2:C352,C352)</f>
        <v>351</v>
      </c>
      <c r="B352" s="1" t="str">
        <f t="shared" si="10"/>
        <v>351</v>
      </c>
      <c r="C352" s="1" t="str">
        <f>IFERROR(VLOOKUP(D352,'Planilha de Cadastro - Previsão'!$A$2:$O$1000,15,FALSE()),"")</f>
        <v/>
      </c>
      <c r="D352" s="1">
        <v>351</v>
      </c>
      <c r="E352" s="1"/>
      <c r="F352" s="1"/>
      <c r="G352" s="54" t="str">
        <f t="shared" si="11"/>
        <v/>
      </c>
      <c r="H352" s="55" t="str">
        <f>IFERROR((VLOOKUP(G352,'Planilha de Cadastro - Previsão'!$A$2:$N$1100,2,FALSE()))," ")</f>
        <v xml:space="preserve"> </v>
      </c>
      <c r="I352" s="54" t="str">
        <f>IFERROR((VLOOKUP(G352,'Planilha de Cadastro - Previsão'!$A$2:$N$1100,3,FALSE()))," ")</f>
        <v xml:space="preserve"> </v>
      </c>
      <c r="J352" s="56" t="str">
        <f>IFERROR((VLOOKUP(G352,'Planilha de Cadastro - Previsão'!$A$2:$N$1100,5,FALSE()))," ")</f>
        <v xml:space="preserve"> </v>
      </c>
      <c r="K352" s="57" t="str">
        <f>IFERROR((VLOOKUP(G352,'Planilha de Cadastro - Previsão'!$A$2:$N$1100,9,FALSE()))," ")</f>
        <v xml:space="preserve"> </v>
      </c>
    </row>
    <row r="353" spans="1:11" x14ac:dyDescent="0.25">
      <c r="A353">
        <f>COUNTIF($C$2:C353,C353)</f>
        <v>352</v>
      </c>
      <c r="B353" s="1" t="str">
        <f t="shared" si="10"/>
        <v>352</v>
      </c>
      <c r="C353" s="1" t="str">
        <f>IFERROR(VLOOKUP(D353,'Planilha de Cadastro - Previsão'!$A$2:$O$1000,15,FALSE()),"")</f>
        <v/>
      </c>
      <c r="D353" s="1">
        <v>352</v>
      </c>
      <c r="E353" s="1"/>
      <c r="F353" s="1"/>
      <c r="G353" s="54" t="str">
        <f t="shared" si="11"/>
        <v/>
      </c>
      <c r="H353" s="55" t="str">
        <f>IFERROR((VLOOKUP(G353,'Planilha de Cadastro - Previsão'!$A$2:$N$1100,2,FALSE()))," ")</f>
        <v xml:space="preserve"> </v>
      </c>
      <c r="I353" s="54" t="str">
        <f>IFERROR((VLOOKUP(G353,'Planilha de Cadastro - Previsão'!$A$2:$N$1100,3,FALSE()))," ")</f>
        <v xml:space="preserve"> </v>
      </c>
      <c r="J353" s="56" t="str">
        <f>IFERROR((VLOOKUP(G353,'Planilha de Cadastro - Previsão'!$A$2:$N$1100,5,FALSE()))," ")</f>
        <v xml:space="preserve"> </v>
      </c>
      <c r="K353" s="57" t="str">
        <f>IFERROR((VLOOKUP(G353,'Planilha de Cadastro - Previsão'!$A$2:$N$1100,9,FALSE()))," ")</f>
        <v xml:space="preserve"> </v>
      </c>
    </row>
    <row r="354" spans="1:11" x14ac:dyDescent="0.25">
      <c r="A354">
        <f>COUNTIF($C$2:C354,C354)</f>
        <v>353</v>
      </c>
      <c r="B354" s="1" t="str">
        <f t="shared" si="10"/>
        <v>353</v>
      </c>
      <c r="C354" s="1" t="str">
        <f>IFERROR(VLOOKUP(D354,'Planilha de Cadastro - Previsão'!$A$2:$O$1000,15,FALSE()),"")</f>
        <v/>
      </c>
      <c r="D354" s="1">
        <v>353</v>
      </c>
      <c r="E354" s="1"/>
      <c r="F354" s="1"/>
      <c r="G354" s="54" t="str">
        <f t="shared" si="11"/>
        <v/>
      </c>
      <c r="H354" s="55" t="str">
        <f>IFERROR((VLOOKUP(G354,'Planilha de Cadastro - Previsão'!$A$2:$N$1100,2,FALSE()))," ")</f>
        <v xml:space="preserve"> </v>
      </c>
      <c r="I354" s="54" t="str">
        <f>IFERROR((VLOOKUP(G354,'Planilha de Cadastro - Previsão'!$A$2:$N$1100,3,FALSE()))," ")</f>
        <v xml:space="preserve"> </v>
      </c>
      <c r="J354" s="56" t="str">
        <f>IFERROR((VLOOKUP(G354,'Planilha de Cadastro - Previsão'!$A$2:$N$1100,5,FALSE()))," ")</f>
        <v xml:space="preserve"> </v>
      </c>
      <c r="K354" s="57" t="str">
        <f>IFERROR((VLOOKUP(G354,'Planilha de Cadastro - Previsão'!$A$2:$N$1100,9,FALSE()))," ")</f>
        <v xml:space="preserve"> </v>
      </c>
    </row>
    <row r="355" spans="1:11" x14ac:dyDescent="0.25">
      <c r="A355">
        <f>COUNTIF($C$2:C355,C355)</f>
        <v>354</v>
      </c>
      <c r="B355" s="1" t="str">
        <f t="shared" si="10"/>
        <v>354</v>
      </c>
      <c r="C355" s="1" t="str">
        <f>IFERROR(VLOOKUP(D355,'Planilha de Cadastro - Previsão'!$A$2:$O$1000,15,FALSE()),"")</f>
        <v/>
      </c>
      <c r="D355" s="1">
        <v>354</v>
      </c>
      <c r="E355" s="1"/>
      <c r="F355" s="1"/>
      <c r="G355" s="54" t="str">
        <f t="shared" si="11"/>
        <v/>
      </c>
      <c r="H355" s="55" t="str">
        <f>IFERROR((VLOOKUP(G355,'Planilha de Cadastro - Previsão'!$A$2:$N$1100,2,FALSE()))," ")</f>
        <v xml:space="preserve"> </v>
      </c>
      <c r="I355" s="54" t="str">
        <f>IFERROR((VLOOKUP(G355,'Planilha de Cadastro - Previsão'!$A$2:$N$1100,3,FALSE()))," ")</f>
        <v xml:space="preserve"> </v>
      </c>
      <c r="J355" s="56" t="str">
        <f>IFERROR((VLOOKUP(G355,'Planilha de Cadastro - Previsão'!$A$2:$N$1100,5,FALSE()))," ")</f>
        <v xml:space="preserve"> </v>
      </c>
      <c r="K355" s="57" t="str">
        <f>IFERROR((VLOOKUP(G355,'Planilha de Cadastro - Previsão'!$A$2:$N$1100,9,FALSE()))," ")</f>
        <v xml:space="preserve"> </v>
      </c>
    </row>
    <row r="356" spans="1:11" x14ac:dyDescent="0.25">
      <c r="A356">
        <f>COUNTIF($C$2:C356,C356)</f>
        <v>355</v>
      </c>
      <c r="B356" s="1" t="str">
        <f t="shared" si="10"/>
        <v>355</v>
      </c>
      <c r="C356" s="1" t="str">
        <f>IFERROR(VLOOKUP(D356,'Planilha de Cadastro - Previsão'!$A$2:$O$1000,15,FALSE()),"")</f>
        <v/>
      </c>
      <c r="D356" s="1">
        <v>355</v>
      </c>
      <c r="E356" s="1"/>
      <c r="F356" s="1"/>
      <c r="G356" s="54" t="str">
        <f t="shared" si="11"/>
        <v/>
      </c>
      <c r="H356" s="55" t="str">
        <f>IFERROR((VLOOKUP(G356,'Planilha de Cadastro - Previsão'!$A$2:$N$1100,2,FALSE()))," ")</f>
        <v xml:space="preserve"> </v>
      </c>
      <c r="I356" s="54" t="str">
        <f>IFERROR((VLOOKUP(G356,'Planilha de Cadastro - Previsão'!$A$2:$N$1100,3,FALSE()))," ")</f>
        <v xml:space="preserve"> </v>
      </c>
      <c r="J356" s="56" t="str">
        <f>IFERROR((VLOOKUP(G356,'Planilha de Cadastro - Previsão'!$A$2:$N$1100,5,FALSE()))," ")</f>
        <v xml:space="preserve"> </v>
      </c>
      <c r="K356" s="57" t="str">
        <f>IFERROR((VLOOKUP(G356,'Planilha de Cadastro - Previsão'!$A$2:$N$1100,9,FALSE()))," ")</f>
        <v xml:space="preserve"> </v>
      </c>
    </row>
    <row r="357" spans="1:11" x14ac:dyDescent="0.25">
      <c r="A357">
        <f>COUNTIF($C$2:C357,C357)</f>
        <v>356</v>
      </c>
      <c r="B357" s="1" t="str">
        <f t="shared" si="10"/>
        <v>356</v>
      </c>
      <c r="C357" s="1" t="str">
        <f>IFERROR(VLOOKUP(D357,'Planilha de Cadastro - Previsão'!$A$2:$O$1000,15,FALSE()),"")</f>
        <v/>
      </c>
      <c r="D357" s="1">
        <v>356</v>
      </c>
      <c r="E357" s="1"/>
      <c r="F357" s="1"/>
      <c r="G357" s="54" t="str">
        <f t="shared" si="11"/>
        <v/>
      </c>
      <c r="H357" s="55" t="str">
        <f>IFERROR((VLOOKUP(G357,'Planilha de Cadastro - Previsão'!$A$2:$N$1100,2,FALSE()))," ")</f>
        <v xml:space="preserve"> </v>
      </c>
      <c r="I357" s="54" t="str">
        <f>IFERROR((VLOOKUP(G357,'Planilha de Cadastro - Previsão'!$A$2:$N$1100,3,FALSE()))," ")</f>
        <v xml:space="preserve"> </v>
      </c>
      <c r="J357" s="56" t="str">
        <f>IFERROR((VLOOKUP(G357,'Planilha de Cadastro - Previsão'!$A$2:$N$1100,5,FALSE()))," ")</f>
        <v xml:space="preserve"> </v>
      </c>
      <c r="K357" s="57" t="str">
        <f>IFERROR((VLOOKUP(G357,'Planilha de Cadastro - Previsão'!$A$2:$N$1100,9,FALSE()))," ")</f>
        <v xml:space="preserve"> </v>
      </c>
    </row>
    <row r="358" spans="1:11" x14ac:dyDescent="0.25">
      <c r="A358">
        <f>COUNTIF($C$2:C358,C358)</f>
        <v>357</v>
      </c>
      <c r="B358" s="1" t="str">
        <f t="shared" si="10"/>
        <v>357</v>
      </c>
      <c r="C358" s="1" t="str">
        <f>IFERROR(VLOOKUP(D358,'Planilha de Cadastro - Previsão'!$A$2:$O$1000,15,FALSE()),"")</f>
        <v/>
      </c>
      <c r="D358" s="1">
        <v>357</v>
      </c>
      <c r="E358" s="1"/>
      <c r="F358" s="1"/>
      <c r="G358" s="54" t="str">
        <f t="shared" si="11"/>
        <v/>
      </c>
      <c r="H358" s="55" t="str">
        <f>IFERROR((VLOOKUP(G358,'Planilha de Cadastro - Previsão'!$A$2:$N$1100,2,FALSE()))," ")</f>
        <v xml:space="preserve"> </v>
      </c>
      <c r="I358" s="54" t="str">
        <f>IFERROR((VLOOKUP(G358,'Planilha de Cadastro - Previsão'!$A$2:$N$1100,3,FALSE()))," ")</f>
        <v xml:space="preserve"> </v>
      </c>
      <c r="J358" s="56" t="str">
        <f>IFERROR((VLOOKUP(G358,'Planilha de Cadastro - Previsão'!$A$2:$N$1100,5,FALSE()))," ")</f>
        <v xml:space="preserve"> </v>
      </c>
      <c r="K358" s="57" t="str">
        <f>IFERROR((VLOOKUP(G358,'Planilha de Cadastro - Previsão'!$A$2:$N$1100,9,FALSE()))," ")</f>
        <v xml:space="preserve"> </v>
      </c>
    </row>
    <row r="359" spans="1:11" x14ac:dyDescent="0.25">
      <c r="A359">
        <f>COUNTIF($C$2:C359,C359)</f>
        <v>358</v>
      </c>
      <c r="B359" s="1" t="str">
        <f t="shared" si="10"/>
        <v>358</v>
      </c>
      <c r="C359" s="1" t="str">
        <f>IFERROR(VLOOKUP(D359,'Planilha de Cadastro - Previsão'!$A$2:$O$1000,15,FALSE()),"")</f>
        <v/>
      </c>
      <c r="D359" s="1">
        <v>358</v>
      </c>
      <c r="E359" s="1"/>
      <c r="F359" s="1"/>
      <c r="G359" s="54" t="str">
        <f t="shared" si="11"/>
        <v/>
      </c>
      <c r="H359" s="55" t="str">
        <f>IFERROR((VLOOKUP(G359,'Planilha de Cadastro - Previsão'!$A$2:$N$1100,2,FALSE()))," ")</f>
        <v xml:space="preserve"> </v>
      </c>
      <c r="I359" s="54" t="str">
        <f>IFERROR((VLOOKUP(G359,'Planilha de Cadastro - Previsão'!$A$2:$N$1100,3,FALSE()))," ")</f>
        <v xml:space="preserve"> </v>
      </c>
      <c r="J359" s="56" t="str">
        <f>IFERROR((VLOOKUP(G359,'Planilha de Cadastro - Previsão'!$A$2:$N$1100,5,FALSE()))," ")</f>
        <v xml:space="preserve"> </v>
      </c>
      <c r="K359" s="57" t="str">
        <f>IFERROR((VLOOKUP(G359,'Planilha de Cadastro - Previsão'!$A$2:$N$1100,9,FALSE()))," ")</f>
        <v xml:space="preserve"> </v>
      </c>
    </row>
    <row r="360" spans="1:11" x14ac:dyDescent="0.25">
      <c r="A360">
        <f>COUNTIF($C$2:C360,C360)</f>
        <v>359</v>
      </c>
      <c r="B360" s="1" t="str">
        <f t="shared" si="10"/>
        <v>359</v>
      </c>
      <c r="C360" s="1" t="str">
        <f>IFERROR(VLOOKUP(D360,'Planilha de Cadastro - Previsão'!$A$2:$O$1000,15,FALSE()),"")</f>
        <v/>
      </c>
      <c r="D360" s="1">
        <v>359</v>
      </c>
      <c r="E360" s="1"/>
      <c r="F360" s="1"/>
      <c r="G360" s="54" t="str">
        <f t="shared" si="11"/>
        <v/>
      </c>
      <c r="H360" s="55" t="str">
        <f>IFERROR((VLOOKUP(G360,'Planilha de Cadastro - Previsão'!$A$2:$N$1100,2,FALSE()))," ")</f>
        <v xml:space="preserve"> </v>
      </c>
      <c r="I360" s="54" t="str">
        <f>IFERROR((VLOOKUP(G360,'Planilha de Cadastro - Previsão'!$A$2:$N$1100,3,FALSE()))," ")</f>
        <v xml:space="preserve"> </v>
      </c>
      <c r="J360" s="56" t="str">
        <f>IFERROR((VLOOKUP(G360,'Planilha de Cadastro - Previsão'!$A$2:$N$1100,5,FALSE()))," ")</f>
        <v xml:space="preserve"> </v>
      </c>
      <c r="K360" s="57" t="str">
        <f>IFERROR((VLOOKUP(G360,'Planilha de Cadastro - Previsão'!$A$2:$N$1100,9,FALSE()))," ")</f>
        <v xml:space="preserve"> </v>
      </c>
    </row>
    <row r="361" spans="1:11" x14ac:dyDescent="0.25">
      <c r="A361">
        <f>COUNTIF($C$2:C361,C361)</f>
        <v>360</v>
      </c>
      <c r="B361" s="1" t="str">
        <f t="shared" si="10"/>
        <v>360</v>
      </c>
      <c r="C361" s="1" t="str">
        <f>IFERROR(VLOOKUP(D361,'Planilha de Cadastro - Previsão'!$A$2:$O$1000,15,FALSE()),"")</f>
        <v/>
      </c>
      <c r="D361" s="1">
        <v>360</v>
      </c>
      <c r="E361" s="1"/>
      <c r="F361" s="1"/>
      <c r="G361" s="54" t="str">
        <f t="shared" si="11"/>
        <v/>
      </c>
      <c r="H361" s="55" t="str">
        <f>IFERROR((VLOOKUP(G361,'Planilha de Cadastro - Previsão'!$A$2:$N$1100,2,FALSE()))," ")</f>
        <v xml:space="preserve"> </v>
      </c>
      <c r="I361" s="54" t="str">
        <f>IFERROR((VLOOKUP(G361,'Planilha de Cadastro - Previsão'!$A$2:$N$1100,3,FALSE()))," ")</f>
        <v xml:space="preserve"> </v>
      </c>
      <c r="J361" s="56" t="str">
        <f>IFERROR((VLOOKUP(G361,'Planilha de Cadastro - Previsão'!$A$2:$N$1100,5,FALSE()))," ")</f>
        <v xml:space="preserve"> </v>
      </c>
      <c r="K361" s="57" t="str">
        <f>IFERROR((VLOOKUP(G361,'Planilha de Cadastro - Previsão'!$A$2:$N$1100,9,FALSE()))," ")</f>
        <v xml:space="preserve"> </v>
      </c>
    </row>
    <row r="362" spans="1:11" x14ac:dyDescent="0.25">
      <c r="A362">
        <f>COUNTIF($C$2:C362,C362)</f>
        <v>361</v>
      </c>
      <c r="B362" s="1" t="str">
        <f t="shared" si="10"/>
        <v>361</v>
      </c>
      <c r="C362" s="1" t="str">
        <f>IFERROR(VLOOKUP(D362,'Planilha de Cadastro - Previsão'!$A$2:$O$1000,15,FALSE()),"")</f>
        <v/>
      </c>
      <c r="D362" s="1">
        <v>361</v>
      </c>
      <c r="E362" s="1"/>
      <c r="F362" s="1"/>
      <c r="G362" s="54" t="str">
        <f t="shared" si="11"/>
        <v/>
      </c>
      <c r="H362" s="55" t="str">
        <f>IFERROR((VLOOKUP(G362,'Planilha de Cadastro - Previsão'!$A$2:$N$1100,2,FALSE()))," ")</f>
        <v xml:space="preserve"> </v>
      </c>
      <c r="I362" s="54" t="str">
        <f>IFERROR((VLOOKUP(G362,'Planilha de Cadastro - Previsão'!$A$2:$N$1100,3,FALSE()))," ")</f>
        <v xml:space="preserve"> </v>
      </c>
      <c r="J362" s="56" t="str">
        <f>IFERROR((VLOOKUP(G362,'Planilha de Cadastro - Previsão'!$A$2:$N$1100,5,FALSE()))," ")</f>
        <v xml:space="preserve"> </v>
      </c>
      <c r="K362" s="57" t="str">
        <f>IFERROR((VLOOKUP(G362,'Planilha de Cadastro - Previsão'!$A$2:$N$1100,9,FALSE()))," ")</f>
        <v xml:space="preserve"> </v>
      </c>
    </row>
    <row r="363" spans="1:11" x14ac:dyDescent="0.25">
      <c r="A363">
        <f>COUNTIF($C$2:C363,C363)</f>
        <v>362</v>
      </c>
      <c r="B363" s="1" t="str">
        <f t="shared" si="10"/>
        <v>362</v>
      </c>
      <c r="C363" s="1" t="str">
        <f>IFERROR(VLOOKUP(D363,'Planilha de Cadastro - Previsão'!$A$2:$O$1000,15,FALSE()),"")</f>
        <v/>
      </c>
      <c r="D363" s="1">
        <v>362</v>
      </c>
      <c r="E363" s="1"/>
      <c r="F363" s="1"/>
      <c r="G363" s="54" t="str">
        <f t="shared" si="11"/>
        <v/>
      </c>
      <c r="H363" s="55" t="str">
        <f>IFERROR((VLOOKUP(G363,'Planilha de Cadastro - Previsão'!$A$2:$N$1100,2,FALSE()))," ")</f>
        <v xml:space="preserve"> </v>
      </c>
      <c r="I363" s="54" t="str">
        <f>IFERROR((VLOOKUP(G363,'Planilha de Cadastro - Previsão'!$A$2:$N$1100,3,FALSE()))," ")</f>
        <v xml:space="preserve"> </v>
      </c>
      <c r="J363" s="56" t="str">
        <f>IFERROR((VLOOKUP(G363,'Planilha de Cadastro - Previsão'!$A$2:$N$1100,5,FALSE()))," ")</f>
        <v xml:space="preserve"> </v>
      </c>
      <c r="K363" s="57" t="str">
        <f>IFERROR((VLOOKUP(G363,'Planilha de Cadastro - Previsão'!$A$2:$N$1100,9,FALSE()))," ")</f>
        <v xml:space="preserve"> </v>
      </c>
    </row>
    <row r="364" spans="1:11" x14ac:dyDescent="0.25">
      <c r="A364">
        <f>COUNTIF($C$2:C364,C364)</f>
        <v>363</v>
      </c>
      <c r="B364" s="1" t="str">
        <f t="shared" si="10"/>
        <v>363</v>
      </c>
      <c r="C364" s="1" t="str">
        <f>IFERROR(VLOOKUP(D364,'Planilha de Cadastro - Previsão'!$A$2:$O$1000,15,FALSE()),"")</f>
        <v/>
      </c>
      <c r="D364" s="1">
        <v>363</v>
      </c>
      <c r="E364" s="1"/>
      <c r="F364" s="1"/>
      <c r="G364" s="54" t="str">
        <f t="shared" si="11"/>
        <v/>
      </c>
      <c r="H364" s="55" t="str">
        <f>IFERROR((VLOOKUP(G364,'Planilha de Cadastro - Previsão'!$A$2:$N$1100,2,FALSE()))," ")</f>
        <v xml:space="preserve"> </v>
      </c>
      <c r="I364" s="54" t="str">
        <f>IFERROR((VLOOKUP(G364,'Planilha de Cadastro - Previsão'!$A$2:$N$1100,3,FALSE()))," ")</f>
        <v xml:space="preserve"> </v>
      </c>
      <c r="J364" s="56" t="str">
        <f>IFERROR((VLOOKUP(G364,'Planilha de Cadastro - Previsão'!$A$2:$N$1100,5,FALSE()))," ")</f>
        <v xml:space="preserve"> </v>
      </c>
      <c r="K364" s="57" t="str">
        <f>IFERROR((VLOOKUP(G364,'Planilha de Cadastro - Previsão'!$A$2:$N$1100,9,FALSE()))," ")</f>
        <v xml:space="preserve"> </v>
      </c>
    </row>
    <row r="365" spans="1:11" x14ac:dyDescent="0.25">
      <c r="A365">
        <f>COUNTIF($C$2:C365,C365)</f>
        <v>364</v>
      </c>
      <c r="B365" s="1" t="str">
        <f t="shared" si="10"/>
        <v>364</v>
      </c>
      <c r="C365" s="1" t="str">
        <f>IFERROR(VLOOKUP(D365,'Planilha de Cadastro - Previsão'!$A$2:$O$1000,15,FALSE()),"")</f>
        <v/>
      </c>
      <c r="D365" s="1">
        <v>364</v>
      </c>
      <c r="E365" s="1"/>
      <c r="F365" s="1"/>
      <c r="G365" s="54" t="str">
        <f t="shared" si="11"/>
        <v/>
      </c>
      <c r="H365" s="55" t="str">
        <f>IFERROR((VLOOKUP(G365,'Planilha de Cadastro - Previsão'!$A$2:$N$1100,2,FALSE()))," ")</f>
        <v xml:space="preserve"> </v>
      </c>
      <c r="I365" s="54" t="str">
        <f>IFERROR((VLOOKUP(G365,'Planilha de Cadastro - Previsão'!$A$2:$N$1100,3,FALSE()))," ")</f>
        <v xml:space="preserve"> </v>
      </c>
      <c r="J365" s="56" t="str">
        <f>IFERROR((VLOOKUP(G365,'Planilha de Cadastro - Previsão'!$A$2:$N$1100,5,FALSE()))," ")</f>
        <v xml:space="preserve"> </v>
      </c>
      <c r="K365" s="57" t="str">
        <f>IFERROR((VLOOKUP(G365,'Planilha de Cadastro - Previsão'!$A$2:$N$1100,9,FALSE()))," ")</f>
        <v xml:space="preserve"> </v>
      </c>
    </row>
    <row r="366" spans="1:11" x14ac:dyDescent="0.25">
      <c r="A366">
        <f>COUNTIF($C$2:C366,C366)</f>
        <v>365</v>
      </c>
      <c r="B366" s="1" t="str">
        <f t="shared" si="10"/>
        <v>365</v>
      </c>
      <c r="C366" s="1" t="str">
        <f>IFERROR(VLOOKUP(D366,'Planilha de Cadastro - Previsão'!$A$2:$O$1000,15,FALSE()),"")</f>
        <v/>
      </c>
      <c r="D366" s="1">
        <v>365</v>
      </c>
      <c r="E366" s="1"/>
      <c r="F366" s="1"/>
      <c r="G366" s="54" t="str">
        <f t="shared" si="11"/>
        <v/>
      </c>
      <c r="H366" s="55" t="str">
        <f>IFERROR((VLOOKUP(G366,'Planilha de Cadastro - Previsão'!$A$2:$N$1100,2,FALSE()))," ")</f>
        <v xml:space="preserve"> </v>
      </c>
      <c r="I366" s="54" t="str">
        <f>IFERROR((VLOOKUP(G366,'Planilha de Cadastro - Previsão'!$A$2:$N$1100,3,FALSE()))," ")</f>
        <v xml:space="preserve"> </v>
      </c>
      <c r="J366" s="56" t="str">
        <f>IFERROR((VLOOKUP(G366,'Planilha de Cadastro - Previsão'!$A$2:$N$1100,5,FALSE()))," ")</f>
        <v xml:space="preserve"> </v>
      </c>
      <c r="K366" s="57" t="str">
        <f>IFERROR((VLOOKUP(G366,'Planilha de Cadastro - Previsão'!$A$2:$N$1100,9,FALSE()))," ")</f>
        <v xml:space="preserve"> </v>
      </c>
    </row>
    <row r="367" spans="1:11" x14ac:dyDescent="0.25">
      <c r="A367">
        <f>COUNTIF($C$2:C367,C367)</f>
        <v>366</v>
      </c>
      <c r="B367" s="1" t="str">
        <f t="shared" si="10"/>
        <v>366</v>
      </c>
      <c r="C367" s="1" t="str">
        <f>IFERROR(VLOOKUP(D367,'Planilha de Cadastro - Previsão'!$A$2:$O$1000,15,FALSE()),"")</f>
        <v/>
      </c>
      <c r="D367" s="1">
        <v>366</v>
      </c>
      <c r="E367" s="1"/>
      <c r="F367" s="1"/>
      <c r="G367" s="54" t="str">
        <f t="shared" si="11"/>
        <v/>
      </c>
      <c r="H367" s="55" t="str">
        <f>IFERROR((VLOOKUP(G367,'Planilha de Cadastro - Previsão'!$A$2:$N$1100,2,FALSE()))," ")</f>
        <v xml:space="preserve"> </v>
      </c>
      <c r="I367" s="54" t="str">
        <f>IFERROR((VLOOKUP(G367,'Planilha de Cadastro - Previsão'!$A$2:$N$1100,3,FALSE()))," ")</f>
        <v xml:space="preserve"> </v>
      </c>
      <c r="J367" s="56" t="str">
        <f>IFERROR((VLOOKUP(G367,'Planilha de Cadastro - Previsão'!$A$2:$N$1100,5,FALSE()))," ")</f>
        <v xml:space="preserve"> </v>
      </c>
      <c r="K367" s="57" t="str">
        <f>IFERROR((VLOOKUP(G367,'Planilha de Cadastro - Previsão'!$A$2:$N$1100,9,FALSE()))," ")</f>
        <v xml:space="preserve"> </v>
      </c>
    </row>
    <row r="368" spans="1:11" x14ac:dyDescent="0.25">
      <c r="A368">
        <f>COUNTIF($C$2:C368,C368)</f>
        <v>367</v>
      </c>
      <c r="B368" s="1" t="str">
        <f t="shared" si="10"/>
        <v>367</v>
      </c>
      <c r="C368" s="1" t="str">
        <f>IFERROR(VLOOKUP(D368,'Planilha de Cadastro - Previsão'!$A$2:$O$1000,15,FALSE()),"")</f>
        <v/>
      </c>
      <c r="D368" s="1">
        <v>367</v>
      </c>
      <c r="E368" s="1"/>
      <c r="F368" s="1"/>
      <c r="G368" s="54" t="str">
        <f t="shared" si="11"/>
        <v/>
      </c>
      <c r="H368" s="55" t="str">
        <f>IFERROR((VLOOKUP(G368,'Planilha de Cadastro - Previsão'!$A$2:$N$1100,2,FALSE()))," ")</f>
        <v xml:space="preserve"> </v>
      </c>
      <c r="I368" s="54" t="str">
        <f>IFERROR((VLOOKUP(G368,'Planilha de Cadastro - Previsão'!$A$2:$N$1100,3,FALSE()))," ")</f>
        <v xml:space="preserve"> </v>
      </c>
      <c r="J368" s="56" t="str">
        <f>IFERROR((VLOOKUP(G368,'Planilha de Cadastro - Previsão'!$A$2:$N$1100,5,FALSE()))," ")</f>
        <v xml:space="preserve"> </v>
      </c>
      <c r="K368" s="57" t="str">
        <f>IFERROR((VLOOKUP(G368,'Planilha de Cadastro - Previsão'!$A$2:$N$1100,9,FALSE()))," ")</f>
        <v xml:space="preserve"> </v>
      </c>
    </row>
    <row r="369" spans="1:11" x14ac:dyDescent="0.25">
      <c r="A369">
        <f>COUNTIF($C$2:C369,C369)</f>
        <v>368</v>
      </c>
      <c r="B369" s="1" t="str">
        <f t="shared" si="10"/>
        <v>368</v>
      </c>
      <c r="C369" s="1" t="str">
        <f>IFERROR(VLOOKUP(D369,'Planilha de Cadastro - Previsão'!$A$2:$O$1000,15,FALSE()),"")</f>
        <v/>
      </c>
      <c r="D369" s="1">
        <v>368</v>
      </c>
      <c r="E369" s="1"/>
      <c r="F369" s="1"/>
      <c r="G369" s="54" t="str">
        <f t="shared" si="11"/>
        <v/>
      </c>
      <c r="H369" s="55" t="str">
        <f>IFERROR((VLOOKUP(G369,'Planilha de Cadastro - Previsão'!$A$2:$N$1100,2,FALSE()))," ")</f>
        <v xml:space="preserve"> </v>
      </c>
      <c r="I369" s="54" t="str">
        <f>IFERROR((VLOOKUP(G369,'Planilha de Cadastro - Previsão'!$A$2:$N$1100,3,FALSE()))," ")</f>
        <v xml:space="preserve"> </v>
      </c>
      <c r="J369" s="56" t="str">
        <f>IFERROR((VLOOKUP(G369,'Planilha de Cadastro - Previsão'!$A$2:$N$1100,5,FALSE()))," ")</f>
        <v xml:space="preserve"> </v>
      </c>
      <c r="K369" s="57" t="str">
        <f>IFERROR((VLOOKUP(G369,'Planilha de Cadastro - Previsão'!$A$2:$N$1100,9,FALSE()))," ")</f>
        <v xml:space="preserve"> </v>
      </c>
    </row>
    <row r="370" spans="1:11" x14ac:dyDescent="0.25">
      <c r="A370">
        <f>COUNTIF($C$2:C370,C370)</f>
        <v>369</v>
      </c>
      <c r="B370" s="1" t="str">
        <f t="shared" si="10"/>
        <v>369</v>
      </c>
      <c r="C370" s="1" t="str">
        <f>IFERROR(VLOOKUP(D370,'Planilha de Cadastro - Previsão'!$A$2:$O$1000,15,FALSE()),"")</f>
        <v/>
      </c>
      <c r="D370" s="1">
        <v>369</v>
      </c>
      <c r="E370" s="1"/>
      <c r="F370" s="1"/>
      <c r="G370" s="54" t="str">
        <f t="shared" si="11"/>
        <v/>
      </c>
      <c r="H370" s="55" t="str">
        <f>IFERROR((VLOOKUP(G370,'Planilha de Cadastro - Previsão'!$A$2:$N$1100,2,FALSE()))," ")</f>
        <v xml:space="preserve"> </v>
      </c>
      <c r="I370" s="54" t="str">
        <f>IFERROR((VLOOKUP(G370,'Planilha de Cadastro - Previsão'!$A$2:$N$1100,3,FALSE()))," ")</f>
        <v xml:space="preserve"> </v>
      </c>
      <c r="J370" s="56" t="str">
        <f>IFERROR((VLOOKUP(G370,'Planilha de Cadastro - Previsão'!$A$2:$N$1100,5,FALSE()))," ")</f>
        <v xml:space="preserve"> </v>
      </c>
      <c r="K370" s="57" t="str">
        <f>IFERROR((VLOOKUP(G370,'Planilha de Cadastro - Previsão'!$A$2:$N$1100,9,FALSE()))," ")</f>
        <v xml:space="preserve"> </v>
      </c>
    </row>
    <row r="371" spans="1:11" x14ac:dyDescent="0.25">
      <c r="A371">
        <f>COUNTIF($C$2:C371,C371)</f>
        <v>370</v>
      </c>
      <c r="B371" s="1" t="str">
        <f t="shared" si="10"/>
        <v>370</v>
      </c>
      <c r="C371" s="1" t="str">
        <f>IFERROR(VLOOKUP(D371,'Planilha de Cadastro - Previsão'!$A$2:$O$1000,15,FALSE()),"")</f>
        <v/>
      </c>
      <c r="D371" s="1">
        <v>370</v>
      </c>
      <c r="E371" s="1"/>
      <c r="F371" s="1"/>
      <c r="G371" s="54" t="str">
        <f t="shared" si="11"/>
        <v/>
      </c>
      <c r="H371" s="55" t="str">
        <f>IFERROR((VLOOKUP(G371,'Planilha de Cadastro - Previsão'!$A$2:$N$1100,2,FALSE()))," ")</f>
        <v xml:space="preserve"> </v>
      </c>
      <c r="I371" s="54" t="str">
        <f>IFERROR((VLOOKUP(G371,'Planilha de Cadastro - Previsão'!$A$2:$N$1100,3,FALSE()))," ")</f>
        <v xml:space="preserve"> </v>
      </c>
      <c r="J371" s="56" t="str">
        <f>IFERROR((VLOOKUP(G371,'Planilha de Cadastro - Previsão'!$A$2:$N$1100,5,FALSE()))," ")</f>
        <v xml:space="preserve"> </v>
      </c>
      <c r="K371" s="57" t="str">
        <f>IFERROR((VLOOKUP(G371,'Planilha de Cadastro - Previsão'!$A$2:$N$1100,9,FALSE()))," ")</f>
        <v xml:space="preserve"> </v>
      </c>
    </row>
    <row r="372" spans="1:11" x14ac:dyDescent="0.25">
      <c r="A372">
        <f>COUNTIF($C$2:C372,C372)</f>
        <v>371</v>
      </c>
      <c r="B372" s="1" t="str">
        <f t="shared" si="10"/>
        <v>371</v>
      </c>
      <c r="C372" s="1" t="str">
        <f>IFERROR(VLOOKUP(D372,'Planilha de Cadastro - Previsão'!$A$2:$O$1000,15,FALSE()),"")</f>
        <v/>
      </c>
      <c r="D372" s="1">
        <v>371</v>
      </c>
      <c r="E372" s="1"/>
      <c r="F372" s="1"/>
      <c r="G372" s="54" t="str">
        <f t="shared" si="11"/>
        <v/>
      </c>
      <c r="H372" s="55" t="str">
        <f>IFERROR((VLOOKUP(G372,'Planilha de Cadastro - Previsão'!$A$2:$N$1100,2,FALSE()))," ")</f>
        <v xml:space="preserve"> </v>
      </c>
      <c r="I372" s="54" t="str">
        <f>IFERROR((VLOOKUP(G372,'Planilha de Cadastro - Previsão'!$A$2:$N$1100,3,FALSE()))," ")</f>
        <v xml:space="preserve"> </v>
      </c>
      <c r="J372" s="56" t="str">
        <f>IFERROR((VLOOKUP(G372,'Planilha de Cadastro - Previsão'!$A$2:$N$1100,5,FALSE()))," ")</f>
        <v xml:space="preserve"> </v>
      </c>
      <c r="K372" s="57" t="str">
        <f>IFERROR((VLOOKUP(G372,'Planilha de Cadastro - Previsão'!$A$2:$N$1100,9,FALSE()))," ")</f>
        <v xml:space="preserve"> </v>
      </c>
    </row>
    <row r="373" spans="1:11" x14ac:dyDescent="0.25">
      <c r="A373">
        <f>COUNTIF($C$2:C373,C373)</f>
        <v>372</v>
      </c>
      <c r="B373" s="1" t="str">
        <f t="shared" si="10"/>
        <v>372</v>
      </c>
      <c r="C373" s="1" t="str">
        <f>IFERROR(VLOOKUP(D373,'Planilha de Cadastro - Previsão'!$A$2:$O$1000,15,FALSE()),"")</f>
        <v/>
      </c>
      <c r="D373" s="1">
        <v>372</v>
      </c>
      <c r="E373" s="1"/>
      <c r="F373" s="1"/>
      <c r="G373" s="54" t="str">
        <f t="shared" si="11"/>
        <v/>
      </c>
      <c r="H373" s="55" t="str">
        <f>IFERROR((VLOOKUP(G373,'Planilha de Cadastro - Previsão'!$A$2:$N$1100,2,FALSE()))," ")</f>
        <v xml:space="preserve"> </v>
      </c>
      <c r="I373" s="54" t="str">
        <f>IFERROR((VLOOKUP(G373,'Planilha de Cadastro - Previsão'!$A$2:$N$1100,3,FALSE()))," ")</f>
        <v xml:space="preserve"> </v>
      </c>
      <c r="J373" s="56" t="str">
        <f>IFERROR((VLOOKUP(G373,'Planilha de Cadastro - Previsão'!$A$2:$N$1100,5,FALSE()))," ")</f>
        <v xml:space="preserve"> </v>
      </c>
      <c r="K373" s="57" t="str">
        <f>IFERROR((VLOOKUP(G373,'Planilha de Cadastro - Previsão'!$A$2:$N$1100,9,FALSE()))," ")</f>
        <v xml:space="preserve"> </v>
      </c>
    </row>
    <row r="374" spans="1:11" x14ac:dyDescent="0.25">
      <c r="A374">
        <f>COUNTIF($C$2:C374,C374)</f>
        <v>373</v>
      </c>
      <c r="B374" s="1" t="str">
        <f t="shared" si="10"/>
        <v>373</v>
      </c>
      <c r="C374" s="1" t="str">
        <f>IFERROR(VLOOKUP(D374,'Planilha de Cadastro - Previsão'!$A$2:$O$1000,15,FALSE()),"")</f>
        <v/>
      </c>
      <c r="D374" s="1">
        <v>373</v>
      </c>
      <c r="E374" s="1"/>
      <c r="F374" s="1"/>
      <c r="G374" s="54" t="str">
        <f t="shared" si="11"/>
        <v/>
      </c>
      <c r="H374" s="55" t="str">
        <f>IFERROR((VLOOKUP(G374,'Planilha de Cadastro - Previsão'!$A$2:$N$1100,2,FALSE()))," ")</f>
        <v xml:space="preserve"> </v>
      </c>
      <c r="I374" s="54" t="str">
        <f>IFERROR((VLOOKUP(G374,'Planilha de Cadastro - Previsão'!$A$2:$N$1100,3,FALSE()))," ")</f>
        <v xml:space="preserve"> </v>
      </c>
      <c r="J374" s="56" t="str">
        <f>IFERROR((VLOOKUP(G374,'Planilha de Cadastro - Previsão'!$A$2:$N$1100,5,FALSE()))," ")</f>
        <v xml:space="preserve"> </v>
      </c>
      <c r="K374" s="57" t="str">
        <f>IFERROR((VLOOKUP(G374,'Planilha de Cadastro - Previsão'!$A$2:$N$1100,9,FALSE()))," ")</f>
        <v xml:space="preserve"> </v>
      </c>
    </row>
    <row r="375" spans="1:11" x14ac:dyDescent="0.25">
      <c r="A375">
        <f>COUNTIF($C$2:C375,C375)</f>
        <v>374</v>
      </c>
      <c r="B375" s="1" t="str">
        <f t="shared" si="10"/>
        <v>374</v>
      </c>
      <c r="C375" s="1" t="str">
        <f>IFERROR(VLOOKUP(D375,'Planilha de Cadastro - Previsão'!$A$2:$O$1000,15,FALSE()),"")</f>
        <v/>
      </c>
      <c r="D375" s="1">
        <v>374</v>
      </c>
      <c r="E375" s="1"/>
      <c r="F375" s="1"/>
      <c r="G375" s="54" t="str">
        <f t="shared" si="11"/>
        <v/>
      </c>
      <c r="H375" s="55" t="str">
        <f>IFERROR((VLOOKUP(G375,'Planilha de Cadastro - Previsão'!$A$2:$N$1100,2,FALSE()))," ")</f>
        <v xml:space="preserve"> </v>
      </c>
      <c r="I375" s="54" t="str">
        <f>IFERROR((VLOOKUP(G375,'Planilha de Cadastro - Previsão'!$A$2:$N$1100,3,FALSE()))," ")</f>
        <v xml:space="preserve"> </v>
      </c>
      <c r="J375" s="56" t="str">
        <f>IFERROR((VLOOKUP(G375,'Planilha de Cadastro - Previsão'!$A$2:$N$1100,5,FALSE()))," ")</f>
        <v xml:space="preserve"> </v>
      </c>
      <c r="K375" s="57" t="str">
        <f>IFERROR((VLOOKUP(G375,'Planilha de Cadastro - Previsão'!$A$2:$N$1100,9,FALSE()))," ")</f>
        <v xml:space="preserve"> </v>
      </c>
    </row>
    <row r="376" spans="1:11" x14ac:dyDescent="0.25">
      <c r="A376">
        <f>COUNTIF($C$2:C376,C376)</f>
        <v>375</v>
      </c>
      <c r="B376" s="1" t="str">
        <f t="shared" si="10"/>
        <v>375</v>
      </c>
      <c r="C376" s="1" t="str">
        <f>IFERROR(VLOOKUP(D376,'Planilha de Cadastro - Previsão'!$A$2:$O$1000,15,FALSE()),"")</f>
        <v/>
      </c>
      <c r="D376" s="1">
        <v>375</v>
      </c>
      <c r="E376" s="1"/>
      <c r="F376" s="1"/>
      <c r="G376" s="54" t="str">
        <f t="shared" si="11"/>
        <v/>
      </c>
      <c r="H376" s="55" t="str">
        <f>IFERROR((VLOOKUP(G376,'Planilha de Cadastro - Previsão'!$A$2:$N$1100,2,FALSE()))," ")</f>
        <v xml:space="preserve"> </v>
      </c>
      <c r="I376" s="54" t="str">
        <f>IFERROR((VLOOKUP(G376,'Planilha de Cadastro - Previsão'!$A$2:$N$1100,3,FALSE()))," ")</f>
        <v xml:space="preserve"> </v>
      </c>
      <c r="J376" s="56" t="str">
        <f>IFERROR((VLOOKUP(G376,'Planilha de Cadastro - Previsão'!$A$2:$N$1100,5,FALSE()))," ")</f>
        <v xml:space="preserve"> </v>
      </c>
      <c r="K376" s="57" t="str">
        <f>IFERROR((VLOOKUP(G376,'Planilha de Cadastro - Previsão'!$A$2:$N$1100,9,FALSE()))," ")</f>
        <v xml:space="preserve"> </v>
      </c>
    </row>
    <row r="377" spans="1:11" x14ac:dyDescent="0.25">
      <c r="A377">
        <f>COUNTIF($C$2:C377,C377)</f>
        <v>376</v>
      </c>
      <c r="B377" s="1" t="str">
        <f t="shared" si="10"/>
        <v>376</v>
      </c>
      <c r="C377" s="1" t="str">
        <f>IFERROR(VLOOKUP(D377,'Planilha de Cadastro - Previsão'!$A$2:$O$1000,15,FALSE()),"")</f>
        <v/>
      </c>
      <c r="D377" s="1">
        <v>376</v>
      </c>
      <c r="E377" s="1"/>
      <c r="F377" s="1"/>
      <c r="G377" s="54" t="str">
        <f t="shared" si="11"/>
        <v/>
      </c>
      <c r="H377" s="55" t="str">
        <f>IFERROR((VLOOKUP(G377,'Planilha de Cadastro - Previsão'!$A$2:$N$1100,2,FALSE()))," ")</f>
        <v xml:space="preserve"> </v>
      </c>
      <c r="I377" s="54" t="str">
        <f>IFERROR((VLOOKUP(G377,'Planilha de Cadastro - Previsão'!$A$2:$N$1100,3,FALSE()))," ")</f>
        <v xml:space="preserve"> </v>
      </c>
      <c r="J377" s="56" t="str">
        <f>IFERROR((VLOOKUP(G377,'Planilha de Cadastro - Previsão'!$A$2:$N$1100,5,FALSE()))," ")</f>
        <v xml:space="preserve"> </v>
      </c>
      <c r="K377" s="57" t="str">
        <f>IFERROR((VLOOKUP(G377,'Planilha de Cadastro - Previsão'!$A$2:$N$1100,9,FALSE()))," ")</f>
        <v xml:space="preserve"> </v>
      </c>
    </row>
    <row r="378" spans="1:11" x14ac:dyDescent="0.25">
      <c r="A378">
        <f>COUNTIF($C$2:C378,C378)</f>
        <v>377</v>
      </c>
      <c r="B378" s="1" t="str">
        <f t="shared" si="10"/>
        <v>377</v>
      </c>
      <c r="C378" s="1" t="str">
        <f>IFERROR(VLOOKUP(D378,'Planilha de Cadastro - Previsão'!$A$2:$O$1000,15,FALSE()),"")</f>
        <v/>
      </c>
      <c r="D378" s="1">
        <v>377</v>
      </c>
      <c r="E378" s="1"/>
      <c r="F378" s="1"/>
      <c r="G378" s="54" t="str">
        <f t="shared" si="11"/>
        <v/>
      </c>
      <c r="H378" s="55" t="str">
        <f>IFERROR((VLOOKUP(G378,'Planilha de Cadastro - Previsão'!$A$2:$N$1100,2,FALSE()))," ")</f>
        <v xml:space="preserve"> </v>
      </c>
      <c r="I378" s="54" t="str">
        <f>IFERROR((VLOOKUP(G378,'Planilha de Cadastro - Previsão'!$A$2:$N$1100,3,FALSE()))," ")</f>
        <v xml:space="preserve"> </v>
      </c>
      <c r="J378" s="56" t="str">
        <f>IFERROR((VLOOKUP(G378,'Planilha de Cadastro - Previsão'!$A$2:$N$1100,5,FALSE()))," ")</f>
        <v xml:space="preserve"> </v>
      </c>
      <c r="K378" s="57" t="str">
        <f>IFERROR((VLOOKUP(G378,'Planilha de Cadastro - Previsão'!$A$2:$N$1100,9,FALSE()))," ")</f>
        <v xml:space="preserve"> </v>
      </c>
    </row>
    <row r="379" spans="1:11" x14ac:dyDescent="0.25">
      <c r="A379">
        <f>COUNTIF($C$2:C379,C379)</f>
        <v>378</v>
      </c>
      <c r="B379" s="1" t="str">
        <f t="shared" si="10"/>
        <v>378</v>
      </c>
      <c r="C379" s="1" t="str">
        <f>IFERROR(VLOOKUP(D379,'Planilha de Cadastro - Previsão'!$A$2:$O$1000,15,FALSE()),"")</f>
        <v/>
      </c>
      <c r="D379" s="1">
        <v>378</v>
      </c>
      <c r="E379" s="1"/>
      <c r="F379" s="1"/>
      <c r="G379" s="54" t="str">
        <f t="shared" si="11"/>
        <v/>
      </c>
      <c r="H379" s="55" t="str">
        <f>IFERROR((VLOOKUP(G379,'Planilha de Cadastro - Previsão'!$A$2:$N$1100,2,FALSE()))," ")</f>
        <v xml:space="preserve"> </v>
      </c>
      <c r="I379" s="54" t="str">
        <f>IFERROR((VLOOKUP(G379,'Planilha de Cadastro - Previsão'!$A$2:$N$1100,3,FALSE()))," ")</f>
        <v xml:space="preserve"> </v>
      </c>
      <c r="J379" s="56" t="str">
        <f>IFERROR((VLOOKUP(G379,'Planilha de Cadastro - Previsão'!$A$2:$N$1100,5,FALSE()))," ")</f>
        <v xml:space="preserve"> </v>
      </c>
      <c r="K379" s="57" t="str">
        <f>IFERROR((VLOOKUP(G379,'Planilha de Cadastro - Previsão'!$A$2:$N$1100,9,FALSE()))," ")</f>
        <v xml:space="preserve"> </v>
      </c>
    </row>
    <row r="380" spans="1:11" x14ac:dyDescent="0.25">
      <c r="A380">
        <f>COUNTIF($C$2:C380,C380)</f>
        <v>379</v>
      </c>
      <c r="B380" s="1" t="str">
        <f t="shared" si="10"/>
        <v>379</v>
      </c>
      <c r="C380" s="1" t="str">
        <f>IFERROR(VLOOKUP(D380,'Planilha de Cadastro - Previsão'!$A$2:$O$1000,15,FALSE()),"")</f>
        <v/>
      </c>
      <c r="D380" s="1">
        <v>379</v>
      </c>
      <c r="E380" s="1"/>
      <c r="F380" s="1"/>
      <c r="G380" s="54" t="str">
        <f t="shared" si="11"/>
        <v/>
      </c>
      <c r="H380" s="55" t="str">
        <f>IFERROR((VLOOKUP(G380,'Planilha de Cadastro - Previsão'!$A$2:$N$1100,2,FALSE()))," ")</f>
        <v xml:space="preserve"> </v>
      </c>
      <c r="I380" s="54" t="str">
        <f>IFERROR((VLOOKUP(G380,'Planilha de Cadastro - Previsão'!$A$2:$N$1100,3,FALSE()))," ")</f>
        <v xml:space="preserve"> </v>
      </c>
      <c r="J380" s="56" t="str">
        <f>IFERROR((VLOOKUP(G380,'Planilha de Cadastro - Previsão'!$A$2:$N$1100,5,FALSE()))," ")</f>
        <v xml:space="preserve"> </v>
      </c>
      <c r="K380" s="57" t="str">
        <f>IFERROR((VLOOKUP(G380,'Planilha de Cadastro - Previsão'!$A$2:$N$1100,9,FALSE()))," ")</f>
        <v xml:space="preserve"> </v>
      </c>
    </row>
    <row r="381" spans="1:11" x14ac:dyDescent="0.25">
      <c r="A381">
        <f>COUNTIF($C$2:C381,C381)</f>
        <v>380</v>
      </c>
      <c r="B381" s="1" t="str">
        <f t="shared" si="10"/>
        <v>380</v>
      </c>
      <c r="C381" s="1" t="str">
        <f>IFERROR(VLOOKUP(D381,'Planilha de Cadastro - Previsão'!$A$2:$O$1000,15,FALSE()),"")</f>
        <v/>
      </c>
      <c r="D381" s="1">
        <v>380</v>
      </c>
      <c r="E381" s="1"/>
      <c r="F381" s="1"/>
      <c r="G381" s="54" t="str">
        <f t="shared" si="11"/>
        <v/>
      </c>
      <c r="H381" s="55" t="str">
        <f>IFERROR((VLOOKUP(G381,'Planilha de Cadastro - Previsão'!$A$2:$N$1100,2,FALSE()))," ")</f>
        <v xml:space="preserve"> </v>
      </c>
      <c r="I381" s="54" t="str">
        <f>IFERROR((VLOOKUP(G381,'Planilha de Cadastro - Previsão'!$A$2:$N$1100,3,FALSE()))," ")</f>
        <v xml:space="preserve"> </v>
      </c>
      <c r="J381" s="56" t="str">
        <f>IFERROR((VLOOKUP(G381,'Planilha de Cadastro - Previsão'!$A$2:$N$1100,5,FALSE()))," ")</f>
        <v xml:space="preserve"> </v>
      </c>
      <c r="K381" s="57" t="str">
        <f>IFERROR((VLOOKUP(G381,'Planilha de Cadastro - Previsão'!$A$2:$N$1100,9,FALSE()))," ")</f>
        <v xml:space="preserve"> </v>
      </c>
    </row>
    <row r="382" spans="1:11" x14ac:dyDescent="0.25">
      <c r="A382">
        <f>COUNTIF($C$2:C382,C382)</f>
        <v>381</v>
      </c>
      <c r="B382" s="1" t="str">
        <f t="shared" si="10"/>
        <v>381</v>
      </c>
      <c r="C382" s="1" t="str">
        <f>IFERROR(VLOOKUP(D382,'Planilha de Cadastro - Previsão'!$A$2:$O$1000,15,FALSE()),"")</f>
        <v/>
      </c>
      <c r="D382" s="1">
        <v>381</v>
      </c>
      <c r="E382" s="1"/>
      <c r="F382" s="1"/>
      <c r="G382" s="54" t="str">
        <f t="shared" si="11"/>
        <v/>
      </c>
      <c r="H382" s="55" t="str">
        <f>IFERROR((VLOOKUP(G382,'Planilha de Cadastro - Previsão'!$A$2:$N$1100,2,FALSE()))," ")</f>
        <v xml:space="preserve"> </v>
      </c>
      <c r="I382" s="54" t="str">
        <f>IFERROR((VLOOKUP(G382,'Planilha de Cadastro - Previsão'!$A$2:$N$1100,3,FALSE()))," ")</f>
        <v xml:space="preserve"> </v>
      </c>
      <c r="J382" s="56" t="str">
        <f>IFERROR((VLOOKUP(G382,'Planilha de Cadastro - Previsão'!$A$2:$N$1100,5,FALSE()))," ")</f>
        <v xml:space="preserve"> </v>
      </c>
      <c r="K382" s="57" t="str">
        <f>IFERROR((VLOOKUP(G382,'Planilha de Cadastro - Previsão'!$A$2:$N$1100,9,FALSE()))," ")</f>
        <v xml:space="preserve"> </v>
      </c>
    </row>
    <row r="383" spans="1:11" x14ac:dyDescent="0.25">
      <c r="A383">
        <f>COUNTIF($C$2:C383,C383)</f>
        <v>382</v>
      </c>
      <c r="B383" s="1" t="str">
        <f t="shared" si="10"/>
        <v>382</v>
      </c>
      <c r="C383" s="1" t="str">
        <f>IFERROR(VLOOKUP(D383,'Planilha de Cadastro - Previsão'!$A$2:$O$1000,15,FALSE()),"")</f>
        <v/>
      </c>
      <c r="D383" s="1">
        <v>382</v>
      </c>
      <c r="E383" s="1"/>
      <c r="F383" s="1"/>
      <c r="G383" s="54" t="str">
        <f t="shared" si="11"/>
        <v/>
      </c>
      <c r="H383" s="55" t="str">
        <f>IFERROR((VLOOKUP(G383,'Planilha de Cadastro - Previsão'!$A$2:$N$1100,2,FALSE()))," ")</f>
        <v xml:space="preserve"> </v>
      </c>
      <c r="I383" s="54" t="str">
        <f>IFERROR((VLOOKUP(G383,'Planilha de Cadastro - Previsão'!$A$2:$N$1100,3,FALSE()))," ")</f>
        <v xml:space="preserve"> </v>
      </c>
      <c r="J383" s="56" t="str">
        <f>IFERROR((VLOOKUP(G383,'Planilha de Cadastro - Previsão'!$A$2:$N$1100,5,FALSE()))," ")</f>
        <v xml:space="preserve"> </v>
      </c>
      <c r="K383" s="57" t="str">
        <f>IFERROR((VLOOKUP(G383,'Planilha de Cadastro - Previsão'!$A$2:$N$1100,9,FALSE()))," ")</f>
        <v xml:space="preserve"> </v>
      </c>
    </row>
    <row r="384" spans="1:11" x14ac:dyDescent="0.25">
      <c r="A384">
        <f>COUNTIF($C$2:C384,C384)</f>
        <v>383</v>
      </c>
      <c r="B384" s="1" t="str">
        <f t="shared" si="10"/>
        <v>383</v>
      </c>
      <c r="C384" s="1" t="str">
        <f>IFERROR(VLOOKUP(D384,'Planilha de Cadastro - Previsão'!$A$2:$O$1000,15,FALSE()),"")</f>
        <v/>
      </c>
      <c r="D384" s="1">
        <v>383</v>
      </c>
      <c r="E384" s="1"/>
      <c r="F384" s="1"/>
      <c r="G384" s="54" t="str">
        <f t="shared" si="11"/>
        <v/>
      </c>
      <c r="H384" s="55" t="str">
        <f>IFERROR((VLOOKUP(G384,'Planilha de Cadastro - Previsão'!$A$2:$N$1100,2,FALSE()))," ")</f>
        <v xml:space="preserve"> </v>
      </c>
      <c r="I384" s="54" t="str">
        <f>IFERROR((VLOOKUP(G384,'Planilha de Cadastro - Previsão'!$A$2:$N$1100,3,FALSE()))," ")</f>
        <v xml:space="preserve"> </v>
      </c>
      <c r="J384" s="56" t="str">
        <f>IFERROR((VLOOKUP(G384,'Planilha de Cadastro - Previsão'!$A$2:$N$1100,5,FALSE()))," ")</f>
        <v xml:space="preserve"> </v>
      </c>
      <c r="K384" s="57" t="str">
        <f>IFERROR((VLOOKUP(G384,'Planilha de Cadastro - Previsão'!$A$2:$N$1100,9,FALSE()))," ")</f>
        <v xml:space="preserve"> </v>
      </c>
    </row>
    <row r="385" spans="1:15" x14ac:dyDescent="0.25">
      <c r="A385">
        <f>COUNTIF($C$2:C385,C385)</f>
        <v>384</v>
      </c>
      <c r="B385" s="1" t="str">
        <f t="shared" si="10"/>
        <v>384</v>
      </c>
      <c r="C385" s="1" t="str">
        <f>IFERROR(VLOOKUP(D385,'Planilha de Cadastro - Previsão'!$A$2:$O$1000,15,FALSE()),"")</f>
        <v/>
      </c>
      <c r="D385" s="1">
        <v>384</v>
      </c>
      <c r="E385" s="1"/>
      <c r="F385" s="1"/>
      <c r="G385" s="54" t="str">
        <f t="shared" si="11"/>
        <v/>
      </c>
      <c r="H385" s="55" t="str">
        <f>IFERROR((VLOOKUP(G385,'Planilha de Cadastro - Previsão'!$A$2:$N$1100,2,FALSE()))," ")</f>
        <v xml:space="preserve"> </v>
      </c>
      <c r="I385" s="54" t="str">
        <f>IFERROR((VLOOKUP(G385,'Planilha de Cadastro - Previsão'!$A$2:$N$1100,3,FALSE()))," ")</f>
        <v xml:space="preserve"> </v>
      </c>
      <c r="J385" s="56" t="str">
        <f>IFERROR((VLOOKUP(G385,'Planilha de Cadastro - Previsão'!$A$2:$N$1100,5,FALSE()))," ")</f>
        <v xml:space="preserve"> </v>
      </c>
      <c r="K385" s="57" t="str">
        <f>IFERROR((VLOOKUP(G385,'Planilha de Cadastro - Previsão'!$A$2:$N$1100,9,FALSE()))," ")</f>
        <v xml:space="preserve"> </v>
      </c>
    </row>
    <row r="386" spans="1:15" x14ac:dyDescent="0.25">
      <c r="A386">
        <f>COUNTIF($C$2:C386,C386)</f>
        <v>385</v>
      </c>
      <c r="B386" s="1" t="str">
        <f t="shared" si="10"/>
        <v>385</v>
      </c>
      <c r="C386" s="1" t="str">
        <f>IFERROR(VLOOKUP(D386,'Planilha de Cadastro - Previsão'!$A$2:$O$1000,15,FALSE()),"")</f>
        <v/>
      </c>
      <c r="D386" s="1">
        <v>385</v>
      </c>
      <c r="E386" s="1"/>
      <c r="F386" s="1"/>
      <c r="G386" s="54" t="str">
        <f t="shared" si="11"/>
        <v/>
      </c>
      <c r="H386" s="55" t="str">
        <f>IFERROR((VLOOKUP(G386,'Planilha de Cadastro - Previsão'!$A$2:$N$1100,2,FALSE()))," ")</f>
        <v xml:space="preserve"> </v>
      </c>
      <c r="I386" s="54" t="str">
        <f>IFERROR((VLOOKUP(G386,'Planilha de Cadastro - Previsão'!$A$2:$N$1100,3,FALSE()))," ")</f>
        <v xml:space="preserve"> </v>
      </c>
      <c r="J386" s="56" t="str">
        <f>IFERROR((VLOOKUP(G386,'Planilha de Cadastro - Previsão'!$A$2:$N$1100,5,FALSE()))," ")</f>
        <v xml:space="preserve"> </v>
      </c>
      <c r="K386" s="57" t="str">
        <f>IFERROR((VLOOKUP(G386,'Planilha de Cadastro - Previsão'!$A$2:$N$1100,9,FALSE()))," ")</f>
        <v xml:space="preserve"> </v>
      </c>
    </row>
    <row r="387" spans="1:15" x14ac:dyDescent="0.25">
      <c r="A387">
        <f>COUNTIF($C$2:C387,C387)</f>
        <v>386</v>
      </c>
      <c r="B387" s="1" t="str">
        <f t="shared" ref="B387:B450" si="12">IFERROR(CONCATENATE(C387,A387),"")</f>
        <v>386</v>
      </c>
      <c r="C387" s="1" t="str">
        <f>IFERROR(VLOOKUP(D387,'Planilha de Cadastro - Previsão'!$A$2:$O$1000,15,FALSE()),"")</f>
        <v/>
      </c>
      <c r="D387" s="1">
        <v>386</v>
      </c>
      <c r="E387" s="1"/>
      <c r="F387" s="1"/>
      <c r="G387" s="54" t="str">
        <f t="shared" si="11"/>
        <v/>
      </c>
      <c r="H387" s="55" t="str">
        <f>IFERROR((VLOOKUP(G387,'Planilha de Cadastro - Previsão'!$A$2:$N$1100,2,FALSE()))," ")</f>
        <v xml:space="preserve"> </v>
      </c>
      <c r="I387" s="54" t="str">
        <f>IFERROR((VLOOKUP(G387,'Planilha de Cadastro - Previsão'!$A$2:$N$1100,3,FALSE()))," ")</f>
        <v xml:space="preserve"> </v>
      </c>
      <c r="J387" s="56" t="str">
        <f>IFERROR((VLOOKUP(G387,'Planilha de Cadastro - Previsão'!$A$2:$N$1100,5,FALSE()))," ")</f>
        <v xml:space="preserve"> </v>
      </c>
      <c r="K387" s="57" t="str">
        <f>IFERROR((VLOOKUP(G387,'Planilha de Cadastro - Previsão'!$A$2:$N$1100,9,FALSE()))," ")</f>
        <v xml:space="preserve"> </v>
      </c>
    </row>
    <row r="388" spans="1:15" x14ac:dyDescent="0.25">
      <c r="A388">
        <f>COUNTIF($C$2:C388,C388)</f>
        <v>387</v>
      </c>
      <c r="B388" s="1" t="str">
        <f t="shared" si="12"/>
        <v>387</v>
      </c>
      <c r="C388" s="1" t="str">
        <f>IFERROR(VLOOKUP(D388,'Planilha de Cadastro - Previsão'!$A$2:$O$1000,15,FALSE()),"")</f>
        <v/>
      </c>
      <c r="D388" s="1">
        <v>387</v>
      </c>
      <c r="E388" s="1"/>
      <c r="F388" s="1"/>
      <c r="G388" s="54" t="str">
        <f t="shared" si="11"/>
        <v/>
      </c>
      <c r="H388" s="55" t="str">
        <f>IFERROR((VLOOKUP(G388,'Planilha de Cadastro - Previsão'!$A$2:$N$1100,2,FALSE()))," ")</f>
        <v xml:space="preserve"> </v>
      </c>
      <c r="I388" s="54" t="str">
        <f>IFERROR((VLOOKUP(G388,'Planilha de Cadastro - Previsão'!$A$2:$N$1100,3,FALSE()))," ")</f>
        <v xml:space="preserve"> </v>
      </c>
      <c r="J388" s="56" t="str">
        <f>IFERROR((VLOOKUP(G388,'Planilha de Cadastro - Previsão'!$A$2:$N$1100,5,FALSE()))," ")</f>
        <v xml:space="preserve"> </v>
      </c>
      <c r="K388" s="57" t="str">
        <f>IFERROR((VLOOKUP(G388,'Planilha de Cadastro - Previsão'!$A$2:$N$1100,9,FALSE()))," ")</f>
        <v xml:space="preserve"> </v>
      </c>
    </row>
    <row r="389" spans="1:15" x14ac:dyDescent="0.25">
      <c r="A389">
        <f>COUNTIF($C$2:C389,C389)</f>
        <v>388</v>
      </c>
      <c r="B389" s="1" t="str">
        <f t="shared" si="12"/>
        <v>388</v>
      </c>
      <c r="C389" s="1" t="str">
        <f>IFERROR(VLOOKUP(D389,'Planilha de Cadastro - Previsão'!$A$2:$O$1000,15,FALSE()),"")</f>
        <v/>
      </c>
      <c r="D389" s="1">
        <v>388</v>
      </c>
      <c r="E389" s="1"/>
      <c r="F389" s="1"/>
      <c r="G389" s="54" t="str">
        <f t="shared" si="11"/>
        <v/>
      </c>
      <c r="H389" s="55" t="str">
        <f>IFERROR((VLOOKUP(G389,'Planilha de Cadastro - Previsão'!$A$2:$N$1100,2,FALSE()))," ")</f>
        <v xml:space="preserve"> </v>
      </c>
      <c r="I389" s="54" t="str">
        <f>IFERROR((VLOOKUP(G389,'Planilha de Cadastro - Previsão'!$A$2:$N$1100,3,FALSE()))," ")</f>
        <v xml:space="preserve"> </v>
      </c>
      <c r="J389" s="56" t="str">
        <f>IFERROR((VLOOKUP(G389,'Planilha de Cadastro - Previsão'!$A$2:$N$1100,5,FALSE()))," ")</f>
        <v xml:space="preserve"> </v>
      </c>
      <c r="K389" s="57" t="str">
        <f>IFERROR((VLOOKUP(G389,'Planilha de Cadastro - Previsão'!$A$2:$N$1100,9,FALSE()))," ")</f>
        <v xml:space="preserve"> </v>
      </c>
    </row>
    <row r="390" spans="1:15" x14ac:dyDescent="0.25">
      <c r="A390">
        <f>COUNTIF($C$2:C390,C390)</f>
        <v>389</v>
      </c>
      <c r="B390" s="1" t="str">
        <f t="shared" si="12"/>
        <v>389</v>
      </c>
      <c r="C390" s="1" t="str">
        <f>IFERROR(VLOOKUP(D390,'Planilha de Cadastro - Previsão'!$A$2:$O$1000,15,FALSE()),"")</f>
        <v/>
      </c>
      <c r="D390" s="1">
        <v>389</v>
      </c>
      <c r="E390" s="1"/>
      <c r="F390" s="1"/>
      <c r="G390" s="54" t="str">
        <f t="shared" si="11"/>
        <v/>
      </c>
      <c r="H390" s="55" t="str">
        <f>IFERROR((VLOOKUP(G390,'Planilha de Cadastro - Previsão'!$A$2:$N$1100,2,FALSE()))," ")</f>
        <v xml:space="preserve"> </v>
      </c>
      <c r="I390" s="54" t="str">
        <f>IFERROR((VLOOKUP(G390,'Planilha de Cadastro - Previsão'!$A$2:$N$1100,3,FALSE()))," ")</f>
        <v xml:space="preserve"> </v>
      </c>
      <c r="J390" s="56" t="str">
        <f>IFERROR((VLOOKUP(G390,'Planilha de Cadastro - Previsão'!$A$2:$N$1100,5,FALSE()))," ")</f>
        <v xml:space="preserve"> </v>
      </c>
      <c r="K390" s="57" t="str">
        <f>IFERROR((VLOOKUP(G390,'Planilha de Cadastro - Previsão'!$A$2:$N$1100,9,FALSE()))," ")</f>
        <v xml:space="preserve"> </v>
      </c>
    </row>
    <row r="391" spans="1:15" x14ac:dyDescent="0.25">
      <c r="A391">
        <f>COUNTIF($C$2:C391,C391)</f>
        <v>390</v>
      </c>
      <c r="B391" s="1" t="str">
        <f t="shared" si="12"/>
        <v>390</v>
      </c>
      <c r="C391" s="1" t="str">
        <f>IFERROR(VLOOKUP(D391,'Planilha de Cadastro - Previsão'!$A$2:$O$1000,15,FALSE()),"")</f>
        <v/>
      </c>
      <c r="D391" s="1">
        <v>390</v>
      </c>
      <c r="E391" s="1"/>
      <c r="F391" s="1"/>
      <c r="G391" s="54" t="str">
        <f t="shared" si="11"/>
        <v/>
      </c>
      <c r="H391" s="55" t="str">
        <f>IFERROR((VLOOKUP(G391,'Planilha de Cadastro - Previsão'!$A$2:$N$1100,2,FALSE()))," ")</f>
        <v xml:space="preserve"> </v>
      </c>
      <c r="I391" s="54" t="str">
        <f>IFERROR((VLOOKUP(G391,'Planilha de Cadastro - Previsão'!$A$2:$N$1100,3,FALSE()))," ")</f>
        <v xml:space="preserve"> </v>
      </c>
      <c r="J391" s="56" t="str">
        <f>IFERROR((VLOOKUP(G391,'Planilha de Cadastro - Previsão'!$A$2:$N$1100,5,FALSE()))," ")</f>
        <v xml:space="preserve"> </v>
      </c>
      <c r="K391" s="57" t="str">
        <f>IFERROR((VLOOKUP(G391,'Planilha de Cadastro - Previsão'!$A$2:$N$1100,9,FALSE()))," ")</f>
        <v xml:space="preserve"> </v>
      </c>
    </row>
    <row r="392" spans="1:15" x14ac:dyDescent="0.25">
      <c r="A392">
        <f>COUNTIF($C$2:C392,C392)</f>
        <v>391</v>
      </c>
      <c r="B392" s="1" t="str">
        <f t="shared" si="12"/>
        <v>391</v>
      </c>
      <c r="C392" s="1" t="str">
        <f>IFERROR(VLOOKUP(D392,'Planilha de Cadastro - Previsão'!$A$2:$O$1000,15,FALSE()),"")</f>
        <v/>
      </c>
      <c r="D392" s="1">
        <v>391</v>
      </c>
      <c r="E392" s="1"/>
      <c r="F392" s="1"/>
      <c r="G392" s="54" t="str">
        <f t="shared" si="11"/>
        <v/>
      </c>
      <c r="H392" s="55" t="str">
        <f>IFERROR((VLOOKUP(G392,'Planilha de Cadastro - Previsão'!$A$2:$N$1100,2,FALSE()))," ")</f>
        <v xml:space="preserve"> </v>
      </c>
      <c r="I392" s="54" t="str">
        <f>IFERROR((VLOOKUP(G392,'Planilha de Cadastro - Previsão'!$A$2:$N$1100,3,FALSE()))," ")</f>
        <v xml:space="preserve"> </v>
      </c>
      <c r="J392" s="56" t="str">
        <f>IFERROR((VLOOKUP(G392,'Planilha de Cadastro - Previsão'!$A$2:$N$1100,5,FALSE()))," ")</f>
        <v xml:space="preserve"> </v>
      </c>
      <c r="K392" s="57" t="str">
        <f>IFERROR((VLOOKUP(G392,'Planilha de Cadastro - Previsão'!$A$2:$N$1100,9,FALSE()))," ")</f>
        <v xml:space="preserve"> </v>
      </c>
    </row>
    <row r="393" spans="1:15" x14ac:dyDescent="0.25">
      <c r="A393">
        <f>COUNTIF($C$2:C393,C393)</f>
        <v>392</v>
      </c>
      <c r="B393" s="1" t="str">
        <f t="shared" si="12"/>
        <v>392</v>
      </c>
      <c r="C393" s="1" t="str">
        <f>IFERROR(VLOOKUP(D393,'Planilha de Cadastro - Previsão'!$A$2:$O$1000,15,FALSE()),"")</f>
        <v/>
      </c>
      <c r="D393" s="1">
        <v>392</v>
      </c>
      <c r="E393" s="1"/>
      <c r="F393" s="1"/>
      <c r="G393" s="54" t="str">
        <f t="shared" si="11"/>
        <v/>
      </c>
      <c r="H393" s="55" t="str">
        <f>IFERROR((VLOOKUP(G393,'Planilha de Cadastro - Previsão'!$A$2:$N$1100,2,FALSE()))," ")</f>
        <v xml:space="preserve"> </v>
      </c>
      <c r="I393" s="54" t="str">
        <f>IFERROR((VLOOKUP(G393,'Planilha de Cadastro - Previsão'!$A$2:$N$1100,3,FALSE()))," ")</f>
        <v xml:space="preserve"> </v>
      </c>
      <c r="J393" s="56" t="str">
        <f>IFERROR((VLOOKUP(G393,'Planilha de Cadastro - Previsão'!$A$2:$N$1100,5,FALSE()))," ")</f>
        <v xml:space="preserve"> </v>
      </c>
      <c r="K393" s="57" t="str">
        <f>IFERROR((VLOOKUP(G393,'Planilha de Cadastro - Previsão'!$A$2:$N$1100,9,FALSE()))," ")</f>
        <v xml:space="preserve"> </v>
      </c>
    </row>
    <row r="394" spans="1:15" x14ac:dyDescent="0.25">
      <c r="A394">
        <f>COUNTIF($C$2:C394,C394)</f>
        <v>393</v>
      </c>
      <c r="B394" s="1" t="str">
        <f t="shared" si="12"/>
        <v>393</v>
      </c>
      <c r="C394" s="1" t="str">
        <f>IFERROR(VLOOKUP(D394,'Planilha de Cadastro - Previsão'!$A$2:$O$1000,15,FALSE()),"")</f>
        <v/>
      </c>
      <c r="D394" s="1">
        <v>393</v>
      </c>
      <c r="E394" s="1"/>
      <c r="F394" s="1"/>
      <c r="G394" s="54" t="str">
        <f t="shared" ref="G394:G457" si="13">IFERROR((VLOOKUP(CONCATENATE("Sim",D386),$B$2:$D$1000,3,FALSE())),"")</f>
        <v/>
      </c>
      <c r="H394" s="55" t="str">
        <f>IFERROR((VLOOKUP(G394,'Planilha de Cadastro - Previsão'!$A$2:$N$1100,2,FALSE()))," ")</f>
        <v xml:space="preserve"> </v>
      </c>
      <c r="I394" s="54" t="str">
        <f>IFERROR((VLOOKUP(G394,'Planilha de Cadastro - Previsão'!$A$2:$N$1100,3,FALSE()))," ")</f>
        <v xml:space="preserve"> </v>
      </c>
      <c r="J394" s="56" t="str">
        <f>IFERROR((VLOOKUP(G394,'Planilha de Cadastro - Previsão'!$A$2:$N$1100,5,FALSE()))," ")</f>
        <v xml:space="preserve"> </v>
      </c>
      <c r="K394" s="57" t="str">
        <f>IFERROR((VLOOKUP(G394,'Planilha de Cadastro - Previsão'!$A$2:$N$1100,9,FALSE()))," ")</f>
        <v xml:space="preserve"> </v>
      </c>
    </row>
    <row r="395" spans="1:15" x14ac:dyDescent="0.25">
      <c r="A395">
        <f>COUNTIF($C$2:C395,C395)</f>
        <v>394</v>
      </c>
      <c r="B395" s="1" t="str">
        <f t="shared" si="12"/>
        <v>394</v>
      </c>
      <c r="C395" s="1" t="str">
        <f>IFERROR(VLOOKUP(D395,'Planilha de Cadastro - Previsão'!$A$2:$O$1000,15,FALSE()),"")</f>
        <v/>
      </c>
      <c r="D395" s="1">
        <v>394</v>
      </c>
      <c r="E395" s="1"/>
      <c r="F395" s="1"/>
      <c r="G395" s="54" t="str">
        <f t="shared" si="13"/>
        <v/>
      </c>
      <c r="H395" s="55" t="str">
        <f>IFERROR((VLOOKUP(G395,'Planilha de Cadastro - Previsão'!$A$2:$N$1100,2,FALSE()))," ")</f>
        <v xml:space="preserve"> </v>
      </c>
      <c r="I395" s="54" t="str">
        <f>IFERROR((VLOOKUP(G395,'Planilha de Cadastro - Previsão'!$A$2:$N$1100,3,FALSE()))," ")</f>
        <v xml:space="preserve"> </v>
      </c>
      <c r="J395" s="56" t="str">
        <f>IFERROR((VLOOKUP(G395,'Planilha de Cadastro - Previsão'!$A$2:$N$1100,5,FALSE()))," ")</f>
        <v xml:space="preserve"> </v>
      </c>
      <c r="K395" s="57" t="str">
        <f>IFERROR((VLOOKUP(G395,'Planilha de Cadastro - Previsão'!$A$2:$N$1100,9,FALSE()))," ")</f>
        <v xml:space="preserve"> </v>
      </c>
    </row>
    <row r="396" spans="1:15" x14ac:dyDescent="0.25">
      <c r="A396">
        <f>COUNTIF($C$2:C396,C396)</f>
        <v>395</v>
      </c>
      <c r="B396" s="1" t="str">
        <f t="shared" si="12"/>
        <v>395</v>
      </c>
      <c r="C396" s="1" t="str">
        <f>IFERROR(VLOOKUP(D396,'Planilha de Cadastro - Previsão'!$A$2:$O$1000,15,FALSE()),"")</f>
        <v/>
      </c>
      <c r="D396" s="1">
        <v>395</v>
      </c>
      <c r="E396" s="1"/>
      <c r="F396" s="1"/>
      <c r="G396" s="54" t="str">
        <f t="shared" si="13"/>
        <v/>
      </c>
      <c r="H396" s="55" t="str">
        <f>IFERROR((VLOOKUP(G396,'Planilha de Cadastro - Previsão'!$A$2:$N$1100,2,FALSE()))," ")</f>
        <v xml:space="preserve"> </v>
      </c>
      <c r="I396" s="54" t="str">
        <f>IFERROR((VLOOKUP(G396,'Planilha de Cadastro - Previsão'!$A$2:$N$1100,3,FALSE()))," ")</f>
        <v xml:space="preserve"> </v>
      </c>
      <c r="J396" s="56" t="str">
        <f>IFERROR((VLOOKUP(G396,'Planilha de Cadastro - Previsão'!$A$2:$N$1100,5,FALSE()))," ")</f>
        <v xml:space="preserve"> </v>
      </c>
      <c r="K396" s="57" t="str">
        <f>IFERROR((VLOOKUP(G396,'Planilha de Cadastro - Previsão'!$A$2:$N$1100,9,FALSE()))," ")</f>
        <v xml:space="preserve"> </v>
      </c>
      <c r="O396" s="7"/>
    </row>
    <row r="397" spans="1:15" x14ac:dyDescent="0.25">
      <c r="A397">
        <f>COUNTIF($C$2:C397,C397)</f>
        <v>396</v>
      </c>
      <c r="B397" s="1" t="str">
        <f t="shared" si="12"/>
        <v>396</v>
      </c>
      <c r="C397" s="1" t="str">
        <f>IFERROR(VLOOKUP(D397,'Planilha de Cadastro - Previsão'!$A$2:$O$1000,15,FALSE()),"")</f>
        <v/>
      </c>
      <c r="D397" s="1">
        <v>396</v>
      </c>
      <c r="E397" s="1"/>
      <c r="F397" s="1"/>
      <c r="G397" s="54" t="str">
        <f t="shared" si="13"/>
        <v/>
      </c>
      <c r="H397" s="55" t="str">
        <f>IFERROR((VLOOKUP(G397,'Planilha de Cadastro - Previsão'!$A$2:$N$1100,2,FALSE()))," ")</f>
        <v xml:space="preserve"> </v>
      </c>
      <c r="I397" s="54" t="str">
        <f>IFERROR((VLOOKUP(G397,'Planilha de Cadastro - Previsão'!$A$2:$N$1100,3,FALSE()))," ")</f>
        <v xml:space="preserve"> </v>
      </c>
      <c r="J397" s="56" t="str">
        <f>IFERROR((VLOOKUP(G397,'Planilha de Cadastro - Previsão'!$A$2:$N$1100,5,FALSE()))," ")</f>
        <v xml:space="preserve"> </v>
      </c>
      <c r="K397" s="57" t="str">
        <f>IFERROR((VLOOKUP(G397,'Planilha de Cadastro - Previsão'!$A$2:$N$1100,9,FALSE()))," ")</f>
        <v xml:space="preserve"> </v>
      </c>
    </row>
    <row r="398" spans="1:15" x14ac:dyDescent="0.25">
      <c r="A398">
        <f>COUNTIF($C$2:C398,C398)</f>
        <v>397</v>
      </c>
      <c r="B398" s="1" t="str">
        <f t="shared" si="12"/>
        <v>397</v>
      </c>
      <c r="C398" s="1" t="str">
        <f>IFERROR(VLOOKUP(D398,'Planilha de Cadastro - Previsão'!$A$2:$O$1000,15,FALSE()),"")</f>
        <v/>
      </c>
      <c r="D398" s="1">
        <v>397</v>
      </c>
      <c r="E398" s="1"/>
      <c r="F398" s="1"/>
      <c r="G398" s="54" t="str">
        <f t="shared" si="13"/>
        <v/>
      </c>
      <c r="H398" s="55" t="str">
        <f>IFERROR((VLOOKUP(G398,'Planilha de Cadastro - Previsão'!$A$2:$N$1100,2,FALSE()))," ")</f>
        <v xml:space="preserve"> </v>
      </c>
      <c r="I398" s="54" t="str">
        <f>IFERROR((VLOOKUP(G398,'Planilha de Cadastro - Previsão'!$A$2:$N$1100,3,FALSE()))," ")</f>
        <v xml:space="preserve"> </v>
      </c>
      <c r="J398" s="56" t="str">
        <f>IFERROR((VLOOKUP(G398,'Planilha de Cadastro - Previsão'!$A$2:$N$1100,5,FALSE()))," ")</f>
        <v xml:space="preserve"> </v>
      </c>
      <c r="K398" s="57" t="str">
        <f>IFERROR((VLOOKUP(G398,'Planilha de Cadastro - Previsão'!$A$2:$N$1100,9,FALSE()))," ")</f>
        <v xml:space="preserve"> </v>
      </c>
    </row>
    <row r="399" spans="1:15" x14ac:dyDescent="0.25">
      <c r="A399">
        <f>COUNTIF($C$2:C399,C399)</f>
        <v>398</v>
      </c>
      <c r="B399" s="1" t="str">
        <f t="shared" si="12"/>
        <v>398</v>
      </c>
      <c r="C399" s="1" t="str">
        <f>IFERROR(VLOOKUP(D399,'Planilha de Cadastro - Previsão'!$A$2:$O$1000,15,FALSE()),"")</f>
        <v/>
      </c>
      <c r="D399" s="1">
        <v>398</v>
      </c>
      <c r="E399" s="1"/>
      <c r="F399" s="1"/>
      <c r="G399" s="54" t="str">
        <f t="shared" si="13"/>
        <v/>
      </c>
      <c r="H399" s="55" t="str">
        <f>IFERROR((VLOOKUP(G399,'Planilha de Cadastro - Previsão'!$A$2:$N$1100,2,FALSE()))," ")</f>
        <v xml:space="preserve"> </v>
      </c>
      <c r="I399" s="54" t="str">
        <f>IFERROR((VLOOKUP(G399,'Planilha de Cadastro - Previsão'!$A$2:$N$1100,3,FALSE()))," ")</f>
        <v xml:space="preserve"> </v>
      </c>
      <c r="J399" s="56" t="str">
        <f>IFERROR((VLOOKUP(G399,'Planilha de Cadastro - Previsão'!$A$2:$N$1100,5,FALSE()))," ")</f>
        <v xml:space="preserve"> </v>
      </c>
      <c r="K399" s="57" t="str">
        <f>IFERROR((VLOOKUP(G399,'Planilha de Cadastro - Previsão'!$A$2:$N$1100,9,FALSE()))," ")</f>
        <v xml:space="preserve"> </v>
      </c>
    </row>
    <row r="400" spans="1:15" x14ac:dyDescent="0.25">
      <c r="A400">
        <f>COUNTIF($C$2:C400,C400)</f>
        <v>399</v>
      </c>
      <c r="B400" s="1" t="str">
        <f t="shared" si="12"/>
        <v>399</v>
      </c>
      <c r="C400" s="1" t="str">
        <f>IFERROR(VLOOKUP(D400,'Planilha de Cadastro - Previsão'!$A$2:$O$1000,15,FALSE()),"")</f>
        <v/>
      </c>
      <c r="D400" s="1">
        <v>399</v>
      </c>
      <c r="E400" s="1"/>
      <c r="F400" s="1"/>
      <c r="G400" s="54" t="str">
        <f t="shared" si="13"/>
        <v/>
      </c>
      <c r="H400" s="55" t="str">
        <f>IFERROR((VLOOKUP(G400,'Planilha de Cadastro - Previsão'!$A$2:$N$1100,2,FALSE()))," ")</f>
        <v xml:space="preserve"> </v>
      </c>
      <c r="I400" s="54" t="str">
        <f>IFERROR((VLOOKUP(G400,'Planilha de Cadastro - Previsão'!$A$2:$N$1100,3,FALSE()))," ")</f>
        <v xml:space="preserve"> </v>
      </c>
      <c r="J400" s="56" t="str">
        <f>IFERROR((VLOOKUP(G400,'Planilha de Cadastro - Previsão'!$A$2:$N$1100,5,FALSE()))," ")</f>
        <v xml:space="preserve"> </v>
      </c>
      <c r="K400" s="57" t="str">
        <f>IFERROR((VLOOKUP(G400,'Planilha de Cadastro - Previsão'!$A$2:$N$1100,9,FALSE()))," ")</f>
        <v xml:space="preserve"> </v>
      </c>
    </row>
    <row r="401" spans="1:11" x14ac:dyDescent="0.25">
      <c r="A401">
        <f>COUNTIF($C$2:C401,C401)</f>
        <v>400</v>
      </c>
      <c r="B401" s="1" t="str">
        <f t="shared" si="12"/>
        <v>400</v>
      </c>
      <c r="C401" s="1" t="str">
        <f>IFERROR(VLOOKUP(D401,'Planilha de Cadastro - Previsão'!$A$2:$O$1000,15,FALSE()),"")</f>
        <v/>
      </c>
      <c r="D401" s="1">
        <v>400</v>
      </c>
      <c r="E401" s="1"/>
      <c r="F401" s="1"/>
      <c r="G401" s="54" t="str">
        <f t="shared" si="13"/>
        <v/>
      </c>
      <c r="H401" s="55" t="str">
        <f>IFERROR((VLOOKUP(G401,'Planilha de Cadastro - Previsão'!$A$2:$N$1100,2,FALSE()))," ")</f>
        <v xml:space="preserve"> </v>
      </c>
      <c r="I401" s="54" t="str">
        <f>IFERROR((VLOOKUP(G401,'Planilha de Cadastro - Previsão'!$A$2:$N$1100,3,FALSE()))," ")</f>
        <v xml:space="preserve"> </v>
      </c>
      <c r="J401" s="56" t="str">
        <f>IFERROR((VLOOKUP(G401,'Planilha de Cadastro - Previsão'!$A$2:$N$1100,5,FALSE()))," ")</f>
        <v xml:space="preserve"> </v>
      </c>
      <c r="K401" s="57" t="str">
        <f>IFERROR((VLOOKUP(G401,'Planilha de Cadastro - Previsão'!$A$2:$N$1100,9,FALSE()))," ")</f>
        <v xml:space="preserve"> </v>
      </c>
    </row>
    <row r="402" spans="1:11" x14ac:dyDescent="0.25">
      <c r="A402">
        <f>COUNTIF($C$2:C402,C402)</f>
        <v>401</v>
      </c>
      <c r="B402" s="1" t="str">
        <f t="shared" si="12"/>
        <v>401</v>
      </c>
      <c r="C402" s="1" t="str">
        <f>IFERROR(VLOOKUP(D402,'Planilha de Cadastro - Previsão'!$A$2:$O$1000,15,FALSE()),"")</f>
        <v/>
      </c>
      <c r="D402" s="1">
        <v>401</v>
      </c>
      <c r="E402" s="1"/>
      <c r="F402" s="1"/>
      <c r="G402" s="54" t="str">
        <f t="shared" si="13"/>
        <v/>
      </c>
      <c r="H402" s="55" t="str">
        <f>IFERROR((VLOOKUP(G402,'Planilha de Cadastro - Previsão'!$A$2:$N$1100,2,FALSE()))," ")</f>
        <v xml:space="preserve"> </v>
      </c>
      <c r="I402" s="54" t="str">
        <f>IFERROR((VLOOKUP(G402,'Planilha de Cadastro - Previsão'!$A$2:$N$1100,3,FALSE()))," ")</f>
        <v xml:space="preserve"> </v>
      </c>
      <c r="J402" s="56" t="str">
        <f>IFERROR((VLOOKUP(G402,'Planilha de Cadastro - Previsão'!$A$2:$N$1100,5,FALSE()))," ")</f>
        <v xml:space="preserve"> </v>
      </c>
      <c r="K402" s="57" t="str">
        <f>IFERROR((VLOOKUP(G402,'Planilha de Cadastro - Previsão'!$A$2:$N$1100,9,FALSE()))," ")</f>
        <v xml:space="preserve"> </v>
      </c>
    </row>
    <row r="403" spans="1:11" x14ac:dyDescent="0.25">
      <c r="A403">
        <f>COUNTIF($C$2:C403,C403)</f>
        <v>402</v>
      </c>
      <c r="B403" s="1" t="str">
        <f t="shared" si="12"/>
        <v>402</v>
      </c>
      <c r="C403" s="1" t="str">
        <f>IFERROR(VLOOKUP(D403,'Planilha de Cadastro - Previsão'!$A$2:$O$1000,15,FALSE()),"")</f>
        <v/>
      </c>
      <c r="D403" s="1">
        <v>402</v>
      </c>
      <c r="E403" s="1"/>
      <c r="F403" s="1"/>
      <c r="G403" s="54" t="str">
        <f t="shared" si="13"/>
        <v/>
      </c>
      <c r="H403" s="55" t="str">
        <f>IFERROR((VLOOKUP(G403,'Planilha de Cadastro - Previsão'!$A$2:$N$1100,2,FALSE()))," ")</f>
        <v xml:space="preserve"> </v>
      </c>
      <c r="I403" s="54" t="str">
        <f>IFERROR((VLOOKUP(G403,'Planilha de Cadastro - Previsão'!$A$2:$N$1100,3,FALSE()))," ")</f>
        <v xml:space="preserve"> </v>
      </c>
      <c r="J403" s="56" t="str">
        <f>IFERROR((VLOOKUP(G403,'Planilha de Cadastro - Previsão'!$A$2:$N$1100,5,FALSE()))," ")</f>
        <v xml:space="preserve"> </v>
      </c>
      <c r="K403" s="57" t="str">
        <f>IFERROR((VLOOKUP(G403,'Planilha de Cadastro - Previsão'!$A$2:$N$1100,9,FALSE()))," ")</f>
        <v xml:space="preserve"> </v>
      </c>
    </row>
    <row r="404" spans="1:11" x14ac:dyDescent="0.25">
      <c r="A404">
        <f>COUNTIF($C$2:C404,C404)</f>
        <v>403</v>
      </c>
      <c r="B404" s="1" t="str">
        <f t="shared" si="12"/>
        <v>403</v>
      </c>
      <c r="C404" s="1" t="str">
        <f>IFERROR(VLOOKUP(D404,'Planilha de Cadastro - Previsão'!$A$2:$O$1000,15,FALSE()),"")</f>
        <v/>
      </c>
      <c r="D404" s="1">
        <v>403</v>
      </c>
      <c r="E404" s="1"/>
      <c r="F404" s="1"/>
      <c r="G404" s="54" t="str">
        <f t="shared" si="13"/>
        <v/>
      </c>
      <c r="H404" s="55" t="str">
        <f>IFERROR((VLOOKUP(G404,'Planilha de Cadastro - Previsão'!$A$2:$N$1100,2,FALSE()))," ")</f>
        <v xml:space="preserve"> </v>
      </c>
      <c r="I404" s="54" t="str">
        <f>IFERROR((VLOOKUP(G404,'Planilha de Cadastro - Previsão'!$A$2:$N$1100,3,FALSE()))," ")</f>
        <v xml:space="preserve"> </v>
      </c>
      <c r="J404" s="56" t="str">
        <f>IFERROR((VLOOKUP(G404,'Planilha de Cadastro - Previsão'!$A$2:$N$1100,5,FALSE()))," ")</f>
        <v xml:space="preserve"> </v>
      </c>
      <c r="K404" s="57" t="str">
        <f>IFERROR((VLOOKUP(G404,'Planilha de Cadastro - Previsão'!$A$2:$N$1100,9,FALSE()))," ")</f>
        <v xml:space="preserve"> </v>
      </c>
    </row>
    <row r="405" spans="1:11" x14ac:dyDescent="0.25">
      <c r="A405">
        <f>COUNTIF($C$2:C405,C405)</f>
        <v>404</v>
      </c>
      <c r="B405" s="1" t="str">
        <f t="shared" si="12"/>
        <v>404</v>
      </c>
      <c r="C405" s="1" t="str">
        <f>IFERROR(VLOOKUP(D405,'Planilha de Cadastro - Previsão'!$A$2:$O$1000,15,FALSE()),"")</f>
        <v/>
      </c>
      <c r="D405" s="1">
        <v>404</v>
      </c>
      <c r="E405" s="1"/>
      <c r="F405" s="1"/>
      <c r="G405" s="54" t="str">
        <f t="shared" si="13"/>
        <v/>
      </c>
      <c r="H405" s="55" t="str">
        <f>IFERROR((VLOOKUP(G405,'Planilha de Cadastro - Previsão'!$A$2:$N$1100,2,FALSE()))," ")</f>
        <v xml:space="preserve"> </v>
      </c>
      <c r="I405" s="54" t="str">
        <f>IFERROR((VLOOKUP(G405,'Planilha de Cadastro - Previsão'!$A$2:$N$1100,3,FALSE()))," ")</f>
        <v xml:space="preserve"> </v>
      </c>
      <c r="J405" s="56" t="str">
        <f>IFERROR((VLOOKUP(G405,'Planilha de Cadastro - Previsão'!$A$2:$N$1100,5,FALSE()))," ")</f>
        <v xml:space="preserve"> </v>
      </c>
      <c r="K405" s="57" t="str">
        <f>IFERROR((VLOOKUP(G405,'Planilha de Cadastro - Previsão'!$A$2:$N$1100,9,FALSE()))," ")</f>
        <v xml:space="preserve"> </v>
      </c>
    </row>
    <row r="406" spans="1:11" x14ac:dyDescent="0.25">
      <c r="A406">
        <f>COUNTIF($C$2:C406,C406)</f>
        <v>405</v>
      </c>
      <c r="B406" s="1" t="str">
        <f t="shared" si="12"/>
        <v>405</v>
      </c>
      <c r="C406" s="1" t="str">
        <f>IFERROR(VLOOKUP(D406,'Planilha de Cadastro - Previsão'!$A$2:$O$1000,15,FALSE()),"")</f>
        <v/>
      </c>
      <c r="D406" s="1">
        <v>405</v>
      </c>
      <c r="E406" s="1"/>
      <c r="F406" s="1"/>
      <c r="G406" s="54" t="str">
        <f t="shared" si="13"/>
        <v/>
      </c>
      <c r="H406" s="55" t="str">
        <f>IFERROR((VLOOKUP(G406,'Planilha de Cadastro - Previsão'!$A$2:$N$1100,2,FALSE()))," ")</f>
        <v xml:space="preserve"> </v>
      </c>
      <c r="I406" s="54" t="str">
        <f>IFERROR((VLOOKUP(G406,'Planilha de Cadastro - Previsão'!$A$2:$N$1100,3,FALSE()))," ")</f>
        <v xml:space="preserve"> </v>
      </c>
      <c r="J406" s="56" t="str">
        <f>IFERROR((VLOOKUP(G406,'Planilha de Cadastro - Previsão'!$A$2:$N$1100,5,FALSE()))," ")</f>
        <v xml:space="preserve"> </v>
      </c>
      <c r="K406" s="57" t="str">
        <f>IFERROR((VLOOKUP(G406,'Planilha de Cadastro - Previsão'!$A$2:$N$1100,9,FALSE()))," ")</f>
        <v xml:space="preserve"> </v>
      </c>
    </row>
    <row r="407" spans="1:11" x14ac:dyDescent="0.25">
      <c r="A407">
        <f>COUNTIF($C$2:C407,C407)</f>
        <v>406</v>
      </c>
      <c r="B407" s="1" t="str">
        <f t="shared" si="12"/>
        <v>406</v>
      </c>
      <c r="C407" s="1" t="str">
        <f>IFERROR(VLOOKUP(D407,'Planilha de Cadastro - Previsão'!$A$2:$O$1000,15,FALSE()),"")</f>
        <v/>
      </c>
      <c r="D407" s="1">
        <v>406</v>
      </c>
      <c r="E407" s="1"/>
      <c r="F407" s="1"/>
      <c r="G407" s="54" t="str">
        <f t="shared" si="13"/>
        <v/>
      </c>
      <c r="H407" s="55" t="str">
        <f>IFERROR((VLOOKUP(G407,'Planilha de Cadastro - Previsão'!$A$2:$N$1100,2,FALSE()))," ")</f>
        <v xml:space="preserve"> </v>
      </c>
      <c r="I407" s="54" t="str">
        <f>IFERROR((VLOOKUP(G407,'Planilha de Cadastro - Previsão'!$A$2:$N$1100,3,FALSE()))," ")</f>
        <v xml:space="preserve"> </v>
      </c>
      <c r="J407" s="56" t="str">
        <f>IFERROR((VLOOKUP(G407,'Planilha de Cadastro - Previsão'!$A$2:$N$1100,5,FALSE()))," ")</f>
        <v xml:space="preserve"> </v>
      </c>
      <c r="K407" s="57" t="str">
        <f>IFERROR((VLOOKUP(G407,'Planilha de Cadastro - Previsão'!$A$2:$N$1100,9,FALSE()))," ")</f>
        <v xml:space="preserve"> </v>
      </c>
    </row>
    <row r="408" spans="1:11" x14ac:dyDescent="0.25">
      <c r="A408">
        <f>COUNTIF($C$2:C408,C408)</f>
        <v>407</v>
      </c>
      <c r="B408" s="1" t="str">
        <f t="shared" si="12"/>
        <v>407</v>
      </c>
      <c r="C408" s="1" t="str">
        <f>IFERROR(VLOOKUP(D408,'Planilha de Cadastro - Previsão'!$A$2:$O$1000,15,FALSE()),"")</f>
        <v/>
      </c>
      <c r="D408" s="1">
        <v>407</v>
      </c>
      <c r="E408" s="1"/>
      <c r="F408" s="1"/>
      <c r="G408" s="54" t="str">
        <f t="shared" si="13"/>
        <v/>
      </c>
      <c r="H408" s="55" t="str">
        <f>IFERROR((VLOOKUP(G408,'Planilha de Cadastro - Previsão'!$A$2:$N$1100,2,FALSE()))," ")</f>
        <v xml:space="preserve"> </v>
      </c>
      <c r="I408" s="54" t="str">
        <f>IFERROR((VLOOKUP(G408,'Planilha de Cadastro - Previsão'!$A$2:$N$1100,3,FALSE()))," ")</f>
        <v xml:space="preserve"> </v>
      </c>
      <c r="J408" s="56" t="str">
        <f>IFERROR((VLOOKUP(G408,'Planilha de Cadastro - Previsão'!$A$2:$N$1100,5,FALSE()))," ")</f>
        <v xml:space="preserve"> </v>
      </c>
      <c r="K408" s="57" t="str">
        <f>IFERROR((VLOOKUP(G408,'Planilha de Cadastro - Previsão'!$A$2:$N$1100,9,FALSE()))," ")</f>
        <v xml:space="preserve"> </v>
      </c>
    </row>
    <row r="409" spans="1:11" x14ac:dyDescent="0.25">
      <c r="A409">
        <f>COUNTIF($C$2:C409,C409)</f>
        <v>408</v>
      </c>
      <c r="B409" s="1" t="str">
        <f t="shared" si="12"/>
        <v>408</v>
      </c>
      <c r="C409" s="1" t="str">
        <f>IFERROR(VLOOKUP(D409,'Planilha de Cadastro - Previsão'!$A$2:$O$1000,15,FALSE()),"")</f>
        <v/>
      </c>
      <c r="D409" s="1">
        <v>408</v>
      </c>
      <c r="E409" s="1"/>
      <c r="F409" s="1"/>
      <c r="G409" s="54" t="str">
        <f t="shared" si="13"/>
        <v/>
      </c>
      <c r="H409" s="55" t="str">
        <f>IFERROR((VLOOKUP(G409,'Planilha de Cadastro - Previsão'!$A$2:$N$1100,2,FALSE()))," ")</f>
        <v xml:space="preserve"> </v>
      </c>
      <c r="I409" s="54" t="str">
        <f>IFERROR((VLOOKUP(G409,'Planilha de Cadastro - Previsão'!$A$2:$N$1100,3,FALSE()))," ")</f>
        <v xml:space="preserve"> </v>
      </c>
      <c r="J409" s="56" t="str">
        <f>IFERROR((VLOOKUP(G409,'Planilha de Cadastro - Previsão'!$A$2:$N$1100,5,FALSE()))," ")</f>
        <v xml:space="preserve"> </v>
      </c>
      <c r="K409" s="57" t="str">
        <f>IFERROR((VLOOKUP(G409,'Planilha de Cadastro - Previsão'!$A$2:$N$1100,9,FALSE()))," ")</f>
        <v xml:space="preserve"> </v>
      </c>
    </row>
    <row r="410" spans="1:11" x14ac:dyDescent="0.25">
      <c r="A410">
        <f>COUNTIF($C$2:C410,C410)</f>
        <v>409</v>
      </c>
      <c r="B410" s="1" t="str">
        <f t="shared" si="12"/>
        <v>409</v>
      </c>
      <c r="C410" s="1" t="str">
        <f>IFERROR(VLOOKUP(D410,'Planilha de Cadastro - Previsão'!$A$2:$O$1000,15,FALSE()),"")</f>
        <v/>
      </c>
      <c r="D410" s="1">
        <v>409</v>
      </c>
      <c r="E410" s="1"/>
      <c r="F410" s="1"/>
      <c r="G410" s="54" t="str">
        <f t="shared" si="13"/>
        <v/>
      </c>
      <c r="H410" s="55" t="str">
        <f>IFERROR((VLOOKUP(G410,'Planilha de Cadastro - Previsão'!$A$2:$N$1100,2,FALSE()))," ")</f>
        <v xml:space="preserve"> </v>
      </c>
      <c r="I410" s="54" t="str">
        <f>IFERROR((VLOOKUP(G410,'Planilha de Cadastro - Previsão'!$A$2:$N$1100,3,FALSE()))," ")</f>
        <v xml:space="preserve"> </v>
      </c>
      <c r="J410" s="56" t="str">
        <f>IFERROR((VLOOKUP(G410,'Planilha de Cadastro - Previsão'!$A$2:$N$1100,5,FALSE()))," ")</f>
        <v xml:space="preserve"> </v>
      </c>
      <c r="K410" s="57" t="str">
        <f>IFERROR((VLOOKUP(G410,'Planilha de Cadastro - Previsão'!$A$2:$N$1100,9,FALSE()))," ")</f>
        <v xml:space="preserve"> </v>
      </c>
    </row>
    <row r="411" spans="1:11" x14ac:dyDescent="0.25">
      <c r="A411">
        <f>COUNTIF($C$2:C411,C411)</f>
        <v>410</v>
      </c>
      <c r="B411" s="1" t="str">
        <f t="shared" si="12"/>
        <v>410</v>
      </c>
      <c r="C411" s="1" t="str">
        <f>IFERROR(VLOOKUP(D411,'Planilha de Cadastro - Previsão'!$A$2:$O$1000,15,FALSE()),"")</f>
        <v/>
      </c>
      <c r="D411" s="1">
        <v>410</v>
      </c>
      <c r="E411" s="1"/>
      <c r="F411" s="1"/>
      <c r="G411" s="54" t="str">
        <f t="shared" si="13"/>
        <v/>
      </c>
      <c r="H411" s="55" t="str">
        <f>IFERROR((VLOOKUP(G411,'Planilha de Cadastro - Previsão'!$A$2:$N$1100,2,FALSE()))," ")</f>
        <v xml:space="preserve"> </v>
      </c>
      <c r="I411" s="54" t="str">
        <f>IFERROR((VLOOKUP(G411,'Planilha de Cadastro - Previsão'!$A$2:$N$1100,3,FALSE()))," ")</f>
        <v xml:space="preserve"> </v>
      </c>
      <c r="J411" s="56" t="str">
        <f>IFERROR((VLOOKUP(G411,'Planilha de Cadastro - Previsão'!$A$2:$N$1100,5,FALSE()))," ")</f>
        <v xml:space="preserve"> </v>
      </c>
      <c r="K411" s="57" t="str">
        <f>IFERROR((VLOOKUP(G411,'Planilha de Cadastro - Previsão'!$A$2:$N$1100,9,FALSE()))," ")</f>
        <v xml:space="preserve"> </v>
      </c>
    </row>
    <row r="412" spans="1:11" x14ac:dyDescent="0.25">
      <c r="A412">
        <f>COUNTIF($C$2:C412,C412)</f>
        <v>411</v>
      </c>
      <c r="B412" s="1" t="str">
        <f t="shared" si="12"/>
        <v>411</v>
      </c>
      <c r="C412" s="1" t="str">
        <f>IFERROR(VLOOKUP(D412,'Planilha de Cadastro - Previsão'!$A$2:$O$1000,15,FALSE()),"")</f>
        <v/>
      </c>
      <c r="D412" s="1">
        <v>411</v>
      </c>
      <c r="E412" s="1"/>
      <c r="F412" s="1"/>
      <c r="G412" s="54" t="str">
        <f t="shared" si="13"/>
        <v/>
      </c>
      <c r="H412" s="55" t="str">
        <f>IFERROR((VLOOKUP(G412,'Planilha de Cadastro - Previsão'!$A$2:$N$1100,2,FALSE()))," ")</f>
        <v xml:space="preserve"> </v>
      </c>
      <c r="I412" s="54" t="str">
        <f>IFERROR((VLOOKUP(G412,'Planilha de Cadastro - Previsão'!$A$2:$N$1100,3,FALSE()))," ")</f>
        <v xml:space="preserve"> </v>
      </c>
      <c r="J412" s="56" t="str">
        <f>IFERROR((VLOOKUP(G412,'Planilha de Cadastro - Previsão'!$A$2:$N$1100,5,FALSE()))," ")</f>
        <v xml:space="preserve"> </v>
      </c>
      <c r="K412" s="57" t="str">
        <f>IFERROR((VLOOKUP(G412,'Planilha de Cadastro - Previsão'!$A$2:$N$1100,9,FALSE()))," ")</f>
        <v xml:space="preserve"> </v>
      </c>
    </row>
    <row r="413" spans="1:11" x14ac:dyDescent="0.25">
      <c r="A413">
        <f>COUNTIF($C$2:C413,C413)</f>
        <v>412</v>
      </c>
      <c r="B413" s="1" t="str">
        <f t="shared" si="12"/>
        <v>412</v>
      </c>
      <c r="C413" s="1" t="str">
        <f>IFERROR(VLOOKUP(D413,'Planilha de Cadastro - Previsão'!$A$2:$O$1000,15,FALSE()),"")</f>
        <v/>
      </c>
      <c r="D413" s="1">
        <v>412</v>
      </c>
      <c r="E413" s="1"/>
      <c r="F413" s="1"/>
      <c r="G413" s="54" t="str">
        <f t="shared" si="13"/>
        <v/>
      </c>
      <c r="H413" s="55" t="str">
        <f>IFERROR((VLOOKUP(G413,'Planilha de Cadastro - Previsão'!$A$2:$N$1100,2,FALSE()))," ")</f>
        <v xml:space="preserve"> </v>
      </c>
      <c r="I413" s="54" t="str">
        <f>IFERROR((VLOOKUP(G413,'Planilha de Cadastro - Previsão'!$A$2:$N$1100,3,FALSE()))," ")</f>
        <v xml:space="preserve"> </v>
      </c>
      <c r="J413" s="56" t="str">
        <f>IFERROR((VLOOKUP(G413,'Planilha de Cadastro - Previsão'!$A$2:$N$1100,5,FALSE()))," ")</f>
        <v xml:space="preserve"> </v>
      </c>
      <c r="K413" s="57" t="str">
        <f>IFERROR((VLOOKUP(G413,'Planilha de Cadastro - Previsão'!$A$2:$N$1100,9,FALSE()))," ")</f>
        <v xml:space="preserve"> </v>
      </c>
    </row>
    <row r="414" spans="1:11" x14ac:dyDescent="0.25">
      <c r="A414">
        <f>COUNTIF($C$2:C414,C414)</f>
        <v>413</v>
      </c>
      <c r="B414" s="1" t="str">
        <f t="shared" si="12"/>
        <v>413</v>
      </c>
      <c r="C414" s="1" t="str">
        <f>IFERROR(VLOOKUP(D414,'Planilha de Cadastro - Previsão'!$A$2:$O$1000,15,FALSE()),"")</f>
        <v/>
      </c>
      <c r="D414" s="1">
        <v>413</v>
      </c>
      <c r="E414" s="1"/>
      <c r="F414" s="1"/>
      <c r="G414" s="54" t="str">
        <f t="shared" si="13"/>
        <v/>
      </c>
      <c r="H414" s="55" t="str">
        <f>IFERROR((VLOOKUP(G414,'Planilha de Cadastro - Previsão'!$A$2:$N$1100,2,FALSE()))," ")</f>
        <v xml:space="preserve"> </v>
      </c>
      <c r="I414" s="54" t="str">
        <f>IFERROR((VLOOKUP(G414,'Planilha de Cadastro - Previsão'!$A$2:$N$1100,3,FALSE()))," ")</f>
        <v xml:space="preserve"> </v>
      </c>
      <c r="J414" s="56" t="str">
        <f>IFERROR((VLOOKUP(G414,'Planilha de Cadastro - Previsão'!$A$2:$N$1100,5,FALSE()))," ")</f>
        <v xml:space="preserve"> </v>
      </c>
      <c r="K414" s="57" t="str">
        <f>IFERROR((VLOOKUP(G414,'Planilha de Cadastro - Previsão'!$A$2:$N$1100,9,FALSE()))," ")</f>
        <v xml:space="preserve"> </v>
      </c>
    </row>
    <row r="415" spans="1:11" x14ac:dyDescent="0.25">
      <c r="A415">
        <f>COUNTIF($C$2:C415,C415)</f>
        <v>414</v>
      </c>
      <c r="B415" s="1" t="str">
        <f t="shared" si="12"/>
        <v>414</v>
      </c>
      <c r="C415" s="1" t="str">
        <f>IFERROR(VLOOKUP(D415,'Planilha de Cadastro - Previsão'!$A$2:$O$1000,15,FALSE()),"")</f>
        <v/>
      </c>
      <c r="D415" s="1">
        <v>414</v>
      </c>
      <c r="E415" s="1"/>
      <c r="F415" s="1"/>
      <c r="G415" s="54" t="str">
        <f t="shared" si="13"/>
        <v/>
      </c>
      <c r="H415" s="55" t="str">
        <f>IFERROR((VLOOKUP(G415,'Planilha de Cadastro - Previsão'!$A$2:$N$1100,2,FALSE()))," ")</f>
        <v xml:space="preserve"> </v>
      </c>
      <c r="I415" s="54" t="str">
        <f>IFERROR((VLOOKUP(G415,'Planilha de Cadastro - Previsão'!$A$2:$N$1100,3,FALSE()))," ")</f>
        <v xml:space="preserve"> </v>
      </c>
      <c r="J415" s="56" t="str">
        <f>IFERROR((VLOOKUP(G415,'Planilha de Cadastro - Previsão'!$A$2:$N$1100,5,FALSE()))," ")</f>
        <v xml:space="preserve"> </v>
      </c>
      <c r="K415" s="57" t="str">
        <f>IFERROR((VLOOKUP(G415,'Planilha de Cadastro - Previsão'!$A$2:$N$1100,9,FALSE()))," ")</f>
        <v xml:space="preserve"> </v>
      </c>
    </row>
    <row r="416" spans="1:11" x14ac:dyDescent="0.25">
      <c r="A416">
        <f>COUNTIF($C$2:C416,C416)</f>
        <v>415</v>
      </c>
      <c r="B416" s="1" t="str">
        <f t="shared" si="12"/>
        <v>415</v>
      </c>
      <c r="C416" s="1" t="str">
        <f>IFERROR(VLOOKUP(D416,'Planilha de Cadastro - Previsão'!$A$2:$O$1000,15,FALSE()),"")</f>
        <v/>
      </c>
      <c r="D416" s="1">
        <v>415</v>
      </c>
      <c r="E416" s="1"/>
      <c r="F416" s="1"/>
      <c r="G416" s="54" t="str">
        <f t="shared" si="13"/>
        <v/>
      </c>
      <c r="H416" s="55" t="str">
        <f>IFERROR((VLOOKUP(G416,'Planilha de Cadastro - Previsão'!$A$2:$N$1100,2,FALSE()))," ")</f>
        <v xml:space="preserve"> </v>
      </c>
      <c r="I416" s="54" t="str">
        <f>IFERROR((VLOOKUP(G416,'Planilha de Cadastro - Previsão'!$A$2:$N$1100,3,FALSE()))," ")</f>
        <v xml:space="preserve"> </v>
      </c>
      <c r="J416" s="56" t="str">
        <f>IFERROR((VLOOKUP(G416,'Planilha de Cadastro - Previsão'!$A$2:$N$1100,5,FALSE()))," ")</f>
        <v xml:space="preserve"> </v>
      </c>
      <c r="K416" s="57" t="str">
        <f>IFERROR((VLOOKUP(G416,'Planilha de Cadastro - Previsão'!$A$2:$N$1100,9,FALSE()))," ")</f>
        <v xml:space="preserve"> </v>
      </c>
    </row>
    <row r="417" spans="1:11" x14ac:dyDescent="0.25">
      <c r="A417">
        <f>COUNTIF($C$2:C417,C417)</f>
        <v>416</v>
      </c>
      <c r="B417" s="1" t="str">
        <f t="shared" si="12"/>
        <v>416</v>
      </c>
      <c r="C417" s="1" t="str">
        <f>IFERROR(VLOOKUP(D417,'Planilha de Cadastro - Previsão'!$A$2:$O$1000,15,FALSE()),"")</f>
        <v/>
      </c>
      <c r="D417" s="1">
        <v>416</v>
      </c>
      <c r="E417" s="1"/>
      <c r="F417" s="1"/>
      <c r="G417" s="54" t="str">
        <f t="shared" si="13"/>
        <v/>
      </c>
      <c r="H417" s="55" t="str">
        <f>IFERROR((VLOOKUP(G417,'Planilha de Cadastro - Previsão'!$A$2:$N$1100,2,FALSE()))," ")</f>
        <v xml:space="preserve"> </v>
      </c>
      <c r="I417" s="54" t="str">
        <f>IFERROR((VLOOKUP(G417,'Planilha de Cadastro - Previsão'!$A$2:$N$1100,3,FALSE()))," ")</f>
        <v xml:space="preserve"> </v>
      </c>
      <c r="J417" s="56" t="str">
        <f>IFERROR((VLOOKUP(G417,'Planilha de Cadastro - Previsão'!$A$2:$N$1100,5,FALSE()))," ")</f>
        <v xml:space="preserve"> </v>
      </c>
      <c r="K417" s="57" t="str">
        <f>IFERROR((VLOOKUP(G417,'Planilha de Cadastro - Previsão'!$A$2:$N$1100,9,FALSE()))," ")</f>
        <v xml:space="preserve"> </v>
      </c>
    </row>
    <row r="418" spans="1:11" x14ac:dyDescent="0.25">
      <c r="A418">
        <f>COUNTIF($C$2:C418,C418)</f>
        <v>417</v>
      </c>
      <c r="B418" s="1" t="str">
        <f t="shared" si="12"/>
        <v>417</v>
      </c>
      <c r="C418" s="1" t="str">
        <f>IFERROR(VLOOKUP(D418,'Planilha de Cadastro - Previsão'!$A$2:$O$1000,15,FALSE()),"")</f>
        <v/>
      </c>
      <c r="D418" s="1">
        <v>417</v>
      </c>
      <c r="E418" s="1"/>
      <c r="F418" s="1"/>
      <c r="G418" s="54" t="str">
        <f t="shared" si="13"/>
        <v/>
      </c>
      <c r="H418" s="55" t="str">
        <f>IFERROR((VLOOKUP(G418,'Planilha de Cadastro - Previsão'!$A$2:$N$1100,2,FALSE()))," ")</f>
        <v xml:space="preserve"> </v>
      </c>
      <c r="I418" s="54" t="str">
        <f>IFERROR((VLOOKUP(G418,'Planilha de Cadastro - Previsão'!$A$2:$N$1100,3,FALSE()))," ")</f>
        <v xml:space="preserve"> </v>
      </c>
      <c r="J418" s="56" t="str">
        <f>IFERROR((VLOOKUP(G418,'Planilha de Cadastro - Previsão'!$A$2:$N$1100,5,FALSE()))," ")</f>
        <v xml:space="preserve"> </v>
      </c>
      <c r="K418" s="57" t="str">
        <f>IFERROR((VLOOKUP(G418,'Planilha de Cadastro - Previsão'!$A$2:$N$1100,9,FALSE()))," ")</f>
        <v xml:space="preserve"> </v>
      </c>
    </row>
    <row r="419" spans="1:11" x14ac:dyDescent="0.25">
      <c r="A419">
        <f>COUNTIF($C$2:C419,C419)</f>
        <v>418</v>
      </c>
      <c r="B419" s="1" t="str">
        <f t="shared" si="12"/>
        <v>418</v>
      </c>
      <c r="C419" s="1" t="str">
        <f>IFERROR(VLOOKUP(D419,'Planilha de Cadastro - Previsão'!$A$2:$O$1000,15,FALSE()),"")</f>
        <v/>
      </c>
      <c r="D419" s="1">
        <v>418</v>
      </c>
      <c r="E419" s="1"/>
      <c r="F419" s="1"/>
      <c r="G419" s="54" t="str">
        <f t="shared" si="13"/>
        <v/>
      </c>
      <c r="H419" s="55" t="str">
        <f>IFERROR((VLOOKUP(G419,'Planilha de Cadastro - Previsão'!$A$2:$N$1100,2,FALSE()))," ")</f>
        <v xml:space="preserve"> </v>
      </c>
      <c r="I419" s="54" t="str">
        <f>IFERROR((VLOOKUP(G419,'Planilha de Cadastro - Previsão'!$A$2:$N$1100,3,FALSE()))," ")</f>
        <v xml:space="preserve"> </v>
      </c>
      <c r="J419" s="56" t="str">
        <f>IFERROR((VLOOKUP(G419,'Planilha de Cadastro - Previsão'!$A$2:$N$1100,5,FALSE()))," ")</f>
        <v xml:space="preserve"> </v>
      </c>
      <c r="K419" s="57" t="str">
        <f>IFERROR((VLOOKUP(G419,'Planilha de Cadastro - Previsão'!$A$2:$N$1100,9,FALSE()))," ")</f>
        <v xml:space="preserve"> </v>
      </c>
    </row>
    <row r="420" spans="1:11" x14ac:dyDescent="0.25">
      <c r="A420">
        <f>COUNTIF($C$2:C420,C420)</f>
        <v>419</v>
      </c>
      <c r="B420" s="1" t="str">
        <f t="shared" si="12"/>
        <v>419</v>
      </c>
      <c r="C420" s="1" t="str">
        <f>IFERROR(VLOOKUP(D420,'Planilha de Cadastro - Previsão'!$A$2:$O$1000,15,FALSE()),"")</f>
        <v/>
      </c>
      <c r="D420" s="1">
        <v>419</v>
      </c>
      <c r="E420" s="1"/>
      <c r="F420" s="1"/>
      <c r="G420" s="54" t="str">
        <f t="shared" si="13"/>
        <v/>
      </c>
      <c r="H420" s="55" t="str">
        <f>IFERROR((VLOOKUP(G420,'Planilha de Cadastro - Previsão'!$A$2:$N$1100,2,FALSE()))," ")</f>
        <v xml:space="preserve"> </v>
      </c>
      <c r="I420" s="54" t="str">
        <f>IFERROR((VLOOKUP(G420,'Planilha de Cadastro - Previsão'!$A$2:$N$1100,3,FALSE()))," ")</f>
        <v xml:space="preserve"> </v>
      </c>
      <c r="J420" s="56" t="str">
        <f>IFERROR((VLOOKUP(G420,'Planilha de Cadastro - Previsão'!$A$2:$N$1100,5,FALSE()))," ")</f>
        <v xml:space="preserve"> </v>
      </c>
      <c r="K420" s="57" t="str">
        <f>IFERROR((VLOOKUP(G420,'Planilha de Cadastro - Previsão'!$A$2:$N$1100,9,FALSE()))," ")</f>
        <v xml:space="preserve"> </v>
      </c>
    </row>
    <row r="421" spans="1:11" x14ac:dyDescent="0.25">
      <c r="A421">
        <f>COUNTIF($C$2:C421,C421)</f>
        <v>420</v>
      </c>
      <c r="B421" s="1" t="str">
        <f t="shared" si="12"/>
        <v>420</v>
      </c>
      <c r="C421" s="1" t="str">
        <f>IFERROR(VLOOKUP(D421,'Planilha de Cadastro - Previsão'!$A$2:$O$1000,15,FALSE()),"")</f>
        <v/>
      </c>
      <c r="D421" s="1">
        <v>420</v>
      </c>
      <c r="E421" s="1"/>
      <c r="F421" s="1"/>
      <c r="G421" s="54" t="str">
        <f t="shared" si="13"/>
        <v/>
      </c>
      <c r="H421" s="55" t="str">
        <f>IFERROR((VLOOKUP(G421,'Planilha de Cadastro - Previsão'!$A$2:$N$1100,2,FALSE()))," ")</f>
        <v xml:space="preserve"> </v>
      </c>
      <c r="I421" s="54" t="str">
        <f>IFERROR((VLOOKUP(G421,'Planilha de Cadastro - Previsão'!$A$2:$N$1100,3,FALSE()))," ")</f>
        <v xml:space="preserve"> </v>
      </c>
      <c r="J421" s="56" t="str">
        <f>IFERROR((VLOOKUP(G421,'Planilha de Cadastro - Previsão'!$A$2:$N$1100,5,FALSE()))," ")</f>
        <v xml:space="preserve"> </v>
      </c>
      <c r="K421" s="57" t="str">
        <f>IFERROR((VLOOKUP(G421,'Planilha de Cadastro - Previsão'!$A$2:$N$1100,9,FALSE()))," ")</f>
        <v xml:space="preserve"> </v>
      </c>
    </row>
    <row r="422" spans="1:11" x14ac:dyDescent="0.25">
      <c r="A422">
        <f>COUNTIF($C$2:C422,C422)</f>
        <v>421</v>
      </c>
      <c r="B422" s="1" t="str">
        <f t="shared" si="12"/>
        <v>421</v>
      </c>
      <c r="C422" s="1" t="str">
        <f>IFERROR(VLOOKUP(D422,'Planilha de Cadastro - Previsão'!$A$2:$O$1000,15,FALSE()),"")</f>
        <v/>
      </c>
      <c r="D422" s="1">
        <v>421</v>
      </c>
      <c r="E422" s="1"/>
      <c r="F422" s="1"/>
      <c r="G422" s="54" t="str">
        <f t="shared" si="13"/>
        <v/>
      </c>
      <c r="H422" s="55" t="str">
        <f>IFERROR((VLOOKUP(G422,'Planilha de Cadastro - Previsão'!$A$2:$N$1100,2,FALSE()))," ")</f>
        <v xml:space="preserve"> </v>
      </c>
      <c r="I422" s="54" t="str">
        <f>IFERROR((VLOOKUP(G422,'Planilha de Cadastro - Previsão'!$A$2:$N$1100,3,FALSE()))," ")</f>
        <v xml:space="preserve"> </v>
      </c>
      <c r="J422" s="56" t="str">
        <f>IFERROR((VLOOKUP(G422,'Planilha de Cadastro - Previsão'!$A$2:$N$1100,5,FALSE()))," ")</f>
        <v xml:space="preserve"> </v>
      </c>
      <c r="K422" s="57" t="str">
        <f>IFERROR((VLOOKUP(G422,'Planilha de Cadastro - Previsão'!$A$2:$N$1100,9,FALSE()))," ")</f>
        <v xml:space="preserve"> </v>
      </c>
    </row>
    <row r="423" spans="1:11" x14ac:dyDescent="0.25">
      <c r="A423">
        <f>COUNTIF($C$2:C423,C423)</f>
        <v>422</v>
      </c>
      <c r="B423" s="1" t="str">
        <f t="shared" si="12"/>
        <v>422</v>
      </c>
      <c r="C423" s="1" t="str">
        <f>IFERROR(VLOOKUP(D423,'Planilha de Cadastro - Previsão'!$A$2:$O$1000,15,FALSE()),"")</f>
        <v/>
      </c>
      <c r="D423" s="1">
        <v>422</v>
      </c>
      <c r="E423" s="1"/>
      <c r="F423" s="1"/>
      <c r="G423" s="54" t="str">
        <f t="shared" si="13"/>
        <v/>
      </c>
      <c r="H423" s="55" t="str">
        <f>IFERROR((VLOOKUP(G423,'Planilha de Cadastro - Previsão'!$A$2:$N$1100,2,FALSE()))," ")</f>
        <v xml:space="preserve"> </v>
      </c>
      <c r="I423" s="54" t="str">
        <f>IFERROR((VLOOKUP(G423,'Planilha de Cadastro - Previsão'!$A$2:$N$1100,3,FALSE()))," ")</f>
        <v xml:space="preserve"> </v>
      </c>
      <c r="J423" s="56" t="str">
        <f>IFERROR((VLOOKUP(G423,'Planilha de Cadastro - Previsão'!$A$2:$N$1100,5,FALSE()))," ")</f>
        <v xml:space="preserve"> </v>
      </c>
      <c r="K423" s="57" t="str">
        <f>IFERROR((VLOOKUP(G423,'Planilha de Cadastro - Previsão'!$A$2:$N$1100,9,FALSE()))," ")</f>
        <v xml:space="preserve"> </v>
      </c>
    </row>
    <row r="424" spans="1:11" x14ac:dyDescent="0.25">
      <c r="A424">
        <f>COUNTIF($C$2:C424,C424)</f>
        <v>423</v>
      </c>
      <c r="B424" s="1" t="str">
        <f t="shared" si="12"/>
        <v>423</v>
      </c>
      <c r="C424" s="1" t="str">
        <f>IFERROR(VLOOKUP(D424,'Planilha de Cadastro - Previsão'!$A$2:$O$1000,15,FALSE()),"")</f>
        <v/>
      </c>
      <c r="D424" s="1">
        <v>423</v>
      </c>
      <c r="E424" s="1"/>
      <c r="F424" s="1"/>
      <c r="G424" s="54" t="str">
        <f t="shared" si="13"/>
        <v/>
      </c>
      <c r="H424" s="55" t="str">
        <f>IFERROR((VLOOKUP(G424,'Planilha de Cadastro - Previsão'!$A$2:$N$1100,2,FALSE()))," ")</f>
        <v xml:space="preserve"> </v>
      </c>
      <c r="I424" s="54" t="str">
        <f>IFERROR((VLOOKUP(G424,'Planilha de Cadastro - Previsão'!$A$2:$N$1100,3,FALSE()))," ")</f>
        <v xml:space="preserve"> </v>
      </c>
      <c r="J424" s="56" t="str">
        <f>IFERROR((VLOOKUP(G424,'Planilha de Cadastro - Previsão'!$A$2:$N$1100,5,FALSE()))," ")</f>
        <v xml:space="preserve"> </v>
      </c>
      <c r="K424" s="57" t="str">
        <f>IFERROR((VLOOKUP(G424,'Planilha de Cadastro - Previsão'!$A$2:$N$1100,9,FALSE()))," ")</f>
        <v xml:space="preserve"> </v>
      </c>
    </row>
    <row r="425" spans="1:11" x14ac:dyDescent="0.25">
      <c r="A425">
        <f>COUNTIF($C$2:C425,C425)</f>
        <v>424</v>
      </c>
      <c r="B425" s="1" t="str">
        <f t="shared" si="12"/>
        <v>424</v>
      </c>
      <c r="C425" s="1" t="str">
        <f>IFERROR(VLOOKUP(D425,'Planilha de Cadastro - Previsão'!$A$2:$O$1000,15,FALSE()),"")</f>
        <v/>
      </c>
      <c r="D425" s="1">
        <v>424</v>
      </c>
      <c r="E425" s="1"/>
      <c r="F425" s="1"/>
      <c r="G425" s="54" t="str">
        <f t="shared" si="13"/>
        <v/>
      </c>
      <c r="H425" s="55" t="str">
        <f>IFERROR((VLOOKUP(G425,'Planilha de Cadastro - Previsão'!$A$2:$N$1100,2,FALSE()))," ")</f>
        <v xml:space="preserve"> </v>
      </c>
      <c r="I425" s="54" t="str">
        <f>IFERROR((VLOOKUP(G425,'Planilha de Cadastro - Previsão'!$A$2:$N$1100,3,FALSE()))," ")</f>
        <v xml:space="preserve"> </v>
      </c>
      <c r="J425" s="56" t="str">
        <f>IFERROR((VLOOKUP(G425,'Planilha de Cadastro - Previsão'!$A$2:$N$1100,5,FALSE()))," ")</f>
        <v xml:space="preserve"> </v>
      </c>
      <c r="K425" s="57" t="str">
        <f>IFERROR((VLOOKUP(G425,'Planilha de Cadastro - Previsão'!$A$2:$N$1100,9,FALSE()))," ")</f>
        <v xml:space="preserve"> </v>
      </c>
    </row>
    <row r="426" spans="1:11" x14ac:dyDescent="0.25">
      <c r="A426">
        <f>COUNTIF($C$2:C426,C426)</f>
        <v>425</v>
      </c>
      <c r="B426" s="1" t="str">
        <f t="shared" si="12"/>
        <v>425</v>
      </c>
      <c r="C426" s="1" t="str">
        <f>IFERROR(VLOOKUP(D426,'Planilha de Cadastro - Previsão'!$A$2:$O$1000,15,FALSE()),"")</f>
        <v/>
      </c>
      <c r="D426" s="1">
        <v>425</v>
      </c>
      <c r="E426" s="1"/>
      <c r="F426" s="1"/>
      <c r="G426" s="54" t="str">
        <f t="shared" si="13"/>
        <v/>
      </c>
      <c r="H426" s="55" t="str">
        <f>IFERROR((VLOOKUP(G426,'Planilha de Cadastro - Previsão'!$A$2:$N$1100,2,FALSE()))," ")</f>
        <v xml:space="preserve"> </v>
      </c>
      <c r="I426" s="54" t="str">
        <f>IFERROR((VLOOKUP(G426,'Planilha de Cadastro - Previsão'!$A$2:$N$1100,3,FALSE()))," ")</f>
        <v xml:space="preserve"> </v>
      </c>
      <c r="J426" s="56" t="str">
        <f>IFERROR((VLOOKUP(G426,'Planilha de Cadastro - Previsão'!$A$2:$N$1100,5,FALSE()))," ")</f>
        <v xml:space="preserve"> </v>
      </c>
      <c r="K426" s="57" t="str">
        <f>IFERROR((VLOOKUP(G426,'Planilha de Cadastro - Previsão'!$A$2:$N$1100,9,FALSE()))," ")</f>
        <v xml:space="preserve"> </v>
      </c>
    </row>
    <row r="427" spans="1:11" x14ac:dyDescent="0.25">
      <c r="A427">
        <f>COUNTIF($C$2:C427,C427)</f>
        <v>426</v>
      </c>
      <c r="B427" s="1" t="str">
        <f t="shared" si="12"/>
        <v>426</v>
      </c>
      <c r="C427" s="1" t="str">
        <f>IFERROR(VLOOKUP(D427,'Planilha de Cadastro - Previsão'!$A$2:$O$1000,15,FALSE()),"")</f>
        <v/>
      </c>
      <c r="D427" s="1">
        <v>426</v>
      </c>
      <c r="E427" s="1"/>
      <c r="F427" s="1"/>
      <c r="G427" s="54" t="str">
        <f t="shared" si="13"/>
        <v/>
      </c>
      <c r="H427" s="55" t="str">
        <f>IFERROR((VLOOKUP(G427,'Planilha de Cadastro - Previsão'!$A$2:$N$1100,2,FALSE()))," ")</f>
        <v xml:space="preserve"> </v>
      </c>
      <c r="I427" s="54" t="str">
        <f>IFERROR((VLOOKUP(G427,'Planilha de Cadastro - Previsão'!$A$2:$N$1100,3,FALSE()))," ")</f>
        <v xml:space="preserve"> </v>
      </c>
      <c r="J427" s="56" t="str">
        <f>IFERROR((VLOOKUP(G427,'Planilha de Cadastro - Previsão'!$A$2:$N$1100,5,FALSE()))," ")</f>
        <v xml:space="preserve"> </v>
      </c>
      <c r="K427" s="57" t="str">
        <f>IFERROR((VLOOKUP(G427,'Planilha de Cadastro - Previsão'!$A$2:$N$1100,9,FALSE()))," ")</f>
        <v xml:space="preserve"> </v>
      </c>
    </row>
    <row r="428" spans="1:11" x14ac:dyDescent="0.25">
      <c r="A428">
        <f>COUNTIF($C$2:C428,C428)</f>
        <v>427</v>
      </c>
      <c r="B428" s="1" t="str">
        <f t="shared" si="12"/>
        <v>427</v>
      </c>
      <c r="C428" s="1" t="str">
        <f>IFERROR(VLOOKUP(D428,'Planilha de Cadastro - Previsão'!$A$2:$O$1000,15,FALSE()),"")</f>
        <v/>
      </c>
      <c r="D428" s="1">
        <v>427</v>
      </c>
      <c r="E428" s="1"/>
      <c r="F428" s="1"/>
      <c r="G428" s="54" t="str">
        <f t="shared" si="13"/>
        <v/>
      </c>
      <c r="H428" s="55" t="str">
        <f>IFERROR((VLOOKUP(G428,'Planilha de Cadastro - Previsão'!$A$2:$N$1100,2,FALSE()))," ")</f>
        <v xml:space="preserve"> </v>
      </c>
      <c r="I428" s="54" t="str">
        <f>IFERROR((VLOOKUP(G428,'Planilha de Cadastro - Previsão'!$A$2:$N$1100,3,FALSE()))," ")</f>
        <v xml:space="preserve"> </v>
      </c>
      <c r="J428" s="56" t="str">
        <f>IFERROR((VLOOKUP(G428,'Planilha de Cadastro - Previsão'!$A$2:$N$1100,5,FALSE()))," ")</f>
        <v xml:space="preserve"> </v>
      </c>
      <c r="K428" s="57" t="str">
        <f>IFERROR((VLOOKUP(G428,'Planilha de Cadastro - Previsão'!$A$2:$N$1100,9,FALSE()))," ")</f>
        <v xml:space="preserve"> </v>
      </c>
    </row>
    <row r="429" spans="1:11" x14ac:dyDescent="0.25">
      <c r="A429">
        <f>COUNTIF($C$2:C429,C429)</f>
        <v>428</v>
      </c>
      <c r="B429" s="1" t="str">
        <f t="shared" si="12"/>
        <v>428</v>
      </c>
      <c r="C429" s="1" t="str">
        <f>IFERROR(VLOOKUP(D429,'Planilha de Cadastro - Previsão'!$A$2:$O$1000,15,FALSE()),"")</f>
        <v/>
      </c>
      <c r="D429" s="1">
        <v>428</v>
      </c>
      <c r="E429" s="1"/>
      <c r="F429" s="1"/>
      <c r="G429" s="54" t="str">
        <f t="shared" si="13"/>
        <v/>
      </c>
      <c r="H429" s="55" t="str">
        <f>IFERROR((VLOOKUP(G429,'Planilha de Cadastro - Previsão'!$A$2:$N$1100,2,FALSE()))," ")</f>
        <v xml:space="preserve"> </v>
      </c>
      <c r="I429" s="54" t="str">
        <f>IFERROR((VLOOKUP(G429,'Planilha de Cadastro - Previsão'!$A$2:$N$1100,3,FALSE()))," ")</f>
        <v xml:space="preserve"> </v>
      </c>
      <c r="J429" s="56" t="str">
        <f>IFERROR((VLOOKUP(G429,'Planilha de Cadastro - Previsão'!$A$2:$N$1100,5,FALSE()))," ")</f>
        <v xml:space="preserve"> </v>
      </c>
      <c r="K429" s="57" t="str">
        <f>IFERROR((VLOOKUP(G429,'Planilha de Cadastro - Previsão'!$A$2:$N$1100,9,FALSE()))," ")</f>
        <v xml:space="preserve"> </v>
      </c>
    </row>
    <row r="430" spans="1:11" x14ac:dyDescent="0.25">
      <c r="A430">
        <f>COUNTIF($C$2:C430,C430)</f>
        <v>429</v>
      </c>
      <c r="B430" s="1" t="str">
        <f t="shared" si="12"/>
        <v>429</v>
      </c>
      <c r="C430" s="1" t="str">
        <f>IFERROR(VLOOKUP(D430,'Planilha de Cadastro - Previsão'!$A$2:$O$1000,15,FALSE()),"")</f>
        <v/>
      </c>
      <c r="D430" s="1">
        <v>429</v>
      </c>
      <c r="E430" s="1"/>
      <c r="F430" s="1"/>
      <c r="G430" s="54" t="str">
        <f t="shared" si="13"/>
        <v/>
      </c>
      <c r="H430" s="55" t="str">
        <f>IFERROR((VLOOKUP(G430,'Planilha de Cadastro - Previsão'!$A$2:$N$1100,2,FALSE()))," ")</f>
        <v xml:space="preserve"> </v>
      </c>
      <c r="I430" s="54" t="str">
        <f>IFERROR((VLOOKUP(G430,'Planilha de Cadastro - Previsão'!$A$2:$N$1100,3,FALSE()))," ")</f>
        <v xml:space="preserve"> </v>
      </c>
      <c r="J430" s="56" t="str">
        <f>IFERROR((VLOOKUP(G430,'Planilha de Cadastro - Previsão'!$A$2:$N$1100,5,FALSE()))," ")</f>
        <v xml:space="preserve"> </v>
      </c>
      <c r="K430" s="57" t="str">
        <f>IFERROR((VLOOKUP(G430,'Planilha de Cadastro - Previsão'!$A$2:$N$1100,9,FALSE()))," ")</f>
        <v xml:space="preserve"> </v>
      </c>
    </row>
    <row r="431" spans="1:11" x14ac:dyDescent="0.25">
      <c r="A431">
        <f>COUNTIF($C$2:C431,C431)</f>
        <v>430</v>
      </c>
      <c r="B431" s="1" t="str">
        <f t="shared" si="12"/>
        <v>430</v>
      </c>
      <c r="C431" s="1" t="str">
        <f>IFERROR(VLOOKUP(D431,'Planilha de Cadastro - Previsão'!$A$2:$O$1000,15,FALSE()),"")</f>
        <v/>
      </c>
      <c r="D431" s="1">
        <v>430</v>
      </c>
      <c r="E431" s="1"/>
      <c r="F431" s="1"/>
      <c r="G431" s="54" t="str">
        <f t="shared" si="13"/>
        <v/>
      </c>
      <c r="H431" s="55" t="str">
        <f>IFERROR((VLOOKUP(G431,'Planilha de Cadastro - Previsão'!$A$2:$N$1100,2,FALSE()))," ")</f>
        <v xml:space="preserve"> </v>
      </c>
      <c r="I431" s="54" t="str">
        <f>IFERROR((VLOOKUP(G431,'Planilha de Cadastro - Previsão'!$A$2:$N$1100,3,FALSE()))," ")</f>
        <v xml:space="preserve"> </v>
      </c>
      <c r="J431" s="56" t="str">
        <f>IFERROR((VLOOKUP(G431,'Planilha de Cadastro - Previsão'!$A$2:$N$1100,5,FALSE()))," ")</f>
        <v xml:space="preserve"> </v>
      </c>
      <c r="K431" s="57" t="str">
        <f>IFERROR((VLOOKUP(G431,'Planilha de Cadastro - Previsão'!$A$2:$N$1100,9,FALSE()))," ")</f>
        <v xml:space="preserve"> </v>
      </c>
    </row>
    <row r="432" spans="1:11" x14ac:dyDescent="0.25">
      <c r="A432">
        <f>COUNTIF($C$2:C432,C432)</f>
        <v>431</v>
      </c>
      <c r="B432" s="1" t="str">
        <f t="shared" si="12"/>
        <v>431</v>
      </c>
      <c r="C432" s="1" t="str">
        <f>IFERROR(VLOOKUP(D432,'Planilha de Cadastro - Previsão'!$A$2:$O$1000,15,FALSE()),"")</f>
        <v/>
      </c>
      <c r="D432" s="1">
        <v>431</v>
      </c>
      <c r="E432" s="1"/>
      <c r="F432" s="1"/>
      <c r="G432" s="54" t="str">
        <f t="shared" si="13"/>
        <v/>
      </c>
      <c r="H432" s="55" t="str">
        <f>IFERROR((VLOOKUP(G432,'Planilha de Cadastro - Previsão'!$A$2:$N$1100,2,FALSE()))," ")</f>
        <v xml:space="preserve"> </v>
      </c>
      <c r="I432" s="54" t="str">
        <f>IFERROR((VLOOKUP(G432,'Planilha de Cadastro - Previsão'!$A$2:$N$1100,3,FALSE()))," ")</f>
        <v xml:space="preserve"> </v>
      </c>
      <c r="J432" s="56" t="str">
        <f>IFERROR((VLOOKUP(G432,'Planilha de Cadastro - Previsão'!$A$2:$N$1100,5,FALSE()))," ")</f>
        <v xml:space="preserve"> </v>
      </c>
      <c r="K432" s="57" t="str">
        <f>IFERROR((VLOOKUP(G432,'Planilha de Cadastro - Previsão'!$A$2:$N$1100,9,FALSE()))," ")</f>
        <v xml:space="preserve"> </v>
      </c>
    </row>
    <row r="433" spans="1:11" x14ac:dyDescent="0.25">
      <c r="A433">
        <f>COUNTIF($C$2:C433,C433)</f>
        <v>432</v>
      </c>
      <c r="B433" s="1" t="str">
        <f t="shared" si="12"/>
        <v>432</v>
      </c>
      <c r="C433" s="1" t="str">
        <f>IFERROR(VLOOKUP(D433,'Planilha de Cadastro - Previsão'!$A$2:$O$1000,15,FALSE()),"")</f>
        <v/>
      </c>
      <c r="D433" s="1">
        <v>432</v>
      </c>
      <c r="E433" s="1"/>
      <c r="F433" s="1"/>
      <c r="G433" s="54" t="str">
        <f t="shared" si="13"/>
        <v/>
      </c>
      <c r="H433" s="55" t="str">
        <f>IFERROR((VLOOKUP(G433,'Planilha de Cadastro - Previsão'!$A$2:$N$1100,2,FALSE()))," ")</f>
        <v xml:space="preserve"> </v>
      </c>
      <c r="I433" s="54" t="str">
        <f>IFERROR((VLOOKUP(G433,'Planilha de Cadastro - Previsão'!$A$2:$N$1100,3,FALSE()))," ")</f>
        <v xml:space="preserve"> </v>
      </c>
      <c r="J433" s="56" t="str">
        <f>IFERROR((VLOOKUP(G433,'Planilha de Cadastro - Previsão'!$A$2:$N$1100,5,FALSE()))," ")</f>
        <v xml:space="preserve"> </v>
      </c>
      <c r="K433" s="57" t="str">
        <f>IFERROR((VLOOKUP(G433,'Planilha de Cadastro - Previsão'!$A$2:$N$1100,9,FALSE()))," ")</f>
        <v xml:space="preserve"> </v>
      </c>
    </row>
    <row r="434" spans="1:11" x14ac:dyDescent="0.25">
      <c r="A434">
        <f>COUNTIF($C$2:C434,C434)</f>
        <v>433</v>
      </c>
      <c r="B434" s="1" t="str">
        <f t="shared" si="12"/>
        <v>433</v>
      </c>
      <c r="C434" s="1" t="str">
        <f>IFERROR(VLOOKUP(D434,'Planilha de Cadastro - Previsão'!$A$2:$O$1000,15,FALSE()),"")</f>
        <v/>
      </c>
      <c r="D434" s="1">
        <v>433</v>
      </c>
      <c r="E434" s="1"/>
      <c r="F434" s="1"/>
      <c r="G434" s="54" t="str">
        <f t="shared" si="13"/>
        <v/>
      </c>
      <c r="H434" s="55" t="str">
        <f>IFERROR((VLOOKUP(G434,'Planilha de Cadastro - Previsão'!$A$2:$N$1100,2,FALSE()))," ")</f>
        <v xml:space="preserve"> </v>
      </c>
      <c r="I434" s="54" t="str">
        <f>IFERROR((VLOOKUP(G434,'Planilha de Cadastro - Previsão'!$A$2:$N$1100,3,FALSE()))," ")</f>
        <v xml:space="preserve"> </v>
      </c>
      <c r="J434" s="56" t="str">
        <f>IFERROR((VLOOKUP(G434,'Planilha de Cadastro - Previsão'!$A$2:$N$1100,5,FALSE()))," ")</f>
        <v xml:space="preserve"> </v>
      </c>
      <c r="K434" s="57" t="str">
        <f>IFERROR((VLOOKUP(G434,'Planilha de Cadastro - Previsão'!$A$2:$N$1100,9,FALSE()))," ")</f>
        <v xml:space="preserve"> </v>
      </c>
    </row>
    <row r="435" spans="1:11" x14ac:dyDescent="0.25">
      <c r="A435">
        <f>COUNTIF($C$2:C435,C435)</f>
        <v>434</v>
      </c>
      <c r="B435" s="1" t="str">
        <f t="shared" si="12"/>
        <v>434</v>
      </c>
      <c r="C435" s="1" t="str">
        <f>IFERROR(VLOOKUP(D435,'Planilha de Cadastro - Previsão'!$A$2:$O$1000,15,FALSE()),"")</f>
        <v/>
      </c>
      <c r="D435" s="1">
        <v>434</v>
      </c>
      <c r="E435" s="1"/>
      <c r="F435" s="1"/>
      <c r="G435" s="54" t="str">
        <f t="shared" si="13"/>
        <v/>
      </c>
      <c r="H435" s="55" t="str">
        <f>IFERROR((VLOOKUP(G435,'Planilha de Cadastro - Previsão'!$A$2:$N$1100,2,FALSE()))," ")</f>
        <v xml:space="preserve"> </v>
      </c>
      <c r="I435" s="54" t="str">
        <f>IFERROR((VLOOKUP(G435,'Planilha de Cadastro - Previsão'!$A$2:$N$1100,3,FALSE()))," ")</f>
        <v xml:space="preserve"> </v>
      </c>
      <c r="J435" s="56" t="str">
        <f>IFERROR((VLOOKUP(G435,'Planilha de Cadastro - Previsão'!$A$2:$N$1100,5,FALSE()))," ")</f>
        <v xml:space="preserve"> </v>
      </c>
      <c r="K435" s="57" t="str">
        <f>IFERROR((VLOOKUP(G435,'Planilha de Cadastro - Previsão'!$A$2:$N$1100,9,FALSE()))," ")</f>
        <v xml:space="preserve"> </v>
      </c>
    </row>
    <row r="436" spans="1:11" x14ac:dyDescent="0.25">
      <c r="A436">
        <f>COUNTIF($C$2:C436,C436)</f>
        <v>435</v>
      </c>
      <c r="B436" s="1" t="str">
        <f t="shared" si="12"/>
        <v>435</v>
      </c>
      <c r="C436" s="1" t="str">
        <f>IFERROR(VLOOKUP(D436,'Planilha de Cadastro - Previsão'!$A$2:$O$1000,15,FALSE()),"")</f>
        <v/>
      </c>
      <c r="D436" s="1">
        <v>435</v>
      </c>
      <c r="E436" s="1"/>
      <c r="F436" s="1"/>
      <c r="G436" s="54" t="str">
        <f t="shared" si="13"/>
        <v/>
      </c>
      <c r="H436" s="55" t="str">
        <f>IFERROR((VLOOKUP(G436,'Planilha de Cadastro - Previsão'!$A$2:$N$1100,2,FALSE()))," ")</f>
        <v xml:space="preserve"> </v>
      </c>
      <c r="I436" s="54" t="str">
        <f>IFERROR((VLOOKUP(G436,'Planilha de Cadastro - Previsão'!$A$2:$N$1100,3,FALSE()))," ")</f>
        <v xml:space="preserve"> </v>
      </c>
      <c r="J436" s="56" t="str">
        <f>IFERROR((VLOOKUP(G436,'Planilha de Cadastro - Previsão'!$A$2:$N$1100,5,FALSE()))," ")</f>
        <v xml:space="preserve"> </v>
      </c>
      <c r="K436" s="57" t="str">
        <f>IFERROR((VLOOKUP(G436,'Planilha de Cadastro - Previsão'!$A$2:$N$1100,9,FALSE()))," ")</f>
        <v xml:space="preserve"> </v>
      </c>
    </row>
    <row r="437" spans="1:11" x14ac:dyDescent="0.25">
      <c r="A437">
        <f>COUNTIF($C$2:C437,C437)</f>
        <v>436</v>
      </c>
      <c r="B437" s="1" t="str">
        <f t="shared" si="12"/>
        <v>436</v>
      </c>
      <c r="C437" s="1" t="str">
        <f>IFERROR(VLOOKUP(D437,'Planilha de Cadastro - Previsão'!$A$2:$O$1000,15,FALSE()),"")</f>
        <v/>
      </c>
      <c r="D437" s="1">
        <v>436</v>
      </c>
      <c r="E437" s="1"/>
      <c r="F437" s="1"/>
      <c r="G437" s="54" t="str">
        <f t="shared" si="13"/>
        <v/>
      </c>
      <c r="H437" s="55" t="str">
        <f>IFERROR((VLOOKUP(G437,'Planilha de Cadastro - Previsão'!$A$2:$N$1100,2,FALSE()))," ")</f>
        <v xml:space="preserve"> </v>
      </c>
      <c r="I437" s="54" t="str">
        <f>IFERROR((VLOOKUP(G437,'Planilha de Cadastro - Previsão'!$A$2:$N$1100,3,FALSE()))," ")</f>
        <v xml:space="preserve"> </v>
      </c>
      <c r="J437" s="56" t="str">
        <f>IFERROR((VLOOKUP(G437,'Planilha de Cadastro - Previsão'!$A$2:$N$1100,5,FALSE()))," ")</f>
        <v xml:space="preserve"> </v>
      </c>
      <c r="K437" s="57" t="str">
        <f>IFERROR((VLOOKUP(G437,'Planilha de Cadastro - Previsão'!$A$2:$N$1100,9,FALSE()))," ")</f>
        <v xml:space="preserve"> </v>
      </c>
    </row>
    <row r="438" spans="1:11" x14ac:dyDescent="0.25">
      <c r="A438">
        <f>COUNTIF($C$2:C438,C438)</f>
        <v>437</v>
      </c>
      <c r="B438" s="1" t="str">
        <f t="shared" si="12"/>
        <v>437</v>
      </c>
      <c r="C438" s="1" t="str">
        <f>IFERROR(VLOOKUP(D438,'Planilha de Cadastro - Previsão'!$A$2:$O$1000,15,FALSE()),"")</f>
        <v/>
      </c>
      <c r="D438" s="1">
        <v>437</v>
      </c>
      <c r="E438" s="1"/>
      <c r="F438" s="1"/>
      <c r="G438" s="54" t="str">
        <f t="shared" si="13"/>
        <v/>
      </c>
      <c r="H438" s="55" t="str">
        <f>IFERROR((VLOOKUP(G438,'Planilha de Cadastro - Previsão'!$A$2:$N$1100,2,FALSE()))," ")</f>
        <v xml:space="preserve"> </v>
      </c>
      <c r="I438" s="54" t="str">
        <f>IFERROR((VLOOKUP(G438,'Planilha de Cadastro - Previsão'!$A$2:$N$1100,3,FALSE()))," ")</f>
        <v xml:space="preserve"> </v>
      </c>
      <c r="J438" s="56" t="str">
        <f>IFERROR((VLOOKUP(G438,'Planilha de Cadastro - Previsão'!$A$2:$N$1100,5,FALSE()))," ")</f>
        <v xml:space="preserve"> </v>
      </c>
      <c r="K438" s="57" t="str">
        <f>IFERROR((VLOOKUP(G438,'Planilha de Cadastro - Previsão'!$A$2:$N$1100,9,FALSE()))," ")</f>
        <v xml:space="preserve"> </v>
      </c>
    </row>
    <row r="439" spans="1:11" x14ac:dyDescent="0.25">
      <c r="A439">
        <f>COUNTIF($C$2:C439,C439)</f>
        <v>438</v>
      </c>
      <c r="B439" s="1" t="str">
        <f t="shared" si="12"/>
        <v>438</v>
      </c>
      <c r="C439" s="1" t="str">
        <f>IFERROR(VLOOKUP(D439,'Planilha de Cadastro - Previsão'!$A$2:$O$1000,15,FALSE()),"")</f>
        <v/>
      </c>
      <c r="D439" s="1">
        <v>438</v>
      </c>
      <c r="E439" s="1"/>
      <c r="F439" s="1"/>
      <c r="G439" s="54" t="str">
        <f t="shared" si="13"/>
        <v/>
      </c>
      <c r="H439" s="55" t="str">
        <f>IFERROR((VLOOKUP(G439,'Planilha de Cadastro - Previsão'!$A$2:$N$1100,2,FALSE()))," ")</f>
        <v xml:space="preserve"> </v>
      </c>
      <c r="I439" s="54" t="str">
        <f>IFERROR((VLOOKUP(G439,'Planilha de Cadastro - Previsão'!$A$2:$N$1100,3,FALSE()))," ")</f>
        <v xml:space="preserve"> </v>
      </c>
      <c r="J439" s="56" t="str">
        <f>IFERROR((VLOOKUP(G439,'Planilha de Cadastro - Previsão'!$A$2:$N$1100,5,FALSE()))," ")</f>
        <v xml:space="preserve"> </v>
      </c>
      <c r="K439" s="57" t="str">
        <f>IFERROR((VLOOKUP(G439,'Planilha de Cadastro - Previsão'!$A$2:$N$1100,9,FALSE()))," ")</f>
        <v xml:space="preserve"> </v>
      </c>
    </row>
    <row r="440" spans="1:11" x14ac:dyDescent="0.25">
      <c r="A440">
        <f>COUNTIF($C$2:C440,C440)</f>
        <v>439</v>
      </c>
      <c r="B440" s="1" t="str">
        <f t="shared" si="12"/>
        <v>439</v>
      </c>
      <c r="C440" s="1" t="str">
        <f>IFERROR(VLOOKUP(D440,'Planilha de Cadastro - Previsão'!$A$2:$O$1000,15,FALSE()),"")</f>
        <v/>
      </c>
      <c r="D440" s="1">
        <v>439</v>
      </c>
      <c r="E440" s="1"/>
      <c r="F440" s="1"/>
      <c r="G440" s="54" t="str">
        <f t="shared" si="13"/>
        <v/>
      </c>
      <c r="H440" s="55" t="str">
        <f>IFERROR((VLOOKUP(G440,'Planilha de Cadastro - Previsão'!$A$2:$N$1100,2,FALSE()))," ")</f>
        <v xml:space="preserve"> </v>
      </c>
      <c r="I440" s="54" t="str">
        <f>IFERROR((VLOOKUP(G440,'Planilha de Cadastro - Previsão'!$A$2:$N$1100,3,FALSE()))," ")</f>
        <v xml:space="preserve"> </v>
      </c>
      <c r="J440" s="56" t="str">
        <f>IFERROR((VLOOKUP(G440,'Planilha de Cadastro - Previsão'!$A$2:$N$1100,5,FALSE()))," ")</f>
        <v xml:space="preserve"> </v>
      </c>
      <c r="K440" s="57" t="str">
        <f>IFERROR((VLOOKUP(G440,'Planilha de Cadastro - Previsão'!$A$2:$N$1100,9,FALSE()))," ")</f>
        <v xml:space="preserve"> </v>
      </c>
    </row>
    <row r="441" spans="1:11" x14ac:dyDescent="0.25">
      <c r="A441">
        <f>COUNTIF($C$2:C441,C441)</f>
        <v>440</v>
      </c>
      <c r="B441" s="1" t="str">
        <f t="shared" si="12"/>
        <v>440</v>
      </c>
      <c r="C441" s="1" t="str">
        <f>IFERROR(VLOOKUP(D441,'Planilha de Cadastro - Previsão'!$A$2:$O$1000,15,FALSE()),"")</f>
        <v/>
      </c>
      <c r="D441" s="1">
        <v>440</v>
      </c>
      <c r="E441" s="1"/>
      <c r="F441" s="1"/>
      <c r="G441" s="54" t="str">
        <f t="shared" si="13"/>
        <v/>
      </c>
      <c r="H441" s="55" t="str">
        <f>IFERROR((VLOOKUP(G441,'Planilha de Cadastro - Previsão'!$A$2:$N$1100,2,FALSE()))," ")</f>
        <v xml:space="preserve"> </v>
      </c>
      <c r="I441" s="54" t="str">
        <f>IFERROR((VLOOKUP(G441,'Planilha de Cadastro - Previsão'!$A$2:$N$1100,3,FALSE()))," ")</f>
        <v xml:space="preserve"> </v>
      </c>
      <c r="J441" s="56" t="str">
        <f>IFERROR((VLOOKUP(G441,'Planilha de Cadastro - Previsão'!$A$2:$N$1100,5,FALSE()))," ")</f>
        <v xml:space="preserve"> </v>
      </c>
      <c r="K441" s="57" t="str">
        <f>IFERROR((VLOOKUP(G441,'Planilha de Cadastro - Previsão'!$A$2:$N$1100,9,FALSE()))," ")</f>
        <v xml:space="preserve"> </v>
      </c>
    </row>
    <row r="442" spans="1:11" x14ac:dyDescent="0.25">
      <c r="A442">
        <f>COUNTIF($C$2:C442,C442)</f>
        <v>441</v>
      </c>
      <c r="B442" s="1" t="str">
        <f t="shared" si="12"/>
        <v>441</v>
      </c>
      <c r="C442" s="1" t="str">
        <f>IFERROR(VLOOKUP(D442,'Planilha de Cadastro - Previsão'!$A$2:$O$1000,15,FALSE()),"")</f>
        <v/>
      </c>
      <c r="D442" s="1">
        <v>441</v>
      </c>
      <c r="E442" s="1"/>
      <c r="F442" s="1"/>
      <c r="G442" s="54" t="str">
        <f t="shared" si="13"/>
        <v/>
      </c>
      <c r="H442" s="55" t="str">
        <f>IFERROR((VLOOKUP(G442,'Planilha de Cadastro - Previsão'!$A$2:$N$1100,2,FALSE()))," ")</f>
        <v xml:space="preserve"> </v>
      </c>
      <c r="I442" s="54" t="str">
        <f>IFERROR((VLOOKUP(G442,'Planilha de Cadastro - Previsão'!$A$2:$N$1100,3,FALSE()))," ")</f>
        <v xml:space="preserve"> </v>
      </c>
      <c r="J442" s="56" t="str">
        <f>IFERROR((VLOOKUP(G442,'Planilha de Cadastro - Previsão'!$A$2:$N$1100,5,FALSE()))," ")</f>
        <v xml:space="preserve"> </v>
      </c>
      <c r="K442" s="57" t="str">
        <f>IFERROR((VLOOKUP(G442,'Planilha de Cadastro - Previsão'!$A$2:$N$1100,9,FALSE()))," ")</f>
        <v xml:space="preserve"> </v>
      </c>
    </row>
    <row r="443" spans="1:11" x14ac:dyDescent="0.25">
      <c r="A443">
        <f>COUNTIF($C$2:C443,C443)</f>
        <v>442</v>
      </c>
      <c r="B443" s="1" t="str">
        <f t="shared" si="12"/>
        <v>442</v>
      </c>
      <c r="C443" s="1" t="str">
        <f>IFERROR(VLOOKUP(D443,'Planilha de Cadastro - Previsão'!$A$2:$O$1000,15,FALSE()),"")</f>
        <v/>
      </c>
      <c r="D443" s="1">
        <v>442</v>
      </c>
      <c r="E443" s="1"/>
      <c r="F443" s="1"/>
      <c r="G443" s="54" t="str">
        <f t="shared" si="13"/>
        <v/>
      </c>
      <c r="H443" s="55" t="str">
        <f>IFERROR((VLOOKUP(G443,'Planilha de Cadastro - Previsão'!$A$2:$N$1100,2,FALSE()))," ")</f>
        <v xml:space="preserve"> </v>
      </c>
      <c r="I443" s="54" t="str">
        <f>IFERROR((VLOOKUP(G443,'Planilha de Cadastro - Previsão'!$A$2:$N$1100,3,FALSE()))," ")</f>
        <v xml:space="preserve"> </v>
      </c>
      <c r="J443" s="56" t="str">
        <f>IFERROR((VLOOKUP(G443,'Planilha de Cadastro - Previsão'!$A$2:$N$1100,5,FALSE()))," ")</f>
        <v xml:space="preserve"> </v>
      </c>
      <c r="K443" s="57" t="str">
        <f>IFERROR((VLOOKUP(G443,'Planilha de Cadastro - Previsão'!$A$2:$N$1100,9,FALSE()))," ")</f>
        <v xml:space="preserve"> </v>
      </c>
    </row>
    <row r="444" spans="1:11" x14ac:dyDescent="0.25">
      <c r="A444">
        <f>COUNTIF($C$2:C444,C444)</f>
        <v>443</v>
      </c>
      <c r="B444" s="1" t="str">
        <f t="shared" si="12"/>
        <v>443</v>
      </c>
      <c r="C444" s="1" t="str">
        <f>IFERROR(VLOOKUP(D444,'Planilha de Cadastro - Previsão'!$A$2:$O$1000,15,FALSE()),"")</f>
        <v/>
      </c>
      <c r="D444" s="1">
        <v>443</v>
      </c>
      <c r="E444" s="1"/>
      <c r="F444" s="1"/>
      <c r="G444" s="54" t="str">
        <f t="shared" si="13"/>
        <v/>
      </c>
      <c r="H444" s="55" t="str">
        <f>IFERROR((VLOOKUP(G444,'Planilha de Cadastro - Previsão'!$A$2:$N$1100,2,FALSE()))," ")</f>
        <v xml:space="preserve"> </v>
      </c>
      <c r="I444" s="54" t="str">
        <f>IFERROR((VLOOKUP(G444,'Planilha de Cadastro - Previsão'!$A$2:$N$1100,3,FALSE()))," ")</f>
        <v xml:space="preserve"> </v>
      </c>
      <c r="J444" s="56" t="str">
        <f>IFERROR((VLOOKUP(G444,'Planilha de Cadastro - Previsão'!$A$2:$N$1100,5,FALSE()))," ")</f>
        <v xml:space="preserve"> </v>
      </c>
      <c r="K444" s="57" t="str">
        <f>IFERROR((VLOOKUP(G444,'Planilha de Cadastro - Previsão'!$A$2:$N$1100,9,FALSE()))," ")</f>
        <v xml:space="preserve"> </v>
      </c>
    </row>
    <row r="445" spans="1:11" x14ac:dyDescent="0.25">
      <c r="A445">
        <f>COUNTIF($C$2:C445,C445)</f>
        <v>444</v>
      </c>
      <c r="B445" s="1" t="str">
        <f t="shared" si="12"/>
        <v>444</v>
      </c>
      <c r="C445" s="1" t="str">
        <f>IFERROR(VLOOKUP(D445,'Planilha de Cadastro - Previsão'!$A$2:$O$1000,15,FALSE()),"")</f>
        <v/>
      </c>
      <c r="D445" s="1">
        <v>444</v>
      </c>
      <c r="E445" s="1"/>
      <c r="F445" s="1"/>
      <c r="G445" s="54" t="str">
        <f t="shared" si="13"/>
        <v/>
      </c>
      <c r="H445" s="55" t="str">
        <f>IFERROR((VLOOKUP(G445,'Planilha de Cadastro - Previsão'!$A$2:$N$1100,2,FALSE()))," ")</f>
        <v xml:space="preserve"> </v>
      </c>
      <c r="I445" s="54" t="str">
        <f>IFERROR((VLOOKUP(G445,'Planilha de Cadastro - Previsão'!$A$2:$N$1100,3,FALSE()))," ")</f>
        <v xml:space="preserve"> </v>
      </c>
      <c r="J445" s="56" t="str">
        <f>IFERROR((VLOOKUP(G445,'Planilha de Cadastro - Previsão'!$A$2:$N$1100,5,FALSE()))," ")</f>
        <v xml:space="preserve"> </v>
      </c>
      <c r="K445" s="57" t="str">
        <f>IFERROR((VLOOKUP(G445,'Planilha de Cadastro - Previsão'!$A$2:$N$1100,9,FALSE()))," ")</f>
        <v xml:space="preserve"> </v>
      </c>
    </row>
    <row r="446" spans="1:11" x14ac:dyDescent="0.25">
      <c r="A446">
        <f>COUNTIF($C$2:C446,C446)</f>
        <v>445</v>
      </c>
      <c r="B446" s="1" t="str">
        <f t="shared" si="12"/>
        <v>445</v>
      </c>
      <c r="C446" s="1" t="str">
        <f>IFERROR(VLOOKUP(D446,'Planilha de Cadastro - Previsão'!$A$2:$O$1000,15,FALSE()),"")</f>
        <v/>
      </c>
      <c r="D446" s="1">
        <v>445</v>
      </c>
      <c r="E446" s="1"/>
      <c r="F446" s="1"/>
      <c r="G446" s="54" t="str">
        <f t="shared" si="13"/>
        <v/>
      </c>
      <c r="H446" s="55" t="str">
        <f>IFERROR((VLOOKUP(G446,'Planilha de Cadastro - Previsão'!$A$2:$N$1100,2,FALSE()))," ")</f>
        <v xml:space="preserve"> </v>
      </c>
      <c r="I446" s="54" t="str">
        <f>IFERROR((VLOOKUP(G446,'Planilha de Cadastro - Previsão'!$A$2:$N$1100,3,FALSE()))," ")</f>
        <v xml:space="preserve"> </v>
      </c>
      <c r="J446" s="56" t="str">
        <f>IFERROR((VLOOKUP(G446,'Planilha de Cadastro - Previsão'!$A$2:$N$1100,5,FALSE()))," ")</f>
        <v xml:space="preserve"> </v>
      </c>
      <c r="K446" s="57" t="str">
        <f>IFERROR((VLOOKUP(G446,'Planilha de Cadastro - Previsão'!$A$2:$N$1100,9,FALSE()))," ")</f>
        <v xml:space="preserve"> </v>
      </c>
    </row>
    <row r="447" spans="1:11" x14ac:dyDescent="0.25">
      <c r="A447">
        <f>COUNTIF($C$2:C447,C447)</f>
        <v>446</v>
      </c>
      <c r="B447" s="1" t="str">
        <f t="shared" si="12"/>
        <v>446</v>
      </c>
      <c r="C447" s="1" t="str">
        <f>IFERROR(VLOOKUP(D447,'Planilha de Cadastro - Previsão'!$A$2:$O$1000,15,FALSE()),"")</f>
        <v/>
      </c>
      <c r="D447" s="1">
        <v>446</v>
      </c>
      <c r="E447" s="1"/>
      <c r="F447" s="1"/>
      <c r="G447" s="54" t="str">
        <f t="shared" si="13"/>
        <v/>
      </c>
      <c r="H447" s="55" t="str">
        <f>IFERROR((VLOOKUP(G447,'Planilha de Cadastro - Previsão'!$A$2:$N$1100,2,FALSE()))," ")</f>
        <v xml:space="preserve"> </v>
      </c>
      <c r="I447" s="54" t="str">
        <f>IFERROR((VLOOKUP(G447,'Planilha de Cadastro - Previsão'!$A$2:$N$1100,3,FALSE()))," ")</f>
        <v xml:space="preserve"> </v>
      </c>
      <c r="J447" s="56" t="str">
        <f>IFERROR((VLOOKUP(G447,'Planilha de Cadastro - Previsão'!$A$2:$N$1100,5,FALSE()))," ")</f>
        <v xml:space="preserve"> </v>
      </c>
      <c r="K447" s="57" t="str">
        <f>IFERROR((VLOOKUP(G447,'Planilha de Cadastro - Previsão'!$A$2:$N$1100,9,FALSE()))," ")</f>
        <v xml:space="preserve"> </v>
      </c>
    </row>
    <row r="448" spans="1:11" x14ac:dyDescent="0.25">
      <c r="A448">
        <f>COUNTIF($C$2:C448,C448)</f>
        <v>447</v>
      </c>
      <c r="B448" s="1" t="str">
        <f t="shared" si="12"/>
        <v>447</v>
      </c>
      <c r="C448" s="1" t="str">
        <f>IFERROR(VLOOKUP(D448,'Planilha de Cadastro - Previsão'!$A$2:$O$1000,15,FALSE()),"")</f>
        <v/>
      </c>
      <c r="D448" s="1">
        <v>447</v>
      </c>
      <c r="E448" s="1"/>
      <c r="F448" s="1"/>
      <c r="G448" s="54" t="str">
        <f t="shared" si="13"/>
        <v/>
      </c>
      <c r="H448" s="55" t="str">
        <f>IFERROR((VLOOKUP(G448,'Planilha de Cadastro - Previsão'!$A$2:$N$1100,2,FALSE()))," ")</f>
        <v xml:space="preserve"> </v>
      </c>
      <c r="I448" s="54" t="str">
        <f>IFERROR((VLOOKUP(G448,'Planilha de Cadastro - Previsão'!$A$2:$N$1100,3,FALSE()))," ")</f>
        <v xml:space="preserve"> </v>
      </c>
      <c r="J448" s="56" t="str">
        <f>IFERROR((VLOOKUP(G448,'Planilha de Cadastro - Previsão'!$A$2:$N$1100,5,FALSE()))," ")</f>
        <v xml:space="preserve"> </v>
      </c>
      <c r="K448" s="57" t="str">
        <f>IFERROR((VLOOKUP(G448,'Planilha de Cadastro - Previsão'!$A$2:$N$1100,9,FALSE()))," ")</f>
        <v xml:space="preserve"> </v>
      </c>
    </row>
    <row r="449" spans="1:11" x14ac:dyDescent="0.25">
      <c r="A449">
        <f>COUNTIF($C$2:C449,C449)</f>
        <v>448</v>
      </c>
      <c r="B449" s="1" t="str">
        <f t="shared" si="12"/>
        <v>448</v>
      </c>
      <c r="C449" s="1" t="str">
        <f>IFERROR(VLOOKUP(D449,'Planilha de Cadastro - Previsão'!$A$2:$O$1000,15,FALSE()),"")</f>
        <v/>
      </c>
      <c r="D449" s="1">
        <v>448</v>
      </c>
      <c r="E449" s="1"/>
      <c r="F449" s="1"/>
      <c r="G449" s="54" t="str">
        <f t="shared" si="13"/>
        <v/>
      </c>
      <c r="H449" s="55" t="str">
        <f>IFERROR((VLOOKUP(G449,'Planilha de Cadastro - Previsão'!$A$2:$N$1100,2,FALSE()))," ")</f>
        <v xml:space="preserve"> </v>
      </c>
      <c r="I449" s="54" t="str">
        <f>IFERROR((VLOOKUP(G449,'Planilha de Cadastro - Previsão'!$A$2:$N$1100,3,FALSE()))," ")</f>
        <v xml:space="preserve"> </v>
      </c>
      <c r="J449" s="56" t="str">
        <f>IFERROR((VLOOKUP(G449,'Planilha de Cadastro - Previsão'!$A$2:$N$1100,5,FALSE()))," ")</f>
        <v xml:space="preserve"> </v>
      </c>
      <c r="K449" s="57" t="str">
        <f>IFERROR((VLOOKUP(G449,'Planilha de Cadastro - Previsão'!$A$2:$N$1100,9,FALSE()))," ")</f>
        <v xml:space="preserve"> </v>
      </c>
    </row>
    <row r="450" spans="1:11" x14ac:dyDescent="0.25">
      <c r="A450">
        <f>COUNTIF($C$2:C450,C450)</f>
        <v>449</v>
      </c>
      <c r="B450" s="1" t="str">
        <f t="shared" si="12"/>
        <v>449</v>
      </c>
      <c r="C450" s="1" t="str">
        <f>IFERROR(VLOOKUP(D450,'Planilha de Cadastro - Previsão'!$A$2:$O$1000,15,FALSE()),"")</f>
        <v/>
      </c>
      <c r="D450" s="1">
        <v>449</v>
      </c>
      <c r="E450" s="1"/>
      <c r="F450" s="1"/>
      <c r="G450" s="54" t="str">
        <f t="shared" si="13"/>
        <v/>
      </c>
      <c r="H450" s="55" t="str">
        <f>IFERROR((VLOOKUP(G450,'Planilha de Cadastro - Previsão'!$A$2:$N$1100,2,FALSE()))," ")</f>
        <v xml:space="preserve"> </v>
      </c>
      <c r="I450" s="54" t="str">
        <f>IFERROR((VLOOKUP(G450,'Planilha de Cadastro - Previsão'!$A$2:$N$1100,3,FALSE()))," ")</f>
        <v xml:space="preserve"> </v>
      </c>
      <c r="J450" s="56" t="str">
        <f>IFERROR((VLOOKUP(G450,'Planilha de Cadastro - Previsão'!$A$2:$N$1100,5,FALSE()))," ")</f>
        <v xml:space="preserve"> </v>
      </c>
      <c r="K450" s="57" t="str">
        <f>IFERROR((VLOOKUP(G450,'Planilha de Cadastro - Previsão'!$A$2:$N$1100,9,FALSE()))," ")</f>
        <v xml:space="preserve"> </v>
      </c>
    </row>
    <row r="451" spans="1:11" x14ac:dyDescent="0.25">
      <c r="A451">
        <f>COUNTIF($C$2:C451,C451)</f>
        <v>450</v>
      </c>
      <c r="B451" s="1" t="str">
        <f t="shared" ref="B451:B514" si="14">IFERROR(CONCATENATE(C451,A451),"")</f>
        <v>450</v>
      </c>
      <c r="C451" s="1" t="str">
        <f>IFERROR(VLOOKUP(D451,'Planilha de Cadastro - Previsão'!$A$2:$O$1000,15,FALSE()),"")</f>
        <v/>
      </c>
      <c r="D451" s="1">
        <v>450</v>
      </c>
      <c r="E451" s="1"/>
      <c r="F451" s="1"/>
      <c r="G451" s="54" t="str">
        <f t="shared" si="13"/>
        <v/>
      </c>
      <c r="H451" s="55" t="str">
        <f>IFERROR((VLOOKUP(G451,'Planilha de Cadastro - Previsão'!$A$2:$N$1100,2,FALSE()))," ")</f>
        <v xml:space="preserve"> </v>
      </c>
      <c r="I451" s="54" t="str">
        <f>IFERROR((VLOOKUP(G451,'Planilha de Cadastro - Previsão'!$A$2:$N$1100,3,FALSE()))," ")</f>
        <v xml:space="preserve"> </v>
      </c>
      <c r="J451" s="56" t="str">
        <f>IFERROR((VLOOKUP(G451,'Planilha de Cadastro - Previsão'!$A$2:$N$1100,5,FALSE()))," ")</f>
        <v xml:space="preserve"> </v>
      </c>
      <c r="K451" s="57" t="str">
        <f>IFERROR((VLOOKUP(G451,'Planilha de Cadastro - Previsão'!$A$2:$N$1100,9,FALSE()))," ")</f>
        <v xml:space="preserve"> </v>
      </c>
    </row>
    <row r="452" spans="1:11" x14ac:dyDescent="0.25">
      <c r="A452">
        <f>COUNTIF($C$2:C452,C452)</f>
        <v>451</v>
      </c>
      <c r="B452" s="1" t="str">
        <f t="shared" si="14"/>
        <v>451</v>
      </c>
      <c r="C452" s="1" t="str">
        <f>IFERROR(VLOOKUP(D452,'Planilha de Cadastro - Previsão'!$A$2:$O$1000,15,FALSE()),"")</f>
        <v/>
      </c>
      <c r="D452" s="1">
        <v>451</v>
      </c>
      <c r="E452" s="1"/>
      <c r="F452" s="1"/>
      <c r="G452" s="54" t="str">
        <f t="shared" si="13"/>
        <v/>
      </c>
      <c r="H452" s="55" t="str">
        <f>IFERROR((VLOOKUP(G452,'Planilha de Cadastro - Previsão'!$A$2:$N$1100,2,FALSE()))," ")</f>
        <v xml:space="preserve"> </v>
      </c>
      <c r="I452" s="54" t="str">
        <f>IFERROR((VLOOKUP(G452,'Planilha de Cadastro - Previsão'!$A$2:$N$1100,3,FALSE()))," ")</f>
        <v xml:space="preserve"> </v>
      </c>
      <c r="J452" s="56" t="str">
        <f>IFERROR((VLOOKUP(G452,'Planilha de Cadastro - Previsão'!$A$2:$N$1100,5,FALSE()))," ")</f>
        <v xml:space="preserve"> </v>
      </c>
      <c r="K452" s="57" t="str">
        <f>IFERROR((VLOOKUP(G452,'Planilha de Cadastro - Previsão'!$A$2:$N$1100,9,FALSE()))," ")</f>
        <v xml:space="preserve"> </v>
      </c>
    </row>
    <row r="453" spans="1:11" x14ac:dyDescent="0.25">
      <c r="A453">
        <f>COUNTIF($C$2:C453,C453)</f>
        <v>452</v>
      </c>
      <c r="B453" s="1" t="str">
        <f t="shared" si="14"/>
        <v>452</v>
      </c>
      <c r="C453" s="1" t="str">
        <f>IFERROR(VLOOKUP(D453,'Planilha de Cadastro - Previsão'!$A$2:$O$1000,15,FALSE()),"")</f>
        <v/>
      </c>
      <c r="D453" s="1">
        <v>452</v>
      </c>
      <c r="E453" s="1"/>
      <c r="F453" s="1"/>
      <c r="G453" s="54" t="str">
        <f t="shared" si="13"/>
        <v/>
      </c>
      <c r="H453" s="55" t="str">
        <f>IFERROR((VLOOKUP(G453,'Planilha de Cadastro - Previsão'!$A$2:$N$1100,2,FALSE()))," ")</f>
        <v xml:space="preserve"> </v>
      </c>
      <c r="I453" s="54" t="str">
        <f>IFERROR((VLOOKUP(G453,'Planilha de Cadastro - Previsão'!$A$2:$N$1100,3,FALSE()))," ")</f>
        <v xml:space="preserve"> </v>
      </c>
      <c r="J453" s="56" t="str">
        <f>IFERROR((VLOOKUP(G453,'Planilha de Cadastro - Previsão'!$A$2:$N$1100,5,FALSE()))," ")</f>
        <v xml:space="preserve"> </v>
      </c>
      <c r="K453" s="57" t="str">
        <f>IFERROR((VLOOKUP(G453,'Planilha de Cadastro - Previsão'!$A$2:$N$1100,9,FALSE()))," ")</f>
        <v xml:space="preserve"> </v>
      </c>
    </row>
    <row r="454" spans="1:11" x14ac:dyDescent="0.25">
      <c r="A454">
        <f>COUNTIF($C$2:C454,C454)</f>
        <v>453</v>
      </c>
      <c r="B454" s="1" t="str">
        <f t="shared" si="14"/>
        <v>453</v>
      </c>
      <c r="C454" s="1" t="str">
        <f>IFERROR(VLOOKUP(D454,'Planilha de Cadastro - Previsão'!$A$2:$O$1000,15,FALSE()),"")</f>
        <v/>
      </c>
      <c r="D454" s="1">
        <v>453</v>
      </c>
      <c r="E454" s="1"/>
      <c r="F454" s="1"/>
      <c r="G454" s="54" t="str">
        <f t="shared" si="13"/>
        <v/>
      </c>
      <c r="H454" s="55" t="str">
        <f>IFERROR((VLOOKUP(G454,'Planilha de Cadastro - Previsão'!$A$2:$N$1100,2,FALSE()))," ")</f>
        <v xml:space="preserve"> </v>
      </c>
      <c r="I454" s="54" t="str">
        <f>IFERROR((VLOOKUP(G454,'Planilha de Cadastro - Previsão'!$A$2:$N$1100,3,FALSE()))," ")</f>
        <v xml:space="preserve"> </v>
      </c>
      <c r="J454" s="56" t="str">
        <f>IFERROR((VLOOKUP(G454,'Planilha de Cadastro - Previsão'!$A$2:$N$1100,5,FALSE()))," ")</f>
        <v xml:space="preserve"> </v>
      </c>
      <c r="K454" s="57" t="str">
        <f>IFERROR((VLOOKUP(G454,'Planilha de Cadastro - Previsão'!$A$2:$N$1100,9,FALSE()))," ")</f>
        <v xml:space="preserve"> </v>
      </c>
    </row>
    <row r="455" spans="1:11" x14ac:dyDescent="0.25">
      <c r="A455">
        <f>COUNTIF($C$2:C455,C455)</f>
        <v>454</v>
      </c>
      <c r="B455" s="1" t="str">
        <f t="shared" si="14"/>
        <v>454</v>
      </c>
      <c r="C455" s="1" t="str">
        <f>IFERROR(VLOOKUP(D455,'Planilha de Cadastro - Previsão'!$A$2:$O$1000,15,FALSE()),"")</f>
        <v/>
      </c>
      <c r="D455" s="1">
        <v>454</v>
      </c>
      <c r="E455" s="1"/>
      <c r="F455" s="1"/>
      <c r="G455" s="54" t="str">
        <f t="shared" si="13"/>
        <v/>
      </c>
      <c r="H455" s="55" t="str">
        <f>IFERROR((VLOOKUP(G455,'Planilha de Cadastro - Previsão'!$A$2:$N$1100,2,FALSE()))," ")</f>
        <v xml:space="preserve"> </v>
      </c>
      <c r="I455" s="54" t="str">
        <f>IFERROR((VLOOKUP(G455,'Planilha de Cadastro - Previsão'!$A$2:$N$1100,3,FALSE()))," ")</f>
        <v xml:space="preserve"> </v>
      </c>
      <c r="J455" s="56" t="str">
        <f>IFERROR((VLOOKUP(G455,'Planilha de Cadastro - Previsão'!$A$2:$N$1100,5,FALSE()))," ")</f>
        <v xml:space="preserve"> </v>
      </c>
      <c r="K455" s="57" t="str">
        <f>IFERROR((VLOOKUP(G455,'Planilha de Cadastro - Previsão'!$A$2:$N$1100,9,FALSE()))," ")</f>
        <v xml:space="preserve"> </v>
      </c>
    </row>
    <row r="456" spans="1:11" x14ac:dyDescent="0.25">
      <c r="A456">
        <f>COUNTIF($C$2:C456,C456)</f>
        <v>455</v>
      </c>
      <c r="B456" s="1" t="str">
        <f t="shared" si="14"/>
        <v>455</v>
      </c>
      <c r="C456" s="1" t="str">
        <f>IFERROR(VLOOKUP(D456,'Planilha de Cadastro - Previsão'!$A$2:$O$1000,15,FALSE()),"")</f>
        <v/>
      </c>
      <c r="D456" s="1">
        <v>455</v>
      </c>
      <c r="E456" s="1"/>
      <c r="F456" s="1"/>
      <c r="G456" s="54" t="str">
        <f t="shared" si="13"/>
        <v/>
      </c>
      <c r="H456" s="55" t="str">
        <f>IFERROR((VLOOKUP(G456,'Planilha de Cadastro - Previsão'!$A$2:$N$1100,2,FALSE()))," ")</f>
        <v xml:space="preserve"> </v>
      </c>
      <c r="I456" s="54" t="str">
        <f>IFERROR((VLOOKUP(G456,'Planilha de Cadastro - Previsão'!$A$2:$N$1100,3,FALSE()))," ")</f>
        <v xml:space="preserve"> </v>
      </c>
      <c r="J456" s="56" t="str">
        <f>IFERROR((VLOOKUP(G456,'Planilha de Cadastro - Previsão'!$A$2:$N$1100,5,FALSE()))," ")</f>
        <v xml:space="preserve"> </v>
      </c>
      <c r="K456" s="57" t="str">
        <f>IFERROR((VLOOKUP(G456,'Planilha de Cadastro - Previsão'!$A$2:$N$1100,9,FALSE()))," ")</f>
        <v xml:space="preserve"> </v>
      </c>
    </row>
    <row r="457" spans="1:11" x14ac:dyDescent="0.25">
      <c r="A457">
        <f>COUNTIF($C$2:C457,C457)</f>
        <v>456</v>
      </c>
      <c r="B457" s="1" t="str">
        <f t="shared" si="14"/>
        <v>456</v>
      </c>
      <c r="C457" s="1" t="str">
        <f>IFERROR(VLOOKUP(D457,'Planilha de Cadastro - Previsão'!$A$2:$O$1000,15,FALSE()),"")</f>
        <v/>
      </c>
      <c r="D457" s="1">
        <v>456</v>
      </c>
      <c r="E457" s="1"/>
      <c r="F457" s="1"/>
      <c r="G457" s="54" t="str">
        <f t="shared" si="13"/>
        <v/>
      </c>
      <c r="H457" s="55" t="str">
        <f>IFERROR((VLOOKUP(G457,'Planilha de Cadastro - Previsão'!$A$2:$N$1100,2,FALSE()))," ")</f>
        <v xml:space="preserve"> </v>
      </c>
      <c r="I457" s="54" t="str">
        <f>IFERROR((VLOOKUP(G457,'Planilha de Cadastro - Previsão'!$A$2:$N$1100,3,FALSE()))," ")</f>
        <v xml:space="preserve"> </v>
      </c>
      <c r="J457" s="56" t="str">
        <f>IFERROR((VLOOKUP(G457,'Planilha de Cadastro - Previsão'!$A$2:$N$1100,5,FALSE()))," ")</f>
        <v xml:space="preserve"> </v>
      </c>
      <c r="K457" s="57" t="str">
        <f>IFERROR((VLOOKUP(G457,'Planilha de Cadastro - Previsão'!$A$2:$N$1100,9,FALSE()))," ")</f>
        <v xml:space="preserve"> </v>
      </c>
    </row>
    <row r="458" spans="1:11" x14ac:dyDescent="0.25">
      <c r="A458">
        <f>COUNTIF($C$2:C458,C458)</f>
        <v>457</v>
      </c>
      <c r="B458" s="1" t="str">
        <f t="shared" si="14"/>
        <v>457</v>
      </c>
      <c r="C458" s="1" t="str">
        <f>IFERROR(VLOOKUP(D458,'Planilha de Cadastro - Previsão'!$A$2:$O$1000,15,FALSE()),"")</f>
        <v/>
      </c>
      <c r="D458" s="1">
        <v>457</v>
      </c>
      <c r="E458" s="1"/>
      <c r="F458" s="1"/>
      <c r="G458" s="54" t="str">
        <f t="shared" ref="G458:G503" si="15">IFERROR((VLOOKUP(CONCATENATE("Sim",D450),$B$2:$D$1000,3,FALSE())),"")</f>
        <v/>
      </c>
      <c r="H458" s="55" t="str">
        <f>IFERROR((VLOOKUP(G458,'Planilha de Cadastro - Previsão'!$A$2:$N$1100,2,FALSE()))," ")</f>
        <v xml:space="preserve"> </v>
      </c>
      <c r="I458" s="54" t="str">
        <f>IFERROR((VLOOKUP(G458,'Planilha de Cadastro - Previsão'!$A$2:$N$1100,3,FALSE()))," ")</f>
        <v xml:space="preserve"> </v>
      </c>
      <c r="J458" s="56" t="str">
        <f>IFERROR((VLOOKUP(G458,'Planilha de Cadastro - Previsão'!$A$2:$N$1100,5,FALSE()))," ")</f>
        <v xml:space="preserve"> </v>
      </c>
      <c r="K458" s="57" t="str">
        <f>IFERROR((VLOOKUP(G458,'Planilha de Cadastro - Previsão'!$A$2:$N$1100,9,FALSE()))," ")</f>
        <v xml:space="preserve"> </v>
      </c>
    </row>
    <row r="459" spans="1:11" x14ac:dyDescent="0.25">
      <c r="A459">
        <f>COUNTIF($C$2:C459,C459)</f>
        <v>458</v>
      </c>
      <c r="B459" s="1" t="str">
        <f t="shared" si="14"/>
        <v>458</v>
      </c>
      <c r="C459" s="1" t="str">
        <f>IFERROR(VLOOKUP(D459,'Planilha de Cadastro - Previsão'!$A$2:$O$1000,15,FALSE()),"")</f>
        <v/>
      </c>
      <c r="D459" s="1">
        <v>458</v>
      </c>
      <c r="E459" s="1"/>
      <c r="F459" s="1"/>
      <c r="G459" s="54" t="str">
        <f t="shared" si="15"/>
        <v/>
      </c>
      <c r="H459" s="55" t="str">
        <f>IFERROR((VLOOKUP(G459,'Planilha de Cadastro - Previsão'!$A$2:$N$1100,2,FALSE()))," ")</f>
        <v xml:space="preserve"> </v>
      </c>
      <c r="I459" s="54" t="str">
        <f>IFERROR((VLOOKUP(G459,'Planilha de Cadastro - Previsão'!$A$2:$N$1100,3,FALSE()))," ")</f>
        <v xml:space="preserve"> </v>
      </c>
      <c r="J459" s="56" t="str">
        <f>IFERROR((VLOOKUP(G459,'Planilha de Cadastro - Previsão'!$A$2:$N$1100,5,FALSE()))," ")</f>
        <v xml:space="preserve"> </v>
      </c>
      <c r="K459" s="57" t="str">
        <f>IFERROR((VLOOKUP(G459,'Planilha de Cadastro - Previsão'!$A$2:$N$1100,9,FALSE()))," ")</f>
        <v xml:space="preserve"> </v>
      </c>
    </row>
    <row r="460" spans="1:11" x14ac:dyDescent="0.25">
      <c r="A460">
        <f>COUNTIF($C$2:C460,C460)</f>
        <v>459</v>
      </c>
      <c r="B460" s="1" t="str">
        <f t="shared" si="14"/>
        <v>459</v>
      </c>
      <c r="C460" s="1" t="str">
        <f>IFERROR(VLOOKUP(D460,'Planilha de Cadastro - Previsão'!$A$2:$O$1000,15,FALSE()),"")</f>
        <v/>
      </c>
      <c r="D460" s="1">
        <v>459</v>
      </c>
      <c r="E460" s="1"/>
      <c r="F460" s="1"/>
      <c r="G460" s="54" t="str">
        <f t="shared" si="15"/>
        <v/>
      </c>
      <c r="H460" s="55" t="str">
        <f>IFERROR((VLOOKUP(G460,'Planilha de Cadastro - Previsão'!$A$2:$N$1100,2,FALSE()))," ")</f>
        <v xml:space="preserve"> </v>
      </c>
      <c r="I460" s="54" t="str">
        <f>IFERROR((VLOOKUP(G460,'Planilha de Cadastro - Previsão'!$A$2:$N$1100,3,FALSE()))," ")</f>
        <v xml:space="preserve"> </v>
      </c>
      <c r="J460" s="56" t="str">
        <f>IFERROR((VLOOKUP(G460,'Planilha de Cadastro - Previsão'!$A$2:$N$1100,5,FALSE()))," ")</f>
        <v xml:space="preserve"> </v>
      </c>
      <c r="K460" s="57" t="str">
        <f>IFERROR((VLOOKUP(G460,'Planilha de Cadastro - Previsão'!$A$2:$N$1100,9,FALSE()))," ")</f>
        <v xml:space="preserve"> </v>
      </c>
    </row>
    <row r="461" spans="1:11" x14ac:dyDescent="0.25">
      <c r="A461">
        <f>COUNTIF($C$2:C461,C461)</f>
        <v>460</v>
      </c>
      <c r="B461" s="1" t="str">
        <f t="shared" si="14"/>
        <v>460</v>
      </c>
      <c r="C461" s="1" t="str">
        <f>IFERROR(VLOOKUP(D461,'Planilha de Cadastro - Previsão'!$A$2:$O$1000,15,FALSE()),"")</f>
        <v/>
      </c>
      <c r="D461" s="1">
        <v>460</v>
      </c>
      <c r="E461" s="1"/>
      <c r="F461" s="1"/>
      <c r="G461" s="54" t="str">
        <f t="shared" si="15"/>
        <v/>
      </c>
      <c r="H461" s="55" t="str">
        <f>IFERROR((VLOOKUP(G461,'Planilha de Cadastro - Previsão'!$A$2:$N$1100,2,FALSE()))," ")</f>
        <v xml:space="preserve"> </v>
      </c>
      <c r="I461" s="54" t="str">
        <f>IFERROR((VLOOKUP(G461,'Planilha de Cadastro - Previsão'!$A$2:$N$1100,3,FALSE()))," ")</f>
        <v xml:space="preserve"> </v>
      </c>
      <c r="J461" s="56" t="str">
        <f>IFERROR((VLOOKUP(G461,'Planilha de Cadastro - Previsão'!$A$2:$N$1100,5,FALSE()))," ")</f>
        <v xml:space="preserve"> </v>
      </c>
      <c r="K461" s="57" t="str">
        <f>IFERROR((VLOOKUP(G461,'Planilha de Cadastro - Previsão'!$A$2:$N$1100,9,FALSE()))," ")</f>
        <v xml:space="preserve"> </v>
      </c>
    </row>
    <row r="462" spans="1:11" x14ac:dyDescent="0.25">
      <c r="A462">
        <f>COUNTIF($C$2:C462,C462)</f>
        <v>461</v>
      </c>
      <c r="B462" s="1" t="str">
        <f t="shared" si="14"/>
        <v>461</v>
      </c>
      <c r="C462" s="1" t="str">
        <f>IFERROR(VLOOKUP(D462,'Planilha de Cadastro - Previsão'!$A$2:$O$1000,15,FALSE()),"")</f>
        <v/>
      </c>
      <c r="D462" s="1">
        <v>461</v>
      </c>
      <c r="E462" s="1"/>
      <c r="F462" s="1"/>
      <c r="G462" s="54" t="str">
        <f t="shared" si="15"/>
        <v/>
      </c>
      <c r="H462" s="55" t="str">
        <f>IFERROR((VLOOKUP(G462,'Planilha de Cadastro - Previsão'!$A$2:$N$1100,2,FALSE()))," ")</f>
        <v xml:space="preserve"> </v>
      </c>
      <c r="I462" s="54" t="str">
        <f>IFERROR((VLOOKUP(G462,'Planilha de Cadastro - Previsão'!$A$2:$N$1100,3,FALSE()))," ")</f>
        <v xml:space="preserve"> </v>
      </c>
      <c r="J462" s="56" t="str">
        <f>IFERROR((VLOOKUP(G462,'Planilha de Cadastro - Previsão'!$A$2:$N$1100,5,FALSE()))," ")</f>
        <v xml:space="preserve"> </v>
      </c>
      <c r="K462" s="57" t="str">
        <f>IFERROR((VLOOKUP(G462,'Planilha de Cadastro - Previsão'!$A$2:$N$1100,9,FALSE()))," ")</f>
        <v xml:space="preserve"> </v>
      </c>
    </row>
    <row r="463" spans="1:11" x14ac:dyDescent="0.25">
      <c r="A463">
        <f>COUNTIF($C$2:C463,C463)</f>
        <v>462</v>
      </c>
      <c r="B463" s="1" t="str">
        <f t="shared" si="14"/>
        <v>462</v>
      </c>
      <c r="C463" s="1" t="str">
        <f>IFERROR(VLOOKUP(D463,'Planilha de Cadastro - Previsão'!$A$2:$O$1000,15,FALSE()),"")</f>
        <v/>
      </c>
      <c r="D463" s="1">
        <v>462</v>
      </c>
      <c r="E463" s="1"/>
      <c r="F463" s="1"/>
      <c r="G463" s="54" t="str">
        <f t="shared" si="15"/>
        <v/>
      </c>
      <c r="H463" s="55" t="str">
        <f>IFERROR((VLOOKUP(G463,'Planilha de Cadastro - Previsão'!$A$2:$N$1100,2,FALSE()))," ")</f>
        <v xml:space="preserve"> </v>
      </c>
      <c r="I463" s="54" t="str">
        <f>IFERROR((VLOOKUP(G463,'Planilha de Cadastro - Previsão'!$A$2:$N$1100,3,FALSE()))," ")</f>
        <v xml:space="preserve"> </v>
      </c>
      <c r="J463" s="56" t="str">
        <f>IFERROR((VLOOKUP(G463,'Planilha de Cadastro - Previsão'!$A$2:$N$1100,5,FALSE()))," ")</f>
        <v xml:space="preserve"> </v>
      </c>
      <c r="K463" s="57" t="str">
        <f>IFERROR((VLOOKUP(G463,'Planilha de Cadastro - Previsão'!$A$2:$N$1100,9,FALSE()))," ")</f>
        <v xml:space="preserve"> </v>
      </c>
    </row>
    <row r="464" spans="1:11" x14ac:dyDescent="0.25">
      <c r="A464">
        <f>COUNTIF($C$2:C464,C464)</f>
        <v>463</v>
      </c>
      <c r="B464" s="1" t="str">
        <f t="shared" si="14"/>
        <v>463</v>
      </c>
      <c r="C464" s="1" t="str">
        <f>IFERROR(VLOOKUP(D464,'Planilha de Cadastro - Previsão'!$A$2:$O$1000,15,FALSE()),"")</f>
        <v/>
      </c>
      <c r="D464" s="1">
        <v>463</v>
      </c>
      <c r="E464" s="1"/>
      <c r="F464" s="1"/>
      <c r="G464" s="54" t="str">
        <f t="shared" si="15"/>
        <v/>
      </c>
      <c r="H464" s="55" t="str">
        <f>IFERROR((VLOOKUP(G464,'Planilha de Cadastro - Previsão'!$A$2:$N$1100,2,FALSE()))," ")</f>
        <v xml:space="preserve"> </v>
      </c>
      <c r="I464" s="54" t="str">
        <f>IFERROR((VLOOKUP(G464,'Planilha de Cadastro - Previsão'!$A$2:$N$1100,3,FALSE()))," ")</f>
        <v xml:space="preserve"> </v>
      </c>
      <c r="J464" s="56" t="str">
        <f>IFERROR((VLOOKUP(G464,'Planilha de Cadastro - Previsão'!$A$2:$N$1100,5,FALSE()))," ")</f>
        <v xml:space="preserve"> </v>
      </c>
      <c r="K464" s="57" t="str">
        <f>IFERROR((VLOOKUP(G464,'Planilha de Cadastro - Previsão'!$A$2:$N$1100,9,FALSE()))," ")</f>
        <v xml:space="preserve"> </v>
      </c>
    </row>
    <row r="465" spans="1:11" x14ac:dyDescent="0.25">
      <c r="A465">
        <f>COUNTIF($C$2:C465,C465)</f>
        <v>464</v>
      </c>
      <c r="B465" s="1" t="str">
        <f t="shared" si="14"/>
        <v>464</v>
      </c>
      <c r="C465" s="1" t="str">
        <f>IFERROR(VLOOKUP(D465,'Planilha de Cadastro - Previsão'!$A$2:$O$1000,15,FALSE()),"")</f>
        <v/>
      </c>
      <c r="D465" s="1">
        <v>464</v>
      </c>
      <c r="E465" s="1"/>
      <c r="F465" s="1"/>
      <c r="G465" s="54" t="str">
        <f t="shared" si="15"/>
        <v/>
      </c>
      <c r="H465" s="55" t="str">
        <f>IFERROR((VLOOKUP(G465,'Planilha de Cadastro - Previsão'!$A$2:$N$1100,2,FALSE()))," ")</f>
        <v xml:space="preserve"> </v>
      </c>
      <c r="I465" s="54" t="str">
        <f>IFERROR((VLOOKUP(G465,'Planilha de Cadastro - Previsão'!$A$2:$N$1100,3,FALSE()))," ")</f>
        <v xml:space="preserve"> </v>
      </c>
      <c r="J465" s="56" t="str">
        <f>IFERROR((VLOOKUP(G465,'Planilha de Cadastro - Previsão'!$A$2:$N$1100,5,FALSE()))," ")</f>
        <v xml:space="preserve"> </v>
      </c>
      <c r="K465" s="57" t="str">
        <f>IFERROR((VLOOKUP(G465,'Planilha de Cadastro - Previsão'!$A$2:$N$1100,9,FALSE()))," ")</f>
        <v xml:space="preserve"> </v>
      </c>
    </row>
    <row r="466" spans="1:11" x14ac:dyDescent="0.25">
      <c r="A466">
        <f>COUNTIF($C$2:C466,C466)</f>
        <v>465</v>
      </c>
      <c r="B466" s="1" t="str">
        <f t="shared" si="14"/>
        <v>465</v>
      </c>
      <c r="C466" s="1" t="str">
        <f>IFERROR(VLOOKUP(D466,'Planilha de Cadastro - Previsão'!$A$2:$O$1000,15,FALSE()),"")</f>
        <v/>
      </c>
      <c r="D466" s="1">
        <v>465</v>
      </c>
      <c r="E466" s="1"/>
      <c r="F466" s="1"/>
      <c r="G466" s="54" t="str">
        <f t="shared" si="15"/>
        <v/>
      </c>
      <c r="H466" s="55" t="str">
        <f>IFERROR((VLOOKUP(G466,'Planilha de Cadastro - Previsão'!$A$2:$N$1100,2,FALSE()))," ")</f>
        <v xml:space="preserve"> </v>
      </c>
      <c r="I466" s="54" t="str">
        <f>IFERROR((VLOOKUP(G466,'Planilha de Cadastro - Previsão'!$A$2:$N$1100,3,FALSE()))," ")</f>
        <v xml:space="preserve"> </v>
      </c>
      <c r="J466" s="56" t="str">
        <f>IFERROR((VLOOKUP(G466,'Planilha de Cadastro - Previsão'!$A$2:$N$1100,5,FALSE()))," ")</f>
        <v xml:space="preserve"> </v>
      </c>
      <c r="K466" s="57" t="str">
        <f>IFERROR((VLOOKUP(G466,'Planilha de Cadastro - Previsão'!$A$2:$N$1100,9,FALSE()))," ")</f>
        <v xml:space="preserve"> </v>
      </c>
    </row>
    <row r="467" spans="1:11" x14ac:dyDescent="0.25">
      <c r="A467">
        <f>COUNTIF($C$2:C467,C467)</f>
        <v>466</v>
      </c>
      <c r="B467" s="1" t="str">
        <f t="shared" si="14"/>
        <v>466</v>
      </c>
      <c r="C467" s="1" t="str">
        <f>IFERROR(VLOOKUP(D467,'Planilha de Cadastro - Previsão'!$A$2:$O$1000,15,FALSE()),"")</f>
        <v/>
      </c>
      <c r="D467" s="1">
        <v>466</v>
      </c>
      <c r="E467" s="1"/>
      <c r="F467" s="1"/>
      <c r="G467" s="54" t="str">
        <f t="shared" si="15"/>
        <v/>
      </c>
      <c r="H467" s="55" t="str">
        <f>IFERROR((VLOOKUP(G467,'Planilha de Cadastro - Previsão'!$A$2:$N$1100,2,FALSE()))," ")</f>
        <v xml:space="preserve"> </v>
      </c>
      <c r="I467" s="54" t="str">
        <f>IFERROR((VLOOKUP(G467,'Planilha de Cadastro - Previsão'!$A$2:$N$1100,3,FALSE()))," ")</f>
        <v xml:space="preserve"> </v>
      </c>
      <c r="J467" s="56" t="str">
        <f>IFERROR((VLOOKUP(G467,'Planilha de Cadastro - Previsão'!$A$2:$N$1100,5,FALSE()))," ")</f>
        <v xml:space="preserve"> </v>
      </c>
      <c r="K467" s="57" t="str">
        <f>IFERROR((VLOOKUP(G467,'Planilha de Cadastro - Previsão'!$A$2:$N$1100,9,FALSE()))," ")</f>
        <v xml:space="preserve"> </v>
      </c>
    </row>
    <row r="468" spans="1:11" x14ac:dyDescent="0.25">
      <c r="A468">
        <f>COUNTIF($C$2:C468,C468)</f>
        <v>467</v>
      </c>
      <c r="B468" s="1" t="str">
        <f t="shared" si="14"/>
        <v>467</v>
      </c>
      <c r="C468" s="1" t="str">
        <f>IFERROR(VLOOKUP(D468,'Planilha de Cadastro - Previsão'!$A$2:$O$1000,15,FALSE()),"")</f>
        <v/>
      </c>
      <c r="D468" s="1">
        <v>467</v>
      </c>
      <c r="E468" s="1"/>
      <c r="F468" s="1"/>
      <c r="G468" s="54" t="str">
        <f t="shared" si="15"/>
        <v/>
      </c>
      <c r="H468" s="55" t="str">
        <f>IFERROR((VLOOKUP(G468,'Planilha de Cadastro - Previsão'!$A$2:$N$1100,2,FALSE()))," ")</f>
        <v xml:space="preserve"> </v>
      </c>
      <c r="I468" s="54" t="str">
        <f>IFERROR((VLOOKUP(G468,'Planilha de Cadastro - Previsão'!$A$2:$N$1100,3,FALSE()))," ")</f>
        <v xml:space="preserve"> </v>
      </c>
      <c r="J468" s="56" t="str">
        <f>IFERROR((VLOOKUP(G468,'Planilha de Cadastro - Previsão'!$A$2:$N$1100,5,FALSE()))," ")</f>
        <v xml:space="preserve"> </v>
      </c>
      <c r="K468" s="57" t="str">
        <f>IFERROR((VLOOKUP(G468,'Planilha de Cadastro - Previsão'!$A$2:$N$1100,9,FALSE()))," ")</f>
        <v xml:space="preserve"> </v>
      </c>
    </row>
    <row r="469" spans="1:11" x14ac:dyDescent="0.25">
      <c r="A469">
        <f>COUNTIF($C$2:C469,C469)</f>
        <v>468</v>
      </c>
      <c r="B469" s="1" t="str">
        <f t="shared" si="14"/>
        <v>468</v>
      </c>
      <c r="C469" s="1" t="str">
        <f>IFERROR(VLOOKUP(D469,'Planilha de Cadastro - Previsão'!$A$2:$O$1000,15,FALSE()),"")</f>
        <v/>
      </c>
      <c r="D469" s="1">
        <v>468</v>
      </c>
      <c r="E469" s="1"/>
      <c r="F469" s="1"/>
      <c r="G469" s="54" t="str">
        <f t="shared" si="15"/>
        <v/>
      </c>
      <c r="H469" s="55" t="str">
        <f>IFERROR((VLOOKUP(G469,'Planilha de Cadastro - Previsão'!$A$2:$N$1100,2,FALSE()))," ")</f>
        <v xml:space="preserve"> </v>
      </c>
      <c r="I469" s="54" t="str">
        <f>IFERROR((VLOOKUP(G469,'Planilha de Cadastro - Previsão'!$A$2:$N$1100,3,FALSE()))," ")</f>
        <v xml:space="preserve"> </v>
      </c>
      <c r="J469" s="56" t="str">
        <f>IFERROR((VLOOKUP(G469,'Planilha de Cadastro - Previsão'!$A$2:$N$1100,5,FALSE()))," ")</f>
        <v xml:space="preserve"> </v>
      </c>
      <c r="K469" s="57" t="str">
        <f>IFERROR((VLOOKUP(G469,'Planilha de Cadastro - Previsão'!$A$2:$N$1100,9,FALSE()))," ")</f>
        <v xml:space="preserve"> </v>
      </c>
    </row>
    <row r="470" spans="1:11" x14ac:dyDescent="0.25">
      <c r="A470">
        <f>COUNTIF($C$2:C470,C470)</f>
        <v>469</v>
      </c>
      <c r="B470" s="1" t="str">
        <f t="shared" si="14"/>
        <v>469</v>
      </c>
      <c r="C470" s="1" t="str">
        <f>IFERROR(VLOOKUP(D470,'Planilha de Cadastro - Previsão'!$A$2:$O$1000,15,FALSE()),"")</f>
        <v/>
      </c>
      <c r="D470" s="1">
        <v>469</v>
      </c>
      <c r="E470" s="1"/>
      <c r="F470" s="1"/>
      <c r="G470" s="54" t="str">
        <f t="shared" si="15"/>
        <v/>
      </c>
      <c r="H470" s="55" t="str">
        <f>IFERROR((VLOOKUP(G470,'Planilha de Cadastro - Previsão'!$A$2:$N$1100,2,FALSE()))," ")</f>
        <v xml:space="preserve"> </v>
      </c>
      <c r="I470" s="54" t="str">
        <f>IFERROR((VLOOKUP(G470,'Planilha de Cadastro - Previsão'!$A$2:$N$1100,3,FALSE()))," ")</f>
        <v xml:space="preserve"> </v>
      </c>
      <c r="J470" s="56" t="str">
        <f>IFERROR((VLOOKUP(G470,'Planilha de Cadastro - Previsão'!$A$2:$N$1100,5,FALSE()))," ")</f>
        <v xml:space="preserve"> </v>
      </c>
      <c r="K470" s="57" t="str">
        <f>IFERROR((VLOOKUP(G470,'Planilha de Cadastro - Previsão'!$A$2:$N$1100,9,FALSE()))," ")</f>
        <v xml:space="preserve"> </v>
      </c>
    </row>
    <row r="471" spans="1:11" x14ac:dyDescent="0.25">
      <c r="A471">
        <f>COUNTIF($C$2:C471,C471)</f>
        <v>470</v>
      </c>
      <c r="B471" s="1" t="str">
        <f t="shared" si="14"/>
        <v>470</v>
      </c>
      <c r="C471" s="1" t="str">
        <f>IFERROR(VLOOKUP(D471,'Planilha de Cadastro - Previsão'!$A$2:$O$1000,15,FALSE()),"")</f>
        <v/>
      </c>
      <c r="D471" s="1">
        <v>470</v>
      </c>
      <c r="E471" s="1"/>
      <c r="F471" s="1"/>
      <c r="G471" s="54" t="str">
        <f t="shared" si="15"/>
        <v/>
      </c>
      <c r="H471" s="55" t="str">
        <f>IFERROR((VLOOKUP(G471,'Planilha de Cadastro - Previsão'!$A$2:$N$1100,2,FALSE()))," ")</f>
        <v xml:space="preserve"> </v>
      </c>
      <c r="I471" s="54" t="str">
        <f>IFERROR((VLOOKUP(G471,'Planilha de Cadastro - Previsão'!$A$2:$N$1100,3,FALSE()))," ")</f>
        <v xml:space="preserve"> </v>
      </c>
      <c r="J471" s="56" t="str">
        <f>IFERROR((VLOOKUP(G471,'Planilha de Cadastro - Previsão'!$A$2:$N$1100,5,FALSE()))," ")</f>
        <v xml:space="preserve"> </v>
      </c>
      <c r="K471" s="57" t="str">
        <f>IFERROR((VLOOKUP(G471,'Planilha de Cadastro - Previsão'!$A$2:$N$1100,9,FALSE()))," ")</f>
        <v xml:space="preserve"> </v>
      </c>
    </row>
    <row r="472" spans="1:11" x14ac:dyDescent="0.25">
      <c r="A472">
        <f>COUNTIF($C$2:C472,C472)</f>
        <v>471</v>
      </c>
      <c r="B472" s="1" t="str">
        <f t="shared" si="14"/>
        <v>471</v>
      </c>
      <c r="C472" s="1" t="str">
        <f>IFERROR(VLOOKUP(D472,'Planilha de Cadastro - Previsão'!$A$2:$O$1000,15,FALSE()),"")</f>
        <v/>
      </c>
      <c r="D472" s="1">
        <v>471</v>
      </c>
      <c r="E472" s="1"/>
      <c r="F472" s="1"/>
      <c r="G472" s="54" t="str">
        <f t="shared" si="15"/>
        <v/>
      </c>
      <c r="H472" s="55" t="str">
        <f>IFERROR((VLOOKUP(G472,'Planilha de Cadastro - Previsão'!$A$2:$N$1100,2,FALSE()))," ")</f>
        <v xml:space="preserve"> </v>
      </c>
      <c r="I472" s="54" t="str">
        <f>IFERROR((VLOOKUP(G472,'Planilha de Cadastro - Previsão'!$A$2:$N$1100,3,FALSE()))," ")</f>
        <v xml:space="preserve"> </v>
      </c>
      <c r="J472" s="56" t="str">
        <f>IFERROR((VLOOKUP(G472,'Planilha de Cadastro - Previsão'!$A$2:$N$1100,5,FALSE()))," ")</f>
        <v xml:space="preserve"> </v>
      </c>
      <c r="K472" s="57" t="str">
        <f>IFERROR((VLOOKUP(G472,'Planilha de Cadastro - Previsão'!$A$2:$N$1100,9,FALSE()))," ")</f>
        <v xml:space="preserve"> </v>
      </c>
    </row>
    <row r="473" spans="1:11" x14ac:dyDescent="0.25">
      <c r="A473">
        <f>COUNTIF($C$2:C473,C473)</f>
        <v>472</v>
      </c>
      <c r="B473" s="1" t="str">
        <f t="shared" si="14"/>
        <v>472</v>
      </c>
      <c r="C473" s="1" t="str">
        <f>IFERROR(VLOOKUP(D473,'Planilha de Cadastro - Previsão'!$A$2:$O$1000,15,FALSE()),"")</f>
        <v/>
      </c>
      <c r="D473" s="1">
        <v>472</v>
      </c>
      <c r="E473" s="1"/>
      <c r="F473" s="1"/>
      <c r="G473" s="54" t="str">
        <f t="shared" si="15"/>
        <v/>
      </c>
      <c r="H473" s="55" t="str">
        <f>IFERROR((VLOOKUP(G473,'Planilha de Cadastro - Previsão'!$A$2:$N$1100,2,FALSE()))," ")</f>
        <v xml:space="preserve"> </v>
      </c>
      <c r="I473" s="54" t="str">
        <f>IFERROR((VLOOKUP(G473,'Planilha de Cadastro - Previsão'!$A$2:$N$1100,3,FALSE()))," ")</f>
        <v xml:space="preserve"> </v>
      </c>
      <c r="J473" s="56" t="str">
        <f>IFERROR((VLOOKUP(G473,'Planilha de Cadastro - Previsão'!$A$2:$N$1100,5,FALSE()))," ")</f>
        <v xml:space="preserve"> </v>
      </c>
      <c r="K473" s="57" t="str">
        <f>IFERROR((VLOOKUP(G473,'Planilha de Cadastro - Previsão'!$A$2:$N$1100,9,FALSE()))," ")</f>
        <v xml:space="preserve"> </v>
      </c>
    </row>
    <row r="474" spans="1:11" x14ac:dyDescent="0.25">
      <c r="A474">
        <f>COUNTIF($C$2:C474,C474)</f>
        <v>473</v>
      </c>
      <c r="B474" s="1" t="str">
        <f t="shared" si="14"/>
        <v>473</v>
      </c>
      <c r="C474" s="1" t="str">
        <f>IFERROR(VLOOKUP(D474,'Planilha de Cadastro - Previsão'!$A$2:$O$1000,15,FALSE()),"")</f>
        <v/>
      </c>
      <c r="D474" s="1">
        <v>473</v>
      </c>
      <c r="E474" s="1"/>
      <c r="F474" s="1"/>
      <c r="G474" s="54" t="str">
        <f t="shared" si="15"/>
        <v/>
      </c>
      <c r="H474" s="55" t="str">
        <f>IFERROR((VLOOKUP(G474,'Planilha de Cadastro - Previsão'!$A$2:$N$1100,2,FALSE()))," ")</f>
        <v xml:space="preserve"> </v>
      </c>
      <c r="I474" s="54" t="str">
        <f>IFERROR((VLOOKUP(G474,'Planilha de Cadastro - Previsão'!$A$2:$N$1100,3,FALSE()))," ")</f>
        <v xml:space="preserve"> </v>
      </c>
      <c r="J474" s="56" t="str">
        <f>IFERROR((VLOOKUP(G474,'Planilha de Cadastro - Previsão'!$A$2:$N$1100,5,FALSE()))," ")</f>
        <v xml:space="preserve"> </v>
      </c>
      <c r="K474" s="57" t="str">
        <f>IFERROR((VLOOKUP(G474,'Planilha de Cadastro - Previsão'!$A$2:$N$1100,9,FALSE()))," ")</f>
        <v xml:space="preserve"> </v>
      </c>
    </row>
    <row r="475" spans="1:11" x14ac:dyDescent="0.25">
      <c r="A475">
        <f>COUNTIF($C$2:C475,C475)</f>
        <v>474</v>
      </c>
      <c r="B475" s="1" t="str">
        <f t="shared" si="14"/>
        <v>474</v>
      </c>
      <c r="C475" s="1" t="str">
        <f>IFERROR(VLOOKUP(D475,'Planilha de Cadastro - Previsão'!$A$2:$O$1000,15,FALSE()),"")</f>
        <v/>
      </c>
      <c r="D475" s="1">
        <v>474</v>
      </c>
      <c r="E475" s="1"/>
      <c r="F475" s="1"/>
      <c r="G475" s="54" t="str">
        <f t="shared" si="15"/>
        <v/>
      </c>
      <c r="H475" s="55" t="str">
        <f>IFERROR((VLOOKUP(G475,'Planilha de Cadastro - Previsão'!$A$2:$N$1100,2,FALSE()))," ")</f>
        <v xml:space="preserve"> </v>
      </c>
      <c r="I475" s="54" t="str">
        <f>IFERROR((VLOOKUP(G475,'Planilha de Cadastro - Previsão'!$A$2:$N$1100,3,FALSE()))," ")</f>
        <v xml:space="preserve"> </v>
      </c>
      <c r="J475" s="56" t="str">
        <f>IFERROR((VLOOKUP(G475,'Planilha de Cadastro - Previsão'!$A$2:$N$1100,5,FALSE()))," ")</f>
        <v xml:space="preserve"> </v>
      </c>
      <c r="K475" s="57" t="str">
        <f>IFERROR((VLOOKUP(G475,'Planilha de Cadastro - Previsão'!$A$2:$N$1100,9,FALSE()))," ")</f>
        <v xml:space="preserve"> </v>
      </c>
    </row>
    <row r="476" spans="1:11" x14ac:dyDescent="0.25">
      <c r="A476">
        <f>COUNTIF($C$2:C476,C476)</f>
        <v>475</v>
      </c>
      <c r="B476" s="1" t="str">
        <f t="shared" si="14"/>
        <v>475</v>
      </c>
      <c r="C476" s="1" t="str">
        <f>IFERROR(VLOOKUP(D476,'Planilha de Cadastro - Previsão'!$A$2:$O$1000,15,FALSE()),"")</f>
        <v/>
      </c>
      <c r="D476" s="1">
        <v>475</v>
      </c>
      <c r="E476" s="1"/>
      <c r="F476" s="1"/>
      <c r="G476" s="54" t="str">
        <f t="shared" si="15"/>
        <v/>
      </c>
      <c r="H476" s="55" t="str">
        <f>IFERROR((VLOOKUP(G476,'Planilha de Cadastro - Previsão'!$A$2:$N$1100,2,FALSE()))," ")</f>
        <v xml:space="preserve"> </v>
      </c>
      <c r="I476" s="54" t="str">
        <f>IFERROR((VLOOKUP(G476,'Planilha de Cadastro - Previsão'!$A$2:$N$1100,3,FALSE()))," ")</f>
        <v xml:space="preserve"> </v>
      </c>
      <c r="J476" s="56" t="str">
        <f>IFERROR((VLOOKUP(G476,'Planilha de Cadastro - Previsão'!$A$2:$N$1100,5,FALSE()))," ")</f>
        <v xml:space="preserve"> </v>
      </c>
      <c r="K476" s="57" t="str">
        <f>IFERROR((VLOOKUP(G476,'Planilha de Cadastro - Previsão'!$A$2:$N$1100,9,FALSE()))," ")</f>
        <v xml:space="preserve"> </v>
      </c>
    </row>
    <row r="477" spans="1:11" x14ac:dyDescent="0.25">
      <c r="A477">
        <f>COUNTIF($C$2:C477,C477)</f>
        <v>476</v>
      </c>
      <c r="B477" s="1" t="str">
        <f t="shared" si="14"/>
        <v>476</v>
      </c>
      <c r="C477" s="1" t="str">
        <f>IFERROR(VLOOKUP(D477,'Planilha de Cadastro - Previsão'!$A$2:$O$1000,15,FALSE()),"")</f>
        <v/>
      </c>
      <c r="D477" s="1">
        <v>476</v>
      </c>
      <c r="E477" s="1"/>
      <c r="F477" s="1"/>
      <c r="G477" s="54" t="str">
        <f t="shared" si="15"/>
        <v/>
      </c>
      <c r="H477" s="55" t="str">
        <f>IFERROR((VLOOKUP(G477,'Planilha de Cadastro - Previsão'!$A$2:$N$1100,2,FALSE()))," ")</f>
        <v xml:space="preserve"> </v>
      </c>
      <c r="I477" s="54" t="str">
        <f>IFERROR((VLOOKUP(G477,'Planilha de Cadastro - Previsão'!$A$2:$N$1100,3,FALSE()))," ")</f>
        <v xml:space="preserve"> </v>
      </c>
      <c r="J477" s="56" t="str">
        <f>IFERROR((VLOOKUP(G477,'Planilha de Cadastro - Previsão'!$A$2:$N$1100,5,FALSE()))," ")</f>
        <v xml:space="preserve"> </v>
      </c>
      <c r="K477" s="57" t="str">
        <f>IFERROR((VLOOKUP(G477,'Planilha de Cadastro - Previsão'!$A$2:$N$1100,9,FALSE()))," ")</f>
        <v xml:space="preserve"> </v>
      </c>
    </row>
    <row r="478" spans="1:11" x14ac:dyDescent="0.25">
      <c r="A478">
        <f>COUNTIF($C$2:C478,C478)</f>
        <v>477</v>
      </c>
      <c r="B478" s="1" t="str">
        <f t="shared" si="14"/>
        <v>477</v>
      </c>
      <c r="C478" s="1" t="str">
        <f>IFERROR(VLOOKUP(D478,'Planilha de Cadastro - Previsão'!$A$2:$O$1000,15,FALSE()),"")</f>
        <v/>
      </c>
      <c r="D478" s="1">
        <v>477</v>
      </c>
      <c r="E478" s="1"/>
      <c r="F478" s="1"/>
      <c r="G478" s="54" t="str">
        <f t="shared" si="15"/>
        <v/>
      </c>
      <c r="H478" s="55" t="str">
        <f>IFERROR((VLOOKUP(G478,'Planilha de Cadastro - Previsão'!$A$2:$N$1100,2,FALSE()))," ")</f>
        <v xml:space="preserve"> </v>
      </c>
      <c r="I478" s="54" t="str">
        <f>IFERROR((VLOOKUP(G478,'Planilha de Cadastro - Previsão'!$A$2:$N$1100,3,FALSE()))," ")</f>
        <v xml:space="preserve"> </v>
      </c>
      <c r="J478" s="56" t="str">
        <f>IFERROR((VLOOKUP(G478,'Planilha de Cadastro - Previsão'!$A$2:$N$1100,5,FALSE()))," ")</f>
        <v xml:space="preserve"> </v>
      </c>
      <c r="K478" s="57" t="str">
        <f>IFERROR((VLOOKUP(G478,'Planilha de Cadastro - Previsão'!$A$2:$N$1100,9,FALSE()))," ")</f>
        <v xml:space="preserve"> </v>
      </c>
    </row>
    <row r="479" spans="1:11" x14ac:dyDescent="0.25">
      <c r="A479">
        <f>COUNTIF($C$2:C479,C479)</f>
        <v>478</v>
      </c>
      <c r="B479" s="1" t="str">
        <f t="shared" si="14"/>
        <v>478</v>
      </c>
      <c r="C479" s="1" t="str">
        <f>IFERROR(VLOOKUP(D479,'Planilha de Cadastro - Previsão'!$A$2:$O$1000,15,FALSE()),"")</f>
        <v/>
      </c>
      <c r="D479" s="1">
        <v>478</v>
      </c>
      <c r="E479" s="1"/>
      <c r="F479" s="1"/>
      <c r="G479" s="54" t="str">
        <f t="shared" si="15"/>
        <v/>
      </c>
      <c r="H479" s="55" t="str">
        <f>IFERROR((VLOOKUP(G479,'Planilha de Cadastro - Previsão'!$A$2:$N$1100,2,FALSE()))," ")</f>
        <v xml:space="preserve"> </v>
      </c>
      <c r="I479" s="54" t="str">
        <f>IFERROR((VLOOKUP(G479,'Planilha de Cadastro - Previsão'!$A$2:$N$1100,3,FALSE()))," ")</f>
        <v xml:space="preserve"> </v>
      </c>
      <c r="J479" s="56" t="str">
        <f>IFERROR((VLOOKUP(G479,'Planilha de Cadastro - Previsão'!$A$2:$N$1100,5,FALSE()))," ")</f>
        <v xml:space="preserve"> </v>
      </c>
      <c r="K479" s="57" t="str">
        <f>IFERROR((VLOOKUP(G479,'Planilha de Cadastro - Previsão'!$A$2:$N$1100,9,FALSE()))," ")</f>
        <v xml:space="preserve"> </v>
      </c>
    </row>
    <row r="480" spans="1:11" x14ac:dyDescent="0.25">
      <c r="A480">
        <f>COUNTIF($C$2:C480,C480)</f>
        <v>479</v>
      </c>
      <c r="B480" s="1" t="str">
        <f t="shared" si="14"/>
        <v>479</v>
      </c>
      <c r="C480" s="1" t="str">
        <f>IFERROR(VLOOKUP(D480,'Planilha de Cadastro - Previsão'!$A$2:$O$1000,15,FALSE()),"")</f>
        <v/>
      </c>
      <c r="D480" s="1">
        <v>479</v>
      </c>
      <c r="E480" s="1"/>
      <c r="F480" s="1"/>
      <c r="G480" s="54" t="str">
        <f t="shared" si="15"/>
        <v/>
      </c>
      <c r="H480" s="55" t="str">
        <f>IFERROR((VLOOKUP(G480,'Planilha de Cadastro - Previsão'!$A$2:$N$1100,2,FALSE()))," ")</f>
        <v xml:space="preserve"> </v>
      </c>
      <c r="I480" s="54" t="str">
        <f>IFERROR((VLOOKUP(G480,'Planilha de Cadastro - Previsão'!$A$2:$N$1100,3,FALSE()))," ")</f>
        <v xml:space="preserve"> </v>
      </c>
      <c r="J480" s="56" t="str">
        <f>IFERROR((VLOOKUP(G480,'Planilha de Cadastro - Previsão'!$A$2:$N$1100,5,FALSE()))," ")</f>
        <v xml:space="preserve"> </v>
      </c>
      <c r="K480" s="57" t="str">
        <f>IFERROR((VLOOKUP(G480,'Planilha de Cadastro - Previsão'!$A$2:$N$1100,9,FALSE()))," ")</f>
        <v xml:space="preserve"> </v>
      </c>
    </row>
    <row r="481" spans="1:11" x14ac:dyDescent="0.25">
      <c r="A481">
        <f>COUNTIF($C$2:C481,C481)</f>
        <v>480</v>
      </c>
      <c r="B481" s="1" t="str">
        <f t="shared" si="14"/>
        <v>480</v>
      </c>
      <c r="C481" s="1" t="str">
        <f>IFERROR(VLOOKUP(D481,'Planilha de Cadastro - Previsão'!$A$2:$O$1000,15,FALSE()),"")</f>
        <v/>
      </c>
      <c r="D481" s="1">
        <v>480</v>
      </c>
      <c r="E481" s="1"/>
      <c r="F481" s="1"/>
      <c r="G481" s="54" t="str">
        <f t="shared" si="15"/>
        <v/>
      </c>
      <c r="H481" s="55" t="str">
        <f>IFERROR((VLOOKUP(G481,'Planilha de Cadastro - Previsão'!$A$2:$N$1100,2,FALSE()))," ")</f>
        <v xml:space="preserve"> </v>
      </c>
      <c r="I481" s="54" t="str">
        <f>IFERROR((VLOOKUP(G481,'Planilha de Cadastro - Previsão'!$A$2:$N$1100,3,FALSE()))," ")</f>
        <v xml:space="preserve"> </v>
      </c>
      <c r="J481" s="56" t="str">
        <f>IFERROR((VLOOKUP(G481,'Planilha de Cadastro - Previsão'!$A$2:$N$1100,5,FALSE()))," ")</f>
        <v xml:space="preserve"> </v>
      </c>
      <c r="K481" s="57" t="str">
        <f>IFERROR((VLOOKUP(G481,'Planilha de Cadastro - Previsão'!$A$2:$N$1100,9,FALSE()))," ")</f>
        <v xml:space="preserve"> </v>
      </c>
    </row>
    <row r="482" spans="1:11" x14ac:dyDescent="0.25">
      <c r="A482">
        <f>COUNTIF($C$2:C482,C482)</f>
        <v>481</v>
      </c>
      <c r="B482" s="1" t="str">
        <f t="shared" si="14"/>
        <v>481</v>
      </c>
      <c r="C482" s="1" t="str">
        <f>IFERROR(VLOOKUP(D482,'Planilha de Cadastro - Previsão'!$A$2:$O$1000,15,FALSE()),"")</f>
        <v/>
      </c>
      <c r="D482" s="1">
        <v>481</v>
      </c>
      <c r="E482" s="1"/>
      <c r="F482" s="1"/>
      <c r="G482" s="54" t="str">
        <f t="shared" si="15"/>
        <v/>
      </c>
      <c r="H482" s="55" t="str">
        <f>IFERROR((VLOOKUP(G482,'Planilha de Cadastro - Previsão'!$A$2:$N$1100,2,FALSE()))," ")</f>
        <v xml:space="preserve"> </v>
      </c>
      <c r="I482" s="54" t="str">
        <f>IFERROR((VLOOKUP(G482,'Planilha de Cadastro - Previsão'!$A$2:$N$1100,3,FALSE()))," ")</f>
        <v xml:space="preserve"> </v>
      </c>
      <c r="J482" s="56" t="str">
        <f>IFERROR((VLOOKUP(G482,'Planilha de Cadastro - Previsão'!$A$2:$N$1100,5,FALSE()))," ")</f>
        <v xml:space="preserve"> </v>
      </c>
      <c r="K482" s="57" t="str">
        <f>IFERROR((VLOOKUP(G482,'Planilha de Cadastro - Previsão'!$A$2:$N$1100,9,FALSE()))," ")</f>
        <v xml:space="preserve"> </v>
      </c>
    </row>
    <row r="483" spans="1:11" x14ac:dyDescent="0.25">
      <c r="A483">
        <f>COUNTIF($C$2:C483,C483)</f>
        <v>482</v>
      </c>
      <c r="B483" s="1" t="str">
        <f t="shared" si="14"/>
        <v>482</v>
      </c>
      <c r="C483" s="1" t="str">
        <f>IFERROR(VLOOKUP(D483,'Planilha de Cadastro - Previsão'!$A$2:$O$1000,15,FALSE()),"")</f>
        <v/>
      </c>
      <c r="D483" s="1">
        <v>482</v>
      </c>
      <c r="E483" s="1"/>
      <c r="F483" s="1"/>
      <c r="G483" s="54" t="str">
        <f t="shared" si="15"/>
        <v/>
      </c>
      <c r="H483" s="55" t="str">
        <f>IFERROR((VLOOKUP(G483,'Planilha de Cadastro - Previsão'!$A$2:$N$1100,2,FALSE()))," ")</f>
        <v xml:space="preserve"> </v>
      </c>
      <c r="I483" s="54" t="str">
        <f>IFERROR((VLOOKUP(G483,'Planilha de Cadastro - Previsão'!$A$2:$N$1100,3,FALSE()))," ")</f>
        <v xml:space="preserve"> </v>
      </c>
      <c r="J483" s="56" t="str">
        <f>IFERROR((VLOOKUP(G483,'Planilha de Cadastro - Previsão'!$A$2:$N$1100,5,FALSE()))," ")</f>
        <v xml:space="preserve"> </v>
      </c>
      <c r="K483" s="57" t="str">
        <f>IFERROR((VLOOKUP(G483,'Planilha de Cadastro - Previsão'!$A$2:$N$1100,9,FALSE()))," ")</f>
        <v xml:space="preserve"> </v>
      </c>
    </row>
    <row r="484" spans="1:11" x14ac:dyDescent="0.25">
      <c r="A484">
        <f>COUNTIF($C$2:C484,C484)</f>
        <v>483</v>
      </c>
      <c r="B484" s="1" t="str">
        <f t="shared" si="14"/>
        <v>483</v>
      </c>
      <c r="C484" s="1" t="str">
        <f>IFERROR(VLOOKUP(D484,'Planilha de Cadastro - Previsão'!$A$2:$O$1000,15,FALSE()),"")</f>
        <v/>
      </c>
      <c r="D484" s="1">
        <v>483</v>
      </c>
      <c r="E484" s="1"/>
      <c r="F484" s="1"/>
      <c r="G484" s="54" t="str">
        <f t="shared" si="15"/>
        <v/>
      </c>
      <c r="H484" s="55" t="str">
        <f>IFERROR((VLOOKUP(G484,'Planilha de Cadastro - Previsão'!$A$2:$N$1100,2,FALSE()))," ")</f>
        <v xml:space="preserve"> </v>
      </c>
      <c r="I484" s="54" t="str">
        <f>IFERROR((VLOOKUP(G484,'Planilha de Cadastro - Previsão'!$A$2:$N$1100,3,FALSE()))," ")</f>
        <v xml:space="preserve"> </v>
      </c>
      <c r="J484" s="56" t="str">
        <f>IFERROR((VLOOKUP(G484,'Planilha de Cadastro - Previsão'!$A$2:$N$1100,5,FALSE()))," ")</f>
        <v xml:space="preserve"> </v>
      </c>
      <c r="K484" s="57" t="str">
        <f>IFERROR((VLOOKUP(G484,'Planilha de Cadastro - Previsão'!$A$2:$N$1100,9,FALSE()))," ")</f>
        <v xml:space="preserve"> </v>
      </c>
    </row>
    <row r="485" spans="1:11" x14ac:dyDescent="0.25">
      <c r="A485">
        <f>COUNTIF($C$2:C485,C485)</f>
        <v>484</v>
      </c>
      <c r="B485" s="1" t="str">
        <f t="shared" si="14"/>
        <v>484</v>
      </c>
      <c r="C485" s="1" t="str">
        <f>IFERROR(VLOOKUP(D485,'Planilha de Cadastro - Previsão'!$A$2:$O$1000,15,FALSE()),"")</f>
        <v/>
      </c>
      <c r="D485" s="1">
        <v>484</v>
      </c>
      <c r="E485" s="1"/>
      <c r="F485" s="1"/>
      <c r="G485" s="54" t="str">
        <f t="shared" si="15"/>
        <v/>
      </c>
      <c r="H485" s="55" t="str">
        <f>IFERROR((VLOOKUP(G485,'Planilha de Cadastro - Previsão'!$A$2:$N$1100,2,FALSE()))," ")</f>
        <v xml:space="preserve"> </v>
      </c>
      <c r="I485" s="54" t="str">
        <f>IFERROR((VLOOKUP(G485,'Planilha de Cadastro - Previsão'!$A$2:$N$1100,3,FALSE()))," ")</f>
        <v xml:space="preserve"> </v>
      </c>
      <c r="J485" s="56" t="str">
        <f>IFERROR((VLOOKUP(G485,'Planilha de Cadastro - Previsão'!$A$2:$N$1100,5,FALSE()))," ")</f>
        <v xml:space="preserve"> </v>
      </c>
      <c r="K485" s="57" t="str">
        <f>IFERROR((VLOOKUP(G485,'Planilha de Cadastro - Previsão'!$A$2:$N$1100,9,FALSE()))," ")</f>
        <v xml:space="preserve"> </v>
      </c>
    </row>
    <row r="486" spans="1:11" x14ac:dyDescent="0.25">
      <c r="A486">
        <f>COUNTIF($C$2:C486,C486)</f>
        <v>485</v>
      </c>
      <c r="B486" s="1" t="str">
        <f t="shared" si="14"/>
        <v>485</v>
      </c>
      <c r="C486" s="1" t="str">
        <f>IFERROR(VLOOKUP(D486,'Planilha de Cadastro - Previsão'!$A$2:$O$1000,15,FALSE()),"")</f>
        <v/>
      </c>
      <c r="D486" s="1">
        <v>485</v>
      </c>
      <c r="E486" s="1"/>
      <c r="F486" s="1"/>
      <c r="G486" s="54" t="str">
        <f t="shared" si="15"/>
        <v/>
      </c>
      <c r="H486" s="55" t="str">
        <f>IFERROR((VLOOKUP(G486,'Planilha de Cadastro - Previsão'!$A$2:$N$1100,2,FALSE()))," ")</f>
        <v xml:space="preserve"> </v>
      </c>
      <c r="I486" s="54" t="str">
        <f>IFERROR((VLOOKUP(G486,'Planilha de Cadastro - Previsão'!$A$2:$N$1100,3,FALSE()))," ")</f>
        <v xml:space="preserve"> </v>
      </c>
      <c r="J486" s="56" t="str">
        <f>IFERROR((VLOOKUP(G486,'Planilha de Cadastro - Previsão'!$A$2:$N$1100,5,FALSE()))," ")</f>
        <v xml:space="preserve"> </v>
      </c>
      <c r="K486" s="57" t="str">
        <f>IFERROR((VLOOKUP(G486,'Planilha de Cadastro - Previsão'!$A$2:$N$1100,9,FALSE()))," ")</f>
        <v xml:space="preserve"> </v>
      </c>
    </row>
    <row r="487" spans="1:11" x14ac:dyDescent="0.25">
      <c r="A487">
        <f>COUNTIF($C$2:C487,C487)</f>
        <v>486</v>
      </c>
      <c r="B487" s="1" t="str">
        <f t="shared" si="14"/>
        <v>486</v>
      </c>
      <c r="C487" s="1" t="str">
        <f>IFERROR(VLOOKUP(D487,'Planilha de Cadastro - Previsão'!$A$2:$O$1000,15,FALSE()),"")</f>
        <v/>
      </c>
      <c r="D487" s="1">
        <v>486</v>
      </c>
      <c r="E487" s="1"/>
      <c r="F487" s="1"/>
      <c r="G487" s="54" t="str">
        <f t="shared" si="15"/>
        <v/>
      </c>
      <c r="H487" s="55" t="str">
        <f>IFERROR((VLOOKUP(G487,'Planilha de Cadastro - Previsão'!$A$2:$N$1100,2,FALSE()))," ")</f>
        <v xml:space="preserve"> </v>
      </c>
      <c r="I487" s="54" t="str">
        <f>IFERROR((VLOOKUP(G487,'Planilha de Cadastro - Previsão'!$A$2:$N$1100,3,FALSE()))," ")</f>
        <v xml:space="preserve"> </v>
      </c>
      <c r="J487" s="56" t="str">
        <f>IFERROR((VLOOKUP(G487,'Planilha de Cadastro - Previsão'!$A$2:$N$1100,5,FALSE()))," ")</f>
        <v xml:space="preserve"> </v>
      </c>
      <c r="K487" s="57" t="str">
        <f>IFERROR((VLOOKUP(G487,'Planilha de Cadastro - Previsão'!$A$2:$N$1100,9,FALSE()))," ")</f>
        <v xml:space="preserve"> </v>
      </c>
    </row>
    <row r="488" spans="1:11" x14ac:dyDescent="0.25">
      <c r="A488">
        <f>COUNTIF($C$2:C488,C488)</f>
        <v>487</v>
      </c>
      <c r="B488" s="1" t="str">
        <f t="shared" si="14"/>
        <v>487</v>
      </c>
      <c r="C488" s="1" t="str">
        <f>IFERROR(VLOOKUP(D488,'Planilha de Cadastro - Previsão'!$A$2:$O$1000,15,FALSE()),"")</f>
        <v/>
      </c>
      <c r="D488" s="1">
        <v>487</v>
      </c>
      <c r="E488" s="1"/>
      <c r="F488" s="1"/>
      <c r="G488" s="54" t="str">
        <f t="shared" si="15"/>
        <v/>
      </c>
      <c r="H488" s="55" t="str">
        <f>IFERROR((VLOOKUP(G488,'Planilha de Cadastro - Previsão'!$A$2:$N$1100,2,FALSE()))," ")</f>
        <v xml:space="preserve"> </v>
      </c>
      <c r="I488" s="54" t="str">
        <f>IFERROR((VLOOKUP(G488,'Planilha de Cadastro - Previsão'!$A$2:$N$1100,3,FALSE()))," ")</f>
        <v xml:space="preserve"> </v>
      </c>
      <c r="J488" s="56" t="str">
        <f>IFERROR((VLOOKUP(G488,'Planilha de Cadastro - Previsão'!$A$2:$N$1100,5,FALSE()))," ")</f>
        <v xml:space="preserve"> </v>
      </c>
      <c r="K488" s="57" t="str">
        <f>IFERROR((VLOOKUP(G488,'Planilha de Cadastro - Previsão'!$A$2:$N$1100,9,FALSE()))," ")</f>
        <v xml:space="preserve"> </v>
      </c>
    </row>
    <row r="489" spans="1:11" x14ac:dyDescent="0.25">
      <c r="A489">
        <f>COUNTIF($C$2:C489,C489)</f>
        <v>488</v>
      </c>
      <c r="B489" s="1" t="str">
        <f t="shared" si="14"/>
        <v>488</v>
      </c>
      <c r="C489" s="1" t="str">
        <f>IFERROR(VLOOKUP(D489,'Planilha de Cadastro - Previsão'!$A$2:$O$1000,15,FALSE()),"")</f>
        <v/>
      </c>
      <c r="D489" s="1">
        <v>488</v>
      </c>
      <c r="E489" s="1"/>
      <c r="F489" s="1"/>
      <c r="G489" s="54" t="str">
        <f t="shared" si="15"/>
        <v/>
      </c>
      <c r="H489" s="55" t="str">
        <f>IFERROR((VLOOKUP(G489,'Planilha de Cadastro - Previsão'!$A$2:$N$1100,2,FALSE()))," ")</f>
        <v xml:space="preserve"> </v>
      </c>
      <c r="I489" s="54" t="str">
        <f>IFERROR((VLOOKUP(G489,'Planilha de Cadastro - Previsão'!$A$2:$N$1100,3,FALSE()))," ")</f>
        <v xml:space="preserve"> </v>
      </c>
      <c r="J489" s="56" t="str">
        <f>IFERROR((VLOOKUP(G489,'Planilha de Cadastro - Previsão'!$A$2:$N$1100,5,FALSE()))," ")</f>
        <v xml:space="preserve"> </v>
      </c>
      <c r="K489" s="57" t="str">
        <f>IFERROR((VLOOKUP(G489,'Planilha de Cadastro - Previsão'!$A$2:$N$1100,9,FALSE()))," ")</f>
        <v xml:space="preserve"> </v>
      </c>
    </row>
    <row r="490" spans="1:11" x14ac:dyDescent="0.25">
      <c r="A490">
        <f>COUNTIF($C$2:C490,C490)</f>
        <v>489</v>
      </c>
      <c r="B490" s="1" t="str">
        <f t="shared" si="14"/>
        <v>489</v>
      </c>
      <c r="C490" s="1" t="str">
        <f>IFERROR(VLOOKUP(D490,'Planilha de Cadastro - Previsão'!$A$2:$O$1000,15,FALSE()),"")</f>
        <v/>
      </c>
      <c r="D490" s="1">
        <v>489</v>
      </c>
      <c r="E490" s="1"/>
      <c r="F490" s="1"/>
      <c r="G490" s="54" t="str">
        <f t="shared" si="15"/>
        <v/>
      </c>
      <c r="H490" s="55" t="str">
        <f>IFERROR((VLOOKUP(G490,'Planilha de Cadastro - Previsão'!$A$2:$N$1100,2,FALSE()))," ")</f>
        <v xml:space="preserve"> </v>
      </c>
      <c r="I490" s="54" t="str">
        <f>IFERROR((VLOOKUP(G490,'Planilha de Cadastro - Previsão'!$A$2:$N$1100,3,FALSE()))," ")</f>
        <v xml:space="preserve"> </v>
      </c>
      <c r="J490" s="56" t="str">
        <f>IFERROR((VLOOKUP(G490,'Planilha de Cadastro - Previsão'!$A$2:$N$1100,5,FALSE()))," ")</f>
        <v xml:space="preserve"> </v>
      </c>
      <c r="K490" s="57" t="str">
        <f>IFERROR((VLOOKUP(G490,'Planilha de Cadastro - Previsão'!$A$2:$N$1100,9,FALSE()))," ")</f>
        <v xml:space="preserve"> </v>
      </c>
    </row>
    <row r="491" spans="1:11" x14ac:dyDescent="0.25">
      <c r="A491">
        <f>COUNTIF($C$2:C491,C491)</f>
        <v>490</v>
      </c>
      <c r="B491" s="1" t="str">
        <f t="shared" si="14"/>
        <v>490</v>
      </c>
      <c r="C491" s="1" t="str">
        <f>IFERROR(VLOOKUP(D491,'Planilha de Cadastro - Previsão'!$A$2:$O$1000,15,FALSE()),"")</f>
        <v/>
      </c>
      <c r="D491" s="1">
        <v>490</v>
      </c>
      <c r="E491" s="1"/>
      <c r="F491" s="1"/>
      <c r="G491" s="54" t="str">
        <f t="shared" si="15"/>
        <v/>
      </c>
      <c r="H491" s="55" t="str">
        <f>IFERROR((VLOOKUP(G491,'Planilha de Cadastro - Previsão'!$A$2:$N$1100,2,FALSE()))," ")</f>
        <v xml:space="preserve"> </v>
      </c>
      <c r="I491" s="54" t="str">
        <f>IFERROR((VLOOKUP(G491,'Planilha de Cadastro - Previsão'!$A$2:$N$1100,3,FALSE()))," ")</f>
        <v xml:space="preserve"> </v>
      </c>
      <c r="J491" s="56" t="str">
        <f>IFERROR((VLOOKUP(G491,'Planilha de Cadastro - Previsão'!$A$2:$N$1100,5,FALSE()))," ")</f>
        <v xml:space="preserve"> </v>
      </c>
      <c r="K491" s="57" t="str">
        <f>IFERROR((VLOOKUP(G491,'Planilha de Cadastro - Previsão'!$A$2:$N$1100,9,FALSE()))," ")</f>
        <v xml:space="preserve"> </v>
      </c>
    </row>
    <row r="492" spans="1:11" x14ac:dyDescent="0.25">
      <c r="A492">
        <f>COUNTIF($C$2:C492,C492)</f>
        <v>491</v>
      </c>
      <c r="B492" s="1" t="str">
        <f t="shared" si="14"/>
        <v>491</v>
      </c>
      <c r="C492" s="1" t="str">
        <f>IFERROR(VLOOKUP(D492,'Planilha de Cadastro - Previsão'!$A$2:$O$1000,15,FALSE()),"")</f>
        <v/>
      </c>
      <c r="D492" s="1">
        <v>491</v>
      </c>
      <c r="E492" s="1"/>
      <c r="F492" s="1"/>
      <c r="G492" s="54" t="str">
        <f t="shared" si="15"/>
        <v/>
      </c>
      <c r="H492" s="55" t="str">
        <f>IFERROR((VLOOKUP(G492,'Planilha de Cadastro - Previsão'!$A$2:$N$1100,2,FALSE()))," ")</f>
        <v xml:space="preserve"> </v>
      </c>
      <c r="I492" s="54" t="str">
        <f>IFERROR((VLOOKUP(G492,'Planilha de Cadastro - Previsão'!$A$2:$N$1100,3,FALSE()))," ")</f>
        <v xml:space="preserve"> </v>
      </c>
      <c r="J492" s="56" t="str">
        <f>IFERROR((VLOOKUP(G492,'Planilha de Cadastro - Previsão'!$A$2:$N$1100,5,FALSE()))," ")</f>
        <v xml:space="preserve"> </v>
      </c>
      <c r="K492" s="57" t="str">
        <f>IFERROR((VLOOKUP(G492,'Planilha de Cadastro - Previsão'!$A$2:$N$1100,9,FALSE()))," ")</f>
        <v xml:space="preserve"> </v>
      </c>
    </row>
    <row r="493" spans="1:11" x14ac:dyDescent="0.25">
      <c r="A493">
        <f>COUNTIF($C$2:C493,C493)</f>
        <v>492</v>
      </c>
      <c r="B493" s="1" t="str">
        <f t="shared" si="14"/>
        <v>492</v>
      </c>
      <c r="C493" s="1" t="str">
        <f>IFERROR(VLOOKUP(D493,'Planilha de Cadastro - Previsão'!$A$2:$O$1000,15,FALSE()),"")</f>
        <v/>
      </c>
      <c r="D493" s="1">
        <v>492</v>
      </c>
      <c r="E493" s="1"/>
      <c r="F493" s="1"/>
      <c r="G493" s="54" t="str">
        <f t="shared" si="15"/>
        <v/>
      </c>
      <c r="H493" s="55" t="str">
        <f>IFERROR((VLOOKUP(G493,'Planilha de Cadastro - Previsão'!$A$2:$N$1100,2,FALSE()))," ")</f>
        <v xml:space="preserve"> </v>
      </c>
      <c r="I493" s="54" t="str">
        <f>IFERROR((VLOOKUP(G493,'Planilha de Cadastro - Previsão'!$A$2:$N$1100,3,FALSE()))," ")</f>
        <v xml:space="preserve"> </v>
      </c>
      <c r="J493" s="56" t="str">
        <f>IFERROR((VLOOKUP(G493,'Planilha de Cadastro - Previsão'!$A$2:$N$1100,5,FALSE()))," ")</f>
        <v xml:space="preserve"> </v>
      </c>
      <c r="K493" s="57" t="str">
        <f>IFERROR((VLOOKUP(G493,'Planilha de Cadastro - Previsão'!$A$2:$N$1100,9,FALSE()))," ")</f>
        <v xml:space="preserve"> </v>
      </c>
    </row>
    <row r="494" spans="1:11" x14ac:dyDescent="0.25">
      <c r="A494">
        <f>COUNTIF($C$2:C494,C494)</f>
        <v>493</v>
      </c>
      <c r="B494" s="1" t="str">
        <f t="shared" si="14"/>
        <v>493</v>
      </c>
      <c r="C494" s="1" t="str">
        <f>IFERROR(VLOOKUP(D494,'Planilha de Cadastro - Previsão'!$A$2:$O$1000,15,FALSE()),"")</f>
        <v/>
      </c>
      <c r="D494" s="1">
        <v>493</v>
      </c>
      <c r="E494" s="1"/>
      <c r="F494" s="1"/>
      <c r="G494" s="54" t="str">
        <f t="shared" si="15"/>
        <v/>
      </c>
      <c r="H494" s="55" t="str">
        <f>IFERROR((VLOOKUP(G494,'Planilha de Cadastro - Previsão'!$A$2:$N$1100,2,FALSE()))," ")</f>
        <v xml:space="preserve"> </v>
      </c>
      <c r="I494" s="54" t="str">
        <f>IFERROR((VLOOKUP(G494,'Planilha de Cadastro - Previsão'!$A$2:$N$1100,3,FALSE()))," ")</f>
        <v xml:space="preserve"> </v>
      </c>
      <c r="J494" s="56" t="str">
        <f>IFERROR((VLOOKUP(G494,'Planilha de Cadastro - Previsão'!$A$2:$N$1100,5,FALSE()))," ")</f>
        <v xml:space="preserve"> </v>
      </c>
      <c r="K494" s="57" t="str">
        <f>IFERROR((VLOOKUP(G494,'Planilha de Cadastro - Previsão'!$A$2:$N$1100,9,FALSE()))," ")</f>
        <v xml:space="preserve"> </v>
      </c>
    </row>
    <row r="495" spans="1:11" x14ac:dyDescent="0.25">
      <c r="A495">
        <f>COUNTIF($C$2:C495,C495)</f>
        <v>494</v>
      </c>
      <c r="B495" s="1" t="str">
        <f t="shared" si="14"/>
        <v>494</v>
      </c>
      <c r="C495" s="1" t="str">
        <f>IFERROR(VLOOKUP(D495,'Planilha de Cadastro - Previsão'!$A$2:$O$1000,15,FALSE()),"")</f>
        <v/>
      </c>
      <c r="D495" s="1">
        <v>494</v>
      </c>
      <c r="E495" s="1"/>
      <c r="F495" s="1"/>
      <c r="G495" s="54" t="str">
        <f t="shared" si="15"/>
        <v/>
      </c>
      <c r="H495" s="55" t="str">
        <f>IFERROR((VLOOKUP(G495,'Planilha de Cadastro - Previsão'!$A$2:$N$1100,2,FALSE()))," ")</f>
        <v xml:space="preserve"> </v>
      </c>
      <c r="I495" s="54" t="str">
        <f>IFERROR((VLOOKUP(G495,'Planilha de Cadastro - Previsão'!$A$2:$N$1100,3,FALSE()))," ")</f>
        <v xml:space="preserve"> </v>
      </c>
      <c r="J495" s="56" t="str">
        <f>IFERROR((VLOOKUP(G495,'Planilha de Cadastro - Previsão'!$A$2:$N$1100,5,FALSE()))," ")</f>
        <v xml:space="preserve"> </v>
      </c>
      <c r="K495" s="57" t="str">
        <f>IFERROR((VLOOKUP(G495,'Planilha de Cadastro - Previsão'!$A$2:$N$1100,9,FALSE()))," ")</f>
        <v xml:space="preserve"> </v>
      </c>
    </row>
    <row r="496" spans="1:11" x14ac:dyDescent="0.25">
      <c r="A496">
        <f>COUNTIF($C$2:C496,C496)</f>
        <v>495</v>
      </c>
      <c r="B496" s="1" t="str">
        <f t="shared" si="14"/>
        <v>495</v>
      </c>
      <c r="C496" s="1" t="str">
        <f>IFERROR(VLOOKUP(D496,'Planilha de Cadastro - Previsão'!$A$2:$O$1000,15,FALSE()),"")</f>
        <v/>
      </c>
      <c r="D496" s="1">
        <v>495</v>
      </c>
      <c r="E496" s="1"/>
      <c r="F496" s="1"/>
      <c r="G496" s="54" t="str">
        <f t="shared" si="15"/>
        <v/>
      </c>
      <c r="H496" s="55" t="str">
        <f>IFERROR((VLOOKUP(G496,'Planilha de Cadastro - Previsão'!$A$2:$N$1100,2,FALSE()))," ")</f>
        <v xml:space="preserve"> </v>
      </c>
      <c r="I496" s="54" t="str">
        <f>IFERROR((VLOOKUP(G496,'Planilha de Cadastro - Previsão'!$A$2:$N$1100,3,FALSE()))," ")</f>
        <v xml:space="preserve"> </v>
      </c>
      <c r="J496" s="56" t="str">
        <f>IFERROR((VLOOKUP(G496,'Planilha de Cadastro - Previsão'!$A$2:$N$1100,5,FALSE()))," ")</f>
        <v xml:space="preserve"> </v>
      </c>
      <c r="K496" s="57" t="str">
        <f>IFERROR((VLOOKUP(G496,'Planilha de Cadastro - Previsão'!$A$2:$N$1100,9,FALSE()))," ")</f>
        <v xml:space="preserve"> </v>
      </c>
    </row>
    <row r="497" spans="1:11" x14ac:dyDescent="0.25">
      <c r="A497">
        <f>COUNTIF($C$2:C497,C497)</f>
        <v>496</v>
      </c>
      <c r="B497" s="1" t="str">
        <f t="shared" si="14"/>
        <v>496</v>
      </c>
      <c r="C497" s="1" t="str">
        <f>IFERROR(VLOOKUP(D497,'Planilha de Cadastro - Previsão'!$A$2:$O$1000,15,FALSE()),"")</f>
        <v/>
      </c>
      <c r="D497" s="1">
        <v>496</v>
      </c>
      <c r="E497" s="1"/>
      <c r="F497" s="1"/>
      <c r="G497" s="54" t="str">
        <f t="shared" si="15"/>
        <v/>
      </c>
      <c r="H497" s="55" t="str">
        <f>IFERROR((VLOOKUP(G497,'Planilha de Cadastro - Previsão'!$A$2:$N$1100,2,FALSE()))," ")</f>
        <v xml:space="preserve"> </v>
      </c>
      <c r="I497" s="54" t="str">
        <f>IFERROR((VLOOKUP(G497,'Planilha de Cadastro - Previsão'!$A$2:$N$1100,3,FALSE()))," ")</f>
        <v xml:space="preserve"> </v>
      </c>
      <c r="J497" s="56" t="str">
        <f>IFERROR((VLOOKUP(G497,'Planilha de Cadastro - Previsão'!$A$2:$N$1100,5,FALSE()))," ")</f>
        <v xml:space="preserve"> </v>
      </c>
      <c r="K497" s="57" t="str">
        <f>IFERROR((VLOOKUP(G497,'Planilha de Cadastro - Previsão'!$A$2:$N$1100,9,FALSE()))," ")</f>
        <v xml:space="preserve"> </v>
      </c>
    </row>
    <row r="498" spans="1:11" x14ac:dyDescent="0.25">
      <c r="A498">
        <f>COUNTIF($C$2:C498,C498)</f>
        <v>497</v>
      </c>
      <c r="B498" s="1" t="str">
        <f t="shared" si="14"/>
        <v>497</v>
      </c>
      <c r="C498" s="1" t="str">
        <f>IFERROR(VLOOKUP(D498,'Planilha de Cadastro - Previsão'!$A$2:$O$1000,15,FALSE()),"")</f>
        <v/>
      </c>
      <c r="D498" s="1">
        <v>497</v>
      </c>
      <c r="E498" s="1"/>
      <c r="F498" s="1"/>
      <c r="G498" s="54" t="str">
        <f t="shared" si="15"/>
        <v/>
      </c>
      <c r="H498" s="55" t="str">
        <f>IFERROR((VLOOKUP(G498,'Planilha de Cadastro - Previsão'!$A$2:$N$1100,2,FALSE()))," ")</f>
        <v xml:space="preserve"> </v>
      </c>
      <c r="I498" s="54" t="str">
        <f>IFERROR((VLOOKUP(G498,'Planilha de Cadastro - Previsão'!$A$2:$N$1100,3,FALSE()))," ")</f>
        <v xml:space="preserve"> </v>
      </c>
      <c r="J498" s="56" t="str">
        <f>IFERROR((VLOOKUP(G498,'Planilha de Cadastro - Previsão'!$A$2:$N$1100,5,FALSE()))," ")</f>
        <v xml:space="preserve"> </v>
      </c>
      <c r="K498" s="57" t="str">
        <f>IFERROR((VLOOKUP(G498,'Planilha de Cadastro - Previsão'!$A$2:$N$1100,9,FALSE()))," ")</f>
        <v xml:space="preserve"> </v>
      </c>
    </row>
    <row r="499" spans="1:11" x14ac:dyDescent="0.25">
      <c r="A499">
        <f>COUNTIF($C$2:C499,C499)</f>
        <v>498</v>
      </c>
      <c r="B499" s="1" t="str">
        <f t="shared" si="14"/>
        <v>498</v>
      </c>
      <c r="C499" s="1" t="str">
        <f>IFERROR(VLOOKUP(D499,'Planilha de Cadastro - Previsão'!$A$2:$O$1000,15,FALSE()),"")</f>
        <v/>
      </c>
      <c r="D499" s="1">
        <v>498</v>
      </c>
      <c r="E499" s="1"/>
      <c r="F499" s="1"/>
      <c r="G499" s="54" t="str">
        <f t="shared" si="15"/>
        <v/>
      </c>
      <c r="H499" s="55" t="str">
        <f>IFERROR((VLOOKUP(G499,'Planilha de Cadastro - Previsão'!$A$2:$N$1100,2,FALSE()))," ")</f>
        <v xml:space="preserve"> </v>
      </c>
      <c r="I499" s="54" t="str">
        <f>IFERROR((VLOOKUP(G499,'Planilha de Cadastro - Previsão'!$A$2:$N$1100,3,FALSE()))," ")</f>
        <v xml:space="preserve"> </v>
      </c>
      <c r="J499" s="56" t="str">
        <f>IFERROR((VLOOKUP(G499,'Planilha de Cadastro - Previsão'!$A$2:$N$1100,5,FALSE()))," ")</f>
        <v xml:space="preserve"> </v>
      </c>
      <c r="K499" s="57" t="str">
        <f>IFERROR((VLOOKUP(G499,'Planilha de Cadastro - Previsão'!$A$2:$N$1100,9,FALSE()))," ")</f>
        <v xml:space="preserve"> </v>
      </c>
    </row>
    <row r="500" spans="1:11" x14ac:dyDescent="0.25">
      <c r="A500">
        <f>COUNTIF($C$2:C500,C500)</f>
        <v>499</v>
      </c>
      <c r="B500" s="1" t="str">
        <f t="shared" si="14"/>
        <v>499</v>
      </c>
      <c r="C500" s="1" t="str">
        <f>IFERROR(VLOOKUP(D500,'Planilha de Cadastro - Previsão'!$A$2:$O$1000,15,FALSE()),"")</f>
        <v/>
      </c>
      <c r="D500" s="1">
        <v>499</v>
      </c>
      <c r="E500" s="1"/>
      <c r="F500" s="1"/>
      <c r="G500" s="54" t="str">
        <f t="shared" si="15"/>
        <v/>
      </c>
      <c r="H500" s="55" t="str">
        <f>IFERROR((VLOOKUP(G500,'Planilha de Cadastro - Previsão'!$A$2:$N$1100,2,FALSE()))," ")</f>
        <v xml:space="preserve"> </v>
      </c>
      <c r="I500" s="54" t="str">
        <f>IFERROR((VLOOKUP(G500,'Planilha de Cadastro - Previsão'!$A$2:$N$1100,3,FALSE()))," ")</f>
        <v xml:space="preserve"> </v>
      </c>
      <c r="J500" s="56" t="str">
        <f>IFERROR((VLOOKUP(G500,'Planilha de Cadastro - Previsão'!$A$2:$N$1100,5,FALSE()))," ")</f>
        <v xml:space="preserve"> </v>
      </c>
      <c r="K500" s="57" t="str">
        <f>IFERROR((VLOOKUP(G500,'Planilha de Cadastro - Previsão'!$A$2:$N$1100,9,FALSE()))," ")</f>
        <v xml:space="preserve"> </v>
      </c>
    </row>
    <row r="501" spans="1:11" x14ac:dyDescent="0.25">
      <c r="A501">
        <f>COUNTIF($C$2:C501,C501)</f>
        <v>500</v>
      </c>
      <c r="B501" s="1" t="str">
        <f t="shared" si="14"/>
        <v>500</v>
      </c>
      <c r="C501" s="1" t="str">
        <f>IFERROR(VLOOKUP(D501,'Planilha de Cadastro - Previsão'!$A$2:$O$1000,15,FALSE()),"")</f>
        <v/>
      </c>
      <c r="D501" s="1">
        <v>500</v>
      </c>
      <c r="E501" s="1"/>
      <c r="F501" s="1"/>
      <c r="G501" s="54" t="str">
        <f t="shared" si="15"/>
        <v/>
      </c>
      <c r="H501" s="55" t="str">
        <f>IFERROR((VLOOKUP(G501,'Planilha de Cadastro - Previsão'!$A$2:$N$1100,2,FALSE()))," ")</f>
        <v xml:space="preserve"> </v>
      </c>
      <c r="I501" s="54" t="str">
        <f>IFERROR((VLOOKUP(G501,'Planilha de Cadastro - Previsão'!$A$2:$N$1100,3,FALSE()))," ")</f>
        <v xml:space="preserve"> </v>
      </c>
      <c r="J501" s="56" t="str">
        <f>IFERROR((VLOOKUP(G501,'Planilha de Cadastro - Previsão'!$A$2:$N$1100,5,FALSE()))," ")</f>
        <v xml:space="preserve"> </v>
      </c>
      <c r="K501" s="57" t="str">
        <f>IFERROR((VLOOKUP(G501,'Planilha de Cadastro - Previsão'!$A$2:$N$1100,9,FALSE()))," ")</f>
        <v xml:space="preserve"> </v>
      </c>
    </row>
    <row r="502" spans="1:11" x14ac:dyDescent="0.25">
      <c r="A502">
        <f>COUNTIF($C$2:C502,C502)</f>
        <v>501</v>
      </c>
      <c r="B502" s="1" t="str">
        <f t="shared" si="14"/>
        <v>501</v>
      </c>
      <c r="C502" s="1" t="str">
        <f>IFERROR(VLOOKUP(D502,'Planilha de Cadastro - Previsão'!$A$2:$O$1000,15,FALSE()),"")</f>
        <v/>
      </c>
      <c r="D502" s="1">
        <v>501</v>
      </c>
      <c r="E502" s="1"/>
      <c r="F502" s="1"/>
      <c r="G502" s="54" t="str">
        <f t="shared" si="15"/>
        <v/>
      </c>
      <c r="H502" s="55" t="str">
        <f>IFERROR((VLOOKUP(G502,'Planilha de Cadastro - Previsão'!$A$2:$N$1100,2,FALSE()))," ")</f>
        <v xml:space="preserve"> </v>
      </c>
      <c r="I502" s="54" t="str">
        <f>IFERROR((VLOOKUP(G502,'Planilha de Cadastro - Previsão'!$A$2:$N$1100,3,FALSE()))," ")</f>
        <v xml:space="preserve"> </v>
      </c>
      <c r="J502" s="56" t="str">
        <f>IFERROR((VLOOKUP(G502,'Planilha de Cadastro - Previsão'!$A$2:$N$1100,5,FALSE()))," ")</f>
        <v xml:space="preserve"> </v>
      </c>
      <c r="K502" s="57" t="str">
        <f>IFERROR((VLOOKUP(G502,'Planilha de Cadastro - Previsão'!$A$2:$N$1100,9,FALSE()))," ")</f>
        <v xml:space="preserve"> </v>
      </c>
    </row>
    <row r="503" spans="1:11" x14ac:dyDescent="0.25">
      <c r="A503">
        <f>COUNTIF($C$2:C503,C503)</f>
        <v>502</v>
      </c>
      <c r="B503" s="1" t="str">
        <f t="shared" si="14"/>
        <v>502</v>
      </c>
      <c r="C503" s="1" t="str">
        <f>IFERROR(VLOOKUP(D503,'Planilha de Cadastro - Previsão'!$A$2:$O$1000,15,FALSE()),"")</f>
        <v/>
      </c>
      <c r="D503" s="1">
        <v>502</v>
      </c>
      <c r="E503" s="1"/>
      <c r="F503" s="1"/>
      <c r="G503" s="54" t="str">
        <f t="shared" si="15"/>
        <v/>
      </c>
      <c r="H503" s="55" t="str">
        <f>IFERROR((VLOOKUP(G503,'Planilha de Cadastro - Previsão'!$A$2:$N$1100,2,FALSE()))," ")</f>
        <v xml:space="preserve"> </v>
      </c>
      <c r="I503" s="54" t="str">
        <f>IFERROR((VLOOKUP(G503,'Planilha de Cadastro - Previsão'!$A$2:$N$1100,3,FALSE()))," ")</f>
        <v xml:space="preserve"> </v>
      </c>
      <c r="J503" s="56" t="str">
        <f>IFERROR((VLOOKUP(G503,'Planilha de Cadastro - Previsão'!$A$2:$N$1100,5,FALSE()))," ")</f>
        <v xml:space="preserve"> </v>
      </c>
      <c r="K503" s="57" t="str">
        <f>IFERROR((VLOOKUP(G503,'Planilha de Cadastro - Previsão'!$A$2:$N$1100,9,FALSE()))," ")</f>
        <v xml:space="preserve"> </v>
      </c>
    </row>
    <row r="504" spans="1:11" x14ac:dyDescent="0.25">
      <c r="A504">
        <f>COUNTIF($C$2:C504,C504)</f>
        <v>503</v>
      </c>
      <c r="B504" s="1" t="str">
        <f t="shared" si="14"/>
        <v>503</v>
      </c>
      <c r="C504" s="1" t="str">
        <f>IFERROR(VLOOKUP(D504,'Planilha de Cadastro - Previsão'!$A$2:$O$1000,15,FALSE()),"")</f>
        <v/>
      </c>
      <c r="D504" s="1">
        <v>503</v>
      </c>
      <c r="E504" s="1"/>
      <c r="F504" s="1"/>
    </row>
    <row r="505" spans="1:11" x14ac:dyDescent="0.25">
      <c r="A505">
        <f>COUNTIF($C$2:C505,C505)</f>
        <v>504</v>
      </c>
      <c r="B505" s="1" t="str">
        <f t="shared" si="14"/>
        <v>504</v>
      </c>
      <c r="C505" s="1" t="str">
        <f>IFERROR(VLOOKUP(D505,'Planilha de Cadastro - Previsão'!$A$2:$O$1000,15,FALSE()),"")</f>
        <v/>
      </c>
      <c r="D505" s="1">
        <v>504</v>
      </c>
      <c r="E505" s="1"/>
      <c r="F505" s="1"/>
    </row>
    <row r="506" spans="1:11" x14ac:dyDescent="0.25">
      <c r="A506">
        <f>COUNTIF($C$2:C506,C506)</f>
        <v>505</v>
      </c>
      <c r="B506" s="1" t="str">
        <f t="shared" si="14"/>
        <v>505</v>
      </c>
      <c r="C506" s="1" t="str">
        <f>IFERROR(VLOOKUP(D506,'Planilha de Cadastro - Previsão'!$A$2:$O$1000,15,FALSE()),"")</f>
        <v/>
      </c>
      <c r="D506" s="1">
        <v>505</v>
      </c>
      <c r="E506" s="1"/>
      <c r="F506" s="1"/>
      <c r="G506" s="24"/>
      <c r="H506" s="75" t="s">
        <v>28</v>
      </c>
      <c r="I506" s="75"/>
      <c r="J506" s="76">
        <f>SUMPRODUCT('Prosposta Inicial'!$I$10:$I$503,'Prosposta Inicial'!$J$10:$J$503)</f>
        <v>0</v>
      </c>
      <c r="K506" s="77"/>
    </row>
    <row r="507" spans="1:11" x14ac:dyDescent="0.25">
      <c r="A507">
        <f>COUNTIF($C$2:C507,C507)</f>
        <v>506</v>
      </c>
      <c r="B507" s="1" t="str">
        <f t="shared" si="14"/>
        <v>506</v>
      </c>
      <c r="C507" s="1" t="str">
        <f>IFERROR(VLOOKUP(D507,'Planilha de Cadastro - Previsão'!$A$2:$O$1000,15,FALSE()),"")</f>
        <v/>
      </c>
      <c r="D507" s="1">
        <v>506</v>
      </c>
      <c r="E507" s="1"/>
      <c r="F507" s="1"/>
    </row>
    <row r="508" spans="1:11" x14ac:dyDescent="0.25">
      <c r="A508">
        <f>COUNTIF($C$2:C508,C508)</f>
        <v>507</v>
      </c>
      <c r="B508" s="1" t="str">
        <f t="shared" si="14"/>
        <v>507</v>
      </c>
      <c r="C508" s="1" t="str">
        <f>IFERROR(VLOOKUP(D508,'Planilha de Cadastro - Previsão'!$A$2:$O$1000,15,FALSE()),"")</f>
        <v/>
      </c>
      <c r="D508" s="1">
        <v>507</v>
      </c>
      <c r="E508" s="1"/>
      <c r="F508" s="1"/>
    </row>
    <row r="509" spans="1:11" x14ac:dyDescent="0.25">
      <c r="A509">
        <f>COUNTIF($C$2:C509,C509)</f>
        <v>508</v>
      </c>
      <c r="B509" s="1" t="str">
        <f t="shared" si="14"/>
        <v>508</v>
      </c>
      <c r="C509" s="1" t="str">
        <f>IFERROR(VLOOKUP(D509,'Planilha de Cadastro - Previsão'!$A$2:$O$1000,15,FALSE()),"")</f>
        <v/>
      </c>
      <c r="D509" s="1">
        <v>508</v>
      </c>
      <c r="E509" s="1"/>
      <c r="F509" s="1"/>
    </row>
    <row r="510" spans="1:11" x14ac:dyDescent="0.25">
      <c r="A510">
        <f>COUNTIF($C$2:C510,C510)</f>
        <v>509</v>
      </c>
      <c r="B510" s="1" t="str">
        <f t="shared" si="14"/>
        <v>509</v>
      </c>
      <c r="C510" s="1" t="str">
        <f>IFERROR(VLOOKUP(D510,'Planilha de Cadastro - Previsão'!$A$2:$O$1000,15,FALSE()),"")</f>
        <v/>
      </c>
      <c r="D510" s="1">
        <v>509</v>
      </c>
      <c r="E510" s="1"/>
      <c r="F510" s="1"/>
    </row>
    <row r="511" spans="1:11" x14ac:dyDescent="0.25">
      <c r="A511">
        <f>COUNTIF($C$2:C511,C511)</f>
        <v>510</v>
      </c>
      <c r="B511" s="1" t="str">
        <f t="shared" si="14"/>
        <v>510</v>
      </c>
      <c r="C511" s="1" t="str">
        <f>IFERROR(VLOOKUP(D511,'Planilha de Cadastro - Previsão'!$A$2:$O$1000,15,FALSE()),"")</f>
        <v/>
      </c>
      <c r="D511" s="1">
        <v>510</v>
      </c>
      <c r="E511" s="1"/>
      <c r="F511" s="1"/>
      <c r="H511" s="74" t="str">
        <f>M2</f>
        <v>40.127.372 RICHARD HENRIQUE VERNILLO</v>
      </c>
      <c r="I511" s="74"/>
      <c r="J511" s="74"/>
    </row>
    <row r="512" spans="1:11" x14ac:dyDescent="0.25">
      <c r="A512">
        <f>COUNTIF($C$2:C512,C512)</f>
        <v>511</v>
      </c>
      <c r="B512" s="1" t="str">
        <f t="shared" si="14"/>
        <v>511</v>
      </c>
      <c r="C512" s="1" t="str">
        <f>IFERROR(VLOOKUP(D512,'Planilha de Cadastro - Previsão'!$A$2:$O$1000,15,FALSE()),"")</f>
        <v/>
      </c>
      <c r="D512" s="1">
        <v>511</v>
      </c>
      <c r="E512" s="1"/>
      <c r="F512" s="1"/>
    </row>
    <row r="513" spans="1:6" x14ac:dyDescent="0.25">
      <c r="A513">
        <f>COUNTIF($C$2:C513,C513)</f>
        <v>512</v>
      </c>
      <c r="B513" s="1" t="str">
        <f t="shared" si="14"/>
        <v>512</v>
      </c>
      <c r="C513" s="1" t="str">
        <f>IFERROR(VLOOKUP(D513,'Planilha de Cadastro - Previsão'!$A$2:$O$1000,15,FALSE()),"")</f>
        <v/>
      </c>
      <c r="D513" s="1">
        <v>512</v>
      </c>
      <c r="E513" s="1"/>
      <c r="F513" s="1"/>
    </row>
    <row r="514" spans="1:6" x14ac:dyDescent="0.25">
      <c r="A514">
        <f>COUNTIF($C$2:C514,C514)</f>
        <v>513</v>
      </c>
      <c r="B514" s="1" t="str">
        <f t="shared" si="14"/>
        <v>513</v>
      </c>
      <c r="C514" s="1" t="str">
        <f>IFERROR(VLOOKUP(D514,'Planilha de Cadastro - Previsão'!$A$2:$O$1000,15,FALSE()),"")</f>
        <v/>
      </c>
      <c r="D514" s="1">
        <v>513</v>
      </c>
      <c r="E514" s="1"/>
      <c r="F514" s="1"/>
    </row>
    <row r="515" spans="1:6" x14ac:dyDescent="0.25">
      <c r="A515">
        <f>COUNTIF($C$2:C515,C515)</f>
        <v>514</v>
      </c>
      <c r="B515" s="1" t="str">
        <f t="shared" ref="B515:B578" si="16">IFERROR(CONCATENATE(C515,A515),"")</f>
        <v>514</v>
      </c>
      <c r="C515" s="1" t="str">
        <f>IFERROR(VLOOKUP(D515,'Planilha de Cadastro - Previsão'!$A$2:$O$1000,15,FALSE()),"")</f>
        <v/>
      </c>
      <c r="D515" s="1">
        <v>514</v>
      </c>
      <c r="E515" s="1"/>
      <c r="F515" s="1"/>
    </row>
    <row r="516" spans="1:6" x14ac:dyDescent="0.25">
      <c r="A516">
        <f>COUNTIF($C$2:C516,C516)</f>
        <v>515</v>
      </c>
      <c r="B516" s="1" t="str">
        <f t="shared" si="16"/>
        <v>515</v>
      </c>
      <c r="C516" s="1" t="str">
        <f>IFERROR(VLOOKUP(D516,'Planilha de Cadastro - Previsão'!$A$2:$O$1000,15,FALSE()),"")</f>
        <v/>
      </c>
      <c r="D516" s="1">
        <v>515</v>
      </c>
      <c r="E516" s="1"/>
      <c r="F516" s="1"/>
    </row>
    <row r="517" spans="1:6" x14ac:dyDescent="0.25">
      <c r="A517">
        <f>COUNTIF($C$2:C517,C517)</f>
        <v>516</v>
      </c>
      <c r="B517" s="1" t="str">
        <f t="shared" si="16"/>
        <v>516</v>
      </c>
      <c r="C517" s="1" t="str">
        <f>IFERROR(VLOOKUP(D517,'Planilha de Cadastro - Previsão'!$A$2:$O$1000,15,FALSE()),"")</f>
        <v/>
      </c>
      <c r="D517" s="1">
        <v>516</v>
      </c>
      <c r="E517" s="1"/>
      <c r="F517" s="1"/>
    </row>
    <row r="518" spans="1:6" x14ac:dyDescent="0.25">
      <c r="A518">
        <f>COUNTIF($C$2:C518,C518)</f>
        <v>517</v>
      </c>
      <c r="B518" s="1" t="str">
        <f t="shared" si="16"/>
        <v>517</v>
      </c>
      <c r="C518" s="1" t="str">
        <f>IFERROR(VLOOKUP(D518,'Planilha de Cadastro - Previsão'!$A$2:$O$1000,15,FALSE()),"")</f>
        <v/>
      </c>
      <c r="D518" s="1">
        <v>517</v>
      </c>
      <c r="E518" s="1"/>
      <c r="F518" s="1"/>
    </row>
    <row r="519" spans="1:6" x14ac:dyDescent="0.25">
      <c r="A519">
        <f>COUNTIF($C$2:C519,C519)</f>
        <v>518</v>
      </c>
      <c r="B519" s="1" t="str">
        <f t="shared" si="16"/>
        <v>518</v>
      </c>
      <c r="C519" s="1" t="str">
        <f>IFERROR(VLOOKUP(D519,'Planilha de Cadastro - Previsão'!$A$2:$O$1000,15,FALSE()),"")</f>
        <v/>
      </c>
      <c r="D519" s="1">
        <v>518</v>
      </c>
      <c r="E519" s="1"/>
      <c r="F519" s="1"/>
    </row>
    <row r="520" spans="1:6" x14ac:dyDescent="0.25">
      <c r="A520">
        <f>COUNTIF($C$2:C520,C520)</f>
        <v>519</v>
      </c>
      <c r="B520" s="1" t="str">
        <f t="shared" si="16"/>
        <v>519</v>
      </c>
      <c r="C520" s="1" t="str">
        <f>IFERROR(VLOOKUP(D520,'Planilha de Cadastro - Previsão'!$A$2:$O$1000,15,FALSE()),"")</f>
        <v/>
      </c>
      <c r="D520" s="1">
        <v>519</v>
      </c>
      <c r="E520" s="1"/>
      <c r="F520" s="1"/>
    </row>
    <row r="521" spans="1:6" x14ac:dyDescent="0.25">
      <c r="A521">
        <f>COUNTIF($C$2:C521,C521)</f>
        <v>520</v>
      </c>
      <c r="B521" s="1" t="str">
        <f t="shared" si="16"/>
        <v>520</v>
      </c>
      <c r="C521" s="1" t="str">
        <f>IFERROR(VLOOKUP(D521,'Planilha de Cadastro - Previsão'!$A$2:$O$1000,15,FALSE()),"")</f>
        <v/>
      </c>
      <c r="D521" s="1">
        <v>520</v>
      </c>
      <c r="E521" s="1"/>
      <c r="F521" s="1"/>
    </row>
    <row r="522" spans="1:6" x14ac:dyDescent="0.25">
      <c r="A522">
        <f>COUNTIF($C$2:C522,C522)</f>
        <v>521</v>
      </c>
      <c r="B522" s="1" t="str">
        <f t="shared" si="16"/>
        <v>521</v>
      </c>
      <c r="C522" s="1" t="str">
        <f>IFERROR(VLOOKUP(D522,'Planilha de Cadastro - Previsão'!$A$2:$O$1000,15,FALSE()),"")</f>
        <v/>
      </c>
      <c r="D522" s="1">
        <v>521</v>
      </c>
      <c r="E522" s="1"/>
      <c r="F522" s="1"/>
    </row>
    <row r="523" spans="1:6" x14ac:dyDescent="0.25">
      <c r="A523">
        <f>COUNTIF($C$2:C523,C523)</f>
        <v>522</v>
      </c>
      <c r="B523" s="1" t="str">
        <f t="shared" si="16"/>
        <v>522</v>
      </c>
      <c r="C523" s="1" t="str">
        <f>IFERROR(VLOOKUP(D523,'Planilha de Cadastro - Previsão'!$A$2:$O$1000,15,FALSE()),"")</f>
        <v/>
      </c>
      <c r="D523" s="1">
        <v>522</v>
      </c>
      <c r="E523" s="1"/>
      <c r="F523" s="1"/>
    </row>
    <row r="524" spans="1:6" x14ac:dyDescent="0.25">
      <c r="A524">
        <f>COUNTIF($C$2:C524,C524)</f>
        <v>523</v>
      </c>
      <c r="B524" s="1" t="str">
        <f t="shared" si="16"/>
        <v>523</v>
      </c>
      <c r="C524" s="1" t="str">
        <f>IFERROR(VLOOKUP(D524,'Planilha de Cadastro - Previsão'!$A$2:$O$1000,15,FALSE()),"")</f>
        <v/>
      </c>
      <c r="D524" s="1">
        <v>523</v>
      </c>
      <c r="E524" s="1"/>
      <c r="F524" s="1"/>
    </row>
    <row r="525" spans="1:6" x14ac:dyDescent="0.25">
      <c r="A525">
        <f>COUNTIF($C$2:C525,C525)</f>
        <v>524</v>
      </c>
      <c r="B525" s="1" t="str">
        <f t="shared" si="16"/>
        <v>524</v>
      </c>
      <c r="C525" s="1" t="str">
        <f>IFERROR(VLOOKUP(D525,'Planilha de Cadastro - Previsão'!$A$2:$O$1000,15,FALSE()),"")</f>
        <v/>
      </c>
      <c r="D525" s="1">
        <v>524</v>
      </c>
      <c r="E525" s="1"/>
      <c r="F525" s="1"/>
    </row>
    <row r="526" spans="1:6" x14ac:dyDescent="0.25">
      <c r="A526">
        <f>COUNTIF($C$2:C526,C526)</f>
        <v>525</v>
      </c>
      <c r="B526" s="1" t="str">
        <f t="shared" si="16"/>
        <v>525</v>
      </c>
      <c r="C526" s="1" t="str">
        <f>IFERROR(VLOOKUP(D526,'Planilha de Cadastro - Previsão'!$A$2:$O$1000,15,FALSE()),"")</f>
        <v/>
      </c>
      <c r="D526" s="1">
        <v>525</v>
      </c>
      <c r="E526" s="1"/>
      <c r="F526" s="1"/>
    </row>
    <row r="527" spans="1:6" x14ac:dyDescent="0.25">
      <c r="A527">
        <f>COUNTIF($C$2:C527,C527)</f>
        <v>526</v>
      </c>
      <c r="B527" s="1" t="str">
        <f t="shared" si="16"/>
        <v>526</v>
      </c>
      <c r="C527" s="1" t="str">
        <f>IFERROR(VLOOKUP(D527,'Planilha de Cadastro - Previsão'!$A$2:$O$1000,15,FALSE()),"")</f>
        <v/>
      </c>
      <c r="D527" s="1">
        <v>526</v>
      </c>
      <c r="E527" s="1"/>
      <c r="F527" s="1"/>
    </row>
    <row r="528" spans="1:6" x14ac:dyDescent="0.25">
      <c r="A528">
        <f>COUNTIF($C$2:C528,C528)</f>
        <v>527</v>
      </c>
      <c r="B528" s="1" t="str">
        <f t="shared" si="16"/>
        <v>527</v>
      </c>
      <c r="C528" s="1" t="str">
        <f>IFERROR(VLOOKUP(D528,'Planilha de Cadastro - Previsão'!$A$2:$O$1000,15,FALSE()),"")</f>
        <v/>
      </c>
      <c r="D528" s="1">
        <v>527</v>
      </c>
      <c r="E528" s="1"/>
      <c r="F528" s="1"/>
    </row>
    <row r="529" spans="1:6" x14ac:dyDescent="0.25">
      <c r="A529">
        <f>COUNTIF($C$2:C529,C529)</f>
        <v>528</v>
      </c>
      <c r="B529" s="1" t="str">
        <f t="shared" si="16"/>
        <v>528</v>
      </c>
      <c r="C529" s="1" t="str">
        <f>IFERROR(VLOOKUP(D529,'Planilha de Cadastro - Previsão'!$A$2:$O$1000,15,FALSE()),"")</f>
        <v/>
      </c>
      <c r="D529" s="1">
        <v>528</v>
      </c>
      <c r="E529" s="1"/>
      <c r="F529" s="1"/>
    </row>
    <row r="530" spans="1:6" x14ac:dyDescent="0.25">
      <c r="A530">
        <f>COUNTIF($C$2:C530,C530)</f>
        <v>529</v>
      </c>
      <c r="B530" s="1" t="str">
        <f t="shared" si="16"/>
        <v>529</v>
      </c>
      <c r="C530" s="1" t="str">
        <f>IFERROR(VLOOKUP(D530,'Planilha de Cadastro - Previsão'!$A$2:$O$1000,15,FALSE()),"")</f>
        <v/>
      </c>
      <c r="D530" s="1">
        <v>529</v>
      </c>
      <c r="E530" s="1"/>
      <c r="F530" s="1"/>
    </row>
    <row r="531" spans="1:6" x14ac:dyDescent="0.25">
      <c r="A531">
        <f>COUNTIF($C$2:C531,C531)</f>
        <v>530</v>
      </c>
      <c r="B531" s="1" t="str">
        <f t="shared" si="16"/>
        <v>530</v>
      </c>
      <c r="C531" s="1" t="str">
        <f>IFERROR(VLOOKUP(D531,'Planilha de Cadastro - Previsão'!$A$2:$O$1000,15,FALSE()),"")</f>
        <v/>
      </c>
      <c r="D531" s="1">
        <v>530</v>
      </c>
      <c r="E531" s="1"/>
      <c r="F531" s="1"/>
    </row>
    <row r="532" spans="1:6" x14ac:dyDescent="0.25">
      <c r="A532">
        <f>COUNTIF($C$2:C532,C532)</f>
        <v>531</v>
      </c>
      <c r="B532" s="1" t="str">
        <f t="shared" si="16"/>
        <v>531</v>
      </c>
      <c r="C532" s="1" t="str">
        <f>IFERROR(VLOOKUP(D532,'Planilha de Cadastro - Previsão'!$A$2:$O$1000,15,FALSE()),"")</f>
        <v/>
      </c>
      <c r="D532" s="1">
        <v>531</v>
      </c>
      <c r="E532" s="1"/>
      <c r="F532" s="1"/>
    </row>
    <row r="533" spans="1:6" x14ac:dyDescent="0.25">
      <c r="A533">
        <f>COUNTIF($C$2:C533,C533)</f>
        <v>532</v>
      </c>
      <c r="B533" s="1" t="str">
        <f t="shared" si="16"/>
        <v>532</v>
      </c>
      <c r="C533" s="1" t="str">
        <f>IFERROR(VLOOKUP(D533,'Planilha de Cadastro - Previsão'!$A$2:$O$1000,15,FALSE()),"")</f>
        <v/>
      </c>
      <c r="D533" s="1">
        <v>532</v>
      </c>
      <c r="E533" s="1"/>
      <c r="F533" s="1"/>
    </row>
    <row r="534" spans="1:6" x14ac:dyDescent="0.25">
      <c r="A534">
        <f>COUNTIF($C$2:C534,C534)</f>
        <v>533</v>
      </c>
      <c r="B534" s="1" t="str">
        <f t="shared" si="16"/>
        <v>533</v>
      </c>
      <c r="C534" s="1" t="str">
        <f>IFERROR(VLOOKUP(D534,'Planilha de Cadastro - Previsão'!$A$2:$O$1000,15,FALSE()),"")</f>
        <v/>
      </c>
      <c r="D534" s="1">
        <v>533</v>
      </c>
      <c r="E534" s="1"/>
      <c r="F534" s="1"/>
    </row>
    <row r="535" spans="1:6" x14ac:dyDescent="0.25">
      <c r="A535">
        <f>COUNTIF($C$2:C535,C535)</f>
        <v>534</v>
      </c>
      <c r="B535" s="1" t="str">
        <f t="shared" si="16"/>
        <v>534</v>
      </c>
      <c r="C535" s="1" t="str">
        <f>IFERROR(VLOOKUP(D535,'Planilha de Cadastro - Previsão'!$A$2:$O$1000,15,FALSE()),"")</f>
        <v/>
      </c>
      <c r="D535" s="1">
        <v>534</v>
      </c>
      <c r="E535" s="1"/>
      <c r="F535" s="1"/>
    </row>
    <row r="536" spans="1:6" x14ac:dyDescent="0.25">
      <c r="A536">
        <f>COUNTIF($C$2:C536,C536)</f>
        <v>535</v>
      </c>
      <c r="B536" s="1" t="str">
        <f t="shared" si="16"/>
        <v>535</v>
      </c>
      <c r="C536" s="1" t="str">
        <f>IFERROR(VLOOKUP(D536,'Planilha de Cadastro - Previsão'!$A$2:$O$1000,15,FALSE()),"")</f>
        <v/>
      </c>
      <c r="D536" s="1">
        <v>535</v>
      </c>
      <c r="E536" s="1"/>
      <c r="F536" s="1"/>
    </row>
    <row r="537" spans="1:6" x14ac:dyDescent="0.25">
      <c r="A537">
        <f>COUNTIF($C$2:C537,C537)</f>
        <v>536</v>
      </c>
      <c r="B537" s="1" t="str">
        <f t="shared" si="16"/>
        <v>536</v>
      </c>
      <c r="C537" s="1" t="str">
        <f>IFERROR(VLOOKUP(D537,'Planilha de Cadastro - Previsão'!$A$2:$O$1000,15,FALSE()),"")</f>
        <v/>
      </c>
      <c r="D537" s="1">
        <v>536</v>
      </c>
      <c r="E537" s="1"/>
      <c r="F537" s="1"/>
    </row>
    <row r="538" spans="1:6" x14ac:dyDescent="0.25">
      <c r="A538">
        <f>COUNTIF($C$2:C538,C538)</f>
        <v>537</v>
      </c>
      <c r="B538" s="1" t="str">
        <f t="shared" si="16"/>
        <v>537</v>
      </c>
      <c r="C538" s="1" t="str">
        <f>IFERROR(VLOOKUP(D538,'Planilha de Cadastro - Previsão'!$A$2:$O$1000,15,FALSE()),"")</f>
        <v/>
      </c>
      <c r="D538" s="1">
        <v>537</v>
      </c>
      <c r="E538" s="1"/>
      <c r="F538" s="1"/>
    </row>
    <row r="539" spans="1:6" x14ac:dyDescent="0.25">
      <c r="A539">
        <f>COUNTIF($C$2:C539,C539)</f>
        <v>538</v>
      </c>
      <c r="B539" s="1" t="str">
        <f t="shared" si="16"/>
        <v>538</v>
      </c>
      <c r="C539" s="1" t="str">
        <f>IFERROR(VLOOKUP(D539,'Planilha de Cadastro - Previsão'!$A$2:$O$1000,15,FALSE()),"")</f>
        <v/>
      </c>
      <c r="D539" s="1">
        <v>538</v>
      </c>
      <c r="E539" s="1"/>
      <c r="F539" s="1"/>
    </row>
    <row r="540" spans="1:6" x14ac:dyDescent="0.25">
      <c r="A540">
        <f>COUNTIF($C$2:C540,C540)</f>
        <v>539</v>
      </c>
      <c r="B540" s="1" t="str">
        <f t="shared" si="16"/>
        <v>539</v>
      </c>
      <c r="C540" s="1" t="str">
        <f>IFERROR(VLOOKUP(D540,'Planilha de Cadastro - Previsão'!$A$2:$O$1000,15,FALSE()),"")</f>
        <v/>
      </c>
      <c r="D540" s="1">
        <v>539</v>
      </c>
      <c r="E540" s="1"/>
      <c r="F540" s="1"/>
    </row>
    <row r="541" spans="1:6" x14ac:dyDescent="0.25">
      <c r="A541">
        <f>COUNTIF($C$2:C541,C541)</f>
        <v>540</v>
      </c>
      <c r="B541" s="1" t="str">
        <f t="shared" si="16"/>
        <v>540</v>
      </c>
      <c r="C541" s="1" t="str">
        <f>IFERROR(VLOOKUP(D541,'Planilha de Cadastro - Previsão'!$A$2:$O$1000,15,FALSE()),"")</f>
        <v/>
      </c>
      <c r="D541" s="1">
        <v>540</v>
      </c>
      <c r="E541" s="1"/>
      <c r="F541" s="1"/>
    </row>
    <row r="542" spans="1:6" x14ac:dyDescent="0.25">
      <c r="A542">
        <f>COUNTIF($C$2:C542,C542)</f>
        <v>541</v>
      </c>
      <c r="B542" s="1" t="str">
        <f t="shared" si="16"/>
        <v>541</v>
      </c>
      <c r="C542" s="1" t="str">
        <f>IFERROR(VLOOKUP(D542,'Planilha de Cadastro - Previsão'!$A$2:$O$1000,15,FALSE()),"")</f>
        <v/>
      </c>
      <c r="D542" s="1">
        <v>541</v>
      </c>
      <c r="E542" s="1"/>
      <c r="F542" s="1"/>
    </row>
    <row r="543" spans="1:6" x14ac:dyDescent="0.25">
      <c r="A543">
        <f>COUNTIF($C$2:C543,C543)</f>
        <v>542</v>
      </c>
      <c r="B543" s="1" t="str">
        <f t="shared" si="16"/>
        <v>542</v>
      </c>
      <c r="C543" s="1" t="str">
        <f>IFERROR(VLOOKUP(D543,'Planilha de Cadastro - Previsão'!$A$2:$O$1000,15,FALSE()),"")</f>
        <v/>
      </c>
      <c r="D543" s="1">
        <v>542</v>
      </c>
      <c r="E543" s="1"/>
      <c r="F543" s="1"/>
    </row>
    <row r="544" spans="1:6" x14ac:dyDescent="0.25">
      <c r="A544">
        <f>COUNTIF($C$2:C544,C544)</f>
        <v>543</v>
      </c>
      <c r="B544" s="1" t="str">
        <f t="shared" si="16"/>
        <v>543</v>
      </c>
      <c r="C544" s="1" t="str">
        <f>IFERROR(VLOOKUP(D544,'Planilha de Cadastro - Previsão'!$A$2:$O$1000,15,FALSE()),"")</f>
        <v/>
      </c>
      <c r="D544" s="1">
        <v>543</v>
      </c>
      <c r="E544" s="1"/>
      <c r="F544" s="1"/>
    </row>
    <row r="545" spans="1:6" x14ac:dyDescent="0.25">
      <c r="A545">
        <f>COUNTIF($C$2:C545,C545)</f>
        <v>544</v>
      </c>
      <c r="B545" s="1" t="str">
        <f t="shared" si="16"/>
        <v>544</v>
      </c>
      <c r="C545" s="1" t="str">
        <f>IFERROR(VLOOKUP(D545,'Planilha de Cadastro - Previsão'!$A$2:$O$1000,15,FALSE()),"")</f>
        <v/>
      </c>
      <c r="D545" s="1">
        <v>544</v>
      </c>
      <c r="E545" s="1"/>
      <c r="F545" s="1"/>
    </row>
    <row r="546" spans="1:6" x14ac:dyDescent="0.25">
      <c r="A546">
        <f>COUNTIF($C$2:C546,C546)</f>
        <v>545</v>
      </c>
      <c r="B546" s="1" t="str">
        <f t="shared" si="16"/>
        <v>545</v>
      </c>
      <c r="C546" s="1" t="str">
        <f>IFERROR(VLOOKUP(D546,'Planilha de Cadastro - Previsão'!$A$2:$O$1000,15,FALSE()),"")</f>
        <v/>
      </c>
      <c r="D546" s="1">
        <v>545</v>
      </c>
      <c r="E546" s="1"/>
      <c r="F546" s="1"/>
    </row>
    <row r="547" spans="1:6" x14ac:dyDescent="0.25">
      <c r="A547">
        <f>COUNTIF($C$2:C547,C547)</f>
        <v>546</v>
      </c>
      <c r="B547" s="1" t="str">
        <f t="shared" si="16"/>
        <v>546</v>
      </c>
      <c r="C547" s="1" t="str">
        <f>IFERROR(VLOOKUP(D547,'Planilha de Cadastro - Previsão'!$A$2:$O$1000,15,FALSE()),"")</f>
        <v/>
      </c>
      <c r="D547" s="1">
        <v>546</v>
      </c>
      <c r="E547" s="1"/>
      <c r="F547" s="1"/>
    </row>
    <row r="548" spans="1:6" x14ac:dyDescent="0.25">
      <c r="A548">
        <f>COUNTIF($C$2:C548,C548)</f>
        <v>547</v>
      </c>
      <c r="B548" s="1" t="str">
        <f t="shared" si="16"/>
        <v>547</v>
      </c>
      <c r="C548" s="1" t="str">
        <f>IFERROR(VLOOKUP(D548,'Planilha de Cadastro - Previsão'!$A$2:$O$1000,15,FALSE()),"")</f>
        <v/>
      </c>
      <c r="D548" s="1">
        <v>547</v>
      </c>
      <c r="E548" s="1"/>
      <c r="F548" s="1"/>
    </row>
    <row r="549" spans="1:6" x14ac:dyDescent="0.25">
      <c r="A549">
        <f>COUNTIF($C$2:C549,C549)</f>
        <v>548</v>
      </c>
      <c r="B549" s="1" t="str">
        <f t="shared" si="16"/>
        <v>548</v>
      </c>
      <c r="C549" s="1" t="str">
        <f>IFERROR(VLOOKUP(D549,'Planilha de Cadastro - Previsão'!$A$2:$O$1000,15,FALSE()),"")</f>
        <v/>
      </c>
      <c r="D549" s="1">
        <v>548</v>
      </c>
      <c r="E549" s="1"/>
      <c r="F549" s="1"/>
    </row>
    <row r="550" spans="1:6" x14ac:dyDescent="0.25">
      <c r="A550">
        <f>COUNTIF($C$2:C550,C550)</f>
        <v>549</v>
      </c>
      <c r="B550" s="1" t="str">
        <f t="shared" si="16"/>
        <v>549</v>
      </c>
      <c r="C550" s="1" t="str">
        <f>IFERROR(VLOOKUP(D550,'Planilha de Cadastro - Previsão'!$A$2:$O$1000,15,FALSE()),"")</f>
        <v/>
      </c>
      <c r="D550" s="1">
        <v>549</v>
      </c>
      <c r="E550" s="1"/>
      <c r="F550" s="1"/>
    </row>
    <row r="551" spans="1:6" x14ac:dyDescent="0.25">
      <c r="A551">
        <f>COUNTIF($C$2:C551,C551)</f>
        <v>550</v>
      </c>
      <c r="B551" s="1" t="str">
        <f t="shared" si="16"/>
        <v>550</v>
      </c>
      <c r="C551" s="1" t="str">
        <f>IFERROR(VLOOKUP(D551,'Planilha de Cadastro - Previsão'!$A$2:$O$1000,15,FALSE()),"")</f>
        <v/>
      </c>
      <c r="D551" s="1">
        <v>550</v>
      </c>
      <c r="E551" s="1"/>
      <c r="F551" s="1"/>
    </row>
    <row r="552" spans="1:6" x14ac:dyDescent="0.25">
      <c r="A552">
        <f>COUNTIF($C$2:C552,C552)</f>
        <v>551</v>
      </c>
      <c r="B552" s="1" t="str">
        <f t="shared" si="16"/>
        <v>551</v>
      </c>
      <c r="C552" s="1" t="str">
        <f>IFERROR(VLOOKUP(D552,'Planilha de Cadastro - Previsão'!$A$2:$O$1000,15,FALSE()),"")</f>
        <v/>
      </c>
      <c r="D552" s="1">
        <v>551</v>
      </c>
      <c r="E552" s="1"/>
      <c r="F552" s="1"/>
    </row>
    <row r="553" spans="1:6" x14ac:dyDescent="0.25">
      <c r="A553">
        <f>COUNTIF($C$2:C553,C553)</f>
        <v>552</v>
      </c>
      <c r="B553" s="1" t="str">
        <f t="shared" si="16"/>
        <v>552</v>
      </c>
      <c r="C553" s="1" t="str">
        <f>IFERROR(VLOOKUP(D553,'Planilha de Cadastro - Previsão'!$A$2:$O$1000,15,FALSE()),"")</f>
        <v/>
      </c>
      <c r="D553" s="1">
        <v>552</v>
      </c>
      <c r="E553" s="1"/>
      <c r="F553" s="1"/>
    </row>
    <row r="554" spans="1:6" x14ac:dyDescent="0.25">
      <c r="A554">
        <f>COUNTIF($C$2:C554,C554)</f>
        <v>553</v>
      </c>
      <c r="B554" s="1" t="str">
        <f t="shared" si="16"/>
        <v>553</v>
      </c>
      <c r="C554" s="1" t="str">
        <f>IFERROR(VLOOKUP(D554,'Planilha de Cadastro - Previsão'!$A$2:$O$1000,15,FALSE()),"")</f>
        <v/>
      </c>
      <c r="D554" s="1">
        <v>553</v>
      </c>
      <c r="E554" s="1"/>
      <c r="F554" s="1"/>
    </row>
    <row r="555" spans="1:6" x14ac:dyDescent="0.25">
      <c r="A555">
        <f>COUNTIF($C$2:C555,C555)</f>
        <v>554</v>
      </c>
      <c r="B555" s="1" t="str">
        <f t="shared" si="16"/>
        <v>554</v>
      </c>
      <c r="C555" s="1" t="str">
        <f>IFERROR(VLOOKUP(D555,'Planilha de Cadastro - Previsão'!$A$2:$O$1000,15,FALSE()),"")</f>
        <v/>
      </c>
      <c r="D555" s="1">
        <v>554</v>
      </c>
      <c r="E555" s="1"/>
      <c r="F555" s="1"/>
    </row>
    <row r="556" spans="1:6" x14ac:dyDescent="0.25">
      <c r="A556">
        <f>COUNTIF($C$2:C556,C556)</f>
        <v>555</v>
      </c>
      <c r="B556" s="1" t="str">
        <f t="shared" si="16"/>
        <v>555</v>
      </c>
      <c r="C556" s="1" t="str">
        <f>IFERROR(VLOOKUP(D556,'Planilha de Cadastro - Previsão'!$A$2:$O$1000,15,FALSE()),"")</f>
        <v/>
      </c>
      <c r="D556" s="1">
        <v>555</v>
      </c>
      <c r="E556" s="1"/>
      <c r="F556" s="1"/>
    </row>
    <row r="557" spans="1:6" x14ac:dyDescent="0.25">
      <c r="A557">
        <f>COUNTIF($C$2:C557,C557)</f>
        <v>556</v>
      </c>
      <c r="B557" s="1" t="str">
        <f t="shared" si="16"/>
        <v>556</v>
      </c>
      <c r="C557" s="1" t="str">
        <f>IFERROR(VLOOKUP(D557,'Planilha de Cadastro - Previsão'!$A$2:$O$1000,15,FALSE()),"")</f>
        <v/>
      </c>
      <c r="D557" s="1">
        <v>556</v>
      </c>
      <c r="E557" s="1"/>
      <c r="F557" s="1"/>
    </row>
    <row r="558" spans="1:6" x14ac:dyDescent="0.25">
      <c r="A558">
        <f>COUNTIF($C$2:C558,C558)</f>
        <v>557</v>
      </c>
      <c r="B558" s="1" t="str">
        <f t="shared" si="16"/>
        <v>557</v>
      </c>
      <c r="C558" s="1" t="str">
        <f>IFERROR(VLOOKUP(D558,'Planilha de Cadastro - Previsão'!$A$2:$O$1000,15,FALSE()),"")</f>
        <v/>
      </c>
      <c r="D558" s="1">
        <v>557</v>
      </c>
      <c r="E558" s="1"/>
      <c r="F558" s="1"/>
    </row>
    <row r="559" spans="1:6" x14ac:dyDescent="0.25">
      <c r="A559">
        <f>COUNTIF($C$2:C559,C559)</f>
        <v>558</v>
      </c>
      <c r="B559" s="1" t="str">
        <f t="shared" si="16"/>
        <v>558</v>
      </c>
      <c r="C559" s="1" t="str">
        <f>IFERROR(VLOOKUP(D559,'Planilha de Cadastro - Previsão'!$A$2:$O$1000,15,FALSE()),"")</f>
        <v/>
      </c>
      <c r="D559" s="1">
        <v>558</v>
      </c>
      <c r="E559" s="1"/>
      <c r="F559" s="1"/>
    </row>
    <row r="560" spans="1:6" x14ac:dyDescent="0.25">
      <c r="A560">
        <f>COUNTIF($C$2:C560,C560)</f>
        <v>559</v>
      </c>
      <c r="B560" s="1" t="str">
        <f t="shared" si="16"/>
        <v>559</v>
      </c>
      <c r="C560" s="1" t="str">
        <f>IFERROR(VLOOKUP(D560,'Planilha de Cadastro - Previsão'!$A$2:$O$1000,15,FALSE()),"")</f>
        <v/>
      </c>
      <c r="D560" s="1">
        <v>559</v>
      </c>
      <c r="E560" s="1"/>
      <c r="F560" s="1"/>
    </row>
    <row r="561" spans="1:6" x14ac:dyDescent="0.25">
      <c r="A561">
        <f>COUNTIF($C$2:C561,C561)</f>
        <v>560</v>
      </c>
      <c r="B561" s="1" t="str">
        <f t="shared" si="16"/>
        <v>560</v>
      </c>
      <c r="C561" s="1" t="str">
        <f>IFERROR(VLOOKUP(D561,'Planilha de Cadastro - Previsão'!$A$2:$O$1000,15,FALSE()),"")</f>
        <v/>
      </c>
      <c r="D561" s="1">
        <v>560</v>
      </c>
      <c r="E561" s="1"/>
      <c r="F561" s="1"/>
    </row>
    <row r="562" spans="1:6" x14ac:dyDescent="0.25">
      <c r="A562">
        <f>COUNTIF($C$2:C562,C562)</f>
        <v>561</v>
      </c>
      <c r="B562" s="1" t="str">
        <f t="shared" si="16"/>
        <v>561</v>
      </c>
      <c r="C562" s="1" t="str">
        <f>IFERROR(VLOOKUP(D562,'Planilha de Cadastro - Previsão'!$A$2:$O$1000,15,FALSE()),"")</f>
        <v/>
      </c>
      <c r="D562" s="1">
        <v>561</v>
      </c>
      <c r="E562" s="1"/>
      <c r="F562" s="1"/>
    </row>
    <row r="563" spans="1:6" x14ac:dyDescent="0.25">
      <c r="A563">
        <f>COUNTIF($C$2:C563,C563)</f>
        <v>562</v>
      </c>
      <c r="B563" s="1" t="str">
        <f t="shared" si="16"/>
        <v>562</v>
      </c>
      <c r="C563" s="1" t="str">
        <f>IFERROR(VLOOKUP(D563,'Planilha de Cadastro - Previsão'!$A$2:$O$1000,15,FALSE()),"")</f>
        <v/>
      </c>
      <c r="D563" s="1">
        <v>562</v>
      </c>
      <c r="E563" s="1"/>
      <c r="F563" s="1"/>
    </row>
    <row r="564" spans="1:6" x14ac:dyDescent="0.25">
      <c r="A564">
        <f>COUNTIF($C$2:C564,C564)</f>
        <v>563</v>
      </c>
      <c r="B564" s="1" t="str">
        <f t="shared" si="16"/>
        <v>563</v>
      </c>
      <c r="C564" s="1" t="str">
        <f>IFERROR(VLOOKUP(D564,'Planilha de Cadastro - Previsão'!$A$2:$O$1000,15,FALSE()),"")</f>
        <v/>
      </c>
      <c r="D564" s="1">
        <v>563</v>
      </c>
      <c r="E564" s="1"/>
      <c r="F564" s="1"/>
    </row>
    <row r="565" spans="1:6" x14ac:dyDescent="0.25">
      <c r="A565">
        <f>COUNTIF($C$2:C565,C565)</f>
        <v>564</v>
      </c>
      <c r="B565" s="1" t="str">
        <f t="shared" si="16"/>
        <v>564</v>
      </c>
      <c r="C565" s="1" t="str">
        <f>IFERROR(VLOOKUP(D565,'Planilha de Cadastro - Previsão'!$A$2:$O$1000,15,FALSE()),"")</f>
        <v/>
      </c>
      <c r="D565" s="1">
        <v>564</v>
      </c>
      <c r="E565" s="1"/>
      <c r="F565" s="1"/>
    </row>
    <row r="566" spans="1:6" x14ac:dyDescent="0.25">
      <c r="A566">
        <f>COUNTIF($C$2:C566,C566)</f>
        <v>565</v>
      </c>
      <c r="B566" s="1" t="str">
        <f t="shared" si="16"/>
        <v>565</v>
      </c>
      <c r="C566" s="1" t="str">
        <f>IFERROR(VLOOKUP(D566,'Planilha de Cadastro - Previsão'!$A$2:$O$1000,15,FALSE()),"")</f>
        <v/>
      </c>
      <c r="D566" s="1">
        <v>565</v>
      </c>
      <c r="E566" s="1"/>
      <c r="F566" s="1"/>
    </row>
    <row r="567" spans="1:6" x14ac:dyDescent="0.25">
      <c r="A567">
        <f>COUNTIF($C$2:C567,C567)</f>
        <v>566</v>
      </c>
      <c r="B567" s="1" t="str">
        <f t="shared" si="16"/>
        <v>566</v>
      </c>
      <c r="C567" s="1" t="str">
        <f>IFERROR(VLOOKUP(D567,'Planilha de Cadastro - Previsão'!$A$2:$O$1000,15,FALSE()),"")</f>
        <v/>
      </c>
      <c r="D567" s="1">
        <v>566</v>
      </c>
      <c r="E567" s="1"/>
      <c r="F567" s="1"/>
    </row>
    <row r="568" spans="1:6" x14ac:dyDescent="0.25">
      <c r="A568">
        <f>COUNTIF($C$2:C568,C568)</f>
        <v>567</v>
      </c>
      <c r="B568" s="1" t="str">
        <f t="shared" si="16"/>
        <v>567</v>
      </c>
      <c r="C568" s="1" t="str">
        <f>IFERROR(VLOOKUP(D568,'Planilha de Cadastro - Previsão'!$A$2:$O$1000,15,FALSE()),"")</f>
        <v/>
      </c>
      <c r="D568" s="1">
        <v>567</v>
      </c>
      <c r="E568" s="1"/>
      <c r="F568" s="1"/>
    </row>
    <row r="569" spans="1:6" x14ac:dyDescent="0.25">
      <c r="A569">
        <f>COUNTIF($C$2:C569,C569)</f>
        <v>568</v>
      </c>
      <c r="B569" s="1" t="str">
        <f t="shared" si="16"/>
        <v>568</v>
      </c>
      <c r="C569" s="1" t="str">
        <f>IFERROR(VLOOKUP(D569,'Planilha de Cadastro - Previsão'!$A$2:$O$1000,15,FALSE()),"")</f>
        <v/>
      </c>
      <c r="D569" s="1">
        <v>568</v>
      </c>
      <c r="E569" s="1"/>
      <c r="F569" s="1"/>
    </row>
    <row r="570" spans="1:6" x14ac:dyDescent="0.25">
      <c r="A570">
        <f>COUNTIF($C$2:C570,C570)</f>
        <v>569</v>
      </c>
      <c r="B570" s="1" t="str">
        <f t="shared" si="16"/>
        <v>569</v>
      </c>
      <c r="C570" s="1" t="str">
        <f>IFERROR(VLOOKUP(D570,'Planilha de Cadastro - Previsão'!$A$2:$O$1000,15,FALSE()),"")</f>
        <v/>
      </c>
      <c r="D570" s="1">
        <v>569</v>
      </c>
      <c r="E570" s="1"/>
      <c r="F570" s="1"/>
    </row>
    <row r="571" spans="1:6" x14ac:dyDescent="0.25">
      <c r="A571">
        <f>COUNTIF($C$2:C571,C571)</f>
        <v>570</v>
      </c>
      <c r="B571" s="1" t="str">
        <f t="shared" si="16"/>
        <v>570</v>
      </c>
      <c r="C571" s="1" t="str">
        <f>IFERROR(VLOOKUP(D571,'Planilha de Cadastro - Previsão'!$A$2:$O$1000,15,FALSE()),"")</f>
        <v/>
      </c>
      <c r="D571" s="1">
        <v>570</v>
      </c>
      <c r="E571" s="1"/>
      <c r="F571" s="1"/>
    </row>
    <row r="572" spans="1:6" x14ac:dyDescent="0.25">
      <c r="A572">
        <f>COUNTIF($C$2:C572,C572)</f>
        <v>571</v>
      </c>
      <c r="B572" s="1" t="str">
        <f t="shared" si="16"/>
        <v>571</v>
      </c>
      <c r="C572" s="1" t="str">
        <f>IFERROR(VLOOKUP(D572,'Planilha de Cadastro - Previsão'!$A$2:$O$1000,15,FALSE()),"")</f>
        <v/>
      </c>
      <c r="D572" s="1">
        <v>571</v>
      </c>
      <c r="E572" s="1"/>
      <c r="F572" s="1"/>
    </row>
    <row r="573" spans="1:6" x14ac:dyDescent="0.25">
      <c r="A573">
        <f>COUNTIF($C$2:C573,C573)</f>
        <v>572</v>
      </c>
      <c r="B573" s="1" t="str">
        <f t="shared" si="16"/>
        <v>572</v>
      </c>
      <c r="C573" s="1" t="str">
        <f>IFERROR(VLOOKUP(D573,'Planilha de Cadastro - Previsão'!$A$2:$O$1000,15,FALSE()),"")</f>
        <v/>
      </c>
      <c r="D573" s="1">
        <v>572</v>
      </c>
      <c r="E573" s="1"/>
      <c r="F573" s="1"/>
    </row>
    <row r="574" spans="1:6" x14ac:dyDescent="0.25">
      <c r="A574">
        <f>COUNTIF($C$2:C574,C574)</f>
        <v>573</v>
      </c>
      <c r="B574" s="1" t="str">
        <f t="shared" si="16"/>
        <v>573</v>
      </c>
      <c r="C574" s="1" t="str">
        <f>IFERROR(VLOOKUP(D574,'Planilha de Cadastro - Previsão'!$A$2:$O$1000,15,FALSE()),"")</f>
        <v/>
      </c>
      <c r="D574" s="1">
        <v>573</v>
      </c>
      <c r="E574" s="1"/>
      <c r="F574" s="1"/>
    </row>
    <row r="575" spans="1:6" x14ac:dyDescent="0.25">
      <c r="A575">
        <f>COUNTIF($C$2:C575,C575)</f>
        <v>574</v>
      </c>
      <c r="B575" s="1" t="str">
        <f t="shared" si="16"/>
        <v>574</v>
      </c>
      <c r="C575" s="1" t="str">
        <f>IFERROR(VLOOKUP(D575,'Planilha de Cadastro - Previsão'!$A$2:$O$1000,15,FALSE()),"")</f>
        <v/>
      </c>
      <c r="D575" s="1">
        <v>574</v>
      </c>
      <c r="E575" s="1"/>
      <c r="F575" s="1"/>
    </row>
    <row r="576" spans="1:6" x14ac:dyDescent="0.25">
      <c r="A576">
        <f>COUNTIF($C$2:C576,C576)</f>
        <v>575</v>
      </c>
      <c r="B576" s="1" t="str">
        <f t="shared" si="16"/>
        <v>575</v>
      </c>
      <c r="C576" s="1" t="str">
        <f>IFERROR(VLOOKUP(D576,'Planilha de Cadastro - Previsão'!$A$2:$O$1000,15,FALSE()),"")</f>
        <v/>
      </c>
      <c r="D576" s="1">
        <v>575</v>
      </c>
      <c r="E576" s="1"/>
      <c r="F576" s="1"/>
    </row>
    <row r="577" spans="1:6" x14ac:dyDescent="0.25">
      <c r="A577">
        <f>COUNTIF($C$2:C577,C577)</f>
        <v>576</v>
      </c>
      <c r="B577" s="1" t="str">
        <f t="shared" si="16"/>
        <v>576</v>
      </c>
      <c r="C577" s="1" t="str">
        <f>IFERROR(VLOOKUP(D577,'Planilha de Cadastro - Previsão'!$A$2:$O$1000,15,FALSE()),"")</f>
        <v/>
      </c>
      <c r="D577" s="1">
        <v>576</v>
      </c>
      <c r="E577" s="1"/>
      <c r="F577" s="1"/>
    </row>
    <row r="578" spans="1:6" x14ac:dyDescent="0.25">
      <c r="A578">
        <f>COUNTIF($C$2:C578,C578)</f>
        <v>577</v>
      </c>
      <c r="B578" s="1" t="str">
        <f t="shared" si="16"/>
        <v>577</v>
      </c>
      <c r="C578" s="1" t="str">
        <f>IFERROR(VLOOKUP(D578,'Planilha de Cadastro - Previsão'!$A$2:$O$1000,15,FALSE()),"")</f>
        <v/>
      </c>
      <c r="D578" s="1">
        <v>577</v>
      </c>
      <c r="E578" s="1"/>
      <c r="F578" s="1"/>
    </row>
    <row r="579" spans="1:6" x14ac:dyDescent="0.25">
      <c r="A579">
        <f>COUNTIF($C$2:C579,C579)</f>
        <v>578</v>
      </c>
      <c r="B579" s="1" t="str">
        <f t="shared" ref="B579:B642" si="17">IFERROR(CONCATENATE(C579,A579),"")</f>
        <v>578</v>
      </c>
      <c r="C579" s="1" t="str">
        <f>IFERROR(VLOOKUP(D579,'Planilha de Cadastro - Previsão'!$A$2:$O$1000,15,FALSE()),"")</f>
        <v/>
      </c>
      <c r="D579" s="1">
        <v>578</v>
      </c>
      <c r="E579" s="1"/>
      <c r="F579" s="1"/>
    </row>
    <row r="580" spans="1:6" x14ac:dyDescent="0.25">
      <c r="A580">
        <f>COUNTIF($C$2:C580,C580)</f>
        <v>579</v>
      </c>
      <c r="B580" s="1" t="str">
        <f t="shared" si="17"/>
        <v>579</v>
      </c>
      <c r="C580" s="1" t="str">
        <f>IFERROR(VLOOKUP(D580,'Planilha de Cadastro - Previsão'!$A$2:$O$1000,15,FALSE()),"")</f>
        <v/>
      </c>
      <c r="D580" s="1">
        <v>579</v>
      </c>
      <c r="E580" s="1"/>
      <c r="F580" s="1"/>
    </row>
    <row r="581" spans="1:6" x14ac:dyDescent="0.25">
      <c r="A581">
        <f>COUNTIF($C$2:C581,C581)</f>
        <v>580</v>
      </c>
      <c r="B581" s="1" t="str">
        <f t="shared" si="17"/>
        <v>580</v>
      </c>
      <c r="C581" s="1" t="str">
        <f>IFERROR(VLOOKUP(D581,'Planilha de Cadastro - Previsão'!$A$2:$O$1000,15,FALSE()),"")</f>
        <v/>
      </c>
      <c r="D581" s="1">
        <v>580</v>
      </c>
      <c r="E581" s="1"/>
      <c r="F581" s="1"/>
    </row>
    <row r="582" spans="1:6" x14ac:dyDescent="0.25">
      <c r="A582">
        <f>COUNTIF($C$2:C582,C582)</f>
        <v>581</v>
      </c>
      <c r="B582" s="1" t="str">
        <f t="shared" si="17"/>
        <v>581</v>
      </c>
      <c r="C582" s="1" t="str">
        <f>IFERROR(VLOOKUP(D582,'Planilha de Cadastro - Previsão'!$A$2:$O$1000,15,FALSE()),"")</f>
        <v/>
      </c>
      <c r="D582" s="1">
        <v>581</v>
      </c>
      <c r="E582" s="1"/>
      <c r="F582" s="1"/>
    </row>
    <row r="583" spans="1:6" x14ac:dyDescent="0.25">
      <c r="A583">
        <f>COUNTIF($C$2:C583,C583)</f>
        <v>582</v>
      </c>
      <c r="B583" s="1" t="str">
        <f t="shared" si="17"/>
        <v>582</v>
      </c>
      <c r="C583" s="1" t="str">
        <f>IFERROR(VLOOKUP(D583,'Planilha de Cadastro - Previsão'!$A$2:$O$1000,15,FALSE()),"")</f>
        <v/>
      </c>
      <c r="D583" s="1">
        <v>582</v>
      </c>
      <c r="E583" s="1"/>
      <c r="F583" s="1"/>
    </row>
    <row r="584" spans="1:6" x14ac:dyDescent="0.25">
      <c r="A584">
        <f>COUNTIF($C$2:C584,C584)</f>
        <v>583</v>
      </c>
      <c r="B584" s="1" t="str">
        <f t="shared" si="17"/>
        <v>583</v>
      </c>
      <c r="C584" s="1" t="str">
        <f>IFERROR(VLOOKUP(D584,'Planilha de Cadastro - Previsão'!$A$2:$O$1000,15,FALSE()),"")</f>
        <v/>
      </c>
      <c r="D584" s="1">
        <v>583</v>
      </c>
      <c r="E584" s="1"/>
      <c r="F584" s="1"/>
    </row>
    <row r="585" spans="1:6" x14ac:dyDescent="0.25">
      <c r="A585">
        <f>COUNTIF($C$2:C585,C585)</f>
        <v>584</v>
      </c>
      <c r="B585" s="1" t="str">
        <f t="shared" si="17"/>
        <v>584</v>
      </c>
      <c r="C585" s="1" t="str">
        <f>IFERROR(VLOOKUP(D585,'Planilha de Cadastro - Previsão'!$A$2:$O$1000,15,FALSE()),"")</f>
        <v/>
      </c>
      <c r="D585" s="1">
        <v>584</v>
      </c>
      <c r="E585" s="1"/>
      <c r="F585" s="1"/>
    </row>
    <row r="586" spans="1:6" x14ac:dyDescent="0.25">
      <c r="A586">
        <f>COUNTIF($C$2:C586,C586)</f>
        <v>585</v>
      </c>
      <c r="B586" s="1" t="str">
        <f t="shared" si="17"/>
        <v>585</v>
      </c>
      <c r="C586" s="1" t="str">
        <f>IFERROR(VLOOKUP(D586,'Planilha de Cadastro - Previsão'!$A$2:$O$1000,15,FALSE()),"")</f>
        <v/>
      </c>
      <c r="D586" s="1">
        <v>585</v>
      </c>
      <c r="E586" s="1"/>
      <c r="F586" s="1"/>
    </row>
    <row r="587" spans="1:6" x14ac:dyDescent="0.25">
      <c r="A587">
        <f>COUNTIF($C$2:C587,C587)</f>
        <v>586</v>
      </c>
      <c r="B587" s="1" t="str">
        <f t="shared" si="17"/>
        <v>586</v>
      </c>
      <c r="C587" s="1" t="str">
        <f>IFERROR(VLOOKUP(D587,'Planilha de Cadastro - Previsão'!$A$2:$O$1000,15,FALSE()),"")</f>
        <v/>
      </c>
      <c r="D587" s="1">
        <v>586</v>
      </c>
      <c r="E587" s="1"/>
      <c r="F587" s="1"/>
    </row>
    <row r="588" spans="1:6" x14ac:dyDescent="0.25">
      <c r="A588">
        <f>COUNTIF($C$2:C588,C588)</f>
        <v>587</v>
      </c>
      <c r="B588" s="1" t="str">
        <f t="shared" si="17"/>
        <v>587</v>
      </c>
      <c r="C588" s="1" t="str">
        <f>IFERROR(VLOOKUP(D588,'Planilha de Cadastro - Previsão'!$A$2:$O$1000,15,FALSE()),"")</f>
        <v/>
      </c>
      <c r="D588" s="1">
        <v>587</v>
      </c>
      <c r="E588" s="1"/>
      <c r="F588" s="1"/>
    </row>
    <row r="589" spans="1:6" x14ac:dyDescent="0.25">
      <c r="A589">
        <f>COUNTIF($C$2:C589,C589)</f>
        <v>588</v>
      </c>
      <c r="B589" s="1" t="str">
        <f t="shared" si="17"/>
        <v>588</v>
      </c>
      <c r="C589" s="1" t="str">
        <f>IFERROR(VLOOKUP(D589,'Planilha de Cadastro - Previsão'!$A$2:$O$1000,15,FALSE()),"")</f>
        <v/>
      </c>
      <c r="D589" s="1">
        <v>588</v>
      </c>
      <c r="E589" s="1"/>
      <c r="F589" s="1"/>
    </row>
    <row r="590" spans="1:6" x14ac:dyDescent="0.25">
      <c r="A590">
        <f>COUNTIF($C$2:C590,C590)</f>
        <v>589</v>
      </c>
      <c r="B590" s="1" t="str">
        <f t="shared" si="17"/>
        <v>589</v>
      </c>
      <c r="C590" s="1" t="str">
        <f>IFERROR(VLOOKUP(D590,'Planilha de Cadastro - Previsão'!$A$2:$O$1000,15,FALSE()),"")</f>
        <v/>
      </c>
      <c r="D590" s="1">
        <v>589</v>
      </c>
      <c r="E590" s="1"/>
      <c r="F590" s="1"/>
    </row>
    <row r="591" spans="1:6" x14ac:dyDescent="0.25">
      <c r="A591">
        <f>COUNTIF($C$2:C591,C591)</f>
        <v>590</v>
      </c>
      <c r="B591" s="1" t="str">
        <f t="shared" si="17"/>
        <v>590</v>
      </c>
      <c r="C591" s="1" t="str">
        <f>IFERROR(VLOOKUP(D591,'Planilha de Cadastro - Previsão'!$A$2:$O$1000,15,FALSE()),"")</f>
        <v/>
      </c>
      <c r="D591" s="1">
        <v>590</v>
      </c>
      <c r="E591" s="1"/>
      <c r="F591" s="1"/>
    </row>
    <row r="592" spans="1:6" x14ac:dyDescent="0.25">
      <c r="A592">
        <f>COUNTIF($C$2:C592,C592)</f>
        <v>591</v>
      </c>
      <c r="B592" s="1" t="str">
        <f t="shared" si="17"/>
        <v>591</v>
      </c>
      <c r="C592" s="1" t="str">
        <f>IFERROR(VLOOKUP(D592,'Planilha de Cadastro - Previsão'!$A$2:$O$1000,15,FALSE()),"")</f>
        <v/>
      </c>
      <c r="D592" s="1">
        <v>591</v>
      </c>
      <c r="E592" s="1"/>
      <c r="F592" s="1"/>
    </row>
    <row r="593" spans="1:6" x14ac:dyDescent="0.25">
      <c r="A593">
        <f>COUNTIF($C$2:C593,C593)</f>
        <v>592</v>
      </c>
      <c r="B593" s="1" t="str">
        <f t="shared" si="17"/>
        <v>592</v>
      </c>
      <c r="C593" s="1" t="str">
        <f>IFERROR(VLOOKUP(D593,'Planilha de Cadastro - Previsão'!$A$2:$O$1000,15,FALSE()),"")</f>
        <v/>
      </c>
      <c r="D593" s="1">
        <v>592</v>
      </c>
      <c r="E593" s="1"/>
      <c r="F593" s="1"/>
    </row>
    <row r="594" spans="1:6" x14ac:dyDescent="0.25">
      <c r="A594">
        <f>COUNTIF($C$2:C594,C594)</f>
        <v>593</v>
      </c>
      <c r="B594" s="1" t="str">
        <f t="shared" si="17"/>
        <v>593</v>
      </c>
      <c r="C594" s="1" t="str">
        <f>IFERROR(VLOOKUP(D594,'Planilha de Cadastro - Previsão'!$A$2:$O$1000,15,FALSE()),"")</f>
        <v/>
      </c>
      <c r="D594" s="1">
        <v>593</v>
      </c>
      <c r="E594" s="1"/>
      <c r="F594" s="1"/>
    </row>
    <row r="595" spans="1:6" x14ac:dyDescent="0.25">
      <c r="A595">
        <f>COUNTIF($C$2:C595,C595)</f>
        <v>594</v>
      </c>
      <c r="B595" s="1" t="str">
        <f t="shared" si="17"/>
        <v>594</v>
      </c>
      <c r="C595" s="1" t="str">
        <f>IFERROR(VLOOKUP(D595,'Planilha de Cadastro - Previsão'!$A$2:$O$1000,15,FALSE()),"")</f>
        <v/>
      </c>
      <c r="D595" s="1">
        <v>594</v>
      </c>
      <c r="E595" s="1"/>
      <c r="F595" s="1"/>
    </row>
    <row r="596" spans="1:6" x14ac:dyDescent="0.25">
      <c r="A596">
        <f>COUNTIF($C$2:C596,C596)</f>
        <v>595</v>
      </c>
      <c r="B596" s="1" t="str">
        <f t="shared" si="17"/>
        <v>595</v>
      </c>
      <c r="C596" s="1" t="str">
        <f>IFERROR(VLOOKUP(D596,'Planilha de Cadastro - Previsão'!$A$2:$O$1000,15,FALSE()),"")</f>
        <v/>
      </c>
      <c r="D596" s="1">
        <v>595</v>
      </c>
      <c r="E596" s="1"/>
      <c r="F596" s="1"/>
    </row>
    <row r="597" spans="1:6" x14ac:dyDescent="0.25">
      <c r="A597">
        <f>COUNTIF($C$2:C597,C597)</f>
        <v>596</v>
      </c>
      <c r="B597" s="1" t="str">
        <f t="shared" si="17"/>
        <v>596</v>
      </c>
      <c r="C597" s="1" t="str">
        <f>IFERROR(VLOOKUP(D597,'Planilha de Cadastro - Previsão'!$A$2:$O$1000,15,FALSE()),"")</f>
        <v/>
      </c>
      <c r="D597" s="1">
        <v>596</v>
      </c>
      <c r="E597" s="1"/>
      <c r="F597" s="1"/>
    </row>
    <row r="598" spans="1:6" x14ac:dyDescent="0.25">
      <c r="A598">
        <f>COUNTIF($C$2:C598,C598)</f>
        <v>597</v>
      </c>
      <c r="B598" s="1" t="str">
        <f t="shared" si="17"/>
        <v>597</v>
      </c>
      <c r="C598" s="1" t="str">
        <f>IFERROR(VLOOKUP(D598,'Planilha de Cadastro - Previsão'!$A$2:$O$1000,15,FALSE()),"")</f>
        <v/>
      </c>
      <c r="D598" s="1">
        <v>597</v>
      </c>
      <c r="E598" s="1"/>
      <c r="F598" s="1"/>
    </row>
    <row r="599" spans="1:6" x14ac:dyDescent="0.25">
      <c r="A599">
        <f>COUNTIF($C$2:C599,C599)</f>
        <v>598</v>
      </c>
      <c r="B599" s="1" t="str">
        <f t="shared" si="17"/>
        <v>598</v>
      </c>
      <c r="C599" s="1" t="str">
        <f>IFERROR(VLOOKUP(D599,'Planilha de Cadastro - Previsão'!$A$2:$O$1000,15,FALSE()),"")</f>
        <v/>
      </c>
      <c r="D599" s="1">
        <v>598</v>
      </c>
      <c r="E599" s="1"/>
      <c r="F599" s="1"/>
    </row>
    <row r="600" spans="1:6" x14ac:dyDescent="0.25">
      <c r="A600">
        <f>COUNTIF($C$2:C600,C600)</f>
        <v>599</v>
      </c>
      <c r="B600" s="1" t="str">
        <f t="shared" si="17"/>
        <v>599</v>
      </c>
      <c r="C600" s="1" t="str">
        <f>IFERROR(VLOOKUP(D600,'Planilha de Cadastro - Previsão'!$A$2:$O$1000,15,FALSE()),"")</f>
        <v/>
      </c>
      <c r="D600" s="1">
        <v>599</v>
      </c>
      <c r="E600" s="1"/>
      <c r="F600" s="1"/>
    </row>
    <row r="601" spans="1:6" x14ac:dyDescent="0.25">
      <c r="A601">
        <f>COUNTIF($C$2:C601,C601)</f>
        <v>600</v>
      </c>
      <c r="B601" s="1" t="str">
        <f t="shared" si="17"/>
        <v>600</v>
      </c>
      <c r="C601" s="1" t="str">
        <f>IFERROR(VLOOKUP(D601,'Planilha de Cadastro - Previsão'!$A$2:$O$1000,15,FALSE()),"")</f>
        <v/>
      </c>
      <c r="D601" s="1">
        <v>600</v>
      </c>
      <c r="E601" s="1"/>
      <c r="F601" s="1"/>
    </row>
    <row r="602" spans="1:6" x14ac:dyDescent="0.25">
      <c r="A602">
        <f>COUNTIF($C$2:C602,C602)</f>
        <v>601</v>
      </c>
      <c r="B602" s="1" t="str">
        <f t="shared" si="17"/>
        <v>601</v>
      </c>
      <c r="C602" s="1" t="str">
        <f>IFERROR(VLOOKUP(D602,'Planilha de Cadastro - Previsão'!$A$2:$O$1000,15,FALSE()),"")</f>
        <v/>
      </c>
      <c r="D602" s="1">
        <v>601</v>
      </c>
      <c r="E602" s="1"/>
      <c r="F602" s="1"/>
    </row>
    <row r="603" spans="1:6" x14ac:dyDescent="0.25">
      <c r="A603">
        <f>COUNTIF($C$2:C603,C603)</f>
        <v>602</v>
      </c>
      <c r="B603" s="1" t="str">
        <f t="shared" si="17"/>
        <v>602</v>
      </c>
      <c r="C603" s="1" t="str">
        <f>IFERROR(VLOOKUP(D603,'Planilha de Cadastro - Previsão'!$A$2:$O$1000,15,FALSE()),"")</f>
        <v/>
      </c>
      <c r="D603" s="1">
        <v>602</v>
      </c>
      <c r="E603" s="1"/>
      <c r="F603" s="1"/>
    </row>
    <row r="604" spans="1:6" x14ac:dyDescent="0.25">
      <c r="A604">
        <f>COUNTIF($C$2:C604,C604)</f>
        <v>603</v>
      </c>
      <c r="B604" s="1" t="str">
        <f t="shared" si="17"/>
        <v>603</v>
      </c>
      <c r="C604" s="1" t="str">
        <f>IFERROR(VLOOKUP(D604,'Planilha de Cadastro - Previsão'!$A$2:$O$1000,15,FALSE()),"")</f>
        <v/>
      </c>
      <c r="D604" s="1">
        <v>603</v>
      </c>
      <c r="E604" s="1"/>
      <c r="F604" s="1"/>
    </row>
    <row r="605" spans="1:6" x14ac:dyDescent="0.25">
      <c r="A605">
        <f>COUNTIF($C$2:C605,C605)</f>
        <v>604</v>
      </c>
      <c r="B605" s="1" t="str">
        <f t="shared" si="17"/>
        <v>604</v>
      </c>
      <c r="C605" s="1" t="str">
        <f>IFERROR(VLOOKUP(D605,'Planilha de Cadastro - Previsão'!$A$2:$O$1000,15,FALSE()),"")</f>
        <v/>
      </c>
      <c r="D605" s="1">
        <v>604</v>
      </c>
      <c r="E605" s="1"/>
      <c r="F605" s="1"/>
    </row>
    <row r="606" spans="1:6" x14ac:dyDescent="0.25">
      <c r="A606">
        <f>COUNTIF($C$2:C606,C606)</f>
        <v>605</v>
      </c>
      <c r="B606" s="1" t="str">
        <f t="shared" si="17"/>
        <v>605</v>
      </c>
      <c r="C606" s="1" t="str">
        <f>IFERROR(VLOOKUP(D606,'Planilha de Cadastro - Previsão'!$A$2:$O$1000,15,FALSE()),"")</f>
        <v/>
      </c>
      <c r="D606" s="1">
        <v>605</v>
      </c>
      <c r="E606" s="1"/>
      <c r="F606" s="1"/>
    </row>
    <row r="607" spans="1:6" x14ac:dyDescent="0.25">
      <c r="A607">
        <f>COUNTIF($C$2:C607,C607)</f>
        <v>606</v>
      </c>
      <c r="B607" s="1" t="str">
        <f t="shared" si="17"/>
        <v>606</v>
      </c>
      <c r="C607" s="1" t="str">
        <f>IFERROR(VLOOKUP(D607,'Planilha de Cadastro - Previsão'!$A$2:$O$1000,15,FALSE()),"")</f>
        <v/>
      </c>
      <c r="D607" s="1">
        <v>606</v>
      </c>
      <c r="E607" s="1"/>
      <c r="F607" s="1"/>
    </row>
    <row r="608" spans="1:6" x14ac:dyDescent="0.25">
      <c r="A608">
        <f>COUNTIF($C$2:C608,C608)</f>
        <v>607</v>
      </c>
      <c r="B608" s="1" t="str">
        <f t="shared" si="17"/>
        <v>607</v>
      </c>
      <c r="C608" s="1" t="str">
        <f>IFERROR(VLOOKUP(D608,'Planilha de Cadastro - Previsão'!$A$2:$O$1000,15,FALSE()),"")</f>
        <v/>
      </c>
      <c r="D608" s="1">
        <v>607</v>
      </c>
      <c r="E608" s="1"/>
      <c r="F608" s="1"/>
    </row>
    <row r="609" spans="1:6" x14ac:dyDescent="0.25">
      <c r="A609">
        <f>COUNTIF($C$2:C609,C609)</f>
        <v>608</v>
      </c>
      <c r="B609" s="1" t="str">
        <f t="shared" si="17"/>
        <v>608</v>
      </c>
      <c r="C609" s="1" t="str">
        <f>IFERROR(VLOOKUP(D609,'Planilha de Cadastro - Previsão'!$A$2:$O$1000,15,FALSE()),"")</f>
        <v/>
      </c>
      <c r="D609" s="1">
        <v>608</v>
      </c>
      <c r="E609" s="1"/>
      <c r="F609" s="1"/>
    </row>
    <row r="610" spans="1:6" x14ac:dyDescent="0.25">
      <c r="A610">
        <f>COUNTIF($C$2:C610,C610)</f>
        <v>609</v>
      </c>
      <c r="B610" s="1" t="str">
        <f t="shared" si="17"/>
        <v>609</v>
      </c>
      <c r="C610" s="1" t="str">
        <f>IFERROR(VLOOKUP(D610,'Planilha de Cadastro - Previsão'!$A$2:$O$1000,15,FALSE()),"")</f>
        <v/>
      </c>
      <c r="D610" s="1">
        <v>609</v>
      </c>
      <c r="E610" s="1"/>
      <c r="F610" s="1"/>
    </row>
    <row r="611" spans="1:6" x14ac:dyDescent="0.25">
      <c r="A611">
        <f>COUNTIF($C$2:C611,C611)</f>
        <v>610</v>
      </c>
      <c r="B611" s="1" t="str">
        <f t="shared" si="17"/>
        <v>610</v>
      </c>
      <c r="C611" s="1" t="str">
        <f>IFERROR(VLOOKUP(D611,'Planilha de Cadastro - Previsão'!$A$2:$O$1000,15,FALSE()),"")</f>
        <v/>
      </c>
      <c r="D611" s="1">
        <v>610</v>
      </c>
      <c r="E611" s="1"/>
      <c r="F611" s="1"/>
    </row>
    <row r="612" spans="1:6" x14ac:dyDescent="0.25">
      <c r="A612">
        <f>COUNTIF($C$2:C612,C612)</f>
        <v>611</v>
      </c>
      <c r="B612" s="1" t="str">
        <f t="shared" si="17"/>
        <v>611</v>
      </c>
      <c r="C612" s="1" t="str">
        <f>IFERROR(VLOOKUP(D612,'Planilha de Cadastro - Previsão'!$A$2:$O$1000,15,FALSE()),"")</f>
        <v/>
      </c>
      <c r="D612" s="1">
        <v>611</v>
      </c>
      <c r="E612" s="1"/>
      <c r="F612" s="1"/>
    </row>
    <row r="613" spans="1:6" x14ac:dyDescent="0.25">
      <c r="A613">
        <f>COUNTIF($C$2:C613,C613)</f>
        <v>612</v>
      </c>
      <c r="B613" s="1" t="str">
        <f t="shared" si="17"/>
        <v>612</v>
      </c>
      <c r="C613" s="1" t="str">
        <f>IFERROR(VLOOKUP(D613,'Planilha de Cadastro - Previsão'!$A$2:$O$1000,15,FALSE()),"")</f>
        <v/>
      </c>
      <c r="D613" s="1">
        <v>612</v>
      </c>
      <c r="E613" s="1"/>
      <c r="F613" s="1"/>
    </row>
    <row r="614" spans="1:6" x14ac:dyDescent="0.25">
      <c r="A614">
        <f>COUNTIF($C$2:C614,C614)</f>
        <v>613</v>
      </c>
      <c r="B614" s="1" t="str">
        <f t="shared" si="17"/>
        <v>613</v>
      </c>
      <c r="C614" s="1" t="str">
        <f>IFERROR(VLOOKUP(D614,'Planilha de Cadastro - Previsão'!$A$2:$O$1000,15,FALSE()),"")</f>
        <v/>
      </c>
      <c r="D614" s="1">
        <v>613</v>
      </c>
      <c r="E614" s="1"/>
      <c r="F614" s="1"/>
    </row>
    <row r="615" spans="1:6" x14ac:dyDescent="0.25">
      <c r="A615">
        <f>COUNTIF($C$2:C615,C615)</f>
        <v>614</v>
      </c>
      <c r="B615" s="1" t="str">
        <f t="shared" si="17"/>
        <v>614</v>
      </c>
      <c r="C615" s="1" t="str">
        <f>IFERROR(VLOOKUP(D615,'Planilha de Cadastro - Previsão'!$A$2:$O$1000,15,FALSE()),"")</f>
        <v/>
      </c>
      <c r="D615" s="1">
        <v>614</v>
      </c>
      <c r="E615" s="1"/>
      <c r="F615" s="1"/>
    </row>
    <row r="616" spans="1:6" x14ac:dyDescent="0.25">
      <c r="A616">
        <f>COUNTIF($C$2:C616,C616)</f>
        <v>615</v>
      </c>
      <c r="B616" s="1" t="str">
        <f t="shared" si="17"/>
        <v>615</v>
      </c>
      <c r="C616" s="1" t="str">
        <f>IFERROR(VLOOKUP(D616,'Planilha de Cadastro - Previsão'!$A$2:$O$1000,15,FALSE()),"")</f>
        <v/>
      </c>
      <c r="D616" s="1">
        <v>615</v>
      </c>
      <c r="E616" s="1"/>
      <c r="F616" s="1"/>
    </row>
    <row r="617" spans="1:6" x14ac:dyDescent="0.25">
      <c r="A617">
        <f>COUNTIF($C$2:C617,C617)</f>
        <v>616</v>
      </c>
      <c r="B617" s="1" t="str">
        <f t="shared" si="17"/>
        <v>616</v>
      </c>
      <c r="C617" s="1" t="str">
        <f>IFERROR(VLOOKUP(D617,'Planilha de Cadastro - Previsão'!$A$2:$O$1000,15,FALSE()),"")</f>
        <v/>
      </c>
      <c r="D617" s="1">
        <v>616</v>
      </c>
      <c r="E617" s="1"/>
      <c r="F617" s="1"/>
    </row>
    <row r="618" spans="1:6" x14ac:dyDescent="0.25">
      <c r="A618">
        <f>COUNTIF($C$2:C618,C618)</f>
        <v>617</v>
      </c>
      <c r="B618" s="1" t="str">
        <f t="shared" si="17"/>
        <v>617</v>
      </c>
      <c r="C618" s="1" t="str">
        <f>IFERROR(VLOOKUP(D618,'Planilha de Cadastro - Previsão'!$A$2:$O$1000,15,FALSE()),"")</f>
        <v/>
      </c>
      <c r="D618" s="1">
        <v>617</v>
      </c>
      <c r="E618" s="1"/>
      <c r="F618" s="1"/>
    </row>
    <row r="619" spans="1:6" x14ac:dyDescent="0.25">
      <c r="A619">
        <f>COUNTIF($C$2:C619,C619)</f>
        <v>618</v>
      </c>
      <c r="B619" s="1" t="str">
        <f t="shared" si="17"/>
        <v>618</v>
      </c>
      <c r="C619" s="1" t="str">
        <f>IFERROR(VLOOKUP(D619,'Planilha de Cadastro - Previsão'!$A$2:$O$1000,15,FALSE()),"")</f>
        <v/>
      </c>
      <c r="D619" s="1">
        <v>618</v>
      </c>
      <c r="E619" s="1"/>
      <c r="F619" s="1"/>
    </row>
    <row r="620" spans="1:6" x14ac:dyDescent="0.25">
      <c r="A620">
        <f>COUNTIF($C$2:C620,C620)</f>
        <v>619</v>
      </c>
      <c r="B620" s="1" t="str">
        <f t="shared" si="17"/>
        <v>619</v>
      </c>
      <c r="C620" s="1" t="str">
        <f>IFERROR(VLOOKUP(D620,'Planilha de Cadastro - Previsão'!$A$2:$O$1000,15,FALSE()),"")</f>
        <v/>
      </c>
      <c r="D620" s="1">
        <v>619</v>
      </c>
      <c r="E620" s="1"/>
      <c r="F620" s="1"/>
    </row>
    <row r="621" spans="1:6" x14ac:dyDescent="0.25">
      <c r="A621">
        <f>COUNTIF($C$2:C621,C621)</f>
        <v>620</v>
      </c>
      <c r="B621" s="1" t="str">
        <f t="shared" si="17"/>
        <v>620</v>
      </c>
      <c r="C621" s="1" t="str">
        <f>IFERROR(VLOOKUP(D621,'Planilha de Cadastro - Previsão'!$A$2:$O$1000,15,FALSE()),"")</f>
        <v/>
      </c>
      <c r="D621" s="1">
        <v>620</v>
      </c>
      <c r="E621" s="1"/>
      <c r="F621" s="1"/>
    </row>
    <row r="622" spans="1:6" x14ac:dyDescent="0.25">
      <c r="A622">
        <f>COUNTIF($C$2:C622,C622)</f>
        <v>621</v>
      </c>
      <c r="B622" s="1" t="str">
        <f t="shared" si="17"/>
        <v>621</v>
      </c>
      <c r="C622" s="1" t="str">
        <f>IFERROR(VLOOKUP(D622,'Planilha de Cadastro - Previsão'!$A$2:$O$1000,15,FALSE()),"")</f>
        <v/>
      </c>
      <c r="D622" s="1">
        <v>621</v>
      </c>
      <c r="E622" s="1"/>
      <c r="F622" s="1"/>
    </row>
    <row r="623" spans="1:6" x14ac:dyDescent="0.25">
      <c r="A623">
        <f>COUNTIF($C$2:C623,C623)</f>
        <v>622</v>
      </c>
      <c r="B623" s="1" t="str">
        <f t="shared" si="17"/>
        <v>622</v>
      </c>
      <c r="C623" s="1" t="str">
        <f>IFERROR(VLOOKUP(D623,'Planilha de Cadastro - Previsão'!$A$2:$O$1000,15,FALSE()),"")</f>
        <v/>
      </c>
      <c r="D623" s="1">
        <v>622</v>
      </c>
      <c r="E623" s="1"/>
      <c r="F623" s="1"/>
    </row>
    <row r="624" spans="1:6" x14ac:dyDescent="0.25">
      <c r="A624">
        <f>COUNTIF($C$2:C624,C624)</f>
        <v>623</v>
      </c>
      <c r="B624" s="1" t="str">
        <f t="shared" si="17"/>
        <v>623</v>
      </c>
      <c r="C624" s="1" t="str">
        <f>IFERROR(VLOOKUP(D624,'Planilha de Cadastro - Previsão'!$A$2:$O$1000,15,FALSE()),"")</f>
        <v/>
      </c>
      <c r="D624" s="1">
        <v>623</v>
      </c>
      <c r="E624" s="1"/>
      <c r="F624" s="1"/>
    </row>
    <row r="625" spans="1:6" x14ac:dyDescent="0.25">
      <c r="A625">
        <f>COUNTIF($C$2:C625,C625)</f>
        <v>624</v>
      </c>
      <c r="B625" s="1" t="str">
        <f t="shared" si="17"/>
        <v>624</v>
      </c>
      <c r="C625" s="1" t="str">
        <f>IFERROR(VLOOKUP(D625,'Planilha de Cadastro - Previsão'!$A$2:$O$1000,15,FALSE()),"")</f>
        <v/>
      </c>
      <c r="D625" s="1">
        <v>624</v>
      </c>
      <c r="E625" s="1"/>
      <c r="F625" s="1"/>
    </row>
    <row r="626" spans="1:6" x14ac:dyDescent="0.25">
      <c r="A626">
        <f>COUNTIF($C$2:C626,C626)</f>
        <v>625</v>
      </c>
      <c r="B626" s="1" t="str">
        <f t="shared" si="17"/>
        <v>625</v>
      </c>
      <c r="C626" s="1" t="str">
        <f>IFERROR(VLOOKUP(D626,'Planilha de Cadastro - Previsão'!$A$2:$O$1000,15,FALSE()),"")</f>
        <v/>
      </c>
      <c r="D626" s="1">
        <v>625</v>
      </c>
      <c r="E626" s="1"/>
      <c r="F626" s="1"/>
    </row>
    <row r="627" spans="1:6" x14ac:dyDescent="0.25">
      <c r="A627">
        <f>COUNTIF($C$2:C627,C627)</f>
        <v>626</v>
      </c>
      <c r="B627" s="1" t="str">
        <f t="shared" si="17"/>
        <v>626</v>
      </c>
      <c r="C627" s="1" t="str">
        <f>IFERROR(VLOOKUP(D627,'Planilha de Cadastro - Previsão'!$A$2:$O$1000,15,FALSE()),"")</f>
        <v/>
      </c>
      <c r="D627" s="1">
        <v>626</v>
      </c>
      <c r="E627" s="1"/>
      <c r="F627" s="1"/>
    </row>
    <row r="628" spans="1:6" x14ac:dyDescent="0.25">
      <c r="A628">
        <f>COUNTIF($C$2:C628,C628)</f>
        <v>627</v>
      </c>
      <c r="B628" s="1" t="str">
        <f t="shared" si="17"/>
        <v>627</v>
      </c>
      <c r="C628" s="1" t="str">
        <f>IFERROR(VLOOKUP(D628,'Planilha de Cadastro - Previsão'!$A$2:$O$1000,15,FALSE()),"")</f>
        <v/>
      </c>
      <c r="D628" s="1">
        <v>627</v>
      </c>
      <c r="E628" s="1"/>
      <c r="F628" s="1"/>
    </row>
    <row r="629" spans="1:6" x14ac:dyDescent="0.25">
      <c r="A629">
        <f>COUNTIF($C$2:C629,C629)</f>
        <v>628</v>
      </c>
      <c r="B629" s="1" t="str">
        <f t="shared" si="17"/>
        <v>628</v>
      </c>
      <c r="C629" s="1" t="str">
        <f>IFERROR(VLOOKUP(D629,'Planilha de Cadastro - Previsão'!$A$2:$O$1000,15,FALSE()),"")</f>
        <v/>
      </c>
      <c r="D629" s="1">
        <v>628</v>
      </c>
      <c r="E629" s="1"/>
      <c r="F629" s="1"/>
    </row>
    <row r="630" spans="1:6" x14ac:dyDescent="0.25">
      <c r="A630">
        <f>COUNTIF($C$2:C630,C630)</f>
        <v>629</v>
      </c>
      <c r="B630" s="1" t="str">
        <f t="shared" si="17"/>
        <v>629</v>
      </c>
      <c r="C630" s="1" t="str">
        <f>IFERROR(VLOOKUP(D630,'Planilha de Cadastro - Previsão'!$A$2:$O$1000,15,FALSE()),"")</f>
        <v/>
      </c>
      <c r="D630" s="1">
        <v>629</v>
      </c>
      <c r="E630" s="1"/>
      <c r="F630" s="1"/>
    </row>
    <row r="631" spans="1:6" x14ac:dyDescent="0.25">
      <c r="A631">
        <f>COUNTIF($C$2:C631,C631)</f>
        <v>630</v>
      </c>
      <c r="B631" s="1" t="str">
        <f t="shared" si="17"/>
        <v>630</v>
      </c>
      <c r="C631" s="1" t="str">
        <f>IFERROR(VLOOKUP(D631,'Planilha de Cadastro - Previsão'!$A$2:$O$1000,15,FALSE()),"")</f>
        <v/>
      </c>
      <c r="D631" s="1">
        <v>630</v>
      </c>
      <c r="E631" s="1"/>
      <c r="F631" s="1"/>
    </row>
    <row r="632" spans="1:6" x14ac:dyDescent="0.25">
      <c r="A632">
        <f>COUNTIF($C$2:C632,C632)</f>
        <v>631</v>
      </c>
      <c r="B632" s="1" t="str">
        <f t="shared" si="17"/>
        <v>631</v>
      </c>
      <c r="C632" s="1" t="str">
        <f>IFERROR(VLOOKUP(D632,'Planilha de Cadastro - Previsão'!$A$2:$O$1000,15,FALSE()),"")</f>
        <v/>
      </c>
      <c r="D632" s="1">
        <v>631</v>
      </c>
      <c r="E632" s="1"/>
      <c r="F632" s="1"/>
    </row>
    <row r="633" spans="1:6" x14ac:dyDescent="0.25">
      <c r="A633">
        <f>COUNTIF($C$2:C633,C633)</f>
        <v>632</v>
      </c>
      <c r="B633" s="1" t="str">
        <f t="shared" si="17"/>
        <v>632</v>
      </c>
      <c r="C633" s="1" t="str">
        <f>IFERROR(VLOOKUP(D633,'Planilha de Cadastro - Previsão'!$A$2:$O$1000,15,FALSE()),"")</f>
        <v/>
      </c>
      <c r="D633" s="1">
        <v>632</v>
      </c>
      <c r="E633" s="1"/>
      <c r="F633" s="1"/>
    </row>
    <row r="634" spans="1:6" x14ac:dyDescent="0.25">
      <c r="A634">
        <f>COUNTIF($C$2:C634,C634)</f>
        <v>633</v>
      </c>
      <c r="B634" s="1" t="str">
        <f t="shared" si="17"/>
        <v>633</v>
      </c>
      <c r="C634" s="1" t="str">
        <f>IFERROR(VLOOKUP(D634,'Planilha de Cadastro - Previsão'!$A$2:$O$1000,15,FALSE()),"")</f>
        <v/>
      </c>
      <c r="D634" s="1">
        <v>633</v>
      </c>
      <c r="E634" s="1"/>
      <c r="F634" s="1"/>
    </row>
    <row r="635" spans="1:6" x14ac:dyDescent="0.25">
      <c r="A635">
        <f>COUNTIF($C$2:C635,C635)</f>
        <v>634</v>
      </c>
      <c r="B635" s="1" t="str">
        <f t="shared" si="17"/>
        <v>634</v>
      </c>
      <c r="C635" s="1" t="str">
        <f>IFERROR(VLOOKUP(D635,'Planilha de Cadastro - Previsão'!$A$2:$O$1000,15,FALSE()),"")</f>
        <v/>
      </c>
      <c r="D635" s="1">
        <v>634</v>
      </c>
      <c r="E635" s="1"/>
      <c r="F635" s="1"/>
    </row>
    <row r="636" spans="1:6" x14ac:dyDescent="0.25">
      <c r="A636">
        <f>COUNTIF($C$2:C636,C636)</f>
        <v>635</v>
      </c>
      <c r="B636" s="1" t="str">
        <f t="shared" si="17"/>
        <v>635</v>
      </c>
      <c r="C636" s="1" t="str">
        <f>IFERROR(VLOOKUP(D636,'Planilha de Cadastro - Previsão'!$A$2:$O$1000,15,FALSE()),"")</f>
        <v/>
      </c>
      <c r="D636" s="1">
        <v>635</v>
      </c>
      <c r="E636" s="1"/>
      <c r="F636" s="1"/>
    </row>
    <row r="637" spans="1:6" x14ac:dyDescent="0.25">
      <c r="A637">
        <f>COUNTIF($C$2:C637,C637)</f>
        <v>636</v>
      </c>
      <c r="B637" s="1" t="str">
        <f t="shared" si="17"/>
        <v>636</v>
      </c>
      <c r="C637" s="1" t="str">
        <f>IFERROR(VLOOKUP(D637,'Planilha de Cadastro - Previsão'!$A$2:$O$1000,15,FALSE()),"")</f>
        <v/>
      </c>
      <c r="D637" s="1">
        <v>636</v>
      </c>
      <c r="E637" s="1"/>
      <c r="F637" s="1"/>
    </row>
    <row r="638" spans="1:6" x14ac:dyDescent="0.25">
      <c r="A638">
        <f>COUNTIF($C$2:C638,C638)</f>
        <v>637</v>
      </c>
      <c r="B638" s="1" t="str">
        <f t="shared" si="17"/>
        <v>637</v>
      </c>
      <c r="C638" s="1" t="str">
        <f>IFERROR(VLOOKUP(D638,'Planilha de Cadastro - Previsão'!$A$2:$O$1000,15,FALSE()),"")</f>
        <v/>
      </c>
      <c r="D638" s="1">
        <v>637</v>
      </c>
      <c r="E638" s="1"/>
      <c r="F638" s="1"/>
    </row>
    <row r="639" spans="1:6" x14ac:dyDescent="0.25">
      <c r="A639">
        <f>COUNTIF($C$2:C639,C639)</f>
        <v>638</v>
      </c>
      <c r="B639" s="1" t="str">
        <f t="shared" si="17"/>
        <v>638</v>
      </c>
      <c r="C639" s="1" t="str">
        <f>IFERROR(VLOOKUP(D639,'Planilha de Cadastro - Previsão'!$A$2:$O$1000,15,FALSE()),"")</f>
        <v/>
      </c>
      <c r="D639" s="1">
        <v>638</v>
      </c>
      <c r="E639" s="1"/>
      <c r="F639" s="1"/>
    </row>
    <row r="640" spans="1:6" x14ac:dyDescent="0.25">
      <c r="A640">
        <f>COUNTIF($C$2:C640,C640)</f>
        <v>639</v>
      </c>
      <c r="B640" s="1" t="str">
        <f t="shared" si="17"/>
        <v>639</v>
      </c>
      <c r="C640" s="1" t="str">
        <f>IFERROR(VLOOKUP(D640,'Planilha de Cadastro - Previsão'!$A$2:$O$1000,15,FALSE()),"")</f>
        <v/>
      </c>
      <c r="D640" s="1">
        <v>639</v>
      </c>
      <c r="E640" s="1"/>
      <c r="F640" s="1"/>
    </row>
    <row r="641" spans="1:6" x14ac:dyDescent="0.25">
      <c r="A641">
        <f>COUNTIF($C$2:C641,C641)</f>
        <v>640</v>
      </c>
      <c r="B641" s="1" t="str">
        <f t="shared" si="17"/>
        <v>640</v>
      </c>
      <c r="C641" s="1" t="str">
        <f>IFERROR(VLOOKUP(D641,'Planilha de Cadastro - Previsão'!$A$2:$O$1000,15,FALSE()),"")</f>
        <v/>
      </c>
      <c r="D641" s="1">
        <v>640</v>
      </c>
      <c r="E641" s="1"/>
      <c r="F641" s="1"/>
    </row>
    <row r="642" spans="1:6" x14ac:dyDescent="0.25">
      <c r="A642">
        <f>COUNTIF($C$2:C642,C642)</f>
        <v>641</v>
      </c>
      <c r="B642" s="1" t="str">
        <f t="shared" si="17"/>
        <v>641</v>
      </c>
      <c r="C642" s="1" t="str">
        <f>IFERROR(VLOOKUP(D642,'Planilha de Cadastro - Previsão'!$A$2:$O$1000,15,FALSE()),"")</f>
        <v/>
      </c>
      <c r="D642" s="1">
        <v>641</v>
      </c>
      <c r="E642" s="1"/>
      <c r="F642" s="1"/>
    </row>
    <row r="643" spans="1:6" x14ac:dyDescent="0.25">
      <c r="A643">
        <f>COUNTIF($C$2:C643,C643)</f>
        <v>642</v>
      </c>
      <c r="B643" s="1" t="str">
        <f t="shared" ref="B643:B706" si="18">IFERROR(CONCATENATE(C643,A643),"")</f>
        <v>642</v>
      </c>
      <c r="C643" s="1" t="str">
        <f>IFERROR(VLOOKUP(D643,'Planilha de Cadastro - Previsão'!$A$2:$O$1000,15,FALSE()),"")</f>
        <v/>
      </c>
      <c r="D643" s="1">
        <v>642</v>
      </c>
      <c r="E643" s="1"/>
      <c r="F643" s="1"/>
    </row>
    <row r="644" spans="1:6" x14ac:dyDescent="0.25">
      <c r="A644">
        <f>COUNTIF($C$2:C644,C644)</f>
        <v>643</v>
      </c>
      <c r="B644" s="1" t="str">
        <f t="shared" si="18"/>
        <v>643</v>
      </c>
      <c r="C644" s="1" t="str">
        <f>IFERROR(VLOOKUP(D644,'Planilha de Cadastro - Previsão'!$A$2:$O$1000,15,FALSE()),"")</f>
        <v/>
      </c>
      <c r="D644" s="1">
        <v>643</v>
      </c>
      <c r="E644" s="1"/>
      <c r="F644" s="1"/>
    </row>
    <row r="645" spans="1:6" x14ac:dyDescent="0.25">
      <c r="A645">
        <f>COUNTIF($C$2:C645,C645)</f>
        <v>644</v>
      </c>
      <c r="B645" s="1" t="str">
        <f t="shared" si="18"/>
        <v>644</v>
      </c>
      <c r="C645" s="1" t="str">
        <f>IFERROR(VLOOKUP(D645,'Planilha de Cadastro - Previsão'!$A$2:$O$1000,15,FALSE()),"")</f>
        <v/>
      </c>
      <c r="D645" s="1">
        <v>644</v>
      </c>
      <c r="E645" s="1"/>
      <c r="F645" s="1"/>
    </row>
    <row r="646" spans="1:6" x14ac:dyDescent="0.25">
      <c r="A646">
        <f>COUNTIF($C$2:C646,C646)</f>
        <v>645</v>
      </c>
      <c r="B646" s="1" t="str">
        <f t="shared" si="18"/>
        <v>645</v>
      </c>
      <c r="C646" s="1" t="str">
        <f>IFERROR(VLOOKUP(D646,'Planilha de Cadastro - Previsão'!$A$2:$O$1000,15,FALSE()),"")</f>
        <v/>
      </c>
      <c r="D646" s="1">
        <v>645</v>
      </c>
      <c r="E646" s="1"/>
      <c r="F646" s="1"/>
    </row>
    <row r="647" spans="1:6" x14ac:dyDescent="0.25">
      <c r="A647">
        <f>COUNTIF($C$2:C647,C647)</f>
        <v>646</v>
      </c>
      <c r="B647" s="1" t="str">
        <f t="shared" si="18"/>
        <v>646</v>
      </c>
      <c r="C647" s="1" t="str">
        <f>IFERROR(VLOOKUP(D647,'Planilha de Cadastro - Previsão'!$A$2:$O$1000,15,FALSE()),"")</f>
        <v/>
      </c>
      <c r="D647" s="1">
        <v>646</v>
      </c>
      <c r="E647" s="1"/>
      <c r="F647" s="1"/>
    </row>
    <row r="648" spans="1:6" x14ac:dyDescent="0.25">
      <c r="A648">
        <f>COUNTIF($C$2:C648,C648)</f>
        <v>647</v>
      </c>
      <c r="B648" s="1" t="str">
        <f t="shared" si="18"/>
        <v>647</v>
      </c>
      <c r="C648" s="1" t="str">
        <f>IFERROR(VLOOKUP(D648,'Planilha de Cadastro - Previsão'!$A$2:$O$1000,15,FALSE()),"")</f>
        <v/>
      </c>
      <c r="D648" s="1">
        <v>647</v>
      </c>
      <c r="E648" s="1"/>
      <c r="F648" s="1"/>
    </row>
    <row r="649" spans="1:6" x14ac:dyDescent="0.25">
      <c r="A649">
        <f>COUNTIF($C$2:C649,C649)</f>
        <v>648</v>
      </c>
      <c r="B649" s="1" t="str">
        <f t="shared" si="18"/>
        <v>648</v>
      </c>
      <c r="C649" s="1" t="str">
        <f>IFERROR(VLOOKUP(D649,'Planilha de Cadastro - Previsão'!$A$2:$O$1000,15,FALSE()),"")</f>
        <v/>
      </c>
      <c r="D649" s="1">
        <v>648</v>
      </c>
      <c r="E649" s="1"/>
      <c r="F649" s="1"/>
    </row>
    <row r="650" spans="1:6" x14ac:dyDescent="0.25">
      <c r="A650">
        <f>COUNTIF($C$2:C650,C650)</f>
        <v>649</v>
      </c>
      <c r="B650" s="1" t="str">
        <f t="shared" si="18"/>
        <v>649</v>
      </c>
      <c r="C650" s="1" t="str">
        <f>IFERROR(VLOOKUP(D650,'Planilha de Cadastro - Previsão'!$A$2:$O$1000,15,FALSE()),"")</f>
        <v/>
      </c>
      <c r="D650" s="1">
        <v>649</v>
      </c>
      <c r="E650" s="1"/>
      <c r="F650" s="1"/>
    </row>
    <row r="651" spans="1:6" x14ac:dyDescent="0.25">
      <c r="A651">
        <f>COUNTIF($C$2:C651,C651)</f>
        <v>650</v>
      </c>
      <c r="B651" s="1" t="str">
        <f t="shared" si="18"/>
        <v>650</v>
      </c>
      <c r="C651" s="1" t="str">
        <f>IFERROR(VLOOKUP(D651,'Planilha de Cadastro - Previsão'!$A$2:$O$1000,15,FALSE()),"")</f>
        <v/>
      </c>
      <c r="D651" s="1">
        <v>650</v>
      </c>
      <c r="E651" s="1"/>
      <c r="F651" s="1"/>
    </row>
    <row r="652" spans="1:6" x14ac:dyDescent="0.25">
      <c r="A652">
        <f>COUNTIF($C$2:C652,C652)</f>
        <v>651</v>
      </c>
      <c r="B652" s="1" t="str">
        <f t="shared" si="18"/>
        <v>651</v>
      </c>
      <c r="C652" s="1" t="str">
        <f>IFERROR(VLOOKUP(D652,'Planilha de Cadastro - Previsão'!$A$2:$O$1000,15,FALSE()),"")</f>
        <v/>
      </c>
      <c r="D652" s="1">
        <v>651</v>
      </c>
      <c r="E652" s="1"/>
      <c r="F652" s="1"/>
    </row>
    <row r="653" spans="1:6" x14ac:dyDescent="0.25">
      <c r="A653">
        <f>COUNTIF($C$2:C653,C653)</f>
        <v>652</v>
      </c>
      <c r="B653" s="1" t="str">
        <f t="shared" si="18"/>
        <v>652</v>
      </c>
      <c r="C653" s="1" t="str">
        <f>IFERROR(VLOOKUP(D653,'Planilha de Cadastro - Previsão'!$A$2:$O$1000,15,FALSE()),"")</f>
        <v/>
      </c>
      <c r="D653" s="1">
        <v>652</v>
      </c>
      <c r="E653" s="1"/>
      <c r="F653" s="1"/>
    </row>
    <row r="654" spans="1:6" x14ac:dyDescent="0.25">
      <c r="A654">
        <f>COUNTIF($C$2:C654,C654)</f>
        <v>653</v>
      </c>
      <c r="B654" s="1" t="str">
        <f t="shared" si="18"/>
        <v>653</v>
      </c>
      <c r="C654" s="1" t="str">
        <f>IFERROR(VLOOKUP(D654,'Planilha de Cadastro - Previsão'!$A$2:$O$1000,15,FALSE()),"")</f>
        <v/>
      </c>
      <c r="D654" s="1">
        <v>653</v>
      </c>
      <c r="E654" s="1"/>
      <c r="F654" s="1"/>
    </row>
    <row r="655" spans="1:6" x14ac:dyDescent="0.25">
      <c r="A655">
        <f>COUNTIF($C$2:C655,C655)</f>
        <v>654</v>
      </c>
      <c r="B655" s="1" t="str">
        <f t="shared" si="18"/>
        <v>654</v>
      </c>
      <c r="C655" s="1" t="str">
        <f>IFERROR(VLOOKUP(D655,'Planilha de Cadastro - Previsão'!$A$2:$O$1000,15,FALSE()),"")</f>
        <v/>
      </c>
      <c r="D655" s="1">
        <v>654</v>
      </c>
      <c r="E655" s="1"/>
      <c r="F655" s="1"/>
    </row>
    <row r="656" spans="1:6" x14ac:dyDescent="0.25">
      <c r="A656">
        <f>COUNTIF($C$2:C656,C656)</f>
        <v>655</v>
      </c>
      <c r="B656" s="1" t="str">
        <f t="shared" si="18"/>
        <v>655</v>
      </c>
      <c r="C656" s="1" t="str">
        <f>IFERROR(VLOOKUP(D656,'Planilha de Cadastro - Previsão'!$A$2:$O$1000,15,FALSE()),"")</f>
        <v/>
      </c>
      <c r="D656" s="1">
        <v>655</v>
      </c>
      <c r="E656" s="1"/>
      <c r="F656" s="1"/>
    </row>
    <row r="657" spans="1:6" x14ac:dyDescent="0.25">
      <c r="A657">
        <f>COUNTIF($C$2:C657,C657)</f>
        <v>656</v>
      </c>
      <c r="B657" s="1" t="str">
        <f t="shared" si="18"/>
        <v>656</v>
      </c>
      <c r="C657" s="1" t="str">
        <f>IFERROR(VLOOKUP(D657,'Planilha de Cadastro - Previsão'!$A$2:$O$1000,15,FALSE()),"")</f>
        <v/>
      </c>
      <c r="D657" s="1">
        <v>656</v>
      </c>
      <c r="E657" s="1"/>
      <c r="F657" s="1"/>
    </row>
    <row r="658" spans="1:6" x14ac:dyDescent="0.25">
      <c r="A658">
        <f>COUNTIF($C$2:C658,C658)</f>
        <v>657</v>
      </c>
      <c r="B658" s="1" t="str">
        <f t="shared" si="18"/>
        <v>657</v>
      </c>
      <c r="C658" s="1" t="str">
        <f>IFERROR(VLOOKUP(D658,'Planilha de Cadastro - Previsão'!$A$2:$O$1000,15,FALSE()),"")</f>
        <v/>
      </c>
      <c r="D658" s="1">
        <v>657</v>
      </c>
      <c r="E658" s="1"/>
      <c r="F658" s="1"/>
    </row>
    <row r="659" spans="1:6" x14ac:dyDescent="0.25">
      <c r="A659">
        <f>COUNTIF($C$2:C659,C659)</f>
        <v>658</v>
      </c>
      <c r="B659" s="1" t="str">
        <f t="shared" si="18"/>
        <v>658</v>
      </c>
      <c r="C659" s="1" t="str">
        <f>IFERROR(VLOOKUP(D659,'Planilha de Cadastro - Previsão'!$A$2:$O$1000,15,FALSE()),"")</f>
        <v/>
      </c>
      <c r="D659" s="1">
        <v>658</v>
      </c>
      <c r="E659" s="1"/>
      <c r="F659" s="1"/>
    </row>
    <row r="660" spans="1:6" x14ac:dyDescent="0.25">
      <c r="A660">
        <f>COUNTIF($C$2:C660,C660)</f>
        <v>659</v>
      </c>
      <c r="B660" s="1" t="str">
        <f t="shared" si="18"/>
        <v>659</v>
      </c>
      <c r="C660" s="1" t="str">
        <f>IFERROR(VLOOKUP(D660,'Planilha de Cadastro - Previsão'!$A$2:$O$1000,15,FALSE()),"")</f>
        <v/>
      </c>
      <c r="D660" s="1">
        <v>659</v>
      </c>
      <c r="E660" s="1"/>
      <c r="F660" s="1"/>
    </row>
    <row r="661" spans="1:6" x14ac:dyDescent="0.25">
      <c r="A661">
        <f>COUNTIF($C$2:C661,C661)</f>
        <v>660</v>
      </c>
      <c r="B661" s="1" t="str">
        <f t="shared" si="18"/>
        <v>660</v>
      </c>
      <c r="C661" s="1" t="str">
        <f>IFERROR(VLOOKUP(D661,'Planilha de Cadastro - Previsão'!$A$2:$O$1000,15,FALSE()),"")</f>
        <v/>
      </c>
      <c r="D661" s="1">
        <v>660</v>
      </c>
      <c r="E661" s="1"/>
      <c r="F661" s="1"/>
    </row>
    <row r="662" spans="1:6" x14ac:dyDescent="0.25">
      <c r="A662">
        <f>COUNTIF($C$2:C662,C662)</f>
        <v>661</v>
      </c>
      <c r="B662" s="1" t="str">
        <f t="shared" si="18"/>
        <v>661</v>
      </c>
      <c r="C662" s="1" t="str">
        <f>IFERROR(VLOOKUP(D662,'Planilha de Cadastro - Previsão'!$A$2:$O$1000,15,FALSE()),"")</f>
        <v/>
      </c>
      <c r="D662" s="1">
        <v>661</v>
      </c>
      <c r="E662" s="1"/>
      <c r="F662" s="1"/>
    </row>
    <row r="663" spans="1:6" x14ac:dyDescent="0.25">
      <c r="A663">
        <f>COUNTIF($C$2:C663,C663)</f>
        <v>662</v>
      </c>
      <c r="B663" s="1" t="str">
        <f t="shared" si="18"/>
        <v>662</v>
      </c>
      <c r="C663" s="1" t="str">
        <f>IFERROR(VLOOKUP(D663,'Planilha de Cadastro - Previsão'!$A$2:$O$1000,15,FALSE()),"")</f>
        <v/>
      </c>
      <c r="D663" s="1">
        <v>662</v>
      </c>
      <c r="E663" s="1"/>
      <c r="F663" s="1"/>
    </row>
    <row r="664" spans="1:6" x14ac:dyDescent="0.25">
      <c r="A664">
        <f>COUNTIF($C$2:C664,C664)</f>
        <v>663</v>
      </c>
      <c r="B664" s="1" t="str">
        <f t="shared" si="18"/>
        <v>663</v>
      </c>
      <c r="C664" s="1" t="str">
        <f>IFERROR(VLOOKUP(D664,'Planilha de Cadastro - Previsão'!$A$2:$O$1000,15,FALSE()),"")</f>
        <v/>
      </c>
      <c r="D664" s="1">
        <v>663</v>
      </c>
      <c r="E664" s="1"/>
      <c r="F664" s="1"/>
    </row>
    <row r="665" spans="1:6" x14ac:dyDescent="0.25">
      <c r="A665">
        <f>COUNTIF($C$2:C665,C665)</f>
        <v>664</v>
      </c>
      <c r="B665" s="1" t="str">
        <f t="shared" si="18"/>
        <v>664</v>
      </c>
      <c r="C665" s="1" t="str">
        <f>IFERROR(VLOOKUP(D665,'Planilha de Cadastro - Previsão'!$A$2:$O$1000,15,FALSE()),"")</f>
        <v/>
      </c>
      <c r="D665" s="1">
        <v>664</v>
      </c>
      <c r="E665" s="1"/>
      <c r="F665" s="1"/>
    </row>
    <row r="666" spans="1:6" x14ac:dyDescent="0.25">
      <c r="A666">
        <f>COUNTIF($C$2:C666,C666)</f>
        <v>665</v>
      </c>
      <c r="B666" s="1" t="str">
        <f t="shared" si="18"/>
        <v>665</v>
      </c>
      <c r="C666" s="1" t="str">
        <f>IFERROR(VLOOKUP(D666,'Planilha de Cadastro - Previsão'!$A$2:$O$1000,15,FALSE()),"")</f>
        <v/>
      </c>
      <c r="D666" s="1">
        <v>665</v>
      </c>
      <c r="E666" s="1"/>
      <c r="F666" s="1"/>
    </row>
    <row r="667" spans="1:6" x14ac:dyDescent="0.25">
      <c r="A667">
        <f>COUNTIF($C$2:C667,C667)</f>
        <v>666</v>
      </c>
      <c r="B667" s="1" t="str">
        <f t="shared" si="18"/>
        <v>666</v>
      </c>
      <c r="C667" s="1" t="str">
        <f>IFERROR(VLOOKUP(D667,'Planilha de Cadastro - Previsão'!$A$2:$O$1000,15,FALSE()),"")</f>
        <v/>
      </c>
      <c r="D667" s="1">
        <v>666</v>
      </c>
      <c r="E667" s="1"/>
      <c r="F667" s="1"/>
    </row>
    <row r="668" spans="1:6" x14ac:dyDescent="0.25">
      <c r="A668">
        <f>COUNTIF($C$2:C668,C668)</f>
        <v>667</v>
      </c>
      <c r="B668" s="1" t="str">
        <f t="shared" si="18"/>
        <v>667</v>
      </c>
      <c r="C668" s="1" t="str">
        <f>IFERROR(VLOOKUP(D668,'Planilha de Cadastro - Previsão'!$A$2:$O$1000,15,FALSE()),"")</f>
        <v/>
      </c>
      <c r="D668" s="1">
        <v>667</v>
      </c>
      <c r="E668" s="1"/>
      <c r="F668" s="1"/>
    </row>
    <row r="669" spans="1:6" x14ac:dyDescent="0.25">
      <c r="A669">
        <f>COUNTIF($C$2:C669,C669)</f>
        <v>668</v>
      </c>
      <c r="B669" s="1" t="str">
        <f t="shared" si="18"/>
        <v>668</v>
      </c>
      <c r="C669" s="1" t="str">
        <f>IFERROR(VLOOKUP(D669,'Planilha de Cadastro - Previsão'!$A$2:$O$1000,15,FALSE()),"")</f>
        <v/>
      </c>
      <c r="D669" s="1">
        <v>668</v>
      </c>
      <c r="E669" s="1"/>
      <c r="F669" s="1"/>
    </row>
    <row r="670" spans="1:6" x14ac:dyDescent="0.25">
      <c r="A670">
        <f>COUNTIF($C$2:C670,C670)</f>
        <v>669</v>
      </c>
      <c r="B670" s="1" t="str">
        <f t="shared" si="18"/>
        <v>669</v>
      </c>
      <c r="C670" s="1" t="str">
        <f>IFERROR(VLOOKUP(D670,'Planilha de Cadastro - Previsão'!$A$2:$O$1000,15,FALSE()),"")</f>
        <v/>
      </c>
      <c r="D670" s="1">
        <v>669</v>
      </c>
      <c r="E670" s="1"/>
      <c r="F670" s="1"/>
    </row>
    <row r="671" spans="1:6" x14ac:dyDescent="0.25">
      <c r="A671">
        <f>COUNTIF($C$2:C671,C671)</f>
        <v>670</v>
      </c>
      <c r="B671" s="1" t="str">
        <f t="shared" si="18"/>
        <v>670</v>
      </c>
      <c r="C671" s="1" t="str">
        <f>IFERROR(VLOOKUP(D671,'Planilha de Cadastro - Previsão'!$A$2:$O$1000,15,FALSE()),"")</f>
        <v/>
      </c>
      <c r="D671" s="1">
        <v>670</v>
      </c>
      <c r="E671" s="1"/>
      <c r="F671" s="1"/>
    </row>
    <row r="672" spans="1:6" x14ac:dyDescent="0.25">
      <c r="A672">
        <f>COUNTIF($C$2:C672,C672)</f>
        <v>671</v>
      </c>
      <c r="B672" s="1" t="str">
        <f t="shared" si="18"/>
        <v>671</v>
      </c>
      <c r="C672" s="1" t="str">
        <f>IFERROR(VLOOKUP(D672,'Planilha de Cadastro - Previsão'!$A$2:$O$1000,15,FALSE()),"")</f>
        <v/>
      </c>
      <c r="D672" s="1">
        <v>671</v>
      </c>
      <c r="E672" s="1"/>
      <c r="F672" s="1"/>
    </row>
    <row r="673" spans="1:6" x14ac:dyDescent="0.25">
      <c r="A673">
        <f>COUNTIF($C$2:C673,C673)</f>
        <v>672</v>
      </c>
      <c r="B673" s="1" t="str">
        <f t="shared" si="18"/>
        <v>672</v>
      </c>
      <c r="C673" s="1" t="str">
        <f>IFERROR(VLOOKUP(D673,'Planilha de Cadastro - Previsão'!$A$2:$O$1000,15,FALSE()),"")</f>
        <v/>
      </c>
      <c r="D673" s="1">
        <v>672</v>
      </c>
      <c r="E673" s="1"/>
      <c r="F673" s="1"/>
    </row>
    <row r="674" spans="1:6" x14ac:dyDescent="0.25">
      <c r="A674">
        <f>COUNTIF($C$2:C674,C674)</f>
        <v>673</v>
      </c>
      <c r="B674" s="1" t="str">
        <f t="shared" si="18"/>
        <v>673</v>
      </c>
      <c r="C674" s="1" t="str">
        <f>IFERROR(VLOOKUP(D674,'Planilha de Cadastro - Previsão'!$A$2:$O$1000,15,FALSE()),"")</f>
        <v/>
      </c>
      <c r="D674" s="1">
        <v>673</v>
      </c>
      <c r="E674" s="1"/>
      <c r="F674" s="1"/>
    </row>
    <row r="675" spans="1:6" x14ac:dyDescent="0.25">
      <c r="A675">
        <f>COUNTIF($C$2:C675,C675)</f>
        <v>674</v>
      </c>
      <c r="B675" s="1" t="str">
        <f t="shared" si="18"/>
        <v>674</v>
      </c>
      <c r="C675" s="1" t="str">
        <f>IFERROR(VLOOKUP(D675,'Planilha de Cadastro - Previsão'!$A$2:$O$1000,15,FALSE()),"")</f>
        <v/>
      </c>
      <c r="D675" s="1">
        <v>674</v>
      </c>
      <c r="E675" s="1"/>
      <c r="F675" s="1"/>
    </row>
    <row r="676" spans="1:6" x14ac:dyDescent="0.25">
      <c r="A676">
        <f>COUNTIF($C$2:C676,C676)</f>
        <v>675</v>
      </c>
      <c r="B676" s="1" t="str">
        <f t="shared" si="18"/>
        <v>675</v>
      </c>
      <c r="C676" s="1" t="str">
        <f>IFERROR(VLOOKUP(D676,'Planilha de Cadastro - Previsão'!$A$2:$O$1000,15,FALSE()),"")</f>
        <v/>
      </c>
      <c r="D676" s="1">
        <v>675</v>
      </c>
      <c r="E676" s="1"/>
      <c r="F676" s="1"/>
    </row>
    <row r="677" spans="1:6" x14ac:dyDescent="0.25">
      <c r="A677">
        <f>COUNTIF($C$2:C677,C677)</f>
        <v>676</v>
      </c>
      <c r="B677" s="1" t="str">
        <f t="shared" si="18"/>
        <v>676</v>
      </c>
      <c r="C677" s="1" t="str">
        <f>IFERROR(VLOOKUP(D677,'Planilha de Cadastro - Previsão'!$A$2:$O$1000,15,FALSE()),"")</f>
        <v/>
      </c>
      <c r="D677" s="1">
        <v>676</v>
      </c>
      <c r="E677" s="1"/>
      <c r="F677" s="1"/>
    </row>
    <row r="678" spans="1:6" x14ac:dyDescent="0.25">
      <c r="A678">
        <f>COUNTIF($C$2:C678,C678)</f>
        <v>677</v>
      </c>
      <c r="B678" s="1" t="str">
        <f t="shared" si="18"/>
        <v>677</v>
      </c>
      <c r="C678" s="1" t="str">
        <f>IFERROR(VLOOKUP(D678,'Planilha de Cadastro - Previsão'!$A$2:$O$1000,15,FALSE()),"")</f>
        <v/>
      </c>
      <c r="D678" s="1">
        <v>677</v>
      </c>
      <c r="E678" s="1"/>
      <c r="F678" s="1"/>
    </row>
    <row r="679" spans="1:6" x14ac:dyDescent="0.25">
      <c r="A679">
        <f>COUNTIF($C$2:C679,C679)</f>
        <v>678</v>
      </c>
      <c r="B679" s="1" t="str">
        <f t="shared" si="18"/>
        <v>678</v>
      </c>
      <c r="C679" s="1" t="str">
        <f>IFERROR(VLOOKUP(D679,'Planilha de Cadastro - Previsão'!$A$2:$O$1000,15,FALSE()),"")</f>
        <v/>
      </c>
      <c r="D679" s="1">
        <v>678</v>
      </c>
      <c r="E679" s="1"/>
      <c r="F679" s="1"/>
    </row>
    <row r="680" spans="1:6" x14ac:dyDescent="0.25">
      <c r="A680">
        <f>COUNTIF($C$2:C680,C680)</f>
        <v>679</v>
      </c>
      <c r="B680" s="1" t="str">
        <f t="shared" si="18"/>
        <v>679</v>
      </c>
      <c r="C680" s="1" t="str">
        <f>IFERROR(VLOOKUP(D680,'Planilha de Cadastro - Previsão'!$A$2:$O$1000,15,FALSE()),"")</f>
        <v/>
      </c>
      <c r="D680" s="1">
        <v>679</v>
      </c>
      <c r="E680" s="1"/>
      <c r="F680" s="1"/>
    </row>
    <row r="681" spans="1:6" x14ac:dyDescent="0.25">
      <c r="A681">
        <f>COUNTIF($C$2:C681,C681)</f>
        <v>680</v>
      </c>
      <c r="B681" s="1" t="str">
        <f t="shared" si="18"/>
        <v>680</v>
      </c>
      <c r="C681" s="1" t="str">
        <f>IFERROR(VLOOKUP(D681,'Planilha de Cadastro - Previsão'!$A$2:$O$1000,15,FALSE()),"")</f>
        <v/>
      </c>
      <c r="D681" s="1">
        <v>680</v>
      </c>
      <c r="E681" s="1"/>
      <c r="F681" s="1"/>
    </row>
    <row r="682" spans="1:6" x14ac:dyDescent="0.25">
      <c r="A682">
        <f>COUNTIF($C$2:C682,C682)</f>
        <v>681</v>
      </c>
      <c r="B682" s="1" t="str">
        <f t="shared" si="18"/>
        <v>681</v>
      </c>
      <c r="C682" s="1" t="str">
        <f>IFERROR(VLOOKUP(D682,'Planilha de Cadastro - Previsão'!$A$2:$O$1000,15,FALSE()),"")</f>
        <v/>
      </c>
      <c r="D682" s="1">
        <v>681</v>
      </c>
      <c r="E682" s="1"/>
      <c r="F682" s="1"/>
    </row>
    <row r="683" spans="1:6" x14ac:dyDescent="0.25">
      <c r="A683">
        <f>COUNTIF($C$2:C683,C683)</f>
        <v>682</v>
      </c>
      <c r="B683" s="1" t="str">
        <f t="shared" si="18"/>
        <v>682</v>
      </c>
      <c r="C683" s="1" t="str">
        <f>IFERROR(VLOOKUP(D683,'Planilha de Cadastro - Previsão'!$A$2:$O$1000,15,FALSE()),"")</f>
        <v/>
      </c>
      <c r="D683" s="1">
        <v>682</v>
      </c>
      <c r="E683" s="1"/>
      <c r="F683" s="1"/>
    </row>
    <row r="684" spans="1:6" x14ac:dyDescent="0.25">
      <c r="A684">
        <f>COUNTIF($C$2:C684,C684)</f>
        <v>683</v>
      </c>
      <c r="B684" s="1" t="str">
        <f t="shared" si="18"/>
        <v>683</v>
      </c>
      <c r="C684" s="1" t="str">
        <f>IFERROR(VLOOKUP(D684,'Planilha de Cadastro - Previsão'!$A$2:$O$1000,15,FALSE()),"")</f>
        <v/>
      </c>
      <c r="D684" s="1">
        <v>683</v>
      </c>
      <c r="E684" s="1"/>
      <c r="F684" s="1"/>
    </row>
    <row r="685" spans="1:6" x14ac:dyDescent="0.25">
      <c r="A685">
        <f>COUNTIF($C$2:C685,C685)</f>
        <v>684</v>
      </c>
      <c r="B685" s="1" t="str">
        <f t="shared" si="18"/>
        <v>684</v>
      </c>
      <c r="C685" s="1" t="str">
        <f>IFERROR(VLOOKUP(D685,'Planilha de Cadastro - Previsão'!$A$2:$O$1000,15,FALSE()),"")</f>
        <v/>
      </c>
      <c r="D685" s="1">
        <v>684</v>
      </c>
      <c r="E685" s="1"/>
      <c r="F685" s="1"/>
    </row>
    <row r="686" spans="1:6" x14ac:dyDescent="0.25">
      <c r="A686">
        <f>COUNTIF($C$2:C686,C686)</f>
        <v>685</v>
      </c>
      <c r="B686" s="1" t="str">
        <f t="shared" si="18"/>
        <v>685</v>
      </c>
      <c r="C686" s="1" t="str">
        <f>IFERROR(VLOOKUP(D686,'Planilha de Cadastro - Previsão'!$A$2:$O$1000,15,FALSE()),"")</f>
        <v/>
      </c>
      <c r="D686" s="1">
        <v>685</v>
      </c>
      <c r="E686" s="1"/>
      <c r="F686" s="1"/>
    </row>
    <row r="687" spans="1:6" x14ac:dyDescent="0.25">
      <c r="A687">
        <f>COUNTIF($C$2:C687,C687)</f>
        <v>686</v>
      </c>
      <c r="B687" s="1" t="str">
        <f t="shared" si="18"/>
        <v>686</v>
      </c>
      <c r="C687" s="1" t="str">
        <f>IFERROR(VLOOKUP(D687,'Planilha de Cadastro - Previsão'!$A$2:$O$1000,15,FALSE()),"")</f>
        <v/>
      </c>
      <c r="D687" s="1">
        <v>686</v>
      </c>
      <c r="E687" s="1"/>
      <c r="F687" s="1"/>
    </row>
    <row r="688" spans="1:6" x14ac:dyDescent="0.25">
      <c r="A688">
        <f>COUNTIF($C$2:C688,C688)</f>
        <v>687</v>
      </c>
      <c r="B688" s="1" t="str">
        <f t="shared" si="18"/>
        <v>687</v>
      </c>
      <c r="C688" s="1" t="str">
        <f>IFERROR(VLOOKUP(D688,'Planilha de Cadastro - Previsão'!$A$2:$O$1000,15,FALSE()),"")</f>
        <v/>
      </c>
      <c r="D688" s="1">
        <v>687</v>
      </c>
      <c r="E688" s="1"/>
      <c r="F688" s="1"/>
    </row>
    <row r="689" spans="1:6" x14ac:dyDescent="0.25">
      <c r="A689">
        <f>COUNTIF($C$2:C689,C689)</f>
        <v>688</v>
      </c>
      <c r="B689" s="1" t="str">
        <f t="shared" si="18"/>
        <v>688</v>
      </c>
      <c r="C689" s="1" t="str">
        <f>IFERROR(VLOOKUP(D689,'Planilha de Cadastro - Previsão'!$A$2:$O$1000,15,FALSE()),"")</f>
        <v/>
      </c>
      <c r="D689" s="1">
        <v>688</v>
      </c>
      <c r="E689" s="1"/>
      <c r="F689" s="1"/>
    </row>
    <row r="690" spans="1:6" x14ac:dyDescent="0.25">
      <c r="A690">
        <f>COUNTIF($C$2:C690,C690)</f>
        <v>689</v>
      </c>
      <c r="B690" s="1" t="str">
        <f t="shared" si="18"/>
        <v>689</v>
      </c>
      <c r="C690" s="1" t="str">
        <f>IFERROR(VLOOKUP(D690,'Planilha de Cadastro - Previsão'!$A$2:$O$1000,15,FALSE()),"")</f>
        <v/>
      </c>
      <c r="D690" s="1">
        <v>689</v>
      </c>
      <c r="E690" s="1"/>
      <c r="F690" s="1"/>
    </row>
    <row r="691" spans="1:6" x14ac:dyDescent="0.25">
      <c r="A691">
        <f>COUNTIF($C$2:C691,C691)</f>
        <v>690</v>
      </c>
      <c r="B691" s="1" t="str">
        <f t="shared" si="18"/>
        <v>690</v>
      </c>
      <c r="C691" s="1" t="str">
        <f>IFERROR(VLOOKUP(D691,'Planilha de Cadastro - Previsão'!$A$2:$O$1000,15,FALSE()),"")</f>
        <v/>
      </c>
      <c r="D691" s="1">
        <v>690</v>
      </c>
      <c r="E691" s="1"/>
      <c r="F691" s="1"/>
    </row>
    <row r="692" spans="1:6" x14ac:dyDescent="0.25">
      <c r="A692">
        <f>COUNTIF($C$2:C692,C692)</f>
        <v>691</v>
      </c>
      <c r="B692" s="1" t="str">
        <f t="shared" si="18"/>
        <v>691</v>
      </c>
      <c r="C692" s="1" t="str">
        <f>IFERROR(VLOOKUP(D692,'Planilha de Cadastro - Previsão'!$A$2:$O$1000,15,FALSE()),"")</f>
        <v/>
      </c>
      <c r="D692" s="1">
        <v>691</v>
      </c>
      <c r="E692" s="1"/>
      <c r="F692" s="1"/>
    </row>
    <row r="693" spans="1:6" x14ac:dyDescent="0.25">
      <c r="A693">
        <f>COUNTIF($C$2:C693,C693)</f>
        <v>692</v>
      </c>
      <c r="B693" s="1" t="str">
        <f t="shared" si="18"/>
        <v>692</v>
      </c>
      <c r="C693" s="1" t="str">
        <f>IFERROR(VLOOKUP(D693,'Planilha de Cadastro - Previsão'!$A$2:$O$1000,15,FALSE()),"")</f>
        <v/>
      </c>
      <c r="D693" s="1">
        <v>692</v>
      </c>
      <c r="E693" s="1"/>
      <c r="F693" s="1"/>
    </row>
    <row r="694" spans="1:6" x14ac:dyDescent="0.25">
      <c r="A694">
        <f>COUNTIF($C$2:C694,C694)</f>
        <v>693</v>
      </c>
      <c r="B694" s="1" t="str">
        <f t="shared" si="18"/>
        <v>693</v>
      </c>
      <c r="C694" s="1" t="str">
        <f>IFERROR(VLOOKUP(D694,'Planilha de Cadastro - Previsão'!$A$2:$O$1000,15,FALSE()),"")</f>
        <v/>
      </c>
      <c r="D694" s="1">
        <v>693</v>
      </c>
      <c r="E694" s="1"/>
      <c r="F694" s="1"/>
    </row>
    <row r="695" spans="1:6" x14ac:dyDescent="0.25">
      <c r="A695">
        <f>COUNTIF($C$2:C695,C695)</f>
        <v>694</v>
      </c>
      <c r="B695" s="1" t="str">
        <f t="shared" si="18"/>
        <v>694</v>
      </c>
      <c r="C695" s="1" t="str">
        <f>IFERROR(VLOOKUP(D695,'Planilha de Cadastro - Previsão'!$A$2:$O$1000,15,FALSE()),"")</f>
        <v/>
      </c>
      <c r="D695" s="1">
        <v>694</v>
      </c>
      <c r="E695" s="1"/>
      <c r="F695" s="1"/>
    </row>
    <row r="696" spans="1:6" x14ac:dyDescent="0.25">
      <c r="A696">
        <f>COUNTIF($C$2:C696,C696)</f>
        <v>695</v>
      </c>
      <c r="B696" s="1" t="str">
        <f t="shared" si="18"/>
        <v>695</v>
      </c>
      <c r="C696" s="1" t="str">
        <f>IFERROR(VLOOKUP(D696,'Planilha de Cadastro - Previsão'!$A$2:$O$1000,15,FALSE()),"")</f>
        <v/>
      </c>
      <c r="D696" s="1">
        <v>695</v>
      </c>
      <c r="E696" s="1"/>
      <c r="F696" s="1"/>
    </row>
    <row r="697" spans="1:6" x14ac:dyDescent="0.25">
      <c r="A697">
        <f>COUNTIF($C$2:C697,C697)</f>
        <v>696</v>
      </c>
      <c r="B697" s="1" t="str">
        <f t="shared" si="18"/>
        <v>696</v>
      </c>
      <c r="C697" s="1" t="str">
        <f>IFERROR(VLOOKUP(D697,'Planilha de Cadastro - Previsão'!$A$2:$O$1000,15,FALSE()),"")</f>
        <v/>
      </c>
      <c r="D697" s="1">
        <v>696</v>
      </c>
      <c r="E697" s="1"/>
      <c r="F697" s="1"/>
    </row>
    <row r="698" spans="1:6" x14ac:dyDescent="0.25">
      <c r="A698">
        <f>COUNTIF($C$2:C698,C698)</f>
        <v>697</v>
      </c>
      <c r="B698" s="1" t="str">
        <f t="shared" si="18"/>
        <v>697</v>
      </c>
      <c r="C698" s="1" t="str">
        <f>IFERROR(VLOOKUP(D698,'Planilha de Cadastro - Previsão'!$A$2:$O$1000,15,FALSE()),"")</f>
        <v/>
      </c>
      <c r="D698" s="1">
        <v>697</v>
      </c>
      <c r="E698" s="1"/>
      <c r="F698" s="1"/>
    </row>
    <row r="699" spans="1:6" x14ac:dyDescent="0.25">
      <c r="A699">
        <f>COUNTIF($C$2:C699,C699)</f>
        <v>698</v>
      </c>
      <c r="B699" s="1" t="str">
        <f t="shared" si="18"/>
        <v>698</v>
      </c>
      <c r="C699" s="1" t="str">
        <f>IFERROR(VLOOKUP(D699,'Planilha de Cadastro - Previsão'!$A$2:$O$1000,15,FALSE()),"")</f>
        <v/>
      </c>
      <c r="D699" s="1">
        <v>698</v>
      </c>
      <c r="E699" s="1"/>
      <c r="F699" s="1"/>
    </row>
    <row r="700" spans="1:6" x14ac:dyDescent="0.25">
      <c r="A700">
        <f>COUNTIF($C$2:C700,C700)</f>
        <v>699</v>
      </c>
      <c r="B700" s="1" t="str">
        <f t="shared" si="18"/>
        <v>699</v>
      </c>
      <c r="C700" s="1" t="str">
        <f>IFERROR(VLOOKUP(D700,'Planilha de Cadastro - Previsão'!$A$2:$O$1000,15,FALSE()),"")</f>
        <v/>
      </c>
      <c r="D700" s="1">
        <v>699</v>
      </c>
      <c r="E700" s="1"/>
      <c r="F700" s="1"/>
    </row>
    <row r="701" spans="1:6" x14ac:dyDescent="0.25">
      <c r="A701">
        <f>COUNTIF($C$2:C701,C701)</f>
        <v>700</v>
      </c>
      <c r="B701" s="1" t="str">
        <f t="shared" si="18"/>
        <v>700</v>
      </c>
      <c r="C701" s="1" t="str">
        <f>IFERROR(VLOOKUP(D701,'Planilha de Cadastro - Previsão'!$A$2:$O$1000,15,FALSE()),"")</f>
        <v/>
      </c>
      <c r="D701" s="1">
        <v>700</v>
      </c>
      <c r="E701" s="1"/>
      <c r="F701" s="1"/>
    </row>
    <row r="702" spans="1:6" x14ac:dyDescent="0.25">
      <c r="A702">
        <f>COUNTIF($C$2:C702,C702)</f>
        <v>701</v>
      </c>
      <c r="B702" s="1" t="str">
        <f t="shared" si="18"/>
        <v>701</v>
      </c>
      <c r="C702" s="1" t="str">
        <f>IFERROR(VLOOKUP(D702,'Planilha de Cadastro - Previsão'!$A$2:$O$1000,15,FALSE()),"")</f>
        <v/>
      </c>
      <c r="D702" s="1">
        <v>701</v>
      </c>
      <c r="E702" s="1"/>
      <c r="F702" s="1"/>
    </row>
    <row r="703" spans="1:6" x14ac:dyDescent="0.25">
      <c r="A703">
        <f>COUNTIF($C$2:C703,C703)</f>
        <v>702</v>
      </c>
      <c r="B703" s="1" t="str">
        <f t="shared" si="18"/>
        <v>702</v>
      </c>
      <c r="C703" s="1" t="str">
        <f>IFERROR(VLOOKUP(D703,'Planilha de Cadastro - Previsão'!$A$2:$O$1000,15,FALSE()),"")</f>
        <v/>
      </c>
      <c r="D703" s="1">
        <v>702</v>
      </c>
      <c r="E703" s="1"/>
      <c r="F703" s="1"/>
    </row>
    <row r="704" spans="1:6" x14ac:dyDescent="0.25">
      <c r="A704">
        <f>COUNTIF($C$2:C704,C704)</f>
        <v>703</v>
      </c>
      <c r="B704" s="1" t="str">
        <f t="shared" si="18"/>
        <v>703</v>
      </c>
      <c r="C704" s="1" t="str">
        <f>IFERROR(VLOOKUP(D704,'Planilha de Cadastro - Previsão'!$A$2:$O$1000,15,FALSE()),"")</f>
        <v/>
      </c>
      <c r="D704" s="1">
        <v>703</v>
      </c>
      <c r="E704" s="1"/>
      <c r="F704" s="1"/>
    </row>
    <row r="705" spans="1:6" x14ac:dyDescent="0.25">
      <c r="A705">
        <f>COUNTIF($C$2:C705,C705)</f>
        <v>704</v>
      </c>
      <c r="B705" s="1" t="str">
        <f t="shared" si="18"/>
        <v>704</v>
      </c>
      <c r="C705" s="1" t="str">
        <f>IFERROR(VLOOKUP(D705,'Planilha de Cadastro - Previsão'!$A$2:$O$1000,15,FALSE()),"")</f>
        <v/>
      </c>
      <c r="D705" s="1">
        <v>704</v>
      </c>
      <c r="E705" s="1"/>
      <c r="F705" s="1"/>
    </row>
    <row r="706" spans="1:6" x14ac:dyDescent="0.25">
      <c r="A706">
        <f>COUNTIF($C$2:C706,C706)</f>
        <v>705</v>
      </c>
      <c r="B706" s="1" t="str">
        <f t="shared" si="18"/>
        <v>705</v>
      </c>
      <c r="C706" s="1" t="str">
        <f>IFERROR(VLOOKUP(D706,'Planilha de Cadastro - Previsão'!$A$2:$O$1000,15,FALSE()),"")</f>
        <v/>
      </c>
      <c r="D706" s="1">
        <v>705</v>
      </c>
      <c r="E706" s="1"/>
      <c r="F706" s="1"/>
    </row>
    <row r="707" spans="1:6" x14ac:dyDescent="0.25">
      <c r="A707">
        <f>COUNTIF($C$2:C707,C707)</f>
        <v>706</v>
      </c>
      <c r="B707" s="1" t="str">
        <f t="shared" ref="B707:B770" si="19">IFERROR(CONCATENATE(C707,A707),"")</f>
        <v>706</v>
      </c>
      <c r="C707" s="1" t="str">
        <f>IFERROR(VLOOKUP(D707,'Planilha de Cadastro - Previsão'!$A$2:$O$1000,15,FALSE()),"")</f>
        <v/>
      </c>
      <c r="D707" s="1">
        <v>706</v>
      </c>
      <c r="E707" s="1"/>
      <c r="F707" s="1"/>
    </row>
    <row r="708" spans="1:6" x14ac:dyDescent="0.25">
      <c r="A708">
        <f>COUNTIF($C$2:C708,C708)</f>
        <v>707</v>
      </c>
      <c r="B708" s="1" t="str">
        <f t="shared" si="19"/>
        <v>707</v>
      </c>
      <c r="C708" s="1" t="str">
        <f>IFERROR(VLOOKUP(D708,'Planilha de Cadastro - Previsão'!$A$2:$O$1000,15,FALSE()),"")</f>
        <v/>
      </c>
      <c r="D708" s="1">
        <v>707</v>
      </c>
      <c r="E708" s="1"/>
      <c r="F708" s="1"/>
    </row>
    <row r="709" spans="1:6" x14ac:dyDescent="0.25">
      <c r="A709">
        <f>COUNTIF($C$2:C709,C709)</f>
        <v>708</v>
      </c>
      <c r="B709" s="1" t="str">
        <f t="shared" si="19"/>
        <v>708</v>
      </c>
      <c r="C709" s="1" t="str">
        <f>IFERROR(VLOOKUP(D709,'Planilha de Cadastro - Previsão'!$A$2:$O$1000,15,FALSE()),"")</f>
        <v/>
      </c>
      <c r="D709" s="1">
        <v>708</v>
      </c>
      <c r="E709" s="1"/>
      <c r="F709" s="1"/>
    </row>
    <row r="710" spans="1:6" x14ac:dyDescent="0.25">
      <c r="A710">
        <f>COUNTIF($C$2:C710,C710)</f>
        <v>709</v>
      </c>
      <c r="B710" s="1" t="str">
        <f t="shared" si="19"/>
        <v>709</v>
      </c>
      <c r="C710" s="1" t="str">
        <f>IFERROR(VLOOKUP(D710,'Planilha de Cadastro - Previsão'!$A$2:$O$1000,15,FALSE()),"")</f>
        <v/>
      </c>
      <c r="D710" s="1">
        <v>709</v>
      </c>
      <c r="E710" s="1"/>
      <c r="F710" s="1"/>
    </row>
    <row r="711" spans="1:6" x14ac:dyDescent="0.25">
      <c r="A711">
        <f>COUNTIF($C$2:C711,C711)</f>
        <v>710</v>
      </c>
      <c r="B711" s="1" t="str">
        <f t="shared" si="19"/>
        <v>710</v>
      </c>
      <c r="C711" s="1" t="str">
        <f>IFERROR(VLOOKUP(D711,'Planilha de Cadastro - Previsão'!$A$2:$O$1000,15,FALSE()),"")</f>
        <v/>
      </c>
      <c r="D711" s="1">
        <v>710</v>
      </c>
      <c r="E711" s="1"/>
      <c r="F711" s="1"/>
    </row>
    <row r="712" spans="1:6" x14ac:dyDescent="0.25">
      <c r="A712">
        <f>COUNTIF($C$2:C712,C712)</f>
        <v>711</v>
      </c>
      <c r="B712" s="1" t="str">
        <f t="shared" si="19"/>
        <v>711</v>
      </c>
      <c r="C712" s="1" t="str">
        <f>IFERROR(VLOOKUP(D712,'Planilha de Cadastro - Previsão'!$A$2:$O$1000,15,FALSE()),"")</f>
        <v/>
      </c>
      <c r="D712" s="1">
        <v>711</v>
      </c>
      <c r="E712" s="1"/>
      <c r="F712" s="1"/>
    </row>
    <row r="713" spans="1:6" x14ac:dyDescent="0.25">
      <c r="A713">
        <f>COUNTIF($C$2:C713,C713)</f>
        <v>712</v>
      </c>
      <c r="B713" s="1" t="str">
        <f t="shared" si="19"/>
        <v>712</v>
      </c>
      <c r="C713" s="1" t="str">
        <f>IFERROR(VLOOKUP(D713,'Planilha de Cadastro - Previsão'!$A$2:$O$1000,15,FALSE()),"")</f>
        <v/>
      </c>
      <c r="D713" s="1">
        <v>712</v>
      </c>
      <c r="E713" s="1"/>
      <c r="F713" s="1"/>
    </row>
    <row r="714" spans="1:6" x14ac:dyDescent="0.25">
      <c r="A714">
        <f>COUNTIF($C$2:C714,C714)</f>
        <v>713</v>
      </c>
      <c r="B714" s="1" t="str">
        <f t="shared" si="19"/>
        <v>713</v>
      </c>
      <c r="C714" s="1" t="str">
        <f>IFERROR(VLOOKUP(D714,'Planilha de Cadastro - Previsão'!$A$2:$O$1000,15,FALSE()),"")</f>
        <v/>
      </c>
      <c r="D714" s="1">
        <v>713</v>
      </c>
      <c r="E714" s="1"/>
      <c r="F714" s="1"/>
    </row>
    <row r="715" spans="1:6" x14ac:dyDescent="0.25">
      <c r="A715">
        <f>COUNTIF($C$2:C715,C715)</f>
        <v>714</v>
      </c>
      <c r="B715" s="1" t="str">
        <f t="shared" si="19"/>
        <v>714</v>
      </c>
      <c r="C715" s="1" t="str">
        <f>IFERROR(VLOOKUP(D715,'Planilha de Cadastro - Previsão'!$A$2:$O$1000,15,FALSE()),"")</f>
        <v/>
      </c>
      <c r="D715" s="1">
        <v>714</v>
      </c>
      <c r="E715" s="1"/>
      <c r="F715" s="1"/>
    </row>
    <row r="716" spans="1:6" x14ac:dyDescent="0.25">
      <c r="A716">
        <f>COUNTIF($C$2:C716,C716)</f>
        <v>715</v>
      </c>
      <c r="B716" s="1" t="str">
        <f t="shared" si="19"/>
        <v>715</v>
      </c>
      <c r="C716" s="1" t="str">
        <f>IFERROR(VLOOKUP(D716,'Planilha de Cadastro - Previsão'!$A$2:$O$1000,15,FALSE()),"")</f>
        <v/>
      </c>
      <c r="D716" s="1">
        <v>715</v>
      </c>
      <c r="E716" s="1"/>
      <c r="F716" s="1"/>
    </row>
    <row r="717" spans="1:6" x14ac:dyDescent="0.25">
      <c r="A717">
        <f>COUNTIF($C$2:C717,C717)</f>
        <v>716</v>
      </c>
      <c r="B717" s="1" t="str">
        <f t="shared" si="19"/>
        <v>716</v>
      </c>
      <c r="C717" s="1" t="str">
        <f>IFERROR(VLOOKUP(D717,'Planilha de Cadastro - Previsão'!$A$2:$O$1000,15,FALSE()),"")</f>
        <v/>
      </c>
      <c r="D717" s="1">
        <v>716</v>
      </c>
      <c r="E717" s="1"/>
      <c r="F717" s="1"/>
    </row>
    <row r="718" spans="1:6" x14ac:dyDescent="0.25">
      <c r="A718">
        <f>COUNTIF($C$2:C718,C718)</f>
        <v>717</v>
      </c>
      <c r="B718" s="1" t="str">
        <f t="shared" si="19"/>
        <v>717</v>
      </c>
      <c r="C718" s="1" t="str">
        <f>IFERROR(VLOOKUP(D718,'Planilha de Cadastro - Previsão'!$A$2:$O$1000,15,FALSE()),"")</f>
        <v/>
      </c>
      <c r="D718" s="1">
        <v>717</v>
      </c>
      <c r="E718" s="1"/>
      <c r="F718" s="1"/>
    </row>
    <row r="719" spans="1:6" x14ac:dyDescent="0.25">
      <c r="A719">
        <f>COUNTIF($C$2:C719,C719)</f>
        <v>718</v>
      </c>
      <c r="B719" s="1" t="str">
        <f t="shared" si="19"/>
        <v>718</v>
      </c>
      <c r="C719" s="1" t="str">
        <f>IFERROR(VLOOKUP(D719,'Planilha de Cadastro - Previsão'!$A$2:$O$1000,15,FALSE()),"")</f>
        <v/>
      </c>
      <c r="D719" s="1">
        <v>718</v>
      </c>
      <c r="E719" s="1"/>
      <c r="F719" s="1"/>
    </row>
    <row r="720" spans="1:6" x14ac:dyDescent="0.25">
      <c r="A720">
        <f>COUNTIF($C$2:C720,C720)</f>
        <v>719</v>
      </c>
      <c r="B720" s="1" t="str">
        <f t="shared" si="19"/>
        <v>719</v>
      </c>
      <c r="C720" s="1" t="str">
        <f>IFERROR(VLOOKUP(D720,'Planilha de Cadastro - Previsão'!$A$2:$O$1000,15,FALSE()),"")</f>
        <v/>
      </c>
      <c r="D720" s="1">
        <v>719</v>
      </c>
      <c r="E720" s="1"/>
      <c r="F720" s="1"/>
    </row>
    <row r="721" spans="1:6" x14ac:dyDescent="0.25">
      <c r="A721">
        <f>COUNTIF($C$2:C721,C721)</f>
        <v>720</v>
      </c>
      <c r="B721" s="1" t="str">
        <f t="shared" si="19"/>
        <v>720</v>
      </c>
      <c r="C721" s="1" t="str">
        <f>IFERROR(VLOOKUP(D721,'Planilha de Cadastro - Previsão'!$A$2:$O$1000,15,FALSE()),"")</f>
        <v/>
      </c>
      <c r="D721" s="1">
        <v>720</v>
      </c>
      <c r="E721" s="1"/>
      <c r="F721" s="1"/>
    </row>
    <row r="722" spans="1:6" x14ac:dyDescent="0.25">
      <c r="A722">
        <f>COUNTIF($C$2:C722,C722)</f>
        <v>721</v>
      </c>
      <c r="B722" s="1" t="str">
        <f t="shared" si="19"/>
        <v>721</v>
      </c>
      <c r="C722" s="1" t="str">
        <f>IFERROR(VLOOKUP(D722,'Planilha de Cadastro - Previsão'!$A$2:$O$1000,15,FALSE()),"")</f>
        <v/>
      </c>
      <c r="D722" s="1">
        <v>721</v>
      </c>
      <c r="E722" s="1"/>
      <c r="F722" s="1"/>
    </row>
    <row r="723" spans="1:6" x14ac:dyDescent="0.25">
      <c r="A723">
        <f>COUNTIF($C$2:C723,C723)</f>
        <v>722</v>
      </c>
      <c r="B723" s="1" t="str">
        <f t="shared" si="19"/>
        <v>722</v>
      </c>
      <c r="C723" s="1" t="str">
        <f>IFERROR(VLOOKUP(D723,'Planilha de Cadastro - Previsão'!$A$2:$O$1000,15,FALSE()),"")</f>
        <v/>
      </c>
      <c r="D723" s="1">
        <v>722</v>
      </c>
      <c r="E723" s="1"/>
      <c r="F723" s="1"/>
    </row>
    <row r="724" spans="1:6" x14ac:dyDescent="0.25">
      <c r="A724">
        <f>COUNTIF($C$2:C724,C724)</f>
        <v>723</v>
      </c>
      <c r="B724" s="1" t="str">
        <f t="shared" si="19"/>
        <v>723</v>
      </c>
      <c r="C724" s="1" t="str">
        <f>IFERROR(VLOOKUP(D724,'Planilha de Cadastro - Previsão'!$A$2:$O$1000,15,FALSE()),"")</f>
        <v/>
      </c>
      <c r="D724" s="1">
        <v>723</v>
      </c>
      <c r="E724" s="1"/>
      <c r="F724" s="1"/>
    </row>
    <row r="725" spans="1:6" x14ac:dyDescent="0.25">
      <c r="A725">
        <f>COUNTIF($C$2:C725,C725)</f>
        <v>724</v>
      </c>
      <c r="B725" s="1" t="str">
        <f t="shared" si="19"/>
        <v>724</v>
      </c>
      <c r="C725" s="1" t="str">
        <f>IFERROR(VLOOKUP(D725,'Planilha de Cadastro - Previsão'!$A$2:$O$1000,15,FALSE()),"")</f>
        <v/>
      </c>
      <c r="D725" s="1">
        <v>724</v>
      </c>
      <c r="E725" s="1"/>
      <c r="F725" s="1"/>
    </row>
    <row r="726" spans="1:6" x14ac:dyDescent="0.25">
      <c r="A726">
        <f>COUNTIF($C$2:C726,C726)</f>
        <v>725</v>
      </c>
      <c r="B726" s="1" t="str">
        <f t="shared" si="19"/>
        <v>725</v>
      </c>
      <c r="C726" s="1" t="str">
        <f>IFERROR(VLOOKUP(D726,'Planilha de Cadastro - Previsão'!$A$2:$O$1000,15,FALSE()),"")</f>
        <v/>
      </c>
      <c r="D726" s="1">
        <v>725</v>
      </c>
      <c r="E726" s="1"/>
      <c r="F726" s="1"/>
    </row>
    <row r="727" spans="1:6" x14ac:dyDescent="0.25">
      <c r="A727">
        <f>COUNTIF($C$2:C727,C727)</f>
        <v>726</v>
      </c>
      <c r="B727" s="1" t="str">
        <f t="shared" si="19"/>
        <v>726</v>
      </c>
      <c r="C727" s="1" t="str">
        <f>IFERROR(VLOOKUP(D727,'Planilha de Cadastro - Previsão'!$A$2:$O$1000,15,FALSE()),"")</f>
        <v/>
      </c>
      <c r="D727" s="1">
        <v>726</v>
      </c>
      <c r="E727" s="1"/>
      <c r="F727" s="1"/>
    </row>
    <row r="728" spans="1:6" x14ac:dyDescent="0.25">
      <c r="A728">
        <f>COUNTIF($C$2:C728,C728)</f>
        <v>727</v>
      </c>
      <c r="B728" s="1" t="str">
        <f t="shared" si="19"/>
        <v>727</v>
      </c>
      <c r="C728" s="1" t="str">
        <f>IFERROR(VLOOKUP(D728,'Planilha de Cadastro - Previsão'!$A$2:$O$1000,15,FALSE()),"")</f>
        <v/>
      </c>
      <c r="D728" s="1">
        <v>727</v>
      </c>
      <c r="E728" s="1"/>
      <c r="F728" s="1"/>
    </row>
    <row r="729" spans="1:6" x14ac:dyDescent="0.25">
      <c r="A729">
        <f>COUNTIF($C$2:C729,C729)</f>
        <v>728</v>
      </c>
      <c r="B729" s="1" t="str">
        <f t="shared" si="19"/>
        <v>728</v>
      </c>
      <c r="C729" s="1" t="str">
        <f>IFERROR(VLOOKUP(D729,'Planilha de Cadastro - Previsão'!$A$2:$O$1000,15,FALSE()),"")</f>
        <v/>
      </c>
      <c r="D729" s="1">
        <v>728</v>
      </c>
      <c r="E729" s="1"/>
      <c r="F729" s="1"/>
    </row>
    <row r="730" spans="1:6" x14ac:dyDescent="0.25">
      <c r="A730">
        <f>COUNTIF($C$2:C730,C730)</f>
        <v>729</v>
      </c>
      <c r="B730" s="1" t="str">
        <f t="shared" si="19"/>
        <v>729</v>
      </c>
      <c r="C730" s="1" t="str">
        <f>IFERROR(VLOOKUP(D730,'Planilha de Cadastro - Previsão'!$A$2:$O$1000,15,FALSE()),"")</f>
        <v/>
      </c>
      <c r="D730" s="1">
        <v>729</v>
      </c>
      <c r="E730" s="1"/>
      <c r="F730" s="1"/>
    </row>
    <row r="731" spans="1:6" x14ac:dyDescent="0.25">
      <c r="A731">
        <f>COUNTIF($C$2:C731,C731)</f>
        <v>730</v>
      </c>
      <c r="B731" s="1" t="str">
        <f t="shared" si="19"/>
        <v>730</v>
      </c>
      <c r="C731" s="1" t="str">
        <f>IFERROR(VLOOKUP(D731,'Planilha de Cadastro - Previsão'!$A$2:$O$1000,15,FALSE()),"")</f>
        <v/>
      </c>
      <c r="D731" s="1">
        <v>730</v>
      </c>
      <c r="E731" s="1"/>
      <c r="F731" s="1"/>
    </row>
    <row r="732" spans="1:6" x14ac:dyDescent="0.25">
      <c r="A732">
        <f>COUNTIF($C$2:C732,C732)</f>
        <v>731</v>
      </c>
      <c r="B732" s="1" t="str">
        <f t="shared" si="19"/>
        <v>731</v>
      </c>
      <c r="C732" s="1" t="str">
        <f>IFERROR(VLOOKUP(D732,'Planilha de Cadastro - Previsão'!$A$2:$O$1000,15,FALSE()),"")</f>
        <v/>
      </c>
      <c r="D732" s="1">
        <v>731</v>
      </c>
      <c r="E732" s="1"/>
      <c r="F732" s="1"/>
    </row>
    <row r="733" spans="1:6" x14ac:dyDescent="0.25">
      <c r="A733">
        <f>COUNTIF($C$2:C733,C733)</f>
        <v>732</v>
      </c>
      <c r="B733" s="1" t="str">
        <f t="shared" si="19"/>
        <v>732</v>
      </c>
      <c r="C733" s="1" t="str">
        <f>IFERROR(VLOOKUP(D733,'Planilha de Cadastro - Previsão'!$A$2:$O$1000,15,FALSE()),"")</f>
        <v/>
      </c>
      <c r="D733" s="1">
        <v>732</v>
      </c>
      <c r="E733" s="1"/>
      <c r="F733" s="1"/>
    </row>
    <row r="734" spans="1:6" x14ac:dyDescent="0.25">
      <c r="A734">
        <f>COUNTIF($C$2:C734,C734)</f>
        <v>733</v>
      </c>
      <c r="B734" s="1" t="str">
        <f t="shared" si="19"/>
        <v>733</v>
      </c>
      <c r="C734" s="1" t="str">
        <f>IFERROR(VLOOKUP(D734,'Planilha de Cadastro - Previsão'!$A$2:$O$1000,15,FALSE()),"")</f>
        <v/>
      </c>
      <c r="D734" s="1">
        <v>733</v>
      </c>
      <c r="E734" s="1"/>
      <c r="F734" s="1"/>
    </row>
    <row r="735" spans="1:6" x14ac:dyDescent="0.25">
      <c r="A735">
        <f>COUNTIF($C$2:C735,C735)</f>
        <v>734</v>
      </c>
      <c r="B735" s="1" t="str">
        <f t="shared" si="19"/>
        <v>734</v>
      </c>
      <c r="C735" s="1" t="str">
        <f>IFERROR(VLOOKUP(D735,'Planilha de Cadastro - Previsão'!$A$2:$O$1000,15,FALSE()),"")</f>
        <v/>
      </c>
      <c r="D735" s="1">
        <v>734</v>
      </c>
      <c r="E735" s="1"/>
      <c r="F735" s="1"/>
    </row>
    <row r="736" spans="1:6" x14ac:dyDescent="0.25">
      <c r="A736">
        <f>COUNTIF($C$2:C736,C736)</f>
        <v>735</v>
      </c>
      <c r="B736" s="1" t="str">
        <f t="shared" si="19"/>
        <v>735</v>
      </c>
      <c r="C736" s="1" t="str">
        <f>IFERROR(VLOOKUP(D736,'Planilha de Cadastro - Previsão'!$A$2:$O$1000,15,FALSE()),"")</f>
        <v/>
      </c>
      <c r="D736" s="1">
        <v>735</v>
      </c>
      <c r="E736" s="1"/>
      <c r="F736" s="1"/>
    </row>
    <row r="737" spans="1:6" x14ac:dyDescent="0.25">
      <c r="A737">
        <f>COUNTIF($C$2:C737,C737)</f>
        <v>736</v>
      </c>
      <c r="B737" s="1" t="str">
        <f t="shared" si="19"/>
        <v>736</v>
      </c>
      <c r="C737" s="1" t="str">
        <f>IFERROR(VLOOKUP(D737,'Planilha de Cadastro - Previsão'!$A$2:$O$1000,15,FALSE()),"")</f>
        <v/>
      </c>
      <c r="D737" s="1">
        <v>736</v>
      </c>
      <c r="E737" s="1"/>
      <c r="F737" s="1"/>
    </row>
    <row r="738" spans="1:6" x14ac:dyDescent="0.25">
      <c r="A738">
        <f>COUNTIF($C$2:C738,C738)</f>
        <v>737</v>
      </c>
      <c r="B738" s="1" t="str">
        <f t="shared" si="19"/>
        <v>737</v>
      </c>
      <c r="C738" s="1" t="str">
        <f>IFERROR(VLOOKUP(D738,'Planilha de Cadastro - Previsão'!$A$2:$O$1000,15,FALSE()),"")</f>
        <v/>
      </c>
      <c r="D738" s="1">
        <v>737</v>
      </c>
      <c r="E738" s="1"/>
      <c r="F738" s="1"/>
    </row>
    <row r="739" spans="1:6" x14ac:dyDescent="0.25">
      <c r="A739">
        <f>COUNTIF($C$2:C739,C739)</f>
        <v>738</v>
      </c>
      <c r="B739" s="1" t="str">
        <f t="shared" si="19"/>
        <v>738</v>
      </c>
      <c r="C739" s="1" t="str">
        <f>IFERROR(VLOOKUP(D739,'Planilha de Cadastro - Previsão'!$A$2:$O$1000,15,FALSE()),"")</f>
        <v/>
      </c>
      <c r="D739" s="1">
        <v>738</v>
      </c>
      <c r="E739" s="1"/>
      <c r="F739" s="1"/>
    </row>
    <row r="740" spans="1:6" x14ac:dyDescent="0.25">
      <c r="A740">
        <f>COUNTIF($C$2:C740,C740)</f>
        <v>739</v>
      </c>
      <c r="B740" s="1" t="str">
        <f t="shared" si="19"/>
        <v>739</v>
      </c>
      <c r="C740" s="1" t="str">
        <f>IFERROR(VLOOKUP(D740,'Planilha de Cadastro - Previsão'!$A$2:$O$1000,15,FALSE()),"")</f>
        <v/>
      </c>
      <c r="D740" s="1">
        <v>739</v>
      </c>
      <c r="E740" s="1"/>
      <c r="F740" s="1"/>
    </row>
    <row r="741" spans="1:6" x14ac:dyDescent="0.25">
      <c r="A741">
        <f>COUNTIF($C$2:C741,C741)</f>
        <v>740</v>
      </c>
      <c r="B741" s="1" t="str">
        <f t="shared" si="19"/>
        <v>740</v>
      </c>
      <c r="C741" s="1" t="str">
        <f>IFERROR(VLOOKUP(D741,'Planilha de Cadastro - Previsão'!$A$2:$O$1000,15,FALSE()),"")</f>
        <v/>
      </c>
      <c r="D741" s="1">
        <v>740</v>
      </c>
      <c r="E741" s="1"/>
      <c r="F741" s="1"/>
    </row>
    <row r="742" spans="1:6" x14ac:dyDescent="0.25">
      <c r="A742">
        <f>COUNTIF($C$2:C742,C742)</f>
        <v>741</v>
      </c>
      <c r="B742" s="1" t="str">
        <f t="shared" si="19"/>
        <v>741</v>
      </c>
      <c r="C742" s="1" t="str">
        <f>IFERROR(VLOOKUP(D742,'Planilha de Cadastro - Previsão'!$A$2:$O$1000,15,FALSE()),"")</f>
        <v/>
      </c>
      <c r="D742" s="1">
        <v>741</v>
      </c>
      <c r="E742" s="1"/>
      <c r="F742" s="1"/>
    </row>
    <row r="743" spans="1:6" x14ac:dyDescent="0.25">
      <c r="A743">
        <f>COUNTIF($C$2:C743,C743)</f>
        <v>742</v>
      </c>
      <c r="B743" s="1" t="str">
        <f t="shared" si="19"/>
        <v>742</v>
      </c>
      <c r="C743" s="1" t="str">
        <f>IFERROR(VLOOKUP(D743,'Planilha de Cadastro - Previsão'!$A$2:$O$1000,15,FALSE()),"")</f>
        <v/>
      </c>
      <c r="D743" s="1">
        <v>742</v>
      </c>
      <c r="E743" s="1"/>
      <c r="F743" s="1"/>
    </row>
    <row r="744" spans="1:6" x14ac:dyDescent="0.25">
      <c r="A744">
        <f>COUNTIF($C$2:C744,C744)</f>
        <v>743</v>
      </c>
      <c r="B744" s="1" t="str">
        <f t="shared" si="19"/>
        <v>743</v>
      </c>
      <c r="C744" s="1" t="str">
        <f>IFERROR(VLOOKUP(D744,'Planilha de Cadastro - Previsão'!$A$2:$O$1000,15,FALSE()),"")</f>
        <v/>
      </c>
      <c r="D744" s="1">
        <v>743</v>
      </c>
      <c r="E744" s="1"/>
      <c r="F744" s="1"/>
    </row>
    <row r="745" spans="1:6" x14ac:dyDescent="0.25">
      <c r="A745">
        <f>COUNTIF($C$2:C745,C745)</f>
        <v>744</v>
      </c>
      <c r="B745" s="1" t="str">
        <f t="shared" si="19"/>
        <v>744</v>
      </c>
      <c r="C745" s="1" t="str">
        <f>IFERROR(VLOOKUP(D745,'Planilha de Cadastro - Previsão'!$A$2:$O$1000,15,FALSE()),"")</f>
        <v/>
      </c>
      <c r="D745" s="1">
        <v>744</v>
      </c>
      <c r="E745" s="1"/>
      <c r="F745" s="1"/>
    </row>
    <row r="746" spans="1:6" x14ac:dyDescent="0.25">
      <c r="A746">
        <f>COUNTIF($C$2:C746,C746)</f>
        <v>745</v>
      </c>
      <c r="B746" s="1" t="str">
        <f t="shared" si="19"/>
        <v>745</v>
      </c>
      <c r="C746" s="1" t="str">
        <f>IFERROR(VLOOKUP(D746,'Planilha de Cadastro - Previsão'!$A$2:$O$1000,15,FALSE()),"")</f>
        <v/>
      </c>
      <c r="D746" s="1">
        <v>745</v>
      </c>
      <c r="E746" s="1"/>
      <c r="F746" s="1"/>
    </row>
    <row r="747" spans="1:6" x14ac:dyDescent="0.25">
      <c r="A747">
        <f>COUNTIF($C$2:C747,C747)</f>
        <v>746</v>
      </c>
      <c r="B747" s="1" t="str">
        <f t="shared" si="19"/>
        <v>746</v>
      </c>
      <c r="C747" s="1" t="str">
        <f>IFERROR(VLOOKUP(D747,'Planilha de Cadastro - Previsão'!$A$2:$O$1000,15,FALSE()),"")</f>
        <v/>
      </c>
      <c r="D747" s="1">
        <v>746</v>
      </c>
      <c r="E747" s="1"/>
      <c r="F747" s="1"/>
    </row>
    <row r="748" spans="1:6" x14ac:dyDescent="0.25">
      <c r="A748">
        <f>COUNTIF($C$2:C748,C748)</f>
        <v>747</v>
      </c>
      <c r="B748" s="1" t="str">
        <f t="shared" si="19"/>
        <v>747</v>
      </c>
      <c r="C748" s="1" t="str">
        <f>IFERROR(VLOOKUP(D748,'Planilha de Cadastro - Previsão'!$A$2:$O$1000,15,FALSE()),"")</f>
        <v/>
      </c>
      <c r="D748" s="1">
        <v>747</v>
      </c>
      <c r="E748" s="1"/>
      <c r="F748" s="1"/>
    </row>
    <row r="749" spans="1:6" x14ac:dyDescent="0.25">
      <c r="A749">
        <f>COUNTIF($C$2:C749,C749)</f>
        <v>748</v>
      </c>
      <c r="B749" s="1" t="str">
        <f t="shared" si="19"/>
        <v>748</v>
      </c>
      <c r="C749" s="1" t="str">
        <f>IFERROR(VLOOKUP(D749,'Planilha de Cadastro - Previsão'!$A$2:$O$1000,15,FALSE()),"")</f>
        <v/>
      </c>
      <c r="D749" s="1">
        <v>748</v>
      </c>
      <c r="E749" s="1"/>
      <c r="F749" s="1"/>
    </row>
    <row r="750" spans="1:6" x14ac:dyDescent="0.25">
      <c r="A750">
        <f>COUNTIF($C$2:C750,C750)</f>
        <v>749</v>
      </c>
      <c r="B750" s="1" t="str">
        <f t="shared" si="19"/>
        <v>749</v>
      </c>
      <c r="C750" s="1" t="str">
        <f>IFERROR(VLOOKUP(D750,'Planilha de Cadastro - Previsão'!$A$2:$O$1000,15,FALSE()),"")</f>
        <v/>
      </c>
      <c r="D750" s="1">
        <v>749</v>
      </c>
      <c r="E750" s="1"/>
      <c r="F750" s="1"/>
    </row>
    <row r="751" spans="1:6" x14ac:dyDescent="0.25">
      <c r="A751">
        <f>COUNTIF($C$2:C751,C751)</f>
        <v>750</v>
      </c>
      <c r="B751" s="1" t="str">
        <f t="shared" si="19"/>
        <v>750</v>
      </c>
      <c r="C751" s="1" t="str">
        <f>IFERROR(VLOOKUP(D751,'Planilha de Cadastro - Previsão'!$A$2:$O$1000,15,FALSE()),"")</f>
        <v/>
      </c>
      <c r="D751" s="1">
        <v>750</v>
      </c>
      <c r="E751" s="1"/>
      <c r="F751" s="1"/>
    </row>
    <row r="752" spans="1:6" x14ac:dyDescent="0.25">
      <c r="A752">
        <f>COUNTIF($C$2:C752,C752)</f>
        <v>751</v>
      </c>
      <c r="B752" s="1" t="str">
        <f t="shared" si="19"/>
        <v>751</v>
      </c>
      <c r="C752" s="1" t="str">
        <f>IFERROR(VLOOKUP(D752,'Planilha de Cadastro - Previsão'!$A$2:$O$1000,15,FALSE()),"")</f>
        <v/>
      </c>
      <c r="D752" s="1">
        <v>751</v>
      </c>
      <c r="E752" s="1"/>
      <c r="F752" s="1"/>
    </row>
    <row r="753" spans="1:6" x14ac:dyDescent="0.25">
      <c r="A753">
        <f>COUNTIF($C$2:C753,C753)</f>
        <v>752</v>
      </c>
      <c r="B753" s="1" t="str">
        <f t="shared" si="19"/>
        <v>752</v>
      </c>
      <c r="C753" s="1" t="str">
        <f>IFERROR(VLOOKUP(D753,'Planilha de Cadastro - Previsão'!$A$2:$O$1000,15,FALSE()),"")</f>
        <v/>
      </c>
      <c r="D753" s="1">
        <v>752</v>
      </c>
      <c r="E753" s="1"/>
      <c r="F753" s="1"/>
    </row>
    <row r="754" spans="1:6" x14ac:dyDescent="0.25">
      <c r="A754">
        <f>COUNTIF($C$2:C754,C754)</f>
        <v>753</v>
      </c>
      <c r="B754" s="1" t="str">
        <f t="shared" si="19"/>
        <v>753</v>
      </c>
      <c r="C754" s="1" t="str">
        <f>IFERROR(VLOOKUP(D754,'Planilha de Cadastro - Previsão'!$A$2:$O$1000,15,FALSE()),"")</f>
        <v/>
      </c>
      <c r="D754" s="1">
        <v>753</v>
      </c>
      <c r="E754" s="1"/>
      <c r="F754" s="1"/>
    </row>
    <row r="755" spans="1:6" x14ac:dyDescent="0.25">
      <c r="A755">
        <f>COUNTIF($C$2:C755,C755)</f>
        <v>754</v>
      </c>
      <c r="B755" s="1" t="str">
        <f t="shared" si="19"/>
        <v>754</v>
      </c>
      <c r="C755" s="1" t="str">
        <f>IFERROR(VLOOKUP(D755,'Planilha de Cadastro - Previsão'!$A$2:$O$1000,15,FALSE()),"")</f>
        <v/>
      </c>
      <c r="D755" s="1">
        <v>754</v>
      </c>
      <c r="E755" s="1"/>
      <c r="F755" s="1"/>
    </row>
    <row r="756" spans="1:6" x14ac:dyDescent="0.25">
      <c r="A756">
        <f>COUNTIF($C$2:C756,C756)</f>
        <v>755</v>
      </c>
      <c r="B756" s="1" t="str">
        <f t="shared" si="19"/>
        <v>755</v>
      </c>
      <c r="C756" s="1" t="str">
        <f>IFERROR(VLOOKUP(D756,'Planilha de Cadastro - Previsão'!$A$2:$O$1000,15,FALSE()),"")</f>
        <v/>
      </c>
      <c r="D756" s="1">
        <v>755</v>
      </c>
      <c r="E756" s="1"/>
      <c r="F756" s="1"/>
    </row>
    <row r="757" spans="1:6" x14ac:dyDescent="0.25">
      <c r="A757">
        <f>COUNTIF($C$2:C757,C757)</f>
        <v>756</v>
      </c>
      <c r="B757" s="1" t="str">
        <f t="shared" si="19"/>
        <v>756</v>
      </c>
      <c r="C757" s="1" t="str">
        <f>IFERROR(VLOOKUP(D757,'Planilha de Cadastro - Previsão'!$A$2:$O$1000,15,FALSE()),"")</f>
        <v/>
      </c>
      <c r="D757" s="1">
        <v>756</v>
      </c>
      <c r="E757" s="1"/>
      <c r="F757" s="1"/>
    </row>
    <row r="758" spans="1:6" x14ac:dyDescent="0.25">
      <c r="A758">
        <f>COUNTIF($C$2:C758,C758)</f>
        <v>757</v>
      </c>
      <c r="B758" s="1" t="str">
        <f t="shared" si="19"/>
        <v>757</v>
      </c>
      <c r="C758" s="1" t="str">
        <f>IFERROR(VLOOKUP(D758,'Planilha de Cadastro - Previsão'!$A$2:$O$1000,15,FALSE()),"")</f>
        <v/>
      </c>
      <c r="D758" s="1">
        <v>757</v>
      </c>
      <c r="E758" s="1"/>
      <c r="F758" s="1"/>
    </row>
    <row r="759" spans="1:6" x14ac:dyDescent="0.25">
      <c r="A759">
        <f>COUNTIF($C$2:C759,C759)</f>
        <v>758</v>
      </c>
      <c r="B759" s="1" t="str">
        <f t="shared" si="19"/>
        <v>758</v>
      </c>
      <c r="C759" s="1" t="str">
        <f>IFERROR(VLOOKUP(D759,'Planilha de Cadastro - Previsão'!$A$2:$O$1000,15,FALSE()),"")</f>
        <v/>
      </c>
      <c r="D759" s="1">
        <v>758</v>
      </c>
      <c r="E759" s="1"/>
      <c r="F759" s="1"/>
    </row>
    <row r="760" spans="1:6" x14ac:dyDescent="0.25">
      <c r="A760">
        <f>COUNTIF($C$2:C760,C760)</f>
        <v>759</v>
      </c>
      <c r="B760" s="1" t="str">
        <f t="shared" si="19"/>
        <v>759</v>
      </c>
      <c r="C760" s="1" t="str">
        <f>IFERROR(VLOOKUP(D760,'Planilha de Cadastro - Previsão'!$A$2:$O$1000,15,FALSE()),"")</f>
        <v/>
      </c>
      <c r="D760" s="1">
        <v>759</v>
      </c>
      <c r="E760" s="1"/>
      <c r="F760" s="1"/>
    </row>
    <row r="761" spans="1:6" x14ac:dyDescent="0.25">
      <c r="A761">
        <f>COUNTIF($C$2:C761,C761)</f>
        <v>760</v>
      </c>
      <c r="B761" s="1" t="str">
        <f t="shared" si="19"/>
        <v>760</v>
      </c>
      <c r="C761" s="1" t="str">
        <f>IFERROR(VLOOKUP(D761,'Planilha de Cadastro - Previsão'!$A$2:$O$1000,15,FALSE()),"")</f>
        <v/>
      </c>
      <c r="D761" s="1">
        <v>760</v>
      </c>
      <c r="E761" s="1"/>
      <c r="F761" s="1"/>
    </row>
    <row r="762" spans="1:6" x14ac:dyDescent="0.25">
      <c r="A762">
        <f>COUNTIF($C$2:C762,C762)</f>
        <v>761</v>
      </c>
      <c r="B762" s="1" t="str">
        <f t="shared" si="19"/>
        <v>761</v>
      </c>
      <c r="C762" s="1" t="str">
        <f>IFERROR(VLOOKUP(D762,'Planilha de Cadastro - Previsão'!$A$2:$O$1000,15,FALSE()),"")</f>
        <v/>
      </c>
      <c r="D762" s="1">
        <v>761</v>
      </c>
      <c r="E762" s="1"/>
      <c r="F762" s="1"/>
    </row>
    <row r="763" spans="1:6" x14ac:dyDescent="0.25">
      <c r="A763">
        <f>COUNTIF($C$2:C763,C763)</f>
        <v>762</v>
      </c>
      <c r="B763" s="1" t="str">
        <f t="shared" si="19"/>
        <v>762</v>
      </c>
      <c r="C763" s="1" t="str">
        <f>IFERROR(VLOOKUP(D763,'Planilha de Cadastro - Previsão'!$A$2:$O$1000,15,FALSE()),"")</f>
        <v/>
      </c>
      <c r="D763" s="1">
        <v>762</v>
      </c>
      <c r="E763" s="1"/>
      <c r="F763" s="1"/>
    </row>
    <row r="764" spans="1:6" x14ac:dyDescent="0.25">
      <c r="A764">
        <f>COUNTIF($C$2:C764,C764)</f>
        <v>763</v>
      </c>
      <c r="B764" s="1" t="str">
        <f t="shared" si="19"/>
        <v>763</v>
      </c>
      <c r="C764" s="1" t="str">
        <f>IFERROR(VLOOKUP(D764,'Planilha de Cadastro - Previsão'!$A$2:$O$1000,15,FALSE()),"")</f>
        <v/>
      </c>
      <c r="D764" s="1">
        <v>763</v>
      </c>
      <c r="E764" s="1"/>
      <c r="F764" s="1"/>
    </row>
    <row r="765" spans="1:6" x14ac:dyDescent="0.25">
      <c r="A765">
        <f>COUNTIF($C$2:C765,C765)</f>
        <v>764</v>
      </c>
      <c r="B765" s="1" t="str">
        <f t="shared" si="19"/>
        <v>764</v>
      </c>
      <c r="C765" s="1" t="str">
        <f>IFERROR(VLOOKUP(D765,'Planilha de Cadastro - Previsão'!$A$2:$O$1000,15,FALSE()),"")</f>
        <v/>
      </c>
      <c r="D765" s="1">
        <v>764</v>
      </c>
      <c r="E765" s="1"/>
      <c r="F765" s="1"/>
    </row>
    <row r="766" spans="1:6" x14ac:dyDescent="0.25">
      <c r="A766">
        <f>COUNTIF($C$2:C766,C766)</f>
        <v>765</v>
      </c>
      <c r="B766" s="1" t="str">
        <f t="shared" si="19"/>
        <v>765</v>
      </c>
      <c r="C766" s="1" t="str">
        <f>IFERROR(VLOOKUP(D766,'Planilha de Cadastro - Previsão'!$A$2:$O$1000,15,FALSE()),"")</f>
        <v/>
      </c>
      <c r="D766" s="1">
        <v>765</v>
      </c>
      <c r="E766" s="1"/>
      <c r="F766" s="1"/>
    </row>
    <row r="767" spans="1:6" x14ac:dyDescent="0.25">
      <c r="A767">
        <f>COUNTIF($C$2:C767,C767)</f>
        <v>766</v>
      </c>
      <c r="B767" s="1" t="str">
        <f t="shared" si="19"/>
        <v>766</v>
      </c>
      <c r="C767" s="1" t="str">
        <f>IFERROR(VLOOKUP(D767,'Planilha de Cadastro - Previsão'!$A$2:$O$1000,15,FALSE()),"")</f>
        <v/>
      </c>
      <c r="D767" s="1">
        <v>766</v>
      </c>
      <c r="E767" s="1"/>
      <c r="F767" s="1"/>
    </row>
    <row r="768" spans="1:6" x14ac:dyDescent="0.25">
      <c r="A768">
        <f>COUNTIF($C$2:C768,C768)</f>
        <v>767</v>
      </c>
      <c r="B768" s="1" t="str">
        <f t="shared" si="19"/>
        <v>767</v>
      </c>
      <c r="C768" s="1" t="str">
        <f>IFERROR(VLOOKUP(D768,'Planilha de Cadastro - Previsão'!$A$2:$O$1000,15,FALSE()),"")</f>
        <v/>
      </c>
      <c r="D768" s="1">
        <v>767</v>
      </c>
      <c r="E768" s="1"/>
      <c r="F768" s="1"/>
    </row>
    <row r="769" spans="1:6" x14ac:dyDescent="0.25">
      <c r="A769">
        <f>COUNTIF($C$2:C769,C769)</f>
        <v>768</v>
      </c>
      <c r="B769" s="1" t="str">
        <f t="shared" si="19"/>
        <v>768</v>
      </c>
      <c r="C769" s="1" t="str">
        <f>IFERROR(VLOOKUP(D769,'Planilha de Cadastro - Previsão'!$A$2:$O$1000,15,FALSE()),"")</f>
        <v/>
      </c>
      <c r="D769" s="1">
        <v>768</v>
      </c>
      <c r="E769" s="1"/>
      <c r="F769" s="1"/>
    </row>
    <row r="770" spans="1:6" x14ac:dyDescent="0.25">
      <c r="A770">
        <f>COUNTIF($C$2:C770,C770)</f>
        <v>769</v>
      </c>
      <c r="B770" s="1" t="str">
        <f t="shared" si="19"/>
        <v>769</v>
      </c>
      <c r="C770" s="1" t="str">
        <f>IFERROR(VLOOKUP(D770,'Planilha de Cadastro - Previsão'!$A$2:$O$1000,15,FALSE()),"")</f>
        <v/>
      </c>
      <c r="D770" s="1">
        <v>769</v>
      </c>
      <c r="E770" s="1"/>
      <c r="F770" s="1"/>
    </row>
    <row r="771" spans="1:6" x14ac:dyDescent="0.25">
      <c r="A771">
        <f>COUNTIF($C$2:C771,C771)</f>
        <v>770</v>
      </c>
      <c r="B771" s="1" t="str">
        <f t="shared" ref="B771:B834" si="20">IFERROR(CONCATENATE(C771,A771),"")</f>
        <v>770</v>
      </c>
      <c r="C771" s="1" t="str">
        <f>IFERROR(VLOOKUP(D771,'Planilha de Cadastro - Previsão'!$A$2:$O$1000,15,FALSE()),"")</f>
        <v/>
      </c>
      <c r="D771" s="1">
        <v>770</v>
      </c>
      <c r="E771" s="1"/>
      <c r="F771" s="1"/>
    </row>
    <row r="772" spans="1:6" x14ac:dyDescent="0.25">
      <c r="A772">
        <f>COUNTIF($C$2:C772,C772)</f>
        <v>771</v>
      </c>
      <c r="B772" s="1" t="str">
        <f t="shared" si="20"/>
        <v>771</v>
      </c>
      <c r="C772" s="1" t="str">
        <f>IFERROR(VLOOKUP(D772,'Planilha de Cadastro - Previsão'!$A$2:$O$1000,15,FALSE()),"")</f>
        <v/>
      </c>
      <c r="D772" s="1">
        <v>771</v>
      </c>
      <c r="E772" s="1"/>
      <c r="F772" s="1"/>
    </row>
    <row r="773" spans="1:6" x14ac:dyDescent="0.25">
      <c r="A773">
        <f>COUNTIF($C$2:C773,C773)</f>
        <v>772</v>
      </c>
      <c r="B773" s="1" t="str">
        <f t="shared" si="20"/>
        <v>772</v>
      </c>
      <c r="C773" s="1" t="str">
        <f>IFERROR(VLOOKUP(D773,'Planilha de Cadastro - Previsão'!$A$2:$O$1000,15,FALSE()),"")</f>
        <v/>
      </c>
      <c r="D773" s="1">
        <v>772</v>
      </c>
      <c r="E773" s="1"/>
      <c r="F773" s="1"/>
    </row>
    <row r="774" spans="1:6" x14ac:dyDescent="0.25">
      <c r="A774">
        <f>COUNTIF($C$2:C774,C774)</f>
        <v>773</v>
      </c>
      <c r="B774" s="1" t="str">
        <f t="shared" si="20"/>
        <v>773</v>
      </c>
      <c r="C774" s="1" t="str">
        <f>IFERROR(VLOOKUP(D774,'Planilha de Cadastro - Previsão'!$A$2:$O$1000,15,FALSE()),"")</f>
        <v/>
      </c>
      <c r="D774" s="1">
        <v>773</v>
      </c>
      <c r="E774" s="1"/>
      <c r="F774" s="1"/>
    </row>
    <row r="775" spans="1:6" x14ac:dyDescent="0.25">
      <c r="A775">
        <f>COUNTIF($C$2:C775,C775)</f>
        <v>774</v>
      </c>
      <c r="B775" s="1" t="str">
        <f t="shared" si="20"/>
        <v>774</v>
      </c>
      <c r="C775" s="1" t="str">
        <f>IFERROR(VLOOKUP(D775,'Planilha de Cadastro - Previsão'!$A$2:$O$1000,15,FALSE()),"")</f>
        <v/>
      </c>
      <c r="D775" s="1">
        <v>774</v>
      </c>
      <c r="E775" s="1"/>
      <c r="F775" s="1"/>
    </row>
    <row r="776" spans="1:6" x14ac:dyDescent="0.25">
      <c r="A776">
        <f>COUNTIF($C$2:C776,C776)</f>
        <v>775</v>
      </c>
      <c r="B776" s="1" t="str">
        <f t="shared" si="20"/>
        <v>775</v>
      </c>
      <c r="C776" s="1" t="str">
        <f>IFERROR(VLOOKUP(D776,'Planilha de Cadastro - Previsão'!$A$2:$O$1000,15,FALSE()),"")</f>
        <v/>
      </c>
      <c r="D776" s="1">
        <v>775</v>
      </c>
      <c r="E776" s="1"/>
      <c r="F776" s="1"/>
    </row>
    <row r="777" spans="1:6" x14ac:dyDescent="0.25">
      <c r="A777">
        <f>COUNTIF($C$2:C777,C777)</f>
        <v>776</v>
      </c>
      <c r="B777" s="1" t="str">
        <f t="shared" si="20"/>
        <v>776</v>
      </c>
      <c r="C777" s="1" t="str">
        <f>IFERROR(VLOOKUP(D777,'Planilha de Cadastro - Previsão'!$A$2:$O$1000,15,FALSE()),"")</f>
        <v/>
      </c>
      <c r="D777" s="1">
        <v>776</v>
      </c>
      <c r="E777" s="1"/>
      <c r="F777" s="1"/>
    </row>
    <row r="778" spans="1:6" x14ac:dyDescent="0.25">
      <c r="A778">
        <f>COUNTIF($C$2:C778,C778)</f>
        <v>777</v>
      </c>
      <c r="B778" s="1" t="str">
        <f t="shared" si="20"/>
        <v>777</v>
      </c>
      <c r="C778" s="1" t="str">
        <f>IFERROR(VLOOKUP(D778,'Planilha de Cadastro - Previsão'!$A$2:$O$1000,15,FALSE()),"")</f>
        <v/>
      </c>
      <c r="D778" s="1">
        <v>777</v>
      </c>
      <c r="E778" s="1"/>
      <c r="F778" s="1"/>
    </row>
    <row r="779" spans="1:6" x14ac:dyDescent="0.25">
      <c r="A779">
        <f>COUNTIF($C$2:C779,C779)</f>
        <v>778</v>
      </c>
      <c r="B779" s="1" t="str">
        <f t="shared" si="20"/>
        <v>778</v>
      </c>
      <c r="C779" s="1" t="str">
        <f>IFERROR(VLOOKUP(D779,'Planilha de Cadastro - Previsão'!$A$2:$O$1000,15,FALSE()),"")</f>
        <v/>
      </c>
      <c r="D779" s="1">
        <v>778</v>
      </c>
      <c r="E779" s="1"/>
      <c r="F779" s="1"/>
    </row>
    <row r="780" spans="1:6" x14ac:dyDescent="0.25">
      <c r="A780">
        <f>COUNTIF($C$2:C780,C780)</f>
        <v>779</v>
      </c>
      <c r="B780" s="1" t="str">
        <f t="shared" si="20"/>
        <v>779</v>
      </c>
      <c r="C780" s="1" t="str">
        <f>IFERROR(VLOOKUP(D780,'Planilha de Cadastro - Previsão'!$A$2:$O$1000,15,FALSE()),"")</f>
        <v/>
      </c>
      <c r="D780" s="1">
        <v>779</v>
      </c>
      <c r="E780" s="1"/>
      <c r="F780" s="1"/>
    </row>
    <row r="781" spans="1:6" x14ac:dyDescent="0.25">
      <c r="A781">
        <f>COUNTIF($C$2:C781,C781)</f>
        <v>780</v>
      </c>
      <c r="B781" s="1" t="str">
        <f t="shared" si="20"/>
        <v>780</v>
      </c>
      <c r="C781" s="1" t="str">
        <f>IFERROR(VLOOKUP(D781,'Planilha de Cadastro - Previsão'!$A$2:$O$1000,15,FALSE()),"")</f>
        <v/>
      </c>
      <c r="D781" s="1">
        <v>780</v>
      </c>
      <c r="E781" s="1"/>
      <c r="F781" s="1"/>
    </row>
    <row r="782" spans="1:6" x14ac:dyDescent="0.25">
      <c r="A782">
        <f>COUNTIF($C$2:C782,C782)</f>
        <v>781</v>
      </c>
      <c r="B782" s="1" t="str">
        <f t="shared" si="20"/>
        <v>781</v>
      </c>
      <c r="C782" s="1" t="str">
        <f>IFERROR(VLOOKUP(D782,'Planilha de Cadastro - Previsão'!$A$2:$O$1000,15,FALSE()),"")</f>
        <v/>
      </c>
      <c r="D782" s="1">
        <v>781</v>
      </c>
      <c r="E782" s="1"/>
      <c r="F782" s="1"/>
    </row>
    <row r="783" spans="1:6" x14ac:dyDescent="0.25">
      <c r="A783">
        <f>COUNTIF($C$2:C783,C783)</f>
        <v>782</v>
      </c>
      <c r="B783" s="1" t="str">
        <f t="shared" si="20"/>
        <v>782</v>
      </c>
      <c r="C783" s="1" t="str">
        <f>IFERROR(VLOOKUP(D783,'Planilha de Cadastro - Previsão'!$A$2:$O$1000,15,FALSE()),"")</f>
        <v/>
      </c>
      <c r="D783" s="1">
        <v>782</v>
      </c>
      <c r="E783" s="1"/>
      <c r="F783" s="1"/>
    </row>
    <row r="784" spans="1:6" x14ac:dyDescent="0.25">
      <c r="A784">
        <f>COUNTIF($C$2:C784,C784)</f>
        <v>783</v>
      </c>
      <c r="B784" s="1" t="str">
        <f t="shared" si="20"/>
        <v>783</v>
      </c>
      <c r="C784" s="1" t="str">
        <f>IFERROR(VLOOKUP(D784,'Planilha de Cadastro - Previsão'!$A$2:$O$1000,15,FALSE()),"")</f>
        <v/>
      </c>
      <c r="D784" s="1">
        <v>783</v>
      </c>
      <c r="E784" s="1"/>
      <c r="F784" s="1"/>
    </row>
    <row r="785" spans="1:6" x14ac:dyDescent="0.25">
      <c r="A785">
        <f>COUNTIF($C$2:C785,C785)</f>
        <v>784</v>
      </c>
      <c r="B785" s="1" t="str">
        <f t="shared" si="20"/>
        <v>784</v>
      </c>
      <c r="C785" s="1" t="str">
        <f>IFERROR(VLOOKUP(D785,'Planilha de Cadastro - Previsão'!$A$2:$O$1000,15,FALSE()),"")</f>
        <v/>
      </c>
      <c r="D785" s="1">
        <v>784</v>
      </c>
      <c r="E785" s="1"/>
      <c r="F785" s="1"/>
    </row>
    <row r="786" spans="1:6" x14ac:dyDescent="0.25">
      <c r="A786">
        <f>COUNTIF($C$2:C786,C786)</f>
        <v>785</v>
      </c>
      <c r="B786" s="1" t="str">
        <f t="shared" si="20"/>
        <v>785</v>
      </c>
      <c r="C786" s="1" t="str">
        <f>IFERROR(VLOOKUP(D786,'Planilha de Cadastro - Previsão'!$A$2:$O$1000,15,FALSE()),"")</f>
        <v/>
      </c>
      <c r="D786" s="1">
        <v>785</v>
      </c>
      <c r="E786" s="1"/>
      <c r="F786" s="1"/>
    </row>
    <row r="787" spans="1:6" x14ac:dyDescent="0.25">
      <c r="A787">
        <f>COUNTIF($C$2:C787,C787)</f>
        <v>786</v>
      </c>
      <c r="B787" s="1" t="str">
        <f t="shared" si="20"/>
        <v>786</v>
      </c>
      <c r="C787" s="1" t="str">
        <f>IFERROR(VLOOKUP(D787,'Planilha de Cadastro - Previsão'!$A$2:$O$1000,15,FALSE()),"")</f>
        <v/>
      </c>
      <c r="D787" s="1">
        <v>786</v>
      </c>
      <c r="E787" s="1"/>
      <c r="F787" s="1"/>
    </row>
    <row r="788" spans="1:6" x14ac:dyDescent="0.25">
      <c r="A788">
        <f>COUNTIF($C$2:C788,C788)</f>
        <v>787</v>
      </c>
      <c r="B788" s="1" t="str">
        <f t="shared" si="20"/>
        <v>787</v>
      </c>
      <c r="C788" s="1" t="str">
        <f>IFERROR(VLOOKUP(D788,'Planilha de Cadastro - Previsão'!$A$2:$O$1000,15,FALSE()),"")</f>
        <v/>
      </c>
      <c r="D788" s="1">
        <v>787</v>
      </c>
      <c r="E788" s="1"/>
      <c r="F788" s="1"/>
    </row>
    <row r="789" spans="1:6" x14ac:dyDescent="0.25">
      <c r="A789">
        <f>COUNTIF($C$2:C789,C789)</f>
        <v>788</v>
      </c>
      <c r="B789" s="1" t="str">
        <f t="shared" si="20"/>
        <v>788</v>
      </c>
      <c r="C789" s="1" t="str">
        <f>IFERROR(VLOOKUP(D789,'Planilha de Cadastro - Previsão'!$A$2:$O$1000,15,FALSE()),"")</f>
        <v/>
      </c>
      <c r="D789" s="1">
        <v>788</v>
      </c>
      <c r="E789" s="1"/>
      <c r="F789" s="1"/>
    </row>
    <row r="790" spans="1:6" x14ac:dyDescent="0.25">
      <c r="A790">
        <f>COUNTIF($C$2:C790,C790)</f>
        <v>789</v>
      </c>
      <c r="B790" s="1" t="str">
        <f t="shared" si="20"/>
        <v>789</v>
      </c>
      <c r="C790" s="1" t="str">
        <f>IFERROR(VLOOKUP(D790,'Planilha de Cadastro - Previsão'!$A$2:$O$1000,15,FALSE()),"")</f>
        <v/>
      </c>
      <c r="D790" s="1">
        <v>789</v>
      </c>
      <c r="E790" s="1"/>
      <c r="F790" s="1"/>
    </row>
    <row r="791" spans="1:6" x14ac:dyDescent="0.25">
      <c r="A791">
        <f>COUNTIF($C$2:C791,C791)</f>
        <v>790</v>
      </c>
      <c r="B791" s="1" t="str">
        <f t="shared" si="20"/>
        <v>790</v>
      </c>
      <c r="C791" s="1" t="str">
        <f>IFERROR(VLOOKUP(D791,'Planilha de Cadastro - Previsão'!$A$2:$O$1000,15,FALSE()),"")</f>
        <v/>
      </c>
      <c r="D791" s="1">
        <v>790</v>
      </c>
      <c r="E791" s="1"/>
      <c r="F791" s="1"/>
    </row>
    <row r="792" spans="1:6" x14ac:dyDescent="0.25">
      <c r="A792">
        <f>COUNTIF($C$2:C792,C792)</f>
        <v>791</v>
      </c>
      <c r="B792" s="1" t="str">
        <f t="shared" si="20"/>
        <v>791</v>
      </c>
      <c r="C792" s="1" t="str">
        <f>IFERROR(VLOOKUP(D792,'Planilha de Cadastro - Previsão'!$A$2:$O$1000,15,FALSE()),"")</f>
        <v/>
      </c>
      <c r="D792" s="1">
        <v>791</v>
      </c>
      <c r="E792" s="1"/>
      <c r="F792" s="1"/>
    </row>
    <row r="793" spans="1:6" x14ac:dyDescent="0.25">
      <c r="A793">
        <f>COUNTIF($C$2:C793,C793)</f>
        <v>792</v>
      </c>
      <c r="B793" s="1" t="str">
        <f t="shared" si="20"/>
        <v>792</v>
      </c>
      <c r="C793" s="1" t="str">
        <f>IFERROR(VLOOKUP(D793,'Planilha de Cadastro - Previsão'!$A$2:$O$1000,15,FALSE()),"")</f>
        <v/>
      </c>
      <c r="D793" s="1">
        <v>792</v>
      </c>
      <c r="E793" s="1"/>
      <c r="F793" s="1"/>
    </row>
    <row r="794" spans="1:6" x14ac:dyDescent="0.25">
      <c r="A794">
        <f>COUNTIF($C$2:C794,C794)</f>
        <v>793</v>
      </c>
      <c r="B794" s="1" t="str">
        <f t="shared" si="20"/>
        <v>793</v>
      </c>
      <c r="C794" s="1" t="str">
        <f>IFERROR(VLOOKUP(D794,'Planilha de Cadastro - Previsão'!$A$2:$O$1000,15,FALSE()),"")</f>
        <v/>
      </c>
      <c r="D794" s="1">
        <v>793</v>
      </c>
      <c r="E794" s="1"/>
      <c r="F794" s="1"/>
    </row>
    <row r="795" spans="1:6" x14ac:dyDescent="0.25">
      <c r="A795">
        <f>COUNTIF($C$2:C795,C795)</f>
        <v>794</v>
      </c>
      <c r="B795" s="1" t="str">
        <f t="shared" si="20"/>
        <v>794</v>
      </c>
      <c r="C795" s="1" t="str">
        <f>IFERROR(VLOOKUP(D795,'Planilha de Cadastro - Previsão'!$A$2:$O$1000,15,FALSE()),"")</f>
        <v/>
      </c>
      <c r="D795" s="1">
        <v>794</v>
      </c>
      <c r="E795" s="1"/>
      <c r="F795" s="1"/>
    </row>
    <row r="796" spans="1:6" x14ac:dyDescent="0.25">
      <c r="A796">
        <f>COUNTIF($C$2:C796,C796)</f>
        <v>795</v>
      </c>
      <c r="B796" s="1" t="str">
        <f t="shared" si="20"/>
        <v>795</v>
      </c>
      <c r="C796" s="1" t="str">
        <f>IFERROR(VLOOKUP(D796,'Planilha de Cadastro - Previsão'!$A$2:$O$1000,15,FALSE()),"")</f>
        <v/>
      </c>
      <c r="D796" s="1">
        <v>795</v>
      </c>
      <c r="E796" s="1"/>
      <c r="F796" s="1"/>
    </row>
    <row r="797" spans="1:6" x14ac:dyDescent="0.25">
      <c r="A797">
        <f>COUNTIF($C$2:C797,C797)</f>
        <v>796</v>
      </c>
      <c r="B797" s="1" t="str">
        <f t="shared" si="20"/>
        <v>796</v>
      </c>
      <c r="C797" s="1" t="str">
        <f>IFERROR(VLOOKUP(D797,'Planilha de Cadastro - Previsão'!$A$2:$O$1000,15,FALSE()),"")</f>
        <v/>
      </c>
      <c r="D797" s="1">
        <v>796</v>
      </c>
      <c r="E797" s="1"/>
      <c r="F797" s="1"/>
    </row>
    <row r="798" spans="1:6" x14ac:dyDescent="0.25">
      <c r="A798">
        <f>COUNTIF($C$2:C798,C798)</f>
        <v>797</v>
      </c>
      <c r="B798" s="1" t="str">
        <f t="shared" si="20"/>
        <v>797</v>
      </c>
      <c r="C798" s="1" t="str">
        <f>IFERROR(VLOOKUP(D798,'Planilha de Cadastro - Previsão'!$A$2:$O$1000,15,FALSE()),"")</f>
        <v/>
      </c>
      <c r="D798" s="1">
        <v>797</v>
      </c>
      <c r="E798" s="1"/>
      <c r="F798" s="1"/>
    </row>
    <row r="799" spans="1:6" x14ac:dyDescent="0.25">
      <c r="A799">
        <f>COUNTIF($C$2:C799,C799)</f>
        <v>798</v>
      </c>
      <c r="B799" s="1" t="str">
        <f t="shared" si="20"/>
        <v>798</v>
      </c>
      <c r="C799" s="1" t="str">
        <f>IFERROR(VLOOKUP(D799,'Planilha de Cadastro - Previsão'!$A$2:$O$1000,15,FALSE()),"")</f>
        <v/>
      </c>
      <c r="D799" s="1">
        <v>798</v>
      </c>
      <c r="E799" s="1"/>
      <c r="F799" s="1"/>
    </row>
    <row r="800" spans="1:6" x14ac:dyDescent="0.25">
      <c r="A800">
        <f>COUNTIF($C$2:C800,C800)</f>
        <v>799</v>
      </c>
      <c r="B800" s="1" t="str">
        <f t="shared" si="20"/>
        <v>799</v>
      </c>
      <c r="C800" s="1" t="str">
        <f>IFERROR(VLOOKUP(D800,'Planilha de Cadastro - Previsão'!$A$2:$O$1000,15,FALSE()),"")</f>
        <v/>
      </c>
      <c r="D800" s="1">
        <v>799</v>
      </c>
      <c r="E800" s="1"/>
      <c r="F800" s="1"/>
    </row>
    <row r="801" spans="1:6" x14ac:dyDescent="0.25">
      <c r="A801">
        <f>COUNTIF($C$2:C801,C801)</f>
        <v>800</v>
      </c>
      <c r="B801" s="1" t="str">
        <f t="shared" si="20"/>
        <v>800</v>
      </c>
      <c r="C801" s="1" t="str">
        <f>IFERROR(VLOOKUP(D801,'Planilha de Cadastro - Previsão'!$A$2:$O$1000,15,FALSE()),"")</f>
        <v/>
      </c>
      <c r="D801" s="1">
        <v>800</v>
      </c>
      <c r="E801" s="1"/>
      <c r="F801" s="1"/>
    </row>
    <row r="802" spans="1:6" x14ac:dyDescent="0.25">
      <c r="A802">
        <f>COUNTIF($C$2:C802,C802)</f>
        <v>801</v>
      </c>
      <c r="B802" s="1" t="str">
        <f t="shared" si="20"/>
        <v>801</v>
      </c>
      <c r="C802" s="1" t="str">
        <f>IFERROR(VLOOKUP(D802,'Planilha de Cadastro - Previsão'!$A$2:$O$1000,15,FALSE()),"")</f>
        <v/>
      </c>
      <c r="D802" s="1">
        <v>801</v>
      </c>
      <c r="E802" s="1"/>
      <c r="F802" s="1"/>
    </row>
    <row r="803" spans="1:6" x14ac:dyDescent="0.25">
      <c r="A803">
        <f>COUNTIF($C$2:C803,C803)</f>
        <v>802</v>
      </c>
      <c r="B803" s="1" t="str">
        <f t="shared" si="20"/>
        <v>802</v>
      </c>
      <c r="C803" s="1" t="str">
        <f>IFERROR(VLOOKUP(D803,'Planilha de Cadastro - Previsão'!$A$2:$O$1000,15,FALSE()),"")</f>
        <v/>
      </c>
      <c r="D803" s="1">
        <v>802</v>
      </c>
      <c r="E803" s="1"/>
      <c r="F803" s="1"/>
    </row>
    <row r="804" spans="1:6" x14ac:dyDescent="0.25">
      <c r="A804">
        <f>COUNTIF($C$2:C804,C804)</f>
        <v>803</v>
      </c>
      <c r="B804" s="1" t="str">
        <f t="shared" si="20"/>
        <v>803</v>
      </c>
      <c r="C804" s="1" t="str">
        <f>IFERROR(VLOOKUP(D804,'Planilha de Cadastro - Previsão'!$A$2:$O$1000,15,FALSE()),"")</f>
        <v/>
      </c>
      <c r="D804" s="1">
        <v>803</v>
      </c>
      <c r="E804" s="1"/>
      <c r="F804" s="1"/>
    </row>
    <row r="805" spans="1:6" x14ac:dyDescent="0.25">
      <c r="A805">
        <f>COUNTIF($C$2:C805,C805)</f>
        <v>804</v>
      </c>
      <c r="B805" s="1" t="str">
        <f t="shared" si="20"/>
        <v>804</v>
      </c>
      <c r="C805" s="1" t="str">
        <f>IFERROR(VLOOKUP(D805,'Planilha de Cadastro - Previsão'!$A$2:$O$1000,15,FALSE()),"")</f>
        <v/>
      </c>
      <c r="D805" s="1">
        <v>804</v>
      </c>
      <c r="E805" s="1"/>
      <c r="F805" s="1"/>
    </row>
    <row r="806" spans="1:6" x14ac:dyDescent="0.25">
      <c r="A806">
        <f>COUNTIF($C$2:C806,C806)</f>
        <v>805</v>
      </c>
      <c r="B806" s="1" t="str">
        <f t="shared" si="20"/>
        <v>805</v>
      </c>
      <c r="C806" s="1" t="str">
        <f>IFERROR(VLOOKUP(D806,'Planilha de Cadastro - Previsão'!$A$2:$O$1000,15,FALSE()),"")</f>
        <v/>
      </c>
      <c r="D806" s="1">
        <v>805</v>
      </c>
      <c r="E806" s="1"/>
      <c r="F806" s="1"/>
    </row>
    <row r="807" spans="1:6" x14ac:dyDescent="0.25">
      <c r="A807">
        <f>COUNTIF($C$2:C807,C807)</f>
        <v>806</v>
      </c>
      <c r="B807" s="1" t="str">
        <f t="shared" si="20"/>
        <v>806</v>
      </c>
      <c r="C807" s="1" t="str">
        <f>IFERROR(VLOOKUP(D807,'Planilha de Cadastro - Previsão'!$A$2:$O$1000,15,FALSE()),"")</f>
        <v/>
      </c>
      <c r="D807" s="1">
        <v>806</v>
      </c>
      <c r="E807" s="1"/>
      <c r="F807" s="1"/>
    </row>
    <row r="808" spans="1:6" x14ac:dyDescent="0.25">
      <c r="A808">
        <f>COUNTIF($C$2:C808,C808)</f>
        <v>807</v>
      </c>
      <c r="B808" s="1" t="str">
        <f t="shared" si="20"/>
        <v>807</v>
      </c>
      <c r="C808" s="1" t="str">
        <f>IFERROR(VLOOKUP(D808,'Planilha de Cadastro - Previsão'!$A$2:$O$1000,15,FALSE()),"")</f>
        <v/>
      </c>
      <c r="D808" s="1">
        <v>807</v>
      </c>
      <c r="E808" s="1"/>
      <c r="F808" s="1"/>
    </row>
    <row r="809" spans="1:6" x14ac:dyDescent="0.25">
      <c r="A809">
        <f>COUNTIF($C$2:C809,C809)</f>
        <v>808</v>
      </c>
      <c r="B809" s="1" t="str">
        <f t="shared" si="20"/>
        <v>808</v>
      </c>
      <c r="C809" s="1" t="str">
        <f>IFERROR(VLOOKUP(D809,'Planilha de Cadastro - Previsão'!$A$2:$O$1000,15,FALSE()),"")</f>
        <v/>
      </c>
      <c r="D809" s="1">
        <v>808</v>
      </c>
      <c r="E809" s="1"/>
      <c r="F809" s="1"/>
    </row>
    <row r="810" spans="1:6" x14ac:dyDescent="0.25">
      <c r="A810">
        <f>COUNTIF($C$2:C810,C810)</f>
        <v>809</v>
      </c>
      <c r="B810" s="1" t="str">
        <f t="shared" si="20"/>
        <v>809</v>
      </c>
      <c r="C810" s="1" t="str">
        <f>IFERROR(VLOOKUP(D810,'Planilha de Cadastro - Previsão'!$A$2:$O$1000,15,FALSE()),"")</f>
        <v/>
      </c>
      <c r="D810" s="1">
        <v>809</v>
      </c>
      <c r="E810" s="1"/>
      <c r="F810" s="1"/>
    </row>
    <row r="811" spans="1:6" x14ac:dyDescent="0.25">
      <c r="A811">
        <f>COUNTIF($C$2:C811,C811)</f>
        <v>810</v>
      </c>
      <c r="B811" s="1" t="str">
        <f t="shared" si="20"/>
        <v>810</v>
      </c>
      <c r="C811" s="1" t="str">
        <f>IFERROR(VLOOKUP(D811,'Planilha de Cadastro - Previsão'!$A$2:$O$1000,15,FALSE()),"")</f>
        <v/>
      </c>
      <c r="D811" s="1">
        <v>810</v>
      </c>
      <c r="E811" s="1"/>
      <c r="F811" s="1"/>
    </row>
    <row r="812" spans="1:6" x14ac:dyDescent="0.25">
      <c r="A812">
        <f>COUNTIF($C$2:C812,C812)</f>
        <v>811</v>
      </c>
      <c r="B812" s="1" t="str">
        <f t="shared" si="20"/>
        <v>811</v>
      </c>
      <c r="C812" s="1" t="str">
        <f>IFERROR(VLOOKUP(D812,'Planilha de Cadastro - Previsão'!$A$2:$O$1000,15,FALSE()),"")</f>
        <v/>
      </c>
      <c r="D812" s="1">
        <v>811</v>
      </c>
      <c r="E812" s="1"/>
      <c r="F812" s="1"/>
    </row>
    <row r="813" spans="1:6" x14ac:dyDescent="0.25">
      <c r="A813">
        <f>COUNTIF($C$2:C813,C813)</f>
        <v>812</v>
      </c>
      <c r="B813" s="1" t="str">
        <f t="shared" si="20"/>
        <v>812</v>
      </c>
      <c r="C813" s="1" t="str">
        <f>IFERROR(VLOOKUP(D813,'Planilha de Cadastro - Previsão'!$A$2:$O$1000,15,FALSE()),"")</f>
        <v/>
      </c>
      <c r="D813" s="1">
        <v>812</v>
      </c>
      <c r="E813" s="1"/>
      <c r="F813" s="1"/>
    </row>
    <row r="814" spans="1:6" x14ac:dyDescent="0.25">
      <c r="A814">
        <f>COUNTIF($C$2:C814,C814)</f>
        <v>813</v>
      </c>
      <c r="B814" s="1" t="str">
        <f t="shared" si="20"/>
        <v>813</v>
      </c>
      <c r="C814" s="1" t="str">
        <f>IFERROR(VLOOKUP(D814,'Planilha de Cadastro - Previsão'!$A$2:$O$1000,15,FALSE()),"")</f>
        <v/>
      </c>
      <c r="D814" s="1">
        <v>813</v>
      </c>
      <c r="E814" s="1"/>
      <c r="F814" s="1"/>
    </row>
    <row r="815" spans="1:6" x14ac:dyDescent="0.25">
      <c r="A815">
        <f>COUNTIF($C$2:C815,C815)</f>
        <v>814</v>
      </c>
      <c r="B815" s="1" t="str">
        <f t="shared" si="20"/>
        <v>814</v>
      </c>
      <c r="C815" s="1" t="str">
        <f>IFERROR(VLOOKUP(D815,'Planilha de Cadastro - Previsão'!$A$2:$O$1000,15,FALSE()),"")</f>
        <v/>
      </c>
      <c r="D815" s="1">
        <v>814</v>
      </c>
      <c r="E815" s="1"/>
      <c r="F815" s="1"/>
    </row>
    <row r="816" spans="1:6" x14ac:dyDescent="0.25">
      <c r="A816">
        <f>COUNTIF($C$2:C816,C816)</f>
        <v>815</v>
      </c>
      <c r="B816" s="1" t="str">
        <f t="shared" si="20"/>
        <v>815</v>
      </c>
      <c r="C816" s="1" t="str">
        <f>IFERROR(VLOOKUP(D816,'Planilha de Cadastro - Previsão'!$A$2:$O$1000,15,FALSE()),"")</f>
        <v/>
      </c>
      <c r="D816" s="1">
        <v>815</v>
      </c>
      <c r="E816" s="1"/>
      <c r="F816" s="1"/>
    </row>
    <row r="817" spans="1:6" x14ac:dyDescent="0.25">
      <c r="A817">
        <f>COUNTIF($C$2:C817,C817)</f>
        <v>816</v>
      </c>
      <c r="B817" s="1" t="str">
        <f t="shared" si="20"/>
        <v>816</v>
      </c>
      <c r="C817" s="1" t="str">
        <f>IFERROR(VLOOKUP(D817,'Planilha de Cadastro - Previsão'!$A$2:$O$1000,15,FALSE()),"")</f>
        <v/>
      </c>
      <c r="D817" s="1">
        <v>816</v>
      </c>
      <c r="E817" s="1"/>
      <c r="F817" s="1"/>
    </row>
    <row r="818" spans="1:6" x14ac:dyDescent="0.25">
      <c r="A818">
        <f>COUNTIF($C$2:C818,C818)</f>
        <v>817</v>
      </c>
      <c r="B818" s="1" t="str">
        <f t="shared" si="20"/>
        <v>817</v>
      </c>
      <c r="C818" s="1" t="str">
        <f>IFERROR(VLOOKUP(D818,'Planilha de Cadastro - Previsão'!$A$2:$O$1000,15,FALSE()),"")</f>
        <v/>
      </c>
      <c r="D818" s="1">
        <v>817</v>
      </c>
      <c r="E818" s="1"/>
      <c r="F818" s="1"/>
    </row>
    <row r="819" spans="1:6" x14ac:dyDescent="0.25">
      <c r="A819">
        <f>COUNTIF($C$2:C819,C819)</f>
        <v>818</v>
      </c>
      <c r="B819" s="1" t="str">
        <f t="shared" si="20"/>
        <v>818</v>
      </c>
      <c r="C819" s="1" t="str">
        <f>IFERROR(VLOOKUP(D819,'Planilha de Cadastro - Previsão'!$A$2:$O$1000,15,FALSE()),"")</f>
        <v/>
      </c>
      <c r="D819" s="1">
        <v>818</v>
      </c>
      <c r="E819" s="1"/>
      <c r="F819" s="1"/>
    </row>
    <row r="820" spans="1:6" x14ac:dyDescent="0.25">
      <c r="A820">
        <f>COUNTIF($C$2:C820,C820)</f>
        <v>819</v>
      </c>
      <c r="B820" s="1" t="str">
        <f t="shared" si="20"/>
        <v>819</v>
      </c>
      <c r="C820" s="1" t="str">
        <f>IFERROR(VLOOKUP(D820,'Planilha de Cadastro - Previsão'!$A$2:$O$1000,15,FALSE()),"")</f>
        <v/>
      </c>
      <c r="D820" s="1">
        <v>819</v>
      </c>
      <c r="E820" s="1"/>
      <c r="F820" s="1"/>
    </row>
    <row r="821" spans="1:6" x14ac:dyDescent="0.25">
      <c r="A821">
        <f>COUNTIF($C$2:C821,C821)</f>
        <v>820</v>
      </c>
      <c r="B821" s="1" t="str">
        <f t="shared" si="20"/>
        <v>820</v>
      </c>
      <c r="C821" s="1" t="str">
        <f>IFERROR(VLOOKUP(D821,'Planilha de Cadastro - Previsão'!$A$2:$O$1000,15,FALSE()),"")</f>
        <v/>
      </c>
      <c r="D821" s="1">
        <v>820</v>
      </c>
      <c r="E821" s="1"/>
      <c r="F821" s="1"/>
    </row>
    <row r="822" spans="1:6" x14ac:dyDescent="0.25">
      <c r="A822">
        <f>COUNTIF($C$2:C822,C822)</f>
        <v>821</v>
      </c>
      <c r="B822" s="1" t="str">
        <f t="shared" si="20"/>
        <v>821</v>
      </c>
      <c r="C822" s="1" t="str">
        <f>IFERROR(VLOOKUP(D822,'Planilha de Cadastro - Previsão'!$A$2:$O$1000,15,FALSE()),"")</f>
        <v/>
      </c>
      <c r="D822" s="1">
        <v>821</v>
      </c>
      <c r="E822" s="1"/>
      <c r="F822" s="1"/>
    </row>
    <row r="823" spans="1:6" x14ac:dyDescent="0.25">
      <c r="A823">
        <f>COUNTIF($C$2:C823,C823)</f>
        <v>822</v>
      </c>
      <c r="B823" s="1" t="str">
        <f t="shared" si="20"/>
        <v>822</v>
      </c>
      <c r="C823" s="1" t="str">
        <f>IFERROR(VLOOKUP(D823,'Planilha de Cadastro - Previsão'!$A$2:$O$1000,15,FALSE()),"")</f>
        <v/>
      </c>
      <c r="D823" s="1">
        <v>822</v>
      </c>
      <c r="E823" s="1"/>
      <c r="F823" s="1"/>
    </row>
    <row r="824" spans="1:6" x14ac:dyDescent="0.25">
      <c r="A824">
        <f>COUNTIF($C$2:C824,C824)</f>
        <v>823</v>
      </c>
      <c r="B824" s="1" t="str">
        <f t="shared" si="20"/>
        <v>823</v>
      </c>
      <c r="C824" s="1" t="str">
        <f>IFERROR(VLOOKUP(D824,'Planilha de Cadastro - Previsão'!$A$2:$O$1000,15,FALSE()),"")</f>
        <v/>
      </c>
      <c r="D824" s="1">
        <v>823</v>
      </c>
      <c r="E824" s="1"/>
      <c r="F824" s="1"/>
    </row>
    <row r="825" spans="1:6" x14ac:dyDescent="0.25">
      <c r="A825">
        <f>COUNTIF($C$2:C825,C825)</f>
        <v>824</v>
      </c>
      <c r="B825" s="1" t="str">
        <f t="shared" si="20"/>
        <v>824</v>
      </c>
      <c r="C825" s="1" t="str">
        <f>IFERROR(VLOOKUP(D825,'Planilha de Cadastro - Previsão'!$A$2:$O$1000,15,FALSE()),"")</f>
        <v/>
      </c>
      <c r="D825" s="1">
        <v>824</v>
      </c>
      <c r="E825" s="1"/>
      <c r="F825" s="1"/>
    </row>
    <row r="826" spans="1:6" x14ac:dyDescent="0.25">
      <c r="A826">
        <f>COUNTIF($C$2:C826,C826)</f>
        <v>825</v>
      </c>
      <c r="B826" s="1" t="str">
        <f t="shared" si="20"/>
        <v>825</v>
      </c>
      <c r="C826" s="1" t="str">
        <f>IFERROR(VLOOKUP(D826,'Planilha de Cadastro - Previsão'!$A$2:$O$1000,15,FALSE()),"")</f>
        <v/>
      </c>
      <c r="D826" s="1">
        <v>825</v>
      </c>
      <c r="E826" s="1"/>
      <c r="F826" s="1"/>
    </row>
    <row r="827" spans="1:6" x14ac:dyDescent="0.25">
      <c r="A827">
        <f>COUNTIF($C$2:C827,C827)</f>
        <v>826</v>
      </c>
      <c r="B827" s="1" t="str">
        <f t="shared" si="20"/>
        <v>826</v>
      </c>
      <c r="C827" s="1" t="str">
        <f>IFERROR(VLOOKUP(D827,'Planilha de Cadastro - Previsão'!$A$2:$O$1000,15,FALSE()),"")</f>
        <v/>
      </c>
      <c r="D827" s="1">
        <v>826</v>
      </c>
      <c r="E827" s="1"/>
      <c r="F827" s="1"/>
    </row>
    <row r="828" spans="1:6" x14ac:dyDescent="0.25">
      <c r="A828">
        <f>COUNTIF($C$2:C828,C828)</f>
        <v>827</v>
      </c>
      <c r="B828" s="1" t="str">
        <f t="shared" si="20"/>
        <v>827</v>
      </c>
      <c r="C828" s="1" t="str">
        <f>IFERROR(VLOOKUP(D828,'Planilha de Cadastro - Previsão'!$A$2:$O$1000,15,FALSE()),"")</f>
        <v/>
      </c>
      <c r="D828" s="1">
        <v>827</v>
      </c>
      <c r="E828" s="1"/>
      <c r="F828" s="1"/>
    </row>
    <row r="829" spans="1:6" x14ac:dyDescent="0.25">
      <c r="A829">
        <f>COUNTIF($C$2:C829,C829)</f>
        <v>828</v>
      </c>
      <c r="B829" s="1" t="str">
        <f t="shared" si="20"/>
        <v>828</v>
      </c>
      <c r="C829" s="1" t="str">
        <f>IFERROR(VLOOKUP(D829,'Planilha de Cadastro - Previsão'!$A$2:$O$1000,15,FALSE()),"")</f>
        <v/>
      </c>
      <c r="D829" s="1">
        <v>828</v>
      </c>
      <c r="E829" s="1"/>
      <c r="F829" s="1"/>
    </row>
    <row r="830" spans="1:6" x14ac:dyDescent="0.25">
      <c r="A830">
        <f>COUNTIF($C$2:C830,C830)</f>
        <v>829</v>
      </c>
      <c r="B830" s="1" t="str">
        <f t="shared" si="20"/>
        <v>829</v>
      </c>
      <c r="C830" s="1" t="str">
        <f>IFERROR(VLOOKUP(D830,'Planilha de Cadastro - Previsão'!$A$2:$O$1000,15,FALSE()),"")</f>
        <v/>
      </c>
      <c r="D830" s="1">
        <v>829</v>
      </c>
      <c r="E830" s="1"/>
      <c r="F830" s="1"/>
    </row>
    <row r="831" spans="1:6" x14ac:dyDescent="0.25">
      <c r="A831">
        <f>COUNTIF($C$2:C831,C831)</f>
        <v>830</v>
      </c>
      <c r="B831" s="1" t="str">
        <f t="shared" si="20"/>
        <v>830</v>
      </c>
      <c r="C831" s="1" t="str">
        <f>IFERROR(VLOOKUP(D831,'Planilha de Cadastro - Previsão'!$A$2:$O$1000,15,FALSE()),"")</f>
        <v/>
      </c>
      <c r="D831" s="1">
        <v>830</v>
      </c>
      <c r="E831" s="1"/>
      <c r="F831" s="1"/>
    </row>
    <row r="832" spans="1:6" x14ac:dyDescent="0.25">
      <c r="A832">
        <f>COUNTIF($C$2:C832,C832)</f>
        <v>831</v>
      </c>
      <c r="B832" s="1" t="str">
        <f t="shared" si="20"/>
        <v>831</v>
      </c>
      <c r="C832" s="1" t="str">
        <f>IFERROR(VLOOKUP(D832,'Planilha de Cadastro - Previsão'!$A$2:$O$1000,15,FALSE()),"")</f>
        <v/>
      </c>
      <c r="D832" s="1">
        <v>831</v>
      </c>
      <c r="E832" s="1"/>
      <c r="F832" s="1"/>
    </row>
    <row r="833" spans="1:6" x14ac:dyDescent="0.25">
      <c r="A833">
        <f>COUNTIF($C$2:C833,C833)</f>
        <v>832</v>
      </c>
      <c r="B833" s="1" t="str">
        <f t="shared" si="20"/>
        <v>832</v>
      </c>
      <c r="C833" s="1" t="str">
        <f>IFERROR(VLOOKUP(D833,'Planilha de Cadastro - Previsão'!$A$2:$O$1000,15,FALSE()),"")</f>
        <v/>
      </c>
      <c r="D833" s="1">
        <v>832</v>
      </c>
      <c r="E833" s="1"/>
      <c r="F833" s="1"/>
    </row>
    <row r="834" spans="1:6" x14ac:dyDescent="0.25">
      <c r="A834">
        <f>COUNTIF($C$2:C834,C834)</f>
        <v>833</v>
      </c>
      <c r="B834" s="1" t="str">
        <f t="shared" si="20"/>
        <v>833</v>
      </c>
      <c r="C834" s="1" t="str">
        <f>IFERROR(VLOOKUP(D834,'Planilha de Cadastro - Previsão'!$A$2:$O$1000,15,FALSE()),"")</f>
        <v/>
      </c>
      <c r="D834" s="1">
        <v>833</v>
      </c>
      <c r="E834" s="1"/>
      <c r="F834" s="1"/>
    </row>
    <row r="835" spans="1:6" x14ac:dyDescent="0.25">
      <c r="A835">
        <f>COUNTIF($C$2:C835,C835)</f>
        <v>834</v>
      </c>
      <c r="B835" s="1" t="str">
        <f t="shared" ref="B835:B898" si="21">IFERROR(CONCATENATE(C835,A835),"")</f>
        <v>834</v>
      </c>
      <c r="C835" s="1" t="str">
        <f>IFERROR(VLOOKUP(D835,'Planilha de Cadastro - Previsão'!$A$2:$O$1000,15,FALSE()),"")</f>
        <v/>
      </c>
      <c r="D835" s="1">
        <v>834</v>
      </c>
      <c r="E835" s="1"/>
      <c r="F835" s="1"/>
    </row>
    <row r="836" spans="1:6" x14ac:dyDescent="0.25">
      <c r="A836">
        <f>COUNTIF($C$2:C836,C836)</f>
        <v>835</v>
      </c>
      <c r="B836" s="1" t="str">
        <f t="shared" si="21"/>
        <v>835</v>
      </c>
      <c r="C836" s="1" t="str">
        <f>IFERROR(VLOOKUP(D836,'Planilha de Cadastro - Previsão'!$A$2:$O$1000,15,FALSE()),"")</f>
        <v/>
      </c>
      <c r="D836" s="1">
        <v>835</v>
      </c>
      <c r="E836" s="1"/>
      <c r="F836" s="1"/>
    </row>
    <row r="837" spans="1:6" x14ac:dyDescent="0.25">
      <c r="A837">
        <f>COUNTIF($C$2:C837,C837)</f>
        <v>836</v>
      </c>
      <c r="B837" s="1" t="str">
        <f t="shared" si="21"/>
        <v>836</v>
      </c>
      <c r="C837" s="1" t="str">
        <f>IFERROR(VLOOKUP(D837,'Planilha de Cadastro - Previsão'!$A$2:$O$1000,15,FALSE()),"")</f>
        <v/>
      </c>
      <c r="D837" s="1">
        <v>836</v>
      </c>
      <c r="E837" s="1"/>
      <c r="F837" s="1"/>
    </row>
    <row r="838" spans="1:6" x14ac:dyDescent="0.25">
      <c r="A838">
        <f>COUNTIF($C$2:C838,C838)</f>
        <v>837</v>
      </c>
      <c r="B838" s="1" t="str">
        <f t="shared" si="21"/>
        <v>837</v>
      </c>
      <c r="C838" s="1" t="str">
        <f>IFERROR(VLOOKUP(D838,'Planilha de Cadastro - Previsão'!$A$2:$O$1000,15,FALSE()),"")</f>
        <v/>
      </c>
      <c r="D838" s="1">
        <v>837</v>
      </c>
      <c r="E838" s="1"/>
      <c r="F838" s="1"/>
    </row>
    <row r="839" spans="1:6" x14ac:dyDescent="0.25">
      <c r="A839">
        <f>COUNTIF($C$2:C839,C839)</f>
        <v>838</v>
      </c>
      <c r="B839" s="1" t="str">
        <f t="shared" si="21"/>
        <v>838</v>
      </c>
      <c r="C839" s="1" t="str">
        <f>IFERROR(VLOOKUP(D839,'Planilha de Cadastro - Previsão'!$A$2:$O$1000,15,FALSE()),"")</f>
        <v/>
      </c>
      <c r="D839" s="1">
        <v>838</v>
      </c>
      <c r="E839" s="1"/>
      <c r="F839" s="1"/>
    </row>
    <row r="840" spans="1:6" x14ac:dyDescent="0.25">
      <c r="A840">
        <f>COUNTIF($C$2:C840,C840)</f>
        <v>839</v>
      </c>
      <c r="B840" s="1" t="str">
        <f t="shared" si="21"/>
        <v>839</v>
      </c>
      <c r="C840" s="1" t="str">
        <f>IFERROR(VLOOKUP(D840,'Planilha de Cadastro - Previsão'!$A$2:$O$1000,15,FALSE()),"")</f>
        <v/>
      </c>
      <c r="D840" s="1">
        <v>839</v>
      </c>
      <c r="E840" s="1"/>
      <c r="F840" s="1"/>
    </row>
    <row r="841" spans="1:6" x14ac:dyDescent="0.25">
      <c r="A841">
        <f>COUNTIF($C$2:C841,C841)</f>
        <v>840</v>
      </c>
      <c r="B841" s="1" t="str">
        <f t="shared" si="21"/>
        <v>840</v>
      </c>
      <c r="C841" s="1" t="str">
        <f>IFERROR(VLOOKUP(D841,'Planilha de Cadastro - Previsão'!$A$2:$O$1000,15,FALSE()),"")</f>
        <v/>
      </c>
      <c r="D841" s="1">
        <v>840</v>
      </c>
      <c r="E841" s="1"/>
      <c r="F841" s="1"/>
    </row>
    <row r="842" spans="1:6" x14ac:dyDescent="0.25">
      <c r="A842">
        <f>COUNTIF($C$2:C842,C842)</f>
        <v>841</v>
      </c>
      <c r="B842" s="1" t="str">
        <f t="shared" si="21"/>
        <v>841</v>
      </c>
      <c r="C842" s="1" t="str">
        <f>IFERROR(VLOOKUP(D842,'Planilha de Cadastro - Previsão'!$A$2:$O$1000,15,FALSE()),"")</f>
        <v/>
      </c>
      <c r="D842" s="1">
        <v>841</v>
      </c>
      <c r="E842" s="1"/>
      <c r="F842" s="1"/>
    </row>
    <row r="843" spans="1:6" x14ac:dyDescent="0.25">
      <c r="A843">
        <f>COUNTIF($C$2:C843,C843)</f>
        <v>842</v>
      </c>
      <c r="B843" s="1" t="str">
        <f t="shared" si="21"/>
        <v>842</v>
      </c>
      <c r="C843" s="1" t="str">
        <f>IFERROR(VLOOKUP(D843,'Planilha de Cadastro - Previsão'!$A$2:$O$1000,15,FALSE()),"")</f>
        <v/>
      </c>
      <c r="D843" s="1">
        <v>842</v>
      </c>
      <c r="E843" s="1"/>
      <c r="F843" s="1"/>
    </row>
    <row r="844" spans="1:6" x14ac:dyDescent="0.25">
      <c r="A844">
        <f>COUNTIF($C$2:C844,C844)</f>
        <v>843</v>
      </c>
      <c r="B844" s="1" t="str">
        <f t="shared" si="21"/>
        <v>843</v>
      </c>
      <c r="C844" s="1" t="str">
        <f>IFERROR(VLOOKUP(D844,'Planilha de Cadastro - Previsão'!$A$2:$O$1000,15,FALSE()),"")</f>
        <v/>
      </c>
      <c r="D844" s="1">
        <v>843</v>
      </c>
      <c r="E844" s="1"/>
      <c r="F844" s="1"/>
    </row>
    <row r="845" spans="1:6" x14ac:dyDescent="0.25">
      <c r="A845">
        <f>COUNTIF($C$2:C845,C845)</f>
        <v>844</v>
      </c>
      <c r="B845" s="1" t="str">
        <f t="shared" si="21"/>
        <v>844</v>
      </c>
      <c r="C845" s="1" t="str">
        <f>IFERROR(VLOOKUP(D845,'Planilha de Cadastro - Previsão'!$A$2:$O$1000,15,FALSE()),"")</f>
        <v/>
      </c>
      <c r="D845" s="1">
        <v>844</v>
      </c>
      <c r="E845" s="1"/>
      <c r="F845" s="1"/>
    </row>
    <row r="846" spans="1:6" x14ac:dyDescent="0.25">
      <c r="A846">
        <f>COUNTIF($C$2:C846,C846)</f>
        <v>845</v>
      </c>
      <c r="B846" s="1" t="str">
        <f t="shared" si="21"/>
        <v>845</v>
      </c>
      <c r="C846" s="1" t="str">
        <f>IFERROR(VLOOKUP(D846,'Planilha de Cadastro - Previsão'!$A$2:$O$1000,15,FALSE()),"")</f>
        <v/>
      </c>
      <c r="D846" s="1">
        <v>845</v>
      </c>
      <c r="E846" s="1"/>
      <c r="F846" s="1"/>
    </row>
    <row r="847" spans="1:6" x14ac:dyDescent="0.25">
      <c r="A847">
        <f>COUNTIF($C$2:C847,C847)</f>
        <v>846</v>
      </c>
      <c r="B847" s="1" t="str">
        <f t="shared" si="21"/>
        <v>846</v>
      </c>
      <c r="C847" s="1" t="str">
        <f>IFERROR(VLOOKUP(D847,'Planilha de Cadastro - Previsão'!$A$2:$O$1000,15,FALSE()),"")</f>
        <v/>
      </c>
      <c r="D847" s="1">
        <v>846</v>
      </c>
      <c r="E847" s="1"/>
      <c r="F847" s="1"/>
    </row>
    <row r="848" spans="1:6" x14ac:dyDescent="0.25">
      <c r="A848">
        <f>COUNTIF($C$2:C848,C848)</f>
        <v>847</v>
      </c>
      <c r="B848" s="1" t="str">
        <f t="shared" si="21"/>
        <v>847</v>
      </c>
      <c r="C848" s="1" t="str">
        <f>IFERROR(VLOOKUP(D848,'Planilha de Cadastro - Previsão'!$A$2:$O$1000,15,FALSE()),"")</f>
        <v/>
      </c>
      <c r="D848" s="1">
        <v>847</v>
      </c>
      <c r="E848" s="1"/>
      <c r="F848" s="1"/>
    </row>
    <row r="849" spans="1:6" x14ac:dyDescent="0.25">
      <c r="A849">
        <f>COUNTIF($C$2:C849,C849)</f>
        <v>848</v>
      </c>
      <c r="B849" s="1" t="str">
        <f t="shared" si="21"/>
        <v>848</v>
      </c>
      <c r="C849" s="1" t="str">
        <f>IFERROR(VLOOKUP(D849,'Planilha de Cadastro - Previsão'!$A$2:$O$1000,15,FALSE()),"")</f>
        <v/>
      </c>
      <c r="D849" s="1">
        <v>848</v>
      </c>
      <c r="E849" s="1"/>
      <c r="F849" s="1"/>
    </row>
    <row r="850" spans="1:6" x14ac:dyDescent="0.25">
      <c r="A850">
        <f>COUNTIF($C$2:C850,C850)</f>
        <v>849</v>
      </c>
      <c r="B850" s="1" t="str">
        <f t="shared" si="21"/>
        <v>849</v>
      </c>
      <c r="C850" s="1" t="str">
        <f>IFERROR(VLOOKUP(D850,'Planilha de Cadastro - Previsão'!$A$2:$O$1000,15,FALSE()),"")</f>
        <v/>
      </c>
      <c r="D850" s="1">
        <v>849</v>
      </c>
      <c r="E850" s="1"/>
      <c r="F850" s="1"/>
    </row>
    <row r="851" spans="1:6" x14ac:dyDescent="0.25">
      <c r="A851">
        <f>COUNTIF($C$2:C851,C851)</f>
        <v>850</v>
      </c>
      <c r="B851" s="1" t="str">
        <f t="shared" si="21"/>
        <v>850</v>
      </c>
      <c r="C851" s="1" t="str">
        <f>IFERROR(VLOOKUP(D851,'Planilha de Cadastro - Previsão'!$A$2:$O$1000,15,FALSE()),"")</f>
        <v/>
      </c>
      <c r="D851" s="1">
        <v>850</v>
      </c>
      <c r="E851" s="1"/>
      <c r="F851" s="1"/>
    </row>
    <row r="852" spans="1:6" x14ac:dyDescent="0.25">
      <c r="A852">
        <f>COUNTIF($C$2:C852,C852)</f>
        <v>851</v>
      </c>
      <c r="B852" s="1" t="str">
        <f t="shared" si="21"/>
        <v>851</v>
      </c>
      <c r="C852" s="1" t="str">
        <f>IFERROR(VLOOKUP(D852,'Planilha de Cadastro - Previsão'!$A$2:$O$1000,15,FALSE()),"")</f>
        <v/>
      </c>
      <c r="D852" s="1">
        <v>851</v>
      </c>
      <c r="E852" s="1"/>
      <c r="F852" s="1"/>
    </row>
    <row r="853" spans="1:6" x14ac:dyDescent="0.25">
      <c r="A853">
        <f>COUNTIF($C$2:C853,C853)</f>
        <v>852</v>
      </c>
      <c r="B853" s="1" t="str">
        <f t="shared" si="21"/>
        <v>852</v>
      </c>
      <c r="C853" s="1" t="str">
        <f>IFERROR(VLOOKUP(D853,'Planilha de Cadastro - Previsão'!$A$2:$O$1000,15,FALSE()),"")</f>
        <v/>
      </c>
      <c r="D853" s="1">
        <v>852</v>
      </c>
      <c r="E853" s="1"/>
      <c r="F853" s="1"/>
    </row>
    <row r="854" spans="1:6" x14ac:dyDescent="0.25">
      <c r="A854">
        <f>COUNTIF($C$2:C854,C854)</f>
        <v>853</v>
      </c>
      <c r="B854" s="1" t="str">
        <f t="shared" si="21"/>
        <v>853</v>
      </c>
      <c r="C854" s="1" t="str">
        <f>IFERROR(VLOOKUP(D854,'Planilha de Cadastro - Previsão'!$A$2:$O$1000,15,FALSE()),"")</f>
        <v/>
      </c>
      <c r="D854" s="1">
        <v>853</v>
      </c>
      <c r="E854" s="1"/>
      <c r="F854" s="1"/>
    </row>
    <row r="855" spans="1:6" x14ac:dyDescent="0.25">
      <c r="A855">
        <f>COUNTIF($C$2:C855,C855)</f>
        <v>854</v>
      </c>
      <c r="B855" s="1" t="str">
        <f t="shared" si="21"/>
        <v>854</v>
      </c>
      <c r="C855" s="1" t="str">
        <f>IFERROR(VLOOKUP(D855,'Planilha de Cadastro - Previsão'!$A$2:$O$1000,15,FALSE()),"")</f>
        <v/>
      </c>
      <c r="D855" s="1">
        <v>854</v>
      </c>
      <c r="E855" s="1"/>
      <c r="F855" s="1"/>
    </row>
    <row r="856" spans="1:6" x14ac:dyDescent="0.25">
      <c r="A856">
        <f>COUNTIF($C$2:C856,C856)</f>
        <v>855</v>
      </c>
      <c r="B856" s="1" t="str">
        <f t="shared" si="21"/>
        <v>855</v>
      </c>
      <c r="C856" s="1" t="str">
        <f>IFERROR(VLOOKUP(D856,'Planilha de Cadastro - Previsão'!$A$2:$O$1000,15,FALSE()),"")</f>
        <v/>
      </c>
      <c r="D856" s="1">
        <v>855</v>
      </c>
      <c r="E856" s="1"/>
      <c r="F856" s="1"/>
    </row>
    <row r="857" spans="1:6" x14ac:dyDescent="0.25">
      <c r="A857">
        <f>COUNTIF($C$2:C857,C857)</f>
        <v>856</v>
      </c>
      <c r="B857" s="1" t="str">
        <f t="shared" si="21"/>
        <v>856</v>
      </c>
      <c r="C857" s="1" t="str">
        <f>IFERROR(VLOOKUP(D857,'Planilha de Cadastro - Previsão'!$A$2:$O$1000,15,FALSE()),"")</f>
        <v/>
      </c>
      <c r="D857" s="1">
        <v>856</v>
      </c>
      <c r="E857" s="1"/>
      <c r="F857" s="1"/>
    </row>
    <row r="858" spans="1:6" x14ac:dyDescent="0.25">
      <c r="A858">
        <f>COUNTIF($C$2:C858,C858)</f>
        <v>857</v>
      </c>
      <c r="B858" s="1" t="str">
        <f t="shared" si="21"/>
        <v>857</v>
      </c>
      <c r="C858" s="1" t="str">
        <f>IFERROR(VLOOKUP(D858,'Planilha de Cadastro - Previsão'!$A$2:$O$1000,15,FALSE()),"")</f>
        <v/>
      </c>
      <c r="D858" s="1">
        <v>857</v>
      </c>
      <c r="E858" s="1"/>
      <c r="F858" s="1"/>
    </row>
    <row r="859" spans="1:6" x14ac:dyDescent="0.25">
      <c r="A859">
        <f>COUNTIF($C$2:C859,C859)</f>
        <v>858</v>
      </c>
      <c r="B859" s="1" t="str">
        <f t="shared" si="21"/>
        <v>858</v>
      </c>
      <c r="C859" s="1" t="str">
        <f>IFERROR(VLOOKUP(D859,'Planilha de Cadastro - Previsão'!$A$2:$O$1000,15,FALSE()),"")</f>
        <v/>
      </c>
      <c r="D859" s="1">
        <v>858</v>
      </c>
      <c r="E859" s="1"/>
      <c r="F859" s="1"/>
    </row>
    <row r="860" spans="1:6" x14ac:dyDescent="0.25">
      <c r="A860">
        <f>COUNTIF($C$2:C860,C860)</f>
        <v>859</v>
      </c>
      <c r="B860" s="1" t="str">
        <f t="shared" si="21"/>
        <v>859</v>
      </c>
      <c r="C860" s="1" t="str">
        <f>IFERROR(VLOOKUP(D860,'Planilha de Cadastro - Previsão'!$A$2:$O$1000,15,FALSE()),"")</f>
        <v/>
      </c>
      <c r="D860" s="1">
        <v>859</v>
      </c>
      <c r="E860" s="1"/>
      <c r="F860" s="1"/>
    </row>
    <row r="861" spans="1:6" x14ac:dyDescent="0.25">
      <c r="A861">
        <f>COUNTIF($C$2:C861,C861)</f>
        <v>860</v>
      </c>
      <c r="B861" s="1" t="str">
        <f t="shared" si="21"/>
        <v>860</v>
      </c>
      <c r="C861" s="1" t="str">
        <f>IFERROR(VLOOKUP(D861,'Planilha de Cadastro - Previsão'!$A$2:$O$1000,15,FALSE()),"")</f>
        <v/>
      </c>
      <c r="D861" s="1">
        <v>860</v>
      </c>
      <c r="E861" s="1"/>
      <c r="F861" s="1"/>
    </row>
    <row r="862" spans="1:6" x14ac:dyDescent="0.25">
      <c r="A862">
        <f>COUNTIF($C$2:C862,C862)</f>
        <v>861</v>
      </c>
      <c r="B862" s="1" t="str">
        <f t="shared" si="21"/>
        <v>861</v>
      </c>
      <c r="C862" s="1" t="str">
        <f>IFERROR(VLOOKUP(D862,'Planilha de Cadastro - Previsão'!$A$2:$O$1000,15,FALSE()),"")</f>
        <v/>
      </c>
      <c r="D862" s="1">
        <v>861</v>
      </c>
      <c r="E862" s="1"/>
      <c r="F862" s="1"/>
    </row>
    <row r="863" spans="1:6" x14ac:dyDescent="0.25">
      <c r="A863">
        <f>COUNTIF($C$2:C863,C863)</f>
        <v>862</v>
      </c>
      <c r="B863" s="1" t="str">
        <f t="shared" si="21"/>
        <v>862</v>
      </c>
      <c r="C863" s="1" t="str">
        <f>IFERROR(VLOOKUP(D863,'Planilha de Cadastro - Previsão'!$A$2:$O$1000,15,FALSE()),"")</f>
        <v/>
      </c>
      <c r="D863" s="1">
        <v>862</v>
      </c>
      <c r="E863" s="1"/>
      <c r="F863" s="1"/>
    </row>
    <row r="864" spans="1:6" x14ac:dyDescent="0.25">
      <c r="A864">
        <f>COUNTIF($C$2:C864,C864)</f>
        <v>863</v>
      </c>
      <c r="B864" s="1" t="str">
        <f t="shared" si="21"/>
        <v>863</v>
      </c>
      <c r="C864" s="1" t="str">
        <f>IFERROR(VLOOKUP(D864,'Planilha de Cadastro - Previsão'!$A$2:$O$1000,15,FALSE()),"")</f>
        <v/>
      </c>
      <c r="D864" s="1">
        <v>863</v>
      </c>
      <c r="E864" s="1"/>
      <c r="F864" s="1"/>
    </row>
    <row r="865" spans="1:6" x14ac:dyDescent="0.25">
      <c r="A865">
        <f>COUNTIF($C$2:C865,C865)</f>
        <v>864</v>
      </c>
      <c r="B865" s="1" t="str">
        <f t="shared" si="21"/>
        <v>864</v>
      </c>
      <c r="C865" s="1" t="str">
        <f>IFERROR(VLOOKUP(D865,'Planilha de Cadastro - Previsão'!$A$2:$O$1000,15,FALSE()),"")</f>
        <v/>
      </c>
      <c r="D865" s="1">
        <v>864</v>
      </c>
      <c r="E865" s="1"/>
      <c r="F865" s="1"/>
    </row>
    <row r="866" spans="1:6" x14ac:dyDescent="0.25">
      <c r="A866">
        <f>COUNTIF($C$2:C866,C866)</f>
        <v>865</v>
      </c>
      <c r="B866" s="1" t="str">
        <f t="shared" si="21"/>
        <v>865</v>
      </c>
      <c r="C866" s="1" t="str">
        <f>IFERROR(VLOOKUP(D866,'Planilha de Cadastro - Previsão'!$A$2:$O$1000,15,FALSE()),"")</f>
        <v/>
      </c>
      <c r="D866" s="1">
        <v>865</v>
      </c>
      <c r="E866" s="1"/>
      <c r="F866" s="1"/>
    </row>
    <row r="867" spans="1:6" x14ac:dyDescent="0.25">
      <c r="A867">
        <f>COUNTIF($C$2:C867,C867)</f>
        <v>866</v>
      </c>
      <c r="B867" s="1" t="str">
        <f t="shared" si="21"/>
        <v>866</v>
      </c>
      <c r="C867" s="1" t="str">
        <f>IFERROR(VLOOKUP(D867,'Planilha de Cadastro - Previsão'!$A$2:$O$1000,15,FALSE()),"")</f>
        <v/>
      </c>
      <c r="D867" s="1">
        <v>866</v>
      </c>
      <c r="E867" s="1"/>
      <c r="F867" s="1"/>
    </row>
    <row r="868" spans="1:6" x14ac:dyDescent="0.25">
      <c r="A868">
        <f>COUNTIF($C$2:C868,C868)</f>
        <v>867</v>
      </c>
      <c r="B868" s="1" t="str">
        <f t="shared" si="21"/>
        <v>867</v>
      </c>
      <c r="C868" s="1" t="str">
        <f>IFERROR(VLOOKUP(D868,'Planilha de Cadastro - Previsão'!$A$2:$O$1000,15,FALSE()),"")</f>
        <v/>
      </c>
      <c r="D868" s="1">
        <v>867</v>
      </c>
      <c r="E868" s="1"/>
      <c r="F868" s="1"/>
    </row>
    <row r="869" spans="1:6" x14ac:dyDescent="0.25">
      <c r="A869">
        <f>COUNTIF($C$2:C869,C869)</f>
        <v>868</v>
      </c>
      <c r="B869" s="1" t="str">
        <f t="shared" si="21"/>
        <v>868</v>
      </c>
      <c r="C869" s="1" t="str">
        <f>IFERROR(VLOOKUP(D869,'Planilha de Cadastro - Previsão'!$A$2:$O$1000,15,FALSE()),"")</f>
        <v/>
      </c>
      <c r="D869" s="1">
        <v>868</v>
      </c>
      <c r="E869" s="1"/>
      <c r="F869" s="1"/>
    </row>
    <row r="870" spans="1:6" x14ac:dyDescent="0.25">
      <c r="A870">
        <f>COUNTIF($C$2:C870,C870)</f>
        <v>869</v>
      </c>
      <c r="B870" s="1" t="str">
        <f t="shared" si="21"/>
        <v>869</v>
      </c>
      <c r="C870" s="1" t="str">
        <f>IFERROR(VLOOKUP(D870,'Planilha de Cadastro - Previsão'!$A$2:$O$1000,15,FALSE()),"")</f>
        <v/>
      </c>
      <c r="D870" s="1">
        <v>869</v>
      </c>
      <c r="E870" s="1"/>
      <c r="F870" s="1"/>
    </row>
    <row r="871" spans="1:6" x14ac:dyDescent="0.25">
      <c r="A871">
        <f>COUNTIF($C$2:C871,C871)</f>
        <v>870</v>
      </c>
      <c r="B871" s="1" t="str">
        <f t="shared" si="21"/>
        <v>870</v>
      </c>
      <c r="C871" s="1" t="str">
        <f>IFERROR(VLOOKUP(D871,'Planilha de Cadastro - Previsão'!$A$2:$O$1000,15,FALSE()),"")</f>
        <v/>
      </c>
      <c r="D871" s="1">
        <v>870</v>
      </c>
      <c r="E871" s="1"/>
      <c r="F871" s="1"/>
    </row>
    <row r="872" spans="1:6" x14ac:dyDescent="0.25">
      <c r="A872">
        <f>COUNTIF($C$2:C872,C872)</f>
        <v>871</v>
      </c>
      <c r="B872" s="1" t="str">
        <f t="shared" si="21"/>
        <v>871</v>
      </c>
      <c r="C872" s="1" t="str">
        <f>IFERROR(VLOOKUP(D872,'Planilha de Cadastro - Previsão'!$A$2:$O$1000,15,FALSE()),"")</f>
        <v/>
      </c>
      <c r="D872" s="1">
        <v>871</v>
      </c>
      <c r="E872" s="1"/>
      <c r="F872" s="1"/>
    </row>
    <row r="873" spans="1:6" x14ac:dyDescent="0.25">
      <c r="A873">
        <f>COUNTIF($C$2:C873,C873)</f>
        <v>872</v>
      </c>
      <c r="B873" s="1" t="str">
        <f t="shared" si="21"/>
        <v>872</v>
      </c>
      <c r="C873" s="1" t="str">
        <f>IFERROR(VLOOKUP(D873,'Planilha de Cadastro - Previsão'!$A$2:$O$1000,15,FALSE()),"")</f>
        <v/>
      </c>
      <c r="D873" s="1">
        <v>872</v>
      </c>
      <c r="E873" s="1"/>
      <c r="F873" s="1"/>
    </row>
    <row r="874" spans="1:6" x14ac:dyDescent="0.25">
      <c r="A874">
        <f>COUNTIF($C$2:C874,C874)</f>
        <v>873</v>
      </c>
      <c r="B874" s="1" t="str">
        <f t="shared" si="21"/>
        <v>873</v>
      </c>
      <c r="C874" s="1" t="str">
        <f>IFERROR(VLOOKUP(D874,'Planilha de Cadastro - Previsão'!$A$2:$O$1000,15,FALSE()),"")</f>
        <v/>
      </c>
      <c r="D874" s="1">
        <v>873</v>
      </c>
      <c r="E874" s="1"/>
      <c r="F874" s="1"/>
    </row>
    <row r="875" spans="1:6" x14ac:dyDescent="0.25">
      <c r="A875">
        <f>COUNTIF($C$2:C875,C875)</f>
        <v>874</v>
      </c>
      <c r="B875" s="1" t="str">
        <f t="shared" si="21"/>
        <v>874</v>
      </c>
      <c r="C875" s="1" t="str">
        <f>IFERROR(VLOOKUP(D875,'Planilha de Cadastro - Previsão'!$A$2:$O$1000,15,FALSE()),"")</f>
        <v/>
      </c>
      <c r="D875" s="1">
        <v>874</v>
      </c>
      <c r="E875" s="1"/>
      <c r="F875" s="1"/>
    </row>
    <row r="876" spans="1:6" x14ac:dyDescent="0.25">
      <c r="A876">
        <f>COUNTIF($C$2:C876,C876)</f>
        <v>875</v>
      </c>
      <c r="B876" s="1" t="str">
        <f t="shared" si="21"/>
        <v>875</v>
      </c>
      <c r="C876" s="1" t="str">
        <f>IFERROR(VLOOKUP(D876,'Planilha de Cadastro - Previsão'!$A$2:$O$1000,15,FALSE()),"")</f>
        <v/>
      </c>
      <c r="D876" s="1">
        <v>875</v>
      </c>
      <c r="E876" s="1"/>
      <c r="F876" s="1"/>
    </row>
    <row r="877" spans="1:6" x14ac:dyDescent="0.25">
      <c r="A877">
        <f>COUNTIF($C$2:C877,C877)</f>
        <v>876</v>
      </c>
      <c r="B877" s="1" t="str">
        <f t="shared" si="21"/>
        <v>876</v>
      </c>
      <c r="C877" s="1" t="str">
        <f>IFERROR(VLOOKUP(D877,'Planilha de Cadastro - Previsão'!$A$2:$O$1000,15,FALSE()),"")</f>
        <v/>
      </c>
      <c r="D877" s="1">
        <v>876</v>
      </c>
      <c r="E877" s="1"/>
      <c r="F877" s="1"/>
    </row>
    <row r="878" spans="1:6" x14ac:dyDescent="0.25">
      <c r="A878">
        <f>COUNTIF($C$2:C878,C878)</f>
        <v>877</v>
      </c>
      <c r="B878" s="1" t="str">
        <f t="shared" si="21"/>
        <v>877</v>
      </c>
      <c r="C878" s="1" t="str">
        <f>IFERROR(VLOOKUP(D878,'Planilha de Cadastro - Previsão'!$A$2:$O$1000,15,FALSE()),"")</f>
        <v/>
      </c>
      <c r="D878" s="1">
        <v>877</v>
      </c>
      <c r="E878" s="1"/>
      <c r="F878" s="1"/>
    </row>
    <row r="879" spans="1:6" x14ac:dyDescent="0.25">
      <c r="A879">
        <f>COUNTIF($C$2:C879,C879)</f>
        <v>878</v>
      </c>
      <c r="B879" s="1" t="str">
        <f t="shared" si="21"/>
        <v>878</v>
      </c>
      <c r="C879" s="1" t="str">
        <f>IFERROR(VLOOKUP(D879,'Planilha de Cadastro - Previsão'!$A$2:$O$1000,15,FALSE()),"")</f>
        <v/>
      </c>
      <c r="D879" s="1">
        <v>878</v>
      </c>
      <c r="E879" s="1"/>
      <c r="F879" s="1"/>
    </row>
    <row r="880" spans="1:6" x14ac:dyDescent="0.25">
      <c r="A880">
        <f>COUNTIF($C$2:C880,C880)</f>
        <v>879</v>
      </c>
      <c r="B880" s="1" t="str">
        <f t="shared" si="21"/>
        <v>879</v>
      </c>
      <c r="C880" s="1" t="str">
        <f>IFERROR(VLOOKUP(D880,'Planilha de Cadastro - Previsão'!$A$2:$O$1000,15,FALSE()),"")</f>
        <v/>
      </c>
      <c r="D880" s="1">
        <v>879</v>
      </c>
      <c r="E880" s="1"/>
      <c r="F880" s="1"/>
    </row>
    <row r="881" spans="1:6" x14ac:dyDescent="0.25">
      <c r="A881">
        <f>COUNTIF($C$2:C881,C881)</f>
        <v>880</v>
      </c>
      <c r="B881" s="1" t="str">
        <f t="shared" si="21"/>
        <v>880</v>
      </c>
      <c r="C881" s="1" t="str">
        <f>IFERROR(VLOOKUP(D881,'Planilha de Cadastro - Previsão'!$A$2:$O$1000,15,FALSE()),"")</f>
        <v/>
      </c>
      <c r="D881" s="1">
        <v>880</v>
      </c>
      <c r="E881" s="1"/>
      <c r="F881" s="1"/>
    </row>
    <row r="882" spans="1:6" x14ac:dyDescent="0.25">
      <c r="A882">
        <f>COUNTIF($C$2:C882,C882)</f>
        <v>881</v>
      </c>
      <c r="B882" s="1" t="str">
        <f t="shared" si="21"/>
        <v>881</v>
      </c>
      <c r="C882" s="1" t="str">
        <f>IFERROR(VLOOKUP(D882,'Planilha de Cadastro - Previsão'!$A$2:$O$1000,15,FALSE()),"")</f>
        <v/>
      </c>
      <c r="D882" s="1">
        <v>881</v>
      </c>
      <c r="E882" s="1"/>
      <c r="F882" s="1"/>
    </row>
    <row r="883" spans="1:6" x14ac:dyDescent="0.25">
      <c r="A883">
        <f>COUNTIF($C$2:C883,C883)</f>
        <v>882</v>
      </c>
      <c r="B883" s="1" t="str">
        <f t="shared" si="21"/>
        <v>882</v>
      </c>
      <c r="C883" s="1" t="str">
        <f>IFERROR(VLOOKUP(D883,'Planilha de Cadastro - Previsão'!$A$2:$O$1000,15,FALSE()),"")</f>
        <v/>
      </c>
      <c r="D883" s="1">
        <v>882</v>
      </c>
      <c r="E883" s="1"/>
      <c r="F883" s="1"/>
    </row>
    <row r="884" spans="1:6" x14ac:dyDescent="0.25">
      <c r="A884">
        <f>COUNTIF($C$2:C884,C884)</f>
        <v>883</v>
      </c>
      <c r="B884" s="1" t="str">
        <f t="shared" si="21"/>
        <v>883</v>
      </c>
      <c r="C884" s="1" t="str">
        <f>IFERROR(VLOOKUP(D884,'Planilha de Cadastro - Previsão'!$A$2:$O$1000,15,FALSE()),"")</f>
        <v/>
      </c>
      <c r="D884" s="1">
        <v>883</v>
      </c>
      <c r="E884" s="1"/>
      <c r="F884" s="1"/>
    </row>
    <row r="885" spans="1:6" x14ac:dyDescent="0.25">
      <c r="A885">
        <f>COUNTIF($C$2:C885,C885)</f>
        <v>884</v>
      </c>
      <c r="B885" s="1" t="str">
        <f t="shared" si="21"/>
        <v>884</v>
      </c>
      <c r="C885" s="1" t="str">
        <f>IFERROR(VLOOKUP(D885,'Planilha de Cadastro - Previsão'!$A$2:$O$1000,15,FALSE()),"")</f>
        <v/>
      </c>
      <c r="D885" s="1">
        <v>884</v>
      </c>
      <c r="E885" s="1"/>
      <c r="F885" s="1"/>
    </row>
    <row r="886" spans="1:6" x14ac:dyDescent="0.25">
      <c r="A886">
        <f>COUNTIF($C$2:C886,C886)</f>
        <v>885</v>
      </c>
      <c r="B886" s="1" t="str">
        <f t="shared" si="21"/>
        <v>885</v>
      </c>
      <c r="C886" s="1" t="str">
        <f>IFERROR(VLOOKUP(D886,'Planilha de Cadastro - Previsão'!$A$2:$O$1000,15,FALSE()),"")</f>
        <v/>
      </c>
      <c r="D886" s="1">
        <v>885</v>
      </c>
      <c r="E886" s="1"/>
      <c r="F886" s="1"/>
    </row>
    <row r="887" spans="1:6" x14ac:dyDescent="0.25">
      <c r="A887">
        <f>COUNTIF($C$2:C887,C887)</f>
        <v>886</v>
      </c>
      <c r="B887" s="1" t="str">
        <f t="shared" si="21"/>
        <v>886</v>
      </c>
      <c r="C887" s="1" t="str">
        <f>IFERROR(VLOOKUP(D887,'Planilha de Cadastro - Previsão'!$A$2:$O$1000,15,FALSE()),"")</f>
        <v/>
      </c>
      <c r="D887" s="1">
        <v>886</v>
      </c>
      <c r="E887" s="1"/>
      <c r="F887" s="1"/>
    </row>
    <row r="888" spans="1:6" x14ac:dyDescent="0.25">
      <c r="A888">
        <f>COUNTIF($C$2:C888,C888)</f>
        <v>887</v>
      </c>
      <c r="B888" s="1" t="str">
        <f t="shared" si="21"/>
        <v>887</v>
      </c>
      <c r="C888" s="1" t="str">
        <f>IFERROR(VLOOKUP(D888,'Planilha de Cadastro - Previsão'!$A$2:$O$1000,15,FALSE()),"")</f>
        <v/>
      </c>
      <c r="D888" s="1">
        <v>887</v>
      </c>
      <c r="E888" s="1"/>
      <c r="F888" s="1"/>
    </row>
    <row r="889" spans="1:6" x14ac:dyDescent="0.25">
      <c r="A889">
        <f>COUNTIF($C$2:C889,C889)</f>
        <v>888</v>
      </c>
      <c r="B889" s="1" t="str">
        <f t="shared" si="21"/>
        <v>888</v>
      </c>
      <c r="C889" s="1" t="str">
        <f>IFERROR(VLOOKUP(D889,'Planilha de Cadastro - Previsão'!$A$2:$O$1000,15,FALSE()),"")</f>
        <v/>
      </c>
      <c r="D889" s="1">
        <v>888</v>
      </c>
      <c r="E889" s="1"/>
      <c r="F889" s="1"/>
    </row>
    <row r="890" spans="1:6" x14ac:dyDescent="0.25">
      <c r="A890">
        <f>COUNTIF($C$2:C890,C890)</f>
        <v>889</v>
      </c>
      <c r="B890" s="1" t="str">
        <f t="shared" si="21"/>
        <v>889</v>
      </c>
      <c r="C890" s="1" t="str">
        <f>IFERROR(VLOOKUP(D890,'Planilha de Cadastro - Previsão'!$A$2:$O$1000,15,FALSE()),"")</f>
        <v/>
      </c>
      <c r="D890" s="1">
        <v>889</v>
      </c>
      <c r="E890" s="1"/>
      <c r="F890" s="1"/>
    </row>
    <row r="891" spans="1:6" x14ac:dyDescent="0.25">
      <c r="A891">
        <f>COUNTIF($C$2:C891,C891)</f>
        <v>890</v>
      </c>
      <c r="B891" s="1" t="str">
        <f t="shared" si="21"/>
        <v>890</v>
      </c>
      <c r="C891" s="1" t="str">
        <f>IFERROR(VLOOKUP(D891,'Planilha de Cadastro - Previsão'!$A$2:$O$1000,15,FALSE()),"")</f>
        <v/>
      </c>
      <c r="D891" s="1">
        <v>890</v>
      </c>
      <c r="E891" s="1"/>
      <c r="F891" s="1"/>
    </row>
    <row r="892" spans="1:6" x14ac:dyDescent="0.25">
      <c r="A892">
        <f>COUNTIF($C$2:C892,C892)</f>
        <v>891</v>
      </c>
      <c r="B892" s="1" t="str">
        <f t="shared" si="21"/>
        <v>891</v>
      </c>
      <c r="C892" s="1" t="str">
        <f>IFERROR(VLOOKUP(D892,'Planilha de Cadastro - Previsão'!$A$2:$O$1000,15,FALSE()),"")</f>
        <v/>
      </c>
      <c r="D892" s="1">
        <v>891</v>
      </c>
      <c r="E892" s="1"/>
      <c r="F892" s="1"/>
    </row>
    <row r="893" spans="1:6" x14ac:dyDescent="0.25">
      <c r="A893">
        <f>COUNTIF($C$2:C893,C893)</f>
        <v>892</v>
      </c>
      <c r="B893" s="1" t="str">
        <f t="shared" si="21"/>
        <v>892</v>
      </c>
      <c r="C893" s="1" t="str">
        <f>IFERROR(VLOOKUP(D893,'Planilha de Cadastro - Previsão'!$A$2:$O$1000,15,FALSE()),"")</f>
        <v/>
      </c>
      <c r="D893" s="1">
        <v>892</v>
      </c>
      <c r="E893" s="1"/>
      <c r="F893" s="1"/>
    </row>
    <row r="894" spans="1:6" x14ac:dyDescent="0.25">
      <c r="A894">
        <f>COUNTIF($C$2:C894,C894)</f>
        <v>893</v>
      </c>
      <c r="B894" s="1" t="str">
        <f t="shared" si="21"/>
        <v>893</v>
      </c>
      <c r="C894" s="1" t="str">
        <f>IFERROR(VLOOKUP(D894,'Planilha de Cadastro - Previsão'!$A$2:$O$1000,15,FALSE()),"")</f>
        <v/>
      </c>
      <c r="D894" s="1">
        <v>893</v>
      </c>
      <c r="E894" s="1"/>
      <c r="F894" s="1"/>
    </row>
    <row r="895" spans="1:6" x14ac:dyDescent="0.25">
      <c r="A895">
        <f>COUNTIF($C$2:C895,C895)</f>
        <v>894</v>
      </c>
      <c r="B895" s="1" t="str">
        <f t="shared" si="21"/>
        <v>894</v>
      </c>
      <c r="C895" s="1" t="str">
        <f>IFERROR(VLOOKUP(D895,'Planilha de Cadastro - Previsão'!$A$2:$O$1000,15,FALSE()),"")</f>
        <v/>
      </c>
      <c r="D895" s="1">
        <v>894</v>
      </c>
      <c r="E895" s="1"/>
      <c r="F895" s="1"/>
    </row>
    <row r="896" spans="1:6" x14ac:dyDescent="0.25">
      <c r="A896">
        <f>COUNTIF($C$2:C896,C896)</f>
        <v>895</v>
      </c>
      <c r="B896" s="1" t="str">
        <f t="shared" si="21"/>
        <v>895</v>
      </c>
      <c r="C896" s="1" t="str">
        <f>IFERROR(VLOOKUP(D896,'Planilha de Cadastro - Previsão'!$A$2:$O$1000,15,FALSE()),"")</f>
        <v/>
      </c>
      <c r="D896" s="1">
        <v>895</v>
      </c>
      <c r="E896" s="1"/>
      <c r="F896" s="1"/>
    </row>
    <row r="897" spans="1:6" x14ac:dyDescent="0.25">
      <c r="A897">
        <f>COUNTIF($C$2:C897,C897)</f>
        <v>896</v>
      </c>
      <c r="B897" s="1" t="str">
        <f t="shared" si="21"/>
        <v>896</v>
      </c>
      <c r="C897" s="1" t="str">
        <f>IFERROR(VLOOKUP(D897,'Planilha de Cadastro - Previsão'!$A$2:$O$1000,15,FALSE()),"")</f>
        <v/>
      </c>
      <c r="D897" s="1">
        <v>896</v>
      </c>
      <c r="E897" s="1"/>
      <c r="F897" s="1"/>
    </row>
    <row r="898" spans="1:6" x14ac:dyDescent="0.25">
      <c r="A898">
        <f>COUNTIF($C$2:C898,C898)</f>
        <v>897</v>
      </c>
      <c r="B898" s="1" t="str">
        <f t="shared" si="21"/>
        <v>897</v>
      </c>
      <c r="C898" s="1" t="str">
        <f>IFERROR(VLOOKUP(D898,'Planilha de Cadastro - Previsão'!$A$2:$O$1000,15,FALSE()),"")</f>
        <v/>
      </c>
      <c r="D898" s="1">
        <v>897</v>
      </c>
      <c r="E898" s="1"/>
      <c r="F898" s="1"/>
    </row>
    <row r="899" spans="1:6" x14ac:dyDescent="0.25">
      <c r="A899">
        <f>COUNTIF($C$2:C899,C899)</f>
        <v>898</v>
      </c>
      <c r="B899" s="1" t="str">
        <f t="shared" ref="B899:B962" si="22">IFERROR(CONCATENATE(C899,A899),"")</f>
        <v>898</v>
      </c>
      <c r="C899" s="1" t="str">
        <f>IFERROR(VLOOKUP(D899,'Planilha de Cadastro - Previsão'!$A$2:$O$1000,15,FALSE()),"")</f>
        <v/>
      </c>
      <c r="D899" s="1">
        <v>898</v>
      </c>
      <c r="E899" s="1"/>
      <c r="F899" s="1"/>
    </row>
    <row r="900" spans="1:6" x14ac:dyDescent="0.25">
      <c r="A900">
        <f>COUNTIF($C$2:C900,C900)</f>
        <v>899</v>
      </c>
      <c r="B900" s="1" t="str">
        <f t="shared" si="22"/>
        <v>899</v>
      </c>
      <c r="C900" s="1" t="str">
        <f>IFERROR(VLOOKUP(D900,'Planilha de Cadastro - Previsão'!$A$2:$O$1000,15,FALSE()),"")</f>
        <v/>
      </c>
      <c r="D900" s="1">
        <v>899</v>
      </c>
      <c r="E900" s="1"/>
      <c r="F900" s="1"/>
    </row>
    <row r="901" spans="1:6" x14ac:dyDescent="0.25">
      <c r="A901">
        <f>COUNTIF($C$2:C901,C901)</f>
        <v>900</v>
      </c>
      <c r="B901" s="1" t="str">
        <f t="shared" si="22"/>
        <v>900</v>
      </c>
      <c r="C901" s="1" t="str">
        <f>IFERROR(VLOOKUP(D901,'Planilha de Cadastro - Previsão'!$A$2:$O$1000,15,FALSE()),"")</f>
        <v/>
      </c>
      <c r="D901" s="1">
        <v>900</v>
      </c>
      <c r="E901" s="1"/>
      <c r="F901" s="1"/>
    </row>
    <row r="902" spans="1:6" x14ac:dyDescent="0.25">
      <c r="A902">
        <f>COUNTIF($C$2:C902,C902)</f>
        <v>901</v>
      </c>
      <c r="B902" s="1" t="str">
        <f t="shared" si="22"/>
        <v>901</v>
      </c>
      <c r="C902" s="1" t="str">
        <f>IFERROR(VLOOKUP(D902,'Planilha de Cadastro - Previsão'!$A$2:$O$1000,15,FALSE()),"")</f>
        <v/>
      </c>
      <c r="D902" s="1">
        <v>901</v>
      </c>
      <c r="E902" s="1"/>
      <c r="F902" s="1"/>
    </row>
    <row r="903" spans="1:6" x14ac:dyDescent="0.25">
      <c r="A903">
        <f>COUNTIF($C$2:C903,C903)</f>
        <v>902</v>
      </c>
      <c r="B903" s="1" t="str">
        <f t="shared" si="22"/>
        <v>902</v>
      </c>
      <c r="C903" s="1" t="str">
        <f>IFERROR(VLOOKUP(D903,'Planilha de Cadastro - Previsão'!$A$2:$O$1000,15,FALSE()),"")</f>
        <v/>
      </c>
      <c r="D903" s="1">
        <v>902</v>
      </c>
      <c r="E903" s="1"/>
      <c r="F903" s="1"/>
    </row>
    <row r="904" spans="1:6" x14ac:dyDescent="0.25">
      <c r="A904">
        <f>COUNTIF($C$2:C904,C904)</f>
        <v>903</v>
      </c>
      <c r="B904" s="1" t="str">
        <f t="shared" si="22"/>
        <v>903</v>
      </c>
      <c r="C904" s="1" t="str">
        <f>IFERROR(VLOOKUP(D904,'Planilha de Cadastro - Previsão'!$A$2:$O$1000,15,FALSE()),"")</f>
        <v/>
      </c>
      <c r="D904" s="1">
        <v>903</v>
      </c>
      <c r="E904" s="1"/>
      <c r="F904" s="1"/>
    </row>
    <row r="905" spans="1:6" x14ac:dyDescent="0.25">
      <c r="A905">
        <f>COUNTIF($C$2:C905,C905)</f>
        <v>904</v>
      </c>
      <c r="B905" s="1" t="str">
        <f t="shared" si="22"/>
        <v>904</v>
      </c>
      <c r="C905" s="1" t="str">
        <f>IFERROR(VLOOKUP(D905,'Planilha de Cadastro - Previsão'!$A$2:$O$1000,15,FALSE()),"")</f>
        <v/>
      </c>
      <c r="D905" s="1">
        <v>904</v>
      </c>
      <c r="E905" s="1"/>
      <c r="F905" s="1"/>
    </row>
    <row r="906" spans="1:6" x14ac:dyDescent="0.25">
      <c r="A906">
        <f>COUNTIF($C$2:C906,C906)</f>
        <v>905</v>
      </c>
      <c r="B906" s="1" t="str">
        <f t="shared" si="22"/>
        <v>905</v>
      </c>
      <c r="C906" s="1" t="str">
        <f>IFERROR(VLOOKUP(D906,'Planilha de Cadastro - Previsão'!$A$2:$O$1000,15,FALSE()),"")</f>
        <v/>
      </c>
      <c r="D906" s="1">
        <v>905</v>
      </c>
      <c r="E906" s="1"/>
      <c r="F906" s="1"/>
    </row>
    <row r="907" spans="1:6" x14ac:dyDescent="0.25">
      <c r="A907">
        <f>COUNTIF($C$2:C907,C907)</f>
        <v>906</v>
      </c>
      <c r="B907" s="1" t="str">
        <f t="shared" si="22"/>
        <v>906</v>
      </c>
      <c r="C907" s="1" t="str">
        <f>IFERROR(VLOOKUP(D907,'Planilha de Cadastro - Previsão'!$A$2:$O$1000,15,FALSE()),"")</f>
        <v/>
      </c>
      <c r="D907" s="1">
        <v>906</v>
      </c>
      <c r="E907" s="1"/>
      <c r="F907" s="1"/>
    </row>
    <row r="908" spans="1:6" x14ac:dyDescent="0.25">
      <c r="A908">
        <f>COUNTIF($C$2:C908,C908)</f>
        <v>907</v>
      </c>
      <c r="B908" s="1" t="str">
        <f t="shared" si="22"/>
        <v>907</v>
      </c>
      <c r="C908" s="1" t="str">
        <f>IFERROR(VLOOKUP(D908,'Planilha de Cadastro - Previsão'!$A$2:$O$1000,15,FALSE()),"")</f>
        <v/>
      </c>
      <c r="D908" s="1">
        <v>907</v>
      </c>
      <c r="E908" s="1"/>
      <c r="F908" s="1"/>
    </row>
    <row r="909" spans="1:6" x14ac:dyDescent="0.25">
      <c r="A909">
        <f>COUNTIF($C$2:C909,C909)</f>
        <v>908</v>
      </c>
      <c r="B909" s="1" t="str">
        <f t="shared" si="22"/>
        <v>908</v>
      </c>
      <c r="C909" s="1" t="str">
        <f>IFERROR(VLOOKUP(D909,'Planilha de Cadastro - Previsão'!$A$2:$O$1000,15,FALSE()),"")</f>
        <v/>
      </c>
      <c r="D909" s="1">
        <v>908</v>
      </c>
      <c r="E909" s="1"/>
      <c r="F909" s="1"/>
    </row>
    <row r="910" spans="1:6" x14ac:dyDescent="0.25">
      <c r="A910">
        <f>COUNTIF($C$2:C910,C910)</f>
        <v>909</v>
      </c>
      <c r="B910" s="1" t="str">
        <f t="shared" si="22"/>
        <v>909</v>
      </c>
      <c r="C910" s="1" t="str">
        <f>IFERROR(VLOOKUP(D910,'Planilha de Cadastro - Previsão'!$A$2:$O$1000,15,FALSE()),"")</f>
        <v/>
      </c>
      <c r="D910" s="1">
        <v>909</v>
      </c>
      <c r="E910" s="1"/>
      <c r="F910" s="1"/>
    </row>
    <row r="911" spans="1:6" x14ac:dyDescent="0.25">
      <c r="A911">
        <f>COUNTIF($C$2:C911,C911)</f>
        <v>910</v>
      </c>
      <c r="B911" s="1" t="str">
        <f t="shared" si="22"/>
        <v>910</v>
      </c>
      <c r="C911" s="1" t="str">
        <f>IFERROR(VLOOKUP(D911,'Planilha de Cadastro - Previsão'!$A$2:$O$1000,15,FALSE()),"")</f>
        <v/>
      </c>
      <c r="D911" s="1">
        <v>910</v>
      </c>
      <c r="E911" s="1"/>
      <c r="F911" s="1"/>
    </row>
    <row r="912" spans="1:6" x14ac:dyDescent="0.25">
      <c r="A912">
        <f>COUNTIF($C$2:C912,C912)</f>
        <v>911</v>
      </c>
      <c r="B912" s="1" t="str">
        <f t="shared" si="22"/>
        <v>911</v>
      </c>
      <c r="C912" s="1" t="str">
        <f>IFERROR(VLOOKUP(D912,'Planilha de Cadastro - Previsão'!$A$2:$O$1000,15,FALSE()),"")</f>
        <v/>
      </c>
      <c r="D912" s="1">
        <v>911</v>
      </c>
      <c r="E912" s="1"/>
      <c r="F912" s="1"/>
    </row>
    <row r="913" spans="1:6" x14ac:dyDescent="0.25">
      <c r="A913">
        <f>COUNTIF($C$2:C913,C913)</f>
        <v>912</v>
      </c>
      <c r="B913" s="1" t="str">
        <f t="shared" si="22"/>
        <v>912</v>
      </c>
      <c r="C913" s="1" t="str">
        <f>IFERROR(VLOOKUP(D913,'Planilha de Cadastro - Previsão'!$A$2:$O$1000,15,FALSE()),"")</f>
        <v/>
      </c>
      <c r="D913" s="1">
        <v>912</v>
      </c>
      <c r="E913" s="1"/>
      <c r="F913" s="1"/>
    </row>
    <row r="914" spans="1:6" x14ac:dyDescent="0.25">
      <c r="A914">
        <f>COUNTIF($C$2:C914,C914)</f>
        <v>913</v>
      </c>
      <c r="B914" s="1" t="str">
        <f t="shared" si="22"/>
        <v>913</v>
      </c>
      <c r="C914" s="1" t="str">
        <f>IFERROR(VLOOKUP(D914,'Planilha de Cadastro - Previsão'!$A$2:$O$1000,15,FALSE()),"")</f>
        <v/>
      </c>
      <c r="D914" s="1">
        <v>913</v>
      </c>
      <c r="E914" s="1"/>
      <c r="F914" s="1"/>
    </row>
    <row r="915" spans="1:6" x14ac:dyDescent="0.25">
      <c r="A915">
        <f>COUNTIF($C$2:C915,C915)</f>
        <v>914</v>
      </c>
      <c r="B915" s="1" t="str">
        <f t="shared" si="22"/>
        <v>914</v>
      </c>
      <c r="C915" s="1" t="str">
        <f>IFERROR(VLOOKUP(D915,'Planilha de Cadastro - Previsão'!$A$2:$O$1000,15,FALSE()),"")</f>
        <v/>
      </c>
      <c r="D915" s="1">
        <v>914</v>
      </c>
      <c r="E915" s="1"/>
      <c r="F915" s="1"/>
    </row>
    <row r="916" spans="1:6" x14ac:dyDescent="0.25">
      <c r="A916">
        <f>COUNTIF($C$2:C916,C916)</f>
        <v>915</v>
      </c>
      <c r="B916" s="1" t="str">
        <f t="shared" si="22"/>
        <v>915</v>
      </c>
      <c r="C916" s="1" t="str">
        <f>IFERROR(VLOOKUP(D916,'Planilha de Cadastro - Previsão'!$A$2:$O$1000,15,FALSE()),"")</f>
        <v/>
      </c>
      <c r="D916" s="1">
        <v>915</v>
      </c>
      <c r="E916" s="1"/>
      <c r="F916" s="1"/>
    </row>
    <row r="917" spans="1:6" x14ac:dyDescent="0.25">
      <c r="A917">
        <f>COUNTIF($C$2:C917,C917)</f>
        <v>916</v>
      </c>
      <c r="B917" s="1" t="str">
        <f t="shared" si="22"/>
        <v>916</v>
      </c>
      <c r="C917" s="1" t="str">
        <f>IFERROR(VLOOKUP(D917,'Planilha de Cadastro - Previsão'!$A$2:$O$1000,15,FALSE()),"")</f>
        <v/>
      </c>
      <c r="D917" s="1">
        <v>916</v>
      </c>
      <c r="E917" s="1"/>
      <c r="F917" s="1"/>
    </row>
    <row r="918" spans="1:6" x14ac:dyDescent="0.25">
      <c r="A918">
        <f>COUNTIF($C$2:C918,C918)</f>
        <v>917</v>
      </c>
      <c r="B918" s="1" t="str">
        <f t="shared" si="22"/>
        <v>917</v>
      </c>
      <c r="C918" s="1" t="str">
        <f>IFERROR(VLOOKUP(D918,'Planilha de Cadastro - Previsão'!$A$2:$O$1000,15,FALSE()),"")</f>
        <v/>
      </c>
      <c r="D918" s="1">
        <v>917</v>
      </c>
      <c r="E918" s="1"/>
      <c r="F918" s="1"/>
    </row>
    <row r="919" spans="1:6" x14ac:dyDescent="0.25">
      <c r="A919">
        <f>COUNTIF($C$2:C919,C919)</f>
        <v>918</v>
      </c>
      <c r="B919" s="1" t="str">
        <f t="shared" si="22"/>
        <v>918</v>
      </c>
      <c r="C919" s="1" t="str">
        <f>IFERROR(VLOOKUP(D919,'Planilha de Cadastro - Previsão'!$A$2:$O$1000,15,FALSE()),"")</f>
        <v/>
      </c>
      <c r="D919" s="1">
        <v>918</v>
      </c>
      <c r="E919" s="1"/>
      <c r="F919" s="1"/>
    </row>
    <row r="920" spans="1:6" x14ac:dyDescent="0.25">
      <c r="A920">
        <f>COUNTIF($C$2:C920,C920)</f>
        <v>919</v>
      </c>
      <c r="B920" s="1" t="str">
        <f t="shared" si="22"/>
        <v>919</v>
      </c>
      <c r="C920" s="1" t="str">
        <f>IFERROR(VLOOKUP(D920,'Planilha de Cadastro - Previsão'!$A$2:$O$1000,15,FALSE()),"")</f>
        <v/>
      </c>
      <c r="D920" s="1">
        <v>919</v>
      </c>
      <c r="E920" s="1"/>
      <c r="F920" s="1"/>
    </row>
    <row r="921" spans="1:6" x14ac:dyDescent="0.25">
      <c r="A921">
        <f>COUNTIF($C$2:C921,C921)</f>
        <v>920</v>
      </c>
      <c r="B921" s="1" t="str">
        <f t="shared" si="22"/>
        <v>920</v>
      </c>
      <c r="C921" s="1" t="str">
        <f>IFERROR(VLOOKUP(D921,'Planilha de Cadastro - Previsão'!$A$2:$O$1000,15,FALSE()),"")</f>
        <v/>
      </c>
      <c r="D921" s="1">
        <v>920</v>
      </c>
      <c r="E921" s="1"/>
      <c r="F921" s="1"/>
    </row>
    <row r="922" spans="1:6" x14ac:dyDescent="0.25">
      <c r="A922">
        <f>COUNTIF($C$2:C922,C922)</f>
        <v>921</v>
      </c>
      <c r="B922" s="1" t="str">
        <f t="shared" si="22"/>
        <v>921</v>
      </c>
      <c r="C922" s="1" t="str">
        <f>IFERROR(VLOOKUP(D922,'Planilha de Cadastro - Previsão'!$A$2:$O$1000,15,FALSE()),"")</f>
        <v/>
      </c>
      <c r="D922" s="1">
        <v>921</v>
      </c>
      <c r="E922" s="1"/>
      <c r="F922" s="1"/>
    </row>
    <row r="923" spans="1:6" x14ac:dyDescent="0.25">
      <c r="A923">
        <f>COUNTIF($C$2:C923,C923)</f>
        <v>922</v>
      </c>
      <c r="B923" s="1" t="str">
        <f t="shared" si="22"/>
        <v>922</v>
      </c>
      <c r="C923" s="1" t="str">
        <f>IFERROR(VLOOKUP(D923,'Planilha de Cadastro - Previsão'!$A$2:$O$1000,15,FALSE()),"")</f>
        <v/>
      </c>
      <c r="D923" s="1">
        <v>922</v>
      </c>
      <c r="E923" s="1"/>
      <c r="F923" s="1"/>
    </row>
    <row r="924" spans="1:6" x14ac:dyDescent="0.25">
      <c r="A924">
        <f>COUNTIF($C$2:C924,C924)</f>
        <v>923</v>
      </c>
      <c r="B924" s="1" t="str">
        <f t="shared" si="22"/>
        <v>923</v>
      </c>
      <c r="C924" s="1" t="str">
        <f>IFERROR(VLOOKUP(D924,'Planilha de Cadastro - Previsão'!$A$2:$O$1000,15,FALSE()),"")</f>
        <v/>
      </c>
      <c r="D924" s="1">
        <v>923</v>
      </c>
      <c r="E924" s="1"/>
      <c r="F924" s="1"/>
    </row>
    <row r="925" spans="1:6" x14ac:dyDescent="0.25">
      <c r="A925">
        <f>COUNTIF($C$2:C925,C925)</f>
        <v>924</v>
      </c>
      <c r="B925" s="1" t="str">
        <f t="shared" si="22"/>
        <v>924</v>
      </c>
      <c r="C925" s="1" t="str">
        <f>IFERROR(VLOOKUP(D925,'Planilha de Cadastro - Previsão'!$A$2:$O$1000,15,FALSE()),"")</f>
        <v/>
      </c>
      <c r="D925" s="1">
        <v>924</v>
      </c>
      <c r="E925" s="1"/>
      <c r="F925" s="1"/>
    </row>
    <row r="926" spans="1:6" x14ac:dyDescent="0.25">
      <c r="A926">
        <f>COUNTIF($C$2:C926,C926)</f>
        <v>925</v>
      </c>
      <c r="B926" s="1" t="str">
        <f t="shared" si="22"/>
        <v>925</v>
      </c>
      <c r="C926" s="1" t="str">
        <f>IFERROR(VLOOKUP(D926,'Planilha de Cadastro - Previsão'!$A$2:$O$1000,15,FALSE()),"")</f>
        <v/>
      </c>
      <c r="D926" s="1">
        <v>925</v>
      </c>
      <c r="E926" s="1"/>
      <c r="F926" s="1"/>
    </row>
    <row r="927" spans="1:6" x14ac:dyDescent="0.25">
      <c r="A927">
        <f>COUNTIF($C$2:C927,C927)</f>
        <v>926</v>
      </c>
      <c r="B927" s="1" t="str">
        <f t="shared" si="22"/>
        <v>926</v>
      </c>
      <c r="C927" s="1" t="str">
        <f>IFERROR(VLOOKUP(D927,'Planilha de Cadastro - Previsão'!$A$2:$O$1000,15,FALSE()),"")</f>
        <v/>
      </c>
      <c r="D927" s="1">
        <v>926</v>
      </c>
      <c r="E927" s="1"/>
      <c r="F927" s="1"/>
    </row>
    <row r="928" spans="1:6" x14ac:dyDescent="0.25">
      <c r="A928">
        <f>COUNTIF($C$2:C928,C928)</f>
        <v>927</v>
      </c>
      <c r="B928" s="1" t="str">
        <f t="shared" si="22"/>
        <v>927</v>
      </c>
      <c r="C928" s="1" t="str">
        <f>IFERROR(VLOOKUP(D928,'Planilha de Cadastro - Previsão'!$A$2:$O$1000,15,FALSE()),"")</f>
        <v/>
      </c>
      <c r="D928" s="1">
        <v>927</v>
      </c>
      <c r="E928" s="1"/>
      <c r="F928" s="1"/>
    </row>
    <row r="929" spans="1:6" x14ac:dyDescent="0.25">
      <c r="A929">
        <f>COUNTIF($C$2:C929,C929)</f>
        <v>928</v>
      </c>
      <c r="B929" s="1" t="str">
        <f t="shared" si="22"/>
        <v>928</v>
      </c>
      <c r="C929" s="1" t="str">
        <f>IFERROR(VLOOKUP(D929,'Planilha de Cadastro - Previsão'!$A$2:$O$1000,15,FALSE()),"")</f>
        <v/>
      </c>
      <c r="D929" s="1">
        <v>928</v>
      </c>
      <c r="E929" s="1"/>
      <c r="F929" s="1"/>
    </row>
    <row r="930" spans="1:6" x14ac:dyDescent="0.25">
      <c r="A930">
        <f>COUNTIF($C$2:C930,C930)</f>
        <v>929</v>
      </c>
      <c r="B930" s="1" t="str">
        <f t="shared" si="22"/>
        <v>929</v>
      </c>
      <c r="C930" s="1" t="str">
        <f>IFERROR(VLOOKUP(D930,'Planilha de Cadastro - Previsão'!$A$2:$O$1000,15,FALSE()),"")</f>
        <v/>
      </c>
      <c r="D930" s="1">
        <v>929</v>
      </c>
      <c r="E930" s="1"/>
      <c r="F930" s="1"/>
    </row>
    <row r="931" spans="1:6" x14ac:dyDescent="0.25">
      <c r="A931">
        <f>COUNTIF($C$2:C931,C931)</f>
        <v>930</v>
      </c>
      <c r="B931" s="1" t="str">
        <f t="shared" si="22"/>
        <v>930</v>
      </c>
      <c r="C931" s="1" t="str">
        <f>IFERROR(VLOOKUP(D931,'Planilha de Cadastro - Previsão'!$A$2:$O$1000,15,FALSE()),"")</f>
        <v/>
      </c>
      <c r="D931" s="1">
        <v>930</v>
      </c>
      <c r="E931" s="1"/>
      <c r="F931" s="1"/>
    </row>
    <row r="932" spans="1:6" x14ac:dyDescent="0.25">
      <c r="A932">
        <f>COUNTIF($C$2:C932,C932)</f>
        <v>931</v>
      </c>
      <c r="B932" s="1" t="str">
        <f t="shared" si="22"/>
        <v>931</v>
      </c>
      <c r="C932" s="1" t="str">
        <f>IFERROR(VLOOKUP(D932,'Planilha de Cadastro - Previsão'!$A$2:$O$1000,15,FALSE()),"")</f>
        <v/>
      </c>
      <c r="D932" s="1">
        <v>931</v>
      </c>
      <c r="E932" s="1"/>
      <c r="F932" s="1"/>
    </row>
    <row r="933" spans="1:6" x14ac:dyDescent="0.25">
      <c r="A933">
        <f>COUNTIF($C$2:C933,C933)</f>
        <v>932</v>
      </c>
      <c r="B933" s="1" t="str">
        <f t="shared" si="22"/>
        <v>932</v>
      </c>
      <c r="C933" s="1" t="str">
        <f>IFERROR(VLOOKUP(D933,'Planilha de Cadastro - Previsão'!$A$2:$O$1000,15,FALSE()),"")</f>
        <v/>
      </c>
      <c r="D933" s="1">
        <v>932</v>
      </c>
      <c r="E933" s="1"/>
      <c r="F933" s="1"/>
    </row>
    <row r="934" spans="1:6" x14ac:dyDescent="0.25">
      <c r="A934">
        <f>COUNTIF($C$2:C934,C934)</f>
        <v>933</v>
      </c>
      <c r="B934" s="1" t="str">
        <f t="shared" si="22"/>
        <v>933</v>
      </c>
      <c r="C934" s="1" t="str">
        <f>IFERROR(VLOOKUP(D934,'Planilha de Cadastro - Previsão'!$A$2:$O$1000,15,FALSE()),"")</f>
        <v/>
      </c>
      <c r="D934" s="1">
        <v>933</v>
      </c>
      <c r="E934" s="1"/>
      <c r="F934" s="1"/>
    </row>
    <row r="935" spans="1:6" x14ac:dyDescent="0.25">
      <c r="A935">
        <f>COUNTIF($C$2:C935,C935)</f>
        <v>934</v>
      </c>
      <c r="B935" s="1" t="str">
        <f t="shared" si="22"/>
        <v>934</v>
      </c>
      <c r="C935" s="1" t="str">
        <f>IFERROR(VLOOKUP(D935,'Planilha de Cadastro - Previsão'!$A$2:$O$1000,15,FALSE()),"")</f>
        <v/>
      </c>
      <c r="D935" s="1">
        <v>934</v>
      </c>
      <c r="E935" s="1"/>
      <c r="F935" s="1"/>
    </row>
    <row r="936" spans="1:6" x14ac:dyDescent="0.25">
      <c r="A936">
        <f>COUNTIF($C$2:C936,C936)</f>
        <v>935</v>
      </c>
      <c r="B936" s="1" t="str">
        <f t="shared" si="22"/>
        <v>935</v>
      </c>
      <c r="C936" s="1" t="str">
        <f>IFERROR(VLOOKUP(D936,'Planilha de Cadastro - Previsão'!$A$2:$O$1000,15,FALSE()),"")</f>
        <v/>
      </c>
      <c r="D936" s="1">
        <v>935</v>
      </c>
      <c r="E936" s="1"/>
      <c r="F936" s="1"/>
    </row>
    <row r="937" spans="1:6" x14ac:dyDescent="0.25">
      <c r="A937">
        <f>COUNTIF($C$2:C937,C937)</f>
        <v>936</v>
      </c>
      <c r="B937" s="1" t="str">
        <f t="shared" si="22"/>
        <v>936</v>
      </c>
      <c r="C937" s="1" t="str">
        <f>IFERROR(VLOOKUP(D937,'Planilha de Cadastro - Previsão'!$A$2:$O$1000,15,FALSE()),"")</f>
        <v/>
      </c>
      <c r="D937" s="1">
        <v>936</v>
      </c>
      <c r="E937" s="1"/>
      <c r="F937" s="1"/>
    </row>
    <row r="938" spans="1:6" x14ac:dyDescent="0.25">
      <c r="A938">
        <f>COUNTIF($C$2:C938,C938)</f>
        <v>937</v>
      </c>
      <c r="B938" s="1" t="str">
        <f t="shared" si="22"/>
        <v>937</v>
      </c>
      <c r="C938" s="1" t="str">
        <f>IFERROR(VLOOKUP(D938,'Planilha de Cadastro - Previsão'!$A$2:$O$1000,15,FALSE()),"")</f>
        <v/>
      </c>
      <c r="D938" s="1">
        <v>937</v>
      </c>
      <c r="E938" s="1"/>
      <c r="F938" s="1"/>
    </row>
    <row r="939" spans="1:6" x14ac:dyDescent="0.25">
      <c r="A939">
        <f>COUNTIF($C$2:C939,C939)</f>
        <v>938</v>
      </c>
      <c r="B939" s="1" t="str">
        <f t="shared" si="22"/>
        <v>938</v>
      </c>
      <c r="C939" s="1" t="str">
        <f>IFERROR(VLOOKUP(D939,'Planilha de Cadastro - Previsão'!$A$2:$O$1000,15,FALSE()),"")</f>
        <v/>
      </c>
      <c r="D939" s="1">
        <v>938</v>
      </c>
      <c r="E939" s="1"/>
      <c r="F939" s="1"/>
    </row>
    <row r="940" spans="1:6" x14ac:dyDescent="0.25">
      <c r="A940">
        <f>COUNTIF($C$2:C940,C940)</f>
        <v>939</v>
      </c>
      <c r="B940" s="1" t="str">
        <f t="shared" si="22"/>
        <v>939</v>
      </c>
      <c r="C940" s="1" t="str">
        <f>IFERROR(VLOOKUP(D940,'Planilha de Cadastro - Previsão'!$A$2:$O$1000,15,FALSE()),"")</f>
        <v/>
      </c>
      <c r="D940" s="1">
        <v>939</v>
      </c>
      <c r="E940" s="1"/>
      <c r="F940" s="1"/>
    </row>
    <row r="941" spans="1:6" x14ac:dyDescent="0.25">
      <c r="A941">
        <f>COUNTIF($C$2:C941,C941)</f>
        <v>940</v>
      </c>
      <c r="B941" s="1" t="str">
        <f t="shared" si="22"/>
        <v>940</v>
      </c>
      <c r="C941" s="1" t="str">
        <f>IFERROR(VLOOKUP(D941,'Planilha de Cadastro - Previsão'!$A$2:$O$1000,15,FALSE()),"")</f>
        <v/>
      </c>
      <c r="D941" s="1">
        <v>940</v>
      </c>
      <c r="E941" s="1"/>
      <c r="F941" s="1"/>
    </row>
    <row r="942" spans="1:6" x14ac:dyDescent="0.25">
      <c r="A942">
        <f>COUNTIF($C$2:C942,C942)</f>
        <v>941</v>
      </c>
      <c r="B942" s="1" t="str">
        <f t="shared" si="22"/>
        <v>941</v>
      </c>
      <c r="C942" s="1" t="str">
        <f>IFERROR(VLOOKUP(D942,'Planilha de Cadastro - Previsão'!$A$2:$O$1000,15,FALSE()),"")</f>
        <v/>
      </c>
      <c r="D942" s="1">
        <v>941</v>
      </c>
      <c r="E942" s="1"/>
      <c r="F942" s="1"/>
    </row>
    <row r="943" spans="1:6" x14ac:dyDescent="0.25">
      <c r="A943">
        <f>COUNTIF($C$2:C943,C943)</f>
        <v>942</v>
      </c>
      <c r="B943" s="1" t="str">
        <f t="shared" si="22"/>
        <v>942</v>
      </c>
      <c r="C943" s="1" t="str">
        <f>IFERROR(VLOOKUP(D943,'Planilha de Cadastro - Previsão'!$A$2:$O$1000,15,FALSE()),"")</f>
        <v/>
      </c>
      <c r="D943" s="1">
        <v>942</v>
      </c>
      <c r="E943" s="1"/>
      <c r="F943" s="1"/>
    </row>
    <row r="944" spans="1:6" x14ac:dyDescent="0.25">
      <c r="A944">
        <f>COUNTIF($C$2:C944,C944)</f>
        <v>943</v>
      </c>
      <c r="B944" s="1" t="str">
        <f t="shared" si="22"/>
        <v>943</v>
      </c>
      <c r="C944" s="1" t="str">
        <f>IFERROR(VLOOKUP(D944,'Planilha de Cadastro - Previsão'!$A$2:$O$1000,15,FALSE()),"")</f>
        <v/>
      </c>
      <c r="D944" s="1">
        <v>943</v>
      </c>
      <c r="E944" s="1"/>
      <c r="F944" s="1"/>
    </row>
    <row r="945" spans="1:6" x14ac:dyDescent="0.25">
      <c r="A945">
        <f>COUNTIF($C$2:C945,C945)</f>
        <v>944</v>
      </c>
      <c r="B945" s="1" t="str">
        <f t="shared" si="22"/>
        <v>944</v>
      </c>
      <c r="C945" s="1" t="str">
        <f>IFERROR(VLOOKUP(D945,'Planilha de Cadastro - Previsão'!$A$2:$O$1000,15,FALSE()),"")</f>
        <v/>
      </c>
      <c r="D945" s="1">
        <v>944</v>
      </c>
      <c r="E945" s="1"/>
      <c r="F945" s="1"/>
    </row>
    <row r="946" spans="1:6" x14ac:dyDescent="0.25">
      <c r="A946">
        <f>COUNTIF($C$2:C946,C946)</f>
        <v>945</v>
      </c>
      <c r="B946" s="1" t="str">
        <f t="shared" si="22"/>
        <v>945</v>
      </c>
      <c r="C946" s="1" t="str">
        <f>IFERROR(VLOOKUP(D946,'Planilha de Cadastro - Previsão'!$A$2:$O$1000,15,FALSE()),"")</f>
        <v/>
      </c>
      <c r="D946" s="1">
        <v>945</v>
      </c>
      <c r="E946" s="1"/>
      <c r="F946" s="1"/>
    </row>
    <row r="947" spans="1:6" x14ac:dyDescent="0.25">
      <c r="A947">
        <f>COUNTIF($C$2:C947,C947)</f>
        <v>946</v>
      </c>
      <c r="B947" s="1" t="str">
        <f t="shared" si="22"/>
        <v>946</v>
      </c>
      <c r="C947" s="1" t="str">
        <f>IFERROR(VLOOKUP(D947,'Planilha de Cadastro - Previsão'!$A$2:$O$1000,15,FALSE()),"")</f>
        <v/>
      </c>
      <c r="D947" s="1">
        <v>946</v>
      </c>
      <c r="E947" s="1"/>
      <c r="F947" s="1"/>
    </row>
    <row r="948" spans="1:6" x14ac:dyDescent="0.25">
      <c r="A948">
        <f>COUNTIF($C$2:C948,C948)</f>
        <v>947</v>
      </c>
      <c r="B948" s="1" t="str">
        <f t="shared" si="22"/>
        <v>947</v>
      </c>
      <c r="C948" s="1" t="str">
        <f>IFERROR(VLOOKUP(D948,'Planilha de Cadastro - Previsão'!$A$2:$O$1000,15,FALSE()),"")</f>
        <v/>
      </c>
      <c r="D948" s="1">
        <v>947</v>
      </c>
      <c r="E948" s="1"/>
      <c r="F948" s="1"/>
    </row>
    <row r="949" spans="1:6" x14ac:dyDescent="0.25">
      <c r="A949">
        <f>COUNTIF($C$2:C949,C949)</f>
        <v>948</v>
      </c>
      <c r="B949" s="1" t="str">
        <f t="shared" si="22"/>
        <v>948</v>
      </c>
      <c r="C949" s="1" t="str">
        <f>IFERROR(VLOOKUP(D949,'Planilha de Cadastro - Previsão'!$A$2:$O$1000,15,FALSE()),"")</f>
        <v/>
      </c>
      <c r="D949" s="1">
        <v>948</v>
      </c>
      <c r="E949" s="1"/>
      <c r="F949" s="1"/>
    </row>
    <row r="950" spans="1:6" x14ac:dyDescent="0.25">
      <c r="A950">
        <f>COUNTIF($C$2:C950,C950)</f>
        <v>949</v>
      </c>
      <c r="B950" s="1" t="str">
        <f t="shared" si="22"/>
        <v>949</v>
      </c>
      <c r="C950" s="1" t="str">
        <f>IFERROR(VLOOKUP(D950,'Planilha de Cadastro - Previsão'!$A$2:$O$1000,15,FALSE()),"")</f>
        <v/>
      </c>
      <c r="D950" s="1">
        <v>949</v>
      </c>
      <c r="E950" s="1"/>
      <c r="F950" s="1"/>
    </row>
    <row r="951" spans="1:6" x14ac:dyDescent="0.25">
      <c r="A951">
        <f>COUNTIF($C$2:C951,C951)</f>
        <v>950</v>
      </c>
      <c r="B951" s="1" t="str">
        <f t="shared" si="22"/>
        <v>950</v>
      </c>
      <c r="C951" s="1" t="str">
        <f>IFERROR(VLOOKUP(D951,'Planilha de Cadastro - Previsão'!$A$2:$O$1000,15,FALSE()),"")</f>
        <v/>
      </c>
      <c r="D951" s="1">
        <v>950</v>
      </c>
      <c r="E951" s="1"/>
      <c r="F951" s="1"/>
    </row>
    <row r="952" spans="1:6" x14ac:dyDescent="0.25">
      <c r="A952">
        <f>COUNTIF($C$2:C952,C952)</f>
        <v>951</v>
      </c>
      <c r="B952" s="1" t="str">
        <f t="shared" si="22"/>
        <v>951</v>
      </c>
      <c r="C952" s="1" t="str">
        <f>IFERROR(VLOOKUP(D952,'Planilha de Cadastro - Previsão'!$A$2:$O$1000,15,FALSE()),"")</f>
        <v/>
      </c>
      <c r="D952" s="1">
        <v>951</v>
      </c>
      <c r="E952" s="1"/>
      <c r="F952" s="1"/>
    </row>
    <row r="953" spans="1:6" x14ac:dyDescent="0.25">
      <c r="A953">
        <f>COUNTIF($C$2:C953,C953)</f>
        <v>952</v>
      </c>
      <c r="B953" s="1" t="str">
        <f t="shared" si="22"/>
        <v>952</v>
      </c>
      <c r="C953" s="1" t="str">
        <f>IFERROR(VLOOKUP(D953,'Planilha de Cadastro - Previsão'!$A$2:$O$1000,15,FALSE()),"")</f>
        <v/>
      </c>
      <c r="D953" s="1">
        <v>952</v>
      </c>
      <c r="E953" s="1"/>
      <c r="F953" s="1"/>
    </row>
    <row r="954" spans="1:6" x14ac:dyDescent="0.25">
      <c r="A954">
        <f>COUNTIF($C$2:C954,C954)</f>
        <v>953</v>
      </c>
      <c r="B954" s="1" t="str">
        <f t="shared" si="22"/>
        <v>953</v>
      </c>
      <c r="C954" s="1" t="str">
        <f>IFERROR(VLOOKUP(D954,'Planilha de Cadastro - Previsão'!$A$2:$O$1000,15,FALSE()),"")</f>
        <v/>
      </c>
      <c r="D954" s="1">
        <v>953</v>
      </c>
      <c r="E954" s="1"/>
      <c r="F954" s="1"/>
    </row>
    <row r="955" spans="1:6" x14ac:dyDescent="0.25">
      <c r="A955">
        <f>COUNTIF($C$2:C955,C955)</f>
        <v>954</v>
      </c>
      <c r="B955" s="1" t="str">
        <f t="shared" si="22"/>
        <v>954</v>
      </c>
      <c r="C955" s="1" t="str">
        <f>IFERROR(VLOOKUP(D955,'Planilha de Cadastro - Previsão'!$A$2:$O$1000,15,FALSE()),"")</f>
        <v/>
      </c>
      <c r="D955" s="1">
        <v>954</v>
      </c>
      <c r="E955" s="1"/>
      <c r="F955" s="1"/>
    </row>
    <row r="956" spans="1:6" x14ac:dyDescent="0.25">
      <c r="A956">
        <f>COUNTIF($C$2:C956,C956)</f>
        <v>955</v>
      </c>
      <c r="B956" s="1" t="str">
        <f t="shared" si="22"/>
        <v>955</v>
      </c>
      <c r="C956" s="1" t="str">
        <f>IFERROR(VLOOKUP(D956,'Planilha de Cadastro - Previsão'!$A$2:$O$1000,15,FALSE()),"")</f>
        <v/>
      </c>
      <c r="D956" s="1">
        <v>955</v>
      </c>
      <c r="E956" s="1"/>
      <c r="F956" s="1"/>
    </row>
    <row r="957" spans="1:6" x14ac:dyDescent="0.25">
      <c r="A957">
        <f>COUNTIF($C$2:C957,C957)</f>
        <v>956</v>
      </c>
      <c r="B957" s="1" t="str">
        <f t="shared" si="22"/>
        <v>956</v>
      </c>
      <c r="C957" s="1" t="str">
        <f>IFERROR(VLOOKUP(D957,'Planilha de Cadastro - Previsão'!$A$2:$O$1000,15,FALSE()),"")</f>
        <v/>
      </c>
      <c r="D957" s="1">
        <v>956</v>
      </c>
      <c r="E957" s="1"/>
      <c r="F957" s="1"/>
    </row>
    <row r="958" spans="1:6" x14ac:dyDescent="0.25">
      <c r="A958">
        <f>COUNTIF($C$2:C958,C958)</f>
        <v>957</v>
      </c>
      <c r="B958" s="1" t="str">
        <f t="shared" si="22"/>
        <v>957</v>
      </c>
      <c r="C958" s="1" t="str">
        <f>IFERROR(VLOOKUP(D958,'Planilha de Cadastro - Previsão'!$A$2:$O$1000,15,FALSE()),"")</f>
        <v/>
      </c>
      <c r="D958" s="1">
        <v>957</v>
      </c>
      <c r="E958" s="1"/>
      <c r="F958" s="1"/>
    </row>
    <row r="959" spans="1:6" x14ac:dyDescent="0.25">
      <c r="A959">
        <f>COUNTIF($C$2:C959,C959)</f>
        <v>958</v>
      </c>
      <c r="B959" s="1" t="str">
        <f t="shared" si="22"/>
        <v>958</v>
      </c>
      <c r="C959" s="1" t="str">
        <f>IFERROR(VLOOKUP(D959,'Planilha de Cadastro - Previsão'!$A$2:$O$1000,15,FALSE()),"")</f>
        <v/>
      </c>
      <c r="D959" s="1">
        <v>958</v>
      </c>
      <c r="E959" s="1"/>
      <c r="F959" s="1"/>
    </row>
    <row r="960" spans="1:6" x14ac:dyDescent="0.25">
      <c r="A960">
        <f>COUNTIF($C$2:C960,C960)</f>
        <v>959</v>
      </c>
      <c r="B960" s="1" t="str">
        <f t="shared" si="22"/>
        <v>959</v>
      </c>
      <c r="C960" s="1" t="str">
        <f>IFERROR(VLOOKUP(D960,'Planilha de Cadastro - Previsão'!$A$2:$O$1000,15,FALSE()),"")</f>
        <v/>
      </c>
      <c r="D960" s="1">
        <v>959</v>
      </c>
      <c r="E960" s="1"/>
      <c r="F960" s="1"/>
    </row>
    <row r="961" spans="1:6" x14ac:dyDescent="0.25">
      <c r="A961">
        <f>COUNTIF($C$2:C961,C961)</f>
        <v>960</v>
      </c>
      <c r="B961" s="1" t="str">
        <f t="shared" si="22"/>
        <v>960</v>
      </c>
      <c r="C961" s="1" t="str">
        <f>IFERROR(VLOOKUP(D961,'Planilha de Cadastro - Previsão'!$A$2:$O$1000,15,FALSE()),"")</f>
        <v/>
      </c>
      <c r="D961" s="1">
        <v>960</v>
      </c>
      <c r="E961" s="1"/>
      <c r="F961" s="1"/>
    </row>
    <row r="962" spans="1:6" x14ac:dyDescent="0.25">
      <c r="A962">
        <f>COUNTIF($C$2:C962,C962)</f>
        <v>961</v>
      </c>
      <c r="B962" s="1" t="str">
        <f t="shared" si="22"/>
        <v>961</v>
      </c>
      <c r="C962" s="1" t="str">
        <f>IFERROR(VLOOKUP(D962,'Planilha de Cadastro - Previsão'!$A$2:$O$1000,15,FALSE()),"")</f>
        <v/>
      </c>
      <c r="D962" s="1">
        <v>961</v>
      </c>
      <c r="E962" s="1"/>
      <c r="F962" s="1"/>
    </row>
    <row r="963" spans="1:6" x14ac:dyDescent="0.25">
      <c r="A963">
        <f>COUNTIF($C$2:C963,C963)</f>
        <v>962</v>
      </c>
      <c r="B963" s="1" t="str">
        <f t="shared" ref="B963:B1000" si="23">IFERROR(CONCATENATE(C963,A963),"")</f>
        <v>962</v>
      </c>
      <c r="C963" s="1" t="str">
        <f>IFERROR(VLOOKUP(D963,'Planilha de Cadastro - Previsão'!$A$2:$O$1000,15,FALSE()),"")</f>
        <v/>
      </c>
      <c r="D963" s="1">
        <v>962</v>
      </c>
      <c r="E963" s="1"/>
      <c r="F963" s="1"/>
    </row>
    <row r="964" spans="1:6" x14ac:dyDescent="0.25">
      <c r="A964">
        <f>COUNTIF($C$2:C964,C964)</f>
        <v>963</v>
      </c>
      <c r="B964" s="1" t="str">
        <f t="shared" si="23"/>
        <v>963</v>
      </c>
      <c r="C964" s="1" t="str">
        <f>IFERROR(VLOOKUP(D964,'Planilha de Cadastro - Previsão'!$A$2:$O$1000,15,FALSE()),"")</f>
        <v/>
      </c>
      <c r="D964" s="1">
        <v>963</v>
      </c>
      <c r="E964" s="1"/>
      <c r="F964" s="1"/>
    </row>
    <row r="965" spans="1:6" x14ac:dyDescent="0.25">
      <c r="A965">
        <f>COUNTIF($C$2:C965,C965)</f>
        <v>964</v>
      </c>
      <c r="B965" s="1" t="str">
        <f t="shared" si="23"/>
        <v>964</v>
      </c>
      <c r="C965" s="1" t="str">
        <f>IFERROR(VLOOKUP(D965,'Planilha de Cadastro - Previsão'!$A$2:$O$1000,15,FALSE()),"")</f>
        <v/>
      </c>
      <c r="D965" s="1">
        <v>964</v>
      </c>
      <c r="E965" s="1"/>
      <c r="F965" s="1"/>
    </row>
    <row r="966" spans="1:6" x14ac:dyDescent="0.25">
      <c r="A966">
        <f>COUNTIF($C$2:C966,C966)</f>
        <v>965</v>
      </c>
      <c r="B966" s="1" t="str">
        <f t="shared" si="23"/>
        <v>965</v>
      </c>
      <c r="C966" s="1" t="str">
        <f>IFERROR(VLOOKUP(D966,'Planilha de Cadastro - Previsão'!$A$2:$O$1000,15,FALSE()),"")</f>
        <v/>
      </c>
      <c r="D966" s="1">
        <v>965</v>
      </c>
      <c r="E966" s="1"/>
      <c r="F966" s="1"/>
    </row>
    <row r="967" spans="1:6" x14ac:dyDescent="0.25">
      <c r="A967">
        <f>COUNTIF($C$2:C967,C967)</f>
        <v>966</v>
      </c>
      <c r="B967" s="1" t="str">
        <f t="shared" si="23"/>
        <v>966</v>
      </c>
      <c r="C967" s="1" t="str">
        <f>IFERROR(VLOOKUP(D967,'Planilha de Cadastro - Previsão'!$A$2:$O$1000,15,FALSE()),"")</f>
        <v/>
      </c>
      <c r="D967" s="1">
        <v>966</v>
      </c>
      <c r="E967" s="1"/>
      <c r="F967" s="1"/>
    </row>
    <row r="968" spans="1:6" x14ac:dyDescent="0.25">
      <c r="A968">
        <f>COUNTIF($C$2:C968,C968)</f>
        <v>967</v>
      </c>
      <c r="B968" s="1" t="str">
        <f t="shared" si="23"/>
        <v>967</v>
      </c>
      <c r="C968" s="1" t="str">
        <f>IFERROR(VLOOKUP(D968,'Planilha de Cadastro - Previsão'!$A$2:$O$1000,15,FALSE()),"")</f>
        <v/>
      </c>
      <c r="D968" s="1">
        <v>967</v>
      </c>
      <c r="E968" s="1"/>
      <c r="F968" s="1"/>
    </row>
    <row r="969" spans="1:6" x14ac:dyDescent="0.25">
      <c r="A969">
        <f>COUNTIF($C$2:C969,C969)</f>
        <v>968</v>
      </c>
      <c r="B969" s="1" t="str">
        <f t="shared" si="23"/>
        <v>968</v>
      </c>
      <c r="C969" s="1" t="str">
        <f>IFERROR(VLOOKUP(D969,'Planilha de Cadastro - Previsão'!$A$2:$O$1000,15,FALSE()),"")</f>
        <v/>
      </c>
      <c r="D969" s="1">
        <v>968</v>
      </c>
      <c r="E969" s="1"/>
      <c r="F969" s="1"/>
    </row>
    <row r="970" spans="1:6" x14ac:dyDescent="0.25">
      <c r="A970">
        <f>COUNTIF($C$2:C970,C970)</f>
        <v>969</v>
      </c>
      <c r="B970" s="1" t="str">
        <f t="shared" si="23"/>
        <v>969</v>
      </c>
      <c r="C970" s="1" t="str">
        <f>IFERROR(VLOOKUP(D970,'Planilha de Cadastro - Previsão'!$A$2:$O$1000,15,FALSE()),"")</f>
        <v/>
      </c>
      <c r="D970" s="1">
        <v>969</v>
      </c>
      <c r="E970" s="1"/>
      <c r="F970" s="1"/>
    </row>
    <row r="971" spans="1:6" x14ac:dyDescent="0.25">
      <c r="A971">
        <f>COUNTIF($C$2:C971,C971)</f>
        <v>970</v>
      </c>
      <c r="B971" s="1" t="str">
        <f t="shared" si="23"/>
        <v>970</v>
      </c>
      <c r="C971" s="1" t="str">
        <f>IFERROR(VLOOKUP(D971,'Planilha de Cadastro - Previsão'!$A$2:$O$1000,15,FALSE()),"")</f>
        <v/>
      </c>
      <c r="D971" s="1">
        <v>970</v>
      </c>
      <c r="E971" s="1"/>
      <c r="F971" s="1"/>
    </row>
    <row r="972" spans="1:6" x14ac:dyDescent="0.25">
      <c r="A972">
        <f>COUNTIF($C$2:C972,C972)</f>
        <v>971</v>
      </c>
      <c r="B972" s="1" t="str">
        <f t="shared" si="23"/>
        <v>971</v>
      </c>
      <c r="C972" s="1" t="str">
        <f>IFERROR(VLOOKUP(D972,'Planilha de Cadastro - Previsão'!$A$2:$O$1000,15,FALSE()),"")</f>
        <v/>
      </c>
      <c r="D972" s="1">
        <v>971</v>
      </c>
      <c r="E972" s="1"/>
      <c r="F972" s="1"/>
    </row>
    <row r="973" spans="1:6" x14ac:dyDescent="0.25">
      <c r="A973">
        <f>COUNTIF($C$2:C973,C973)</f>
        <v>972</v>
      </c>
      <c r="B973" s="1" t="str">
        <f t="shared" si="23"/>
        <v>972</v>
      </c>
      <c r="C973" s="1" t="str">
        <f>IFERROR(VLOOKUP(D973,'Planilha de Cadastro - Previsão'!$A$2:$O$1000,15,FALSE()),"")</f>
        <v/>
      </c>
      <c r="D973" s="1">
        <v>972</v>
      </c>
      <c r="E973" s="1"/>
      <c r="F973" s="1"/>
    </row>
    <row r="974" spans="1:6" x14ac:dyDescent="0.25">
      <c r="A974">
        <f>COUNTIF($C$2:C974,C974)</f>
        <v>973</v>
      </c>
      <c r="B974" s="1" t="str">
        <f t="shared" si="23"/>
        <v>973</v>
      </c>
      <c r="C974" s="1" t="str">
        <f>IFERROR(VLOOKUP(D974,'Planilha de Cadastro - Previsão'!$A$2:$O$1000,15,FALSE()),"")</f>
        <v/>
      </c>
      <c r="D974" s="1">
        <v>973</v>
      </c>
      <c r="E974" s="1"/>
      <c r="F974" s="1"/>
    </row>
    <row r="975" spans="1:6" x14ac:dyDescent="0.25">
      <c r="A975">
        <f>COUNTIF($C$2:C975,C975)</f>
        <v>974</v>
      </c>
      <c r="B975" s="1" t="str">
        <f t="shared" si="23"/>
        <v>974</v>
      </c>
      <c r="C975" s="1" t="str">
        <f>IFERROR(VLOOKUP(D975,'Planilha de Cadastro - Previsão'!$A$2:$O$1000,15,FALSE()),"")</f>
        <v/>
      </c>
      <c r="D975" s="1">
        <v>974</v>
      </c>
      <c r="E975" s="1"/>
      <c r="F975" s="1"/>
    </row>
    <row r="976" spans="1:6" x14ac:dyDescent="0.25">
      <c r="A976">
        <f>COUNTIF($C$2:C976,C976)</f>
        <v>975</v>
      </c>
      <c r="B976" s="1" t="str">
        <f t="shared" si="23"/>
        <v>975</v>
      </c>
      <c r="C976" s="1" t="str">
        <f>IFERROR(VLOOKUP(D976,'Planilha de Cadastro - Previsão'!$A$2:$O$1000,15,FALSE()),"")</f>
        <v/>
      </c>
      <c r="D976" s="1">
        <v>975</v>
      </c>
      <c r="E976" s="1"/>
      <c r="F976" s="1"/>
    </row>
    <row r="977" spans="1:6" x14ac:dyDescent="0.25">
      <c r="A977">
        <f>COUNTIF($C$2:C977,C977)</f>
        <v>976</v>
      </c>
      <c r="B977" s="1" t="str">
        <f t="shared" si="23"/>
        <v>976</v>
      </c>
      <c r="C977" s="1" t="str">
        <f>IFERROR(VLOOKUP(D977,'Planilha de Cadastro - Previsão'!$A$2:$O$1000,15,FALSE()),"")</f>
        <v/>
      </c>
      <c r="D977" s="1">
        <v>976</v>
      </c>
      <c r="E977" s="1"/>
      <c r="F977" s="1"/>
    </row>
    <row r="978" spans="1:6" x14ac:dyDescent="0.25">
      <c r="A978">
        <f>COUNTIF($C$2:C978,C978)</f>
        <v>977</v>
      </c>
      <c r="B978" s="1" t="str">
        <f t="shared" si="23"/>
        <v>977</v>
      </c>
      <c r="C978" s="1" t="str">
        <f>IFERROR(VLOOKUP(D978,'Planilha de Cadastro - Previsão'!$A$2:$O$1000,15,FALSE()),"")</f>
        <v/>
      </c>
      <c r="D978" s="1">
        <v>977</v>
      </c>
      <c r="E978" s="1"/>
      <c r="F978" s="1"/>
    </row>
    <row r="979" spans="1:6" x14ac:dyDescent="0.25">
      <c r="A979">
        <f>COUNTIF($C$2:C979,C979)</f>
        <v>978</v>
      </c>
      <c r="B979" s="1" t="str">
        <f t="shared" si="23"/>
        <v>978</v>
      </c>
      <c r="C979" s="1" t="str">
        <f>IFERROR(VLOOKUP(D979,'Planilha de Cadastro - Previsão'!$A$2:$O$1000,15,FALSE()),"")</f>
        <v/>
      </c>
      <c r="D979" s="1">
        <v>978</v>
      </c>
      <c r="E979" s="1"/>
      <c r="F979" s="1"/>
    </row>
    <row r="980" spans="1:6" x14ac:dyDescent="0.25">
      <c r="A980">
        <f>COUNTIF($C$2:C980,C980)</f>
        <v>979</v>
      </c>
      <c r="B980" s="1" t="str">
        <f t="shared" si="23"/>
        <v>979</v>
      </c>
      <c r="C980" s="1" t="str">
        <f>IFERROR(VLOOKUP(D980,'Planilha de Cadastro - Previsão'!$A$2:$O$1000,15,FALSE()),"")</f>
        <v/>
      </c>
      <c r="D980" s="1">
        <v>979</v>
      </c>
      <c r="E980" s="1"/>
      <c r="F980" s="1"/>
    </row>
    <row r="981" spans="1:6" x14ac:dyDescent="0.25">
      <c r="A981">
        <f>COUNTIF($C$2:C981,C981)</f>
        <v>980</v>
      </c>
      <c r="B981" s="1" t="str">
        <f t="shared" si="23"/>
        <v>980</v>
      </c>
      <c r="C981" s="1" t="str">
        <f>IFERROR(VLOOKUP(D981,'Planilha de Cadastro - Previsão'!$A$2:$O$1000,15,FALSE()),"")</f>
        <v/>
      </c>
      <c r="D981" s="1">
        <v>980</v>
      </c>
      <c r="E981" s="1"/>
      <c r="F981" s="1"/>
    </row>
    <row r="982" spans="1:6" x14ac:dyDescent="0.25">
      <c r="A982">
        <f>COUNTIF($C$2:C982,C982)</f>
        <v>981</v>
      </c>
      <c r="B982" s="1" t="str">
        <f t="shared" si="23"/>
        <v>981</v>
      </c>
      <c r="C982" s="1" t="str">
        <f>IFERROR(VLOOKUP(D982,'Planilha de Cadastro - Previsão'!$A$2:$O$1000,15,FALSE()),"")</f>
        <v/>
      </c>
      <c r="D982" s="1">
        <v>981</v>
      </c>
      <c r="E982" s="1"/>
      <c r="F982" s="1"/>
    </row>
    <row r="983" spans="1:6" x14ac:dyDescent="0.25">
      <c r="A983">
        <f>COUNTIF($C$2:C983,C983)</f>
        <v>982</v>
      </c>
      <c r="B983" s="1" t="str">
        <f t="shared" si="23"/>
        <v>982</v>
      </c>
      <c r="C983" s="1" t="str">
        <f>IFERROR(VLOOKUP(D983,'Planilha de Cadastro - Previsão'!$A$2:$O$1000,15,FALSE()),"")</f>
        <v/>
      </c>
      <c r="D983" s="1">
        <v>982</v>
      </c>
      <c r="E983" s="1"/>
      <c r="F983" s="1"/>
    </row>
    <row r="984" spans="1:6" x14ac:dyDescent="0.25">
      <c r="A984">
        <f>COUNTIF($C$2:C984,C984)</f>
        <v>983</v>
      </c>
      <c r="B984" s="1" t="str">
        <f t="shared" si="23"/>
        <v>983</v>
      </c>
      <c r="C984" s="1" t="str">
        <f>IFERROR(VLOOKUP(D984,'Planilha de Cadastro - Previsão'!$A$2:$O$1000,15,FALSE()),"")</f>
        <v/>
      </c>
      <c r="D984" s="1">
        <v>983</v>
      </c>
      <c r="E984" s="1"/>
      <c r="F984" s="1"/>
    </row>
    <row r="985" spans="1:6" x14ac:dyDescent="0.25">
      <c r="A985">
        <f>COUNTIF($C$2:C985,C985)</f>
        <v>984</v>
      </c>
      <c r="B985" s="1" t="str">
        <f t="shared" si="23"/>
        <v>984</v>
      </c>
      <c r="C985" s="1" t="str">
        <f>IFERROR(VLOOKUP(D985,'Planilha de Cadastro - Previsão'!$A$2:$O$1000,15,FALSE()),"")</f>
        <v/>
      </c>
      <c r="D985" s="1">
        <v>984</v>
      </c>
      <c r="E985" s="1"/>
      <c r="F985" s="1"/>
    </row>
    <row r="986" spans="1:6" x14ac:dyDescent="0.25">
      <c r="A986">
        <f>COUNTIF($C$2:C986,C986)</f>
        <v>985</v>
      </c>
      <c r="B986" s="1" t="str">
        <f t="shared" si="23"/>
        <v>985</v>
      </c>
      <c r="C986" s="1" t="str">
        <f>IFERROR(VLOOKUP(D986,'Planilha de Cadastro - Previsão'!$A$2:$O$1000,15,FALSE()),"")</f>
        <v/>
      </c>
      <c r="D986" s="1">
        <v>985</v>
      </c>
      <c r="E986" s="1"/>
      <c r="F986" s="1"/>
    </row>
    <row r="987" spans="1:6" x14ac:dyDescent="0.25">
      <c r="A987">
        <f>COUNTIF($C$2:C987,C987)</f>
        <v>986</v>
      </c>
      <c r="B987" s="1" t="str">
        <f t="shared" si="23"/>
        <v>986</v>
      </c>
      <c r="C987" s="1" t="str">
        <f>IFERROR(VLOOKUP(D987,'Planilha de Cadastro - Previsão'!$A$2:$O$1000,15,FALSE()),"")</f>
        <v/>
      </c>
      <c r="D987" s="1">
        <v>986</v>
      </c>
      <c r="E987" s="1"/>
      <c r="F987" s="1"/>
    </row>
    <row r="988" spans="1:6" x14ac:dyDescent="0.25">
      <c r="A988">
        <f>COUNTIF($C$2:C988,C988)</f>
        <v>987</v>
      </c>
      <c r="B988" s="1" t="str">
        <f t="shared" si="23"/>
        <v>987</v>
      </c>
      <c r="C988" s="1" t="str">
        <f>IFERROR(VLOOKUP(D988,'Planilha de Cadastro - Previsão'!$A$2:$O$1000,15,FALSE()),"")</f>
        <v/>
      </c>
      <c r="D988" s="1">
        <v>987</v>
      </c>
      <c r="E988" s="1"/>
      <c r="F988" s="1"/>
    </row>
    <row r="989" spans="1:6" x14ac:dyDescent="0.25">
      <c r="A989">
        <f>COUNTIF($C$2:C989,C989)</f>
        <v>988</v>
      </c>
      <c r="B989" s="1" t="str">
        <f t="shared" si="23"/>
        <v>988</v>
      </c>
      <c r="C989" s="1" t="str">
        <f>IFERROR(VLOOKUP(D989,'Planilha de Cadastro - Previsão'!$A$2:$O$1000,15,FALSE()),"")</f>
        <v/>
      </c>
      <c r="D989" s="1">
        <v>988</v>
      </c>
      <c r="E989" s="1"/>
      <c r="F989" s="1"/>
    </row>
    <row r="990" spans="1:6" x14ac:dyDescent="0.25">
      <c r="A990">
        <f>COUNTIF($C$2:C990,C990)</f>
        <v>989</v>
      </c>
      <c r="B990" s="1" t="str">
        <f t="shared" si="23"/>
        <v>989</v>
      </c>
      <c r="C990" s="1" t="str">
        <f>IFERROR(VLOOKUP(D990,'Planilha de Cadastro - Previsão'!$A$2:$O$1000,15,FALSE()),"")</f>
        <v/>
      </c>
      <c r="D990" s="1">
        <v>989</v>
      </c>
      <c r="E990" s="1"/>
      <c r="F990" s="1"/>
    </row>
    <row r="991" spans="1:6" x14ac:dyDescent="0.25">
      <c r="A991">
        <f>COUNTIF($C$2:C991,C991)</f>
        <v>990</v>
      </c>
      <c r="B991" s="1" t="str">
        <f t="shared" si="23"/>
        <v>990</v>
      </c>
      <c r="C991" s="1" t="str">
        <f>IFERROR(VLOOKUP(D991,'Planilha de Cadastro - Previsão'!$A$2:$O$1000,15,FALSE()),"")</f>
        <v/>
      </c>
      <c r="D991" s="1">
        <v>990</v>
      </c>
      <c r="E991" s="1"/>
      <c r="F991" s="1"/>
    </row>
    <row r="992" spans="1:6" x14ac:dyDescent="0.25">
      <c r="A992">
        <f>COUNTIF($C$2:C992,C992)</f>
        <v>991</v>
      </c>
      <c r="B992" s="1" t="str">
        <f t="shared" si="23"/>
        <v>991</v>
      </c>
      <c r="C992" s="1" t="str">
        <f>IFERROR(VLOOKUP(D992,'Planilha de Cadastro - Previsão'!$A$2:$O$1000,15,FALSE()),"")</f>
        <v/>
      </c>
      <c r="D992" s="1">
        <v>991</v>
      </c>
      <c r="E992" s="1"/>
      <c r="F992" s="1"/>
    </row>
    <row r="993" spans="1:6" x14ac:dyDescent="0.25">
      <c r="A993">
        <f>COUNTIF($C$2:C993,C993)</f>
        <v>992</v>
      </c>
      <c r="B993" s="1" t="str">
        <f t="shared" si="23"/>
        <v>992</v>
      </c>
      <c r="C993" s="1" t="str">
        <f>IFERROR(VLOOKUP(D993,'Planilha de Cadastro - Previsão'!$A$2:$O$1000,15,FALSE()),"")</f>
        <v/>
      </c>
      <c r="D993" s="1">
        <v>992</v>
      </c>
      <c r="E993" s="1"/>
      <c r="F993" s="1"/>
    </row>
    <row r="994" spans="1:6" x14ac:dyDescent="0.25">
      <c r="A994">
        <f>COUNTIF($C$2:C994,C994)</f>
        <v>993</v>
      </c>
      <c r="B994" s="1" t="str">
        <f t="shared" si="23"/>
        <v>993</v>
      </c>
      <c r="C994" s="1" t="str">
        <f>IFERROR(VLOOKUP(D994,'Planilha de Cadastro - Previsão'!$A$2:$O$1000,15,FALSE()),"")</f>
        <v/>
      </c>
      <c r="D994" s="1">
        <v>993</v>
      </c>
      <c r="E994" s="1"/>
      <c r="F994" s="1"/>
    </row>
    <row r="995" spans="1:6" x14ac:dyDescent="0.25">
      <c r="A995">
        <f>COUNTIF($C$2:C995,C995)</f>
        <v>994</v>
      </c>
      <c r="B995" s="1" t="str">
        <f t="shared" si="23"/>
        <v>994</v>
      </c>
      <c r="C995" s="1" t="str">
        <f>IFERROR(VLOOKUP(D995,'Planilha de Cadastro - Previsão'!$A$2:$O$1000,15,FALSE()),"")</f>
        <v/>
      </c>
      <c r="D995" s="1">
        <v>994</v>
      </c>
      <c r="E995" s="1"/>
      <c r="F995" s="1"/>
    </row>
    <row r="996" spans="1:6" x14ac:dyDescent="0.25">
      <c r="A996">
        <f>COUNTIF($C$2:C996,C996)</f>
        <v>995</v>
      </c>
      <c r="B996" s="1" t="str">
        <f t="shared" si="23"/>
        <v>995</v>
      </c>
      <c r="C996" s="1" t="str">
        <f>IFERROR(VLOOKUP(D996,'Planilha de Cadastro - Previsão'!$A$2:$O$1000,15,FALSE()),"")</f>
        <v/>
      </c>
      <c r="D996" s="1">
        <v>995</v>
      </c>
      <c r="E996" s="1"/>
      <c r="F996" s="1"/>
    </row>
    <row r="997" spans="1:6" x14ac:dyDescent="0.25">
      <c r="A997">
        <f>COUNTIF($C$2:C997,C997)</f>
        <v>996</v>
      </c>
      <c r="B997" s="1" t="str">
        <f t="shared" si="23"/>
        <v>996</v>
      </c>
      <c r="C997" s="1" t="str">
        <f>IFERROR(VLOOKUP(D997,'Planilha de Cadastro - Previsão'!$A$2:$O$1000,15,FALSE()),"")</f>
        <v/>
      </c>
      <c r="D997" s="1">
        <v>996</v>
      </c>
      <c r="E997" s="1"/>
      <c r="F997" s="1"/>
    </row>
    <row r="998" spans="1:6" x14ac:dyDescent="0.25">
      <c r="A998">
        <f>COUNTIF($C$2:C998,C998)</f>
        <v>997</v>
      </c>
      <c r="B998" s="1" t="str">
        <f t="shared" si="23"/>
        <v>997</v>
      </c>
      <c r="C998" s="1" t="str">
        <f>IFERROR(VLOOKUP(D998,'Planilha de Cadastro - Previsão'!$A$2:$O$1000,15,FALSE()),"")</f>
        <v/>
      </c>
      <c r="D998" s="1">
        <v>997</v>
      </c>
      <c r="E998" s="1"/>
      <c r="F998" s="1"/>
    </row>
    <row r="999" spans="1:6" x14ac:dyDescent="0.25">
      <c r="A999">
        <f>COUNTIF($C$2:C999,C999)</f>
        <v>998</v>
      </c>
      <c r="B999" s="1" t="str">
        <f t="shared" si="23"/>
        <v>998</v>
      </c>
      <c r="C999" s="1" t="str">
        <f>IFERROR(VLOOKUP(D999,'Planilha de Cadastro - Previsão'!$A$2:$O$1000,15,FALSE()),"")</f>
        <v/>
      </c>
      <c r="D999" s="1">
        <v>998</v>
      </c>
      <c r="E999" s="1"/>
      <c r="F999" s="1"/>
    </row>
    <row r="1000" spans="1:6" x14ac:dyDescent="0.25">
      <c r="A1000">
        <f>COUNTIF($C$2:C1000,C1000)</f>
        <v>999</v>
      </c>
      <c r="B1000" s="1" t="str">
        <f t="shared" si="23"/>
        <v>999</v>
      </c>
      <c r="C1000" s="1" t="str">
        <f>IFERROR(VLOOKUP(D1000,'Planilha de Cadastro - Previsão'!$A$2:$O$1000,15,FALSE()),"")</f>
        <v/>
      </c>
      <c r="D1000" s="1">
        <v>999</v>
      </c>
      <c r="E1000" s="1"/>
      <c r="F1000" s="1"/>
    </row>
  </sheetData>
  <mergeCells count="3">
    <mergeCell ref="H511:J511"/>
    <mergeCell ref="H506:I506"/>
    <mergeCell ref="J506:K506"/>
  </mergeCells>
  <dataValidations count="1">
    <dataValidation type="list" allowBlank="1" showInputMessage="1" showErrorMessage="1" sqref="M2" xr:uid="{ED6E4ED3-2A38-4DCB-BC7A-8DE74BA8FC24}">
      <formula1>$R$1:$R$3</formula1>
    </dataValidation>
  </dataValidations>
  <pageMargins left="0.25" right="0.25" top="0.75" bottom="0.75" header="0.3" footer="0.3"/>
  <pageSetup paperSize="9" fitToHeight="0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topLeftCell="I1" zoomScaleNormal="100" workbookViewId="0">
      <selection activeCell="J11" sqref="J10:N11"/>
    </sheetView>
  </sheetViews>
  <sheetFormatPr defaultColWidth="8.7109375" defaultRowHeight="15.75" x14ac:dyDescent="0.25"/>
  <cols>
    <col min="1" max="1" width="12.85546875" customWidth="1"/>
    <col min="2" max="2" width="11.5703125" customWidth="1"/>
    <col min="3" max="3" width="11.7109375" customWidth="1"/>
    <col min="4" max="4" width="20.28515625" customWidth="1"/>
    <col min="5" max="5" width="11.5703125" customWidth="1"/>
    <col min="6" max="6" width="12.28515625" style="25" customWidth="1"/>
    <col min="7" max="7" width="24.28515625" style="25" customWidth="1"/>
    <col min="8" max="8" width="16.7109375" style="25" customWidth="1"/>
    <col min="9" max="9" width="22.28515625" style="26" customWidth="1"/>
    <col min="10" max="10" width="30" style="26" customWidth="1"/>
    <col min="11" max="11" width="26" style="26" customWidth="1"/>
    <col min="12" max="12" width="19.140625" style="26" customWidth="1"/>
    <col min="13" max="13" width="19.7109375" style="10" customWidth="1"/>
    <col min="14" max="14" width="12.42578125" style="25" customWidth="1"/>
    <col min="15" max="15" width="32.28515625" style="26" customWidth="1"/>
    <col min="16" max="17" width="8.7109375" style="26"/>
    <col min="18" max="18" width="8.7109375" style="26" hidden="1" customWidth="1"/>
    <col min="19" max="16384" width="8.7109375" style="26"/>
  </cols>
  <sheetData>
    <row r="1" spans="1:18" ht="18.75" x14ac:dyDescent="0.3">
      <c r="A1" s="27" t="s">
        <v>29</v>
      </c>
      <c r="B1" s="27" t="s">
        <v>30</v>
      </c>
      <c r="C1" s="27" t="s">
        <v>31</v>
      </c>
      <c r="D1" s="27" t="s">
        <v>32</v>
      </c>
      <c r="F1" s="28" t="s">
        <v>33</v>
      </c>
      <c r="G1" s="29" t="s">
        <v>1</v>
      </c>
      <c r="H1" s="29" t="s">
        <v>2</v>
      </c>
      <c r="I1" s="29" t="s">
        <v>34</v>
      </c>
      <c r="J1" s="29" t="s">
        <v>35</v>
      </c>
      <c r="K1" s="30" t="s">
        <v>11</v>
      </c>
      <c r="L1" s="29" t="s">
        <v>12</v>
      </c>
      <c r="M1" s="31" t="s">
        <v>5</v>
      </c>
      <c r="N1" s="30" t="s">
        <v>13</v>
      </c>
      <c r="O1" s="30" t="s">
        <v>36</v>
      </c>
      <c r="R1" s="26" t="s">
        <v>54</v>
      </c>
    </row>
    <row r="2" spans="1:18" x14ac:dyDescent="0.25">
      <c r="A2">
        <f>COUNTIF($C$2:C2,C2)</f>
        <v>1</v>
      </c>
      <c r="B2" s="1" t="str">
        <f>IFERROR(CONCATENATE(C2,A2),"")</f>
        <v>1</v>
      </c>
      <c r="C2" s="1" t="str">
        <f>IFERROR(VLOOKUP(D2,'Planilha de Cadastro - Previsão'!$A$2:$O$1000,15,FALSE()),"")</f>
        <v/>
      </c>
      <c r="D2" s="1">
        <v>1</v>
      </c>
      <c r="F2" s="32" t="str">
        <f>IFERROR((VLOOKUP(CONCATENATE("Sim",D2),$B$2:$D$1000,3,FALSE())),"")</f>
        <v/>
      </c>
      <c r="G2" s="33" t="str">
        <f>IFERROR((VLOOKUP(F2,'Planilha de Cadastro - Previsão'!$A$2:$N$1100,2,FALSE()))," ")</f>
        <v xml:space="preserve"> </v>
      </c>
      <c r="H2" s="32" t="str">
        <f>IFERROR((VLOOKUP(F2,'Planilha de Cadastro - Previsão'!$A$2:$N$1100,3,FALSE()))," ")</f>
        <v xml:space="preserve"> </v>
      </c>
      <c r="I2" s="34" t="str">
        <f>IFERROR((VLOOKUP(F2,'Planilha de Cadastro - Previsão'!$A$2:$N$1100,4,FALSE()))," ")</f>
        <v xml:space="preserve"> </v>
      </c>
      <c r="J2" s="34" t="str">
        <f>IFERROR((VLOOKUP(F2,'Planilha de Cadastro - Previsão'!$A$2:$N$1100,5,FALSE()))," ")</f>
        <v xml:space="preserve"> </v>
      </c>
      <c r="K2" s="34"/>
      <c r="L2" s="34" t="str">
        <f t="shared" ref="L2" si="0">IF(K2&gt;0,(K2*H2)-(I2*H2)-(K2*H2*4%),"")</f>
        <v/>
      </c>
      <c r="M2" s="35" t="str">
        <f t="shared" ref="M2" si="1">IFERROR(L2/(K2*H2),"")</f>
        <v/>
      </c>
      <c r="N2" s="32"/>
      <c r="O2" s="36"/>
      <c r="R2" s="26" t="s">
        <v>45</v>
      </c>
    </row>
    <row r="3" spans="1:18" x14ac:dyDescent="0.25">
      <c r="A3">
        <f>COUNTIF($C$2:C3,C3)</f>
        <v>2</v>
      </c>
      <c r="B3" s="1" t="str">
        <f t="shared" ref="B3:B66" si="2">IFERROR(CONCATENATE(C3,A3),"")</f>
        <v>2</v>
      </c>
      <c r="C3" s="1" t="str">
        <f>IFERROR(VLOOKUP(D3,'Planilha de Cadastro - Previsão'!$A$2:$O$1000,15,FALSE()),"")</f>
        <v/>
      </c>
      <c r="D3" s="1">
        <v>2</v>
      </c>
      <c r="F3" s="32" t="str">
        <f t="shared" ref="F3:F66" si="3">IFERROR((VLOOKUP(CONCATENATE("Sim",D3),$B$2:$D$1000,3,FALSE())),"")</f>
        <v/>
      </c>
      <c r="G3" s="33" t="str">
        <f>IFERROR((VLOOKUP(F3,'Planilha de Cadastro - Previsão'!$A$2:$N$1100,2,FALSE()))," ")</f>
        <v xml:space="preserve"> </v>
      </c>
      <c r="H3" s="32" t="str">
        <f>IFERROR((VLOOKUP(F3,'Planilha de Cadastro - Previsão'!$A$2:$N$1100,3,FALSE()))," ")</f>
        <v xml:space="preserve"> </v>
      </c>
      <c r="I3" s="34" t="str">
        <f>IFERROR((VLOOKUP(F3,'Planilha de Cadastro - Previsão'!$A$2:$N$1100,4,FALSE()))," ")</f>
        <v xml:space="preserve"> </v>
      </c>
      <c r="J3" s="34" t="str">
        <f>IFERROR((VLOOKUP(F3,'Planilha de Cadastro - Previsão'!$A$2:$N$1100,5,FALSE()))," ")</f>
        <v xml:space="preserve"> </v>
      </c>
      <c r="K3" s="37"/>
      <c r="L3" s="34" t="str">
        <f t="shared" ref="L3:L66" si="4">IF(K3&gt;0,(K3*H3)-(I3*H3)-(K3*H3*4%),"")</f>
        <v/>
      </c>
      <c r="M3" s="35" t="str">
        <f t="shared" ref="M3:M66" si="5">IFERROR(L3/(K3*H3),"")</f>
        <v/>
      </c>
      <c r="N3" s="38"/>
      <c r="O3" s="36"/>
      <c r="R3" s="26" t="s">
        <v>52</v>
      </c>
    </row>
    <row r="4" spans="1:18" x14ac:dyDescent="0.25">
      <c r="A4">
        <f>COUNTIF($C$2:C4,C4)</f>
        <v>3</v>
      </c>
      <c r="B4" s="1" t="str">
        <f t="shared" si="2"/>
        <v>3</v>
      </c>
      <c r="C4" s="1" t="str">
        <f>IFERROR(VLOOKUP(D4,'Planilha de Cadastro - Previsão'!$A$2:$O$1000,15,FALSE()),"")</f>
        <v/>
      </c>
      <c r="D4" s="1">
        <v>3</v>
      </c>
      <c r="F4" s="32" t="str">
        <f t="shared" si="3"/>
        <v/>
      </c>
      <c r="G4" s="33" t="str">
        <f>IFERROR((VLOOKUP(F4,'Planilha de Cadastro - Previsão'!$A$2:$N$1100,2,FALSE()))," ")</f>
        <v xml:space="preserve"> </v>
      </c>
      <c r="H4" s="32" t="str">
        <f>IFERROR((VLOOKUP(F4,'Planilha de Cadastro - Previsão'!$A$2:$N$1100,3,FALSE()))," ")</f>
        <v xml:space="preserve"> </v>
      </c>
      <c r="I4" s="34" t="str">
        <f>IFERROR((VLOOKUP(F4,'Planilha de Cadastro - Previsão'!$A$2:$N$1100,4,FALSE()))," ")</f>
        <v xml:space="preserve"> </v>
      </c>
      <c r="J4" s="34" t="str">
        <f>IFERROR((VLOOKUP(F4,'Planilha de Cadastro - Previsão'!$A$2:$N$1100,5,FALSE()))," ")</f>
        <v xml:space="preserve"> </v>
      </c>
      <c r="K4" s="37"/>
      <c r="L4" s="34" t="str">
        <f t="shared" si="4"/>
        <v/>
      </c>
      <c r="M4" s="35" t="str">
        <f t="shared" si="5"/>
        <v/>
      </c>
      <c r="N4" s="38"/>
      <c r="O4" s="36"/>
      <c r="R4" s="26" t="s">
        <v>56</v>
      </c>
    </row>
    <row r="5" spans="1:18" x14ac:dyDescent="0.25">
      <c r="A5">
        <f>COUNTIF($C$2:C5,C5)</f>
        <v>4</v>
      </c>
      <c r="B5" s="1" t="str">
        <f t="shared" si="2"/>
        <v>4</v>
      </c>
      <c r="C5" s="1" t="str">
        <f>IFERROR(VLOOKUP(D5,'Planilha de Cadastro - Previsão'!$A$2:$O$1000,15,FALSE()),"")</f>
        <v/>
      </c>
      <c r="D5" s="1">
        <v>4</v>
      </c>
      <c r="F5" s="32" t="str">
        <f t="shared" si="3"/>
        <v/>
      </c>
      <c r="G5" s="33" t="str">
        <f>IFERROR((VLOOKUP(F5,'Planilha de Cadastro - Previsão'!$A$2:$N$1100,2,FALSE()))," ")</f>
        <v xml:space="preserve"> </v>
      </c>
      <c r="H5" s="32" t="str">
        <f>IFERROR((VLOOKUP(F5,'Planilha de Cadastro - Previsão'!$A$2:$N$1100,3,FALSE()))," ")</f>
        <v xml:space="preserve"> </v>
      </c>
      <c r="I5" s="34" t="str">
        <f>IFERROR((VLOOKUP(F5,'Planilha de Cadastro - Previsão'!$A$2:$N$1100,4,FALSE()))," ")</f>
        <v xml:space="preserve"> </v>
      </c>
      <c r="J5" s="34" t="str">
        <f>IFERROR((VLOOKUP(F5,'Planilha de Cadastro - Previsão'!$A$2:$N$1100,5,FALSE()))," ")</f>
        <v xml:space="preserve"> </v>
      </c>
      <c r="K5" s="37"/>
      <c r="L5" s="34" t="str">
        <f t="shared" si="4"/>
        <v/>
      </c>
      <c r="M5" s="35" t="str">
        <f t="shared" si="5"/>
        <v/>
      </c>
      <c r="N5" s="38"/>
      <c r="O5" s="36"/>
      <c r="R5" s="26" t="s">
        <v>66</v>
      </c>
    </row>
    <row r="6" spans="1:18" x14ac:dyDescent="0.25">
      <c r="A6">
        <f>COUNTIF($C$2:C6,C6)</f>
        <v>5</v>
      </c>
      <c r="B6" s="1" t="str">
        <f t="shared" si="2"/>
        <v>5</v>
      </c>
      <c r="C6" s="1" t="str">
        <f>IFERROR(VLOOKUP(D6,'Planilha de Cadastro - Previsão'!$A$2:$O$1000,15,FALSE()),"")</f>
        <v/>
      </c>
      <c r="D6" s="1">
        <v>5</v>
      </c>
      <c r="F6" s="32" t="str">
        <f t="shared" si="3"/>
        <v/>
      </c>
      <c r="G6" s="33" t="str">
        <f>IFERROR((VLOOKUP(F6,'Planilha de Cadastro - Previsão'!$A$2:$N$1100,2,FALSE()))," ")</f>
        <v xml:space="preserve"> </v>
      </c>
      <c r="H6" s="32" t="str">
        <f>IFERROR((VLOOKUP(F6,'Planilha de Cadastro - Previsão'!$A$2:$N$1100,3,FALSE()))," ")</f>
        <v xml:space="preserve"> </v>
      </c>
      <c r="I6" s="34" t="str">
        <f>IFERROR((VLOOKUP(F6,'Planilha de Cadastro - Previsão'!$A$2:$N$1100,4,FALSE()))," ")</f>
        <v xml:space="preserve"> </v>
      </c>
      <c r="J6" s="34" t="str">
        <f>IFERROR((VLOOKUP(F6,'Planilha de Cadastro - Previsão'!$A$2:$N$1100,5,FALSE()))," ")</f>
        <v xml:space="preserve"> </v>
      </c>
      <c r="K6" s="37"/>
      <c r="L6" s="34" t="str">
        <f t="shared" si="4"/>
        <v/>
      </c>
      <c r="M6" s="35" t="str">
        <f t="shared" si="5"/>
        <v/>
      </c>
      <c r="N6" s="38"/>
      <c r="O6" s="36"/>
      <c r="R6" s="26" t="s">
        <v>49</v>
      </c>
    </row>
    <row r="7" spans="1:18" x14ac:dyDescent="0.25">
      <c r="A7">
        <f>COUNTIF($C$2:C7,C7)</f>
        <v>6</v>
      </c>
      <c r="B7" s="1" t="str">
        <f t="shared" si="2"/>
        <v>6</v>
      </c>
      <c r="C7" s="1" t="str">
        <f>IFERROR(VLOOKUP(D7,'Planilha de Cadastro - Previsão'!$A$2:$O$1000,15,FALSE()),"")</f>
        <v/>
      </c>
      <c r="D7" s="1">
        <v>6</v>
      </c>
      <c r="F7" s="32" t="str">
        <f t="shared" si="3"/>
        <v/>
      </c>
      <c r="G7" s="33" t="str">
        <f>IFERROR((VLOOKUP(F7,'Planilha de Cadastro - Previsão'!$A$2:$N$1100,2,FALSE()))," ")</f>
        <v xml:space="preserve"> </v>
      </c>
      <c r="H7" s="32" t="str">
        <f>IFERROR((VLOOKUP(F7,'Planilha de Cadastro - Previsão'!$A$2:$N$1100,3,FALSE()))," ")</f>
        <v xml:space="preserve"> </v>
      </c>
      <c r="I7" s="34" t="str">
        <f>IFERROR((VLOOKUP(F7,'Planilha de Cadastro - Previsão'!$A$2:$N$1100,4,FALSE()))," ")</f>
        <v xml:space="preserve"> </v>
      </c>
      <c r="J7" s="34" t="str">
        <f>IFERROR((VLOOKUP(F7,'Planilha de Cadastro - Previsão'!$A$2:$N$1100,5,FALSE()))," ")</f>
        <v xml:space="preserve"> </v>
      </c>
      <c r="K7" s="37"/>
      <c r="L7" s="34" t="str">
        <f t="shared" si="4"/>
        <v/>
      </c>
      <c r="M7" s="35" t="str">
        <f t="shared" si="5"/>
        <v/>
      </c>
      <c r="N7" s="38"/>
      <c r="O7" s="36"/>
      <c r="R7" s="26" t="s">
        <v>57</v>
      </c>
    </row>
    <row r="8" spans="1:18" x14ac:dyDescent="0.25">
      <c r="A8">
        <f>COUNTIF($C$2:C8,C8)</f>
        <v>7</v>
      </c>
      <c r="B8" s="1" t="str">
        <f t="shared" si="2"/>
        <v>7</v>
      </c>
      <c r="C8" s="1" t="str">
        <f>IFERROR(VLOOKUP(D8,'Planilha de Cadastro - Previsão'!$A$2:$O$1000,15,FALSE()),"")</f>
        <v/>
      </c>
      <c r="D8" s="1">
        <v>7</v>
      </c>
      <c r="F8" s="32" t="str">
        <f t="shared" si="3"/>
        <v/>
      </c>
      <c r="G8" s="33" t="str">
        <f>IFERROR((VLOOKUP(F8,'Planilha de Cadastro - Previsão'!$A$2:$N$1100,2,FALSE()))," ")</f>
        <v xml:space="preserve"> </v>
      </c>
      <c r="H8" s="32" t="str">
        <f>IFERROR((VLOOKUP(F8,'Planilha de Cadastro - Previsão'!$A$2:$N$1100,3,FALSE()))," ")</f>
        <v xml:space="preserve"> </v>
      </c>
      <c r="I8" s="34" t="str">
        <f>IFERROR((VLOOKUP(F8,'Planilha de Cadastro - Previsão'!$A$2:$N$1100,4,FALSE()))," ")</f>
        <v xml:space="preserve"> </v>
      </c>
      <c r="J8" s="34" t="str">
        <f>IFERROR((VLOOKUP(F8,'Planilha de Cadastro - Previsão'!$A$2:$N$1100,5,FALSE()))," ")</f>
        <v xml:space="preserve"> </v>
      </c>
      <c r="K8" s="37"/>
      <c r="L8" s="34" t="str">
        <f t="shared" si="4"/>
        <v/>
      </c>
      <c r="M8" s="35" t="str">
        <f t="shared" si="5"/>
        <v/>
      </c>
      <c r="N8" s="38"/>
      <c r="O8" s="36"/>
      <c r="R8" s="26" t="s">
        <v>50</v>
      </c>
    </row>
    <row r="9" spans="1:18" x14ac:dyDescent="0.25">
      <c r="A9">
        <f>COUNTIF($C$2:C9,C9)</f>
        <v>8</v>
      </c>
      <c r="B9" s="1" t="str">
        <f t="shared" si="2"/>
        <v>8</v>
      </c>
      <c r="C9" s="1" t="str">
        <f>IFERROR(VLOOKUP(D9,'Planilha de Cadastro - Previsão'!$A$2:$O$1000,15,FALSE()),"")</f>
        <v/>
      </c>
      <c r="D9" s="1">
        <v>8</v>
      </c>
      <c r="F9" s="32" t="str">
        <f t="shared" si="3"/>
        <v/>
      </c>
      <c r="G9" s="33" t="str">
        <f>IFERROR((VLOOKUP(F9,'Planilha de Cadastro - Previsão'!$A$2:$N$1100,2,FALSE()))," ")</f>
        <v xml:space="preserve"> </v>
      </c>
      <c r="H9" s="32" t="str">
        <f>IFERROR((VLOOKUP(F9,'Planilha de Cadastro - Previsão'!$A$2:$N$1100,3,FALSE()))," ")</f>
        <v xml:space="preserve"> </v>
      </c>
      <c r="I9" s="34" t="str">
        <f>IFERROR((VLOOKUP(F9,'Planilha de Cadastro - Previsão'!$A$2:$N$1100,4,FALSE()))," ")</f>
        <v xml:space="preserve"> </v>
      </c>
      <c r="J9" s="34" t="str">
        <f>IFERROR((VLOOKUP(F9,'Planilha de Cadastro - Previsão'!$A$2:$N$1100,5,FALSE()))," ")</f>
        <v xml:space="preserve"> </v>
      </c>
      <c r="K9" s="37"/>
      <c r="L9" s="34" t="str">
        <f t="shared" si="4"/>
        <v/>
      </c>
      <c r="M9" s="35" t="str">
        <f t="shared" si="5"/>
        <v/>
      </c>
      <c r="N9" s="38"/>
      <c r="O9" s="36"/>
      <c r="R9" s="26" t="s">
        <v>55</v>
      </c>
    </row>
    <row r="10" spans="1:18" x14ac:dyDescent="0.25">
      <c r="A10">
        <f>COUNTIF($C$2:C10,C10)</f>
        <v>9</v>
      </c>
      <c r="B10" s="1" t="str">
        <f t="shared" si="2"/>
        <v>9</v>
      </c>
      <c r="C10" s="1" t="str">
        <f>IFERROR(VLOOKUP(D10,'Planilha de Cadastro - Previsão'!$A$2:$O$1000,15,FALSE()),"")</f>
        <v/>
      </c>
      <c r="D10" s="1">
        <v>9</v>
      </c>
      <c r="F10" s="32" t="str">
        <f t="shared" si="3"/>
        <v/>
      </c>
      <c r="G10" s="33" t="str">
        <f>IFERROR((VLOOKUP(F10,'Planilha de Cadastro - Previsão'!$A$2:$N$1100,2,FALSE()))," ")</f>
        <v xml:space="preserve"> </v>
      </c>
      <c r="H10" s="32" t="str">
        <f>IFERROR((VLOOKUP(F10,'Planilha de Cadastro - Previsão'!$A$2:$N$1100,3,FALSE()))," ")</f>
        <v xml:space="preserve"> </v>
      </c>
      <c r="I10" s="34" t="str">
        <f>IFERROR((VLOOKUP(F10,'Planilha de Cadastro - Previsão'!$A$2:$N$1100,4,FALSE()))," ")</f>
        <v xml:space="preserve"> </v>
      </c>
      <c r="J10" s="34" t="str">
        <f>IFERROR((VLOOKUP(F10,'Planilha de Cadastro - Previsão'!$A$2:$N$1100,5,FALSE()))," ")</f>
        <v xml:space="preserve"> </v>
      </c>
      <c r="K10" s="37"/>
      <c r="L10" s="34" t="str">
        <f t="shared" si="4"/>
        <v/>
      </c>
      <c r="M10" s="35" t="str">
        <f t="shared" si="5"/>
        <v/>
      </c>
      <c r="N10" s="38"/>
      <c r="O10" s="36"/>
      <c r="R10" s="26" t="s">
        <v>47</v>
      </c>
    </row>
    <row r="11" spans="1:18" x14ac:dyDescent="0.25">
      <c r="A11">
        <f>COUNTIF($C$2:C11,C11)</f>
        <v>10</v>
      </c>
      <c r="B11" s="1" t="str">
        <f t="shared" si="2"/>
        <v>10</v>
      </c>
      <c r="C11" s="1" t="str">
        <f>IFERROR(VLOOKUP(D11,'Planilha de Cadastro - Previsão'!$A$2:$O$1000,15,FALSE()),"")</f>
        <v/>
      </c>
      <c r="D11" s="1">
        <v>10</v>
      </c>
      <c r="F11" s="32" t="str">
        <f t="shared" si="3"/>
        <v/>
      </c>
      <c r="G11" s="33" t="str">
        <f>IFERROR((VLOOKUP(F11,'Planilha de Cadastro - Previsão'!$A$2:$N$1100,2,FALSE()))," ")</f>
        <v xml:space="preserve"> </v>
      </c>
      <c r="H11" s="32" t="str">
        <f>IFERROR((VLOOKUP(F11,'Planilha de Cadastro - Previsão'!$A$2:$N$1100,3,FALSE()))," ")</f>
        <v xml:space="preserve"> </v>
      </c>
      <c r="I11" s="34" t="str">
        <f>IFERROR((VLOOKUP(F11,'Planilha de Cadastro - Previsão'!$A$2:$N$1100,4,FALSE()))," ")</f>
        <v xml:space="preserve"> </v>
      </c>
      <c r="J11" s="34" t="str">
        <f>IFERROR((VLOOKUP(F11,'Planilha de Cadastro - Previsão'!$A$2:$N$1100,5,FALSE()))," ")</f>
        <v xml:space="preserve"> </v>
      </c>
      <c r="K11" s="37"/>
      <c r="L11" s="34" t="str">
        <f t="shared" si="4"/>
        <v/>
      </c>
      <c r="M11" s="35" t="str">
        <f t="shared" si="5"/>
        <v/>
      </c>
      <c r="N11" s="38"/>
      <c r="O11" s="36"/>
      <c r="R11" s="26" t="s">
        <v>51</v>
      </c>
    </row>
    <row r="12" spans="1:18" x14ac:dyDescent="0.25">
      <c r="A12">
        <f>COUNTIF($C$2:C12,C12)</f>
        <v>11</v>
      </c>
      <c r="B12" s="1" t="str">
        <f t="shared" si="2"/>
        <v>11</v>
      </c>
      <c r="C12" s="1" t="str">
        <f>IFERROR(VLOOKUP(D12,'Planilha de Cadastro - Previsão'!$A$2:$O$1000,15,FALSE()),"")</f>
        <v/>
      </c>
      <c r="D12" s="1">
        <v>11</v>
      </c>
      <c r="F12" s="32" t="str">
        <f t="shared" si="3"/>
        <v/>
      </c>
      <c r="G12" s="33" t="str">
        <f>IFERROR((VLOOKUP(F12,'Planilha de Cadastro - Previsão'!$A$2:$N$1100,2,FALSE()))," ")</f>
        <v xml:space="preserve"> </v>
      </c>
      <c r="H12" s="32" t="str">
        <f>IFERROR((VLOOKUP(F12,'Planilha de Cadastro - Previsão'!$A$2:$N$1100,3,FALSE()))," ")</f>
        <v xml:space="preserve"> </v>
      </c>
      <c r="I12" s="34" t="str">
        <f>IFERROR((VLOOKUP(F12,'Planilha de Cadastro - Previsão'!$A$2:$N$1100,4,FALSE()))," ")</f>
        <v xml:space="preserve"> </v>
      </c>
      <c r="J12" s="34" t="str">
        <f>IFERROR((VLOOKUP(F12,'Planilha de Cadastro - Previsão'!$A$2:$N$1100,5,FALSE()))," ")</f>
        <v xml:space="preserve"> </v>
      </c>
      <c r="K12" s="36"/>
      <c r="L12" s="34" t="str">
        <f t="shared" si="4"/>
        <v/>
      </c>
      <c r="M12" s="35" t="str">
        <f t="shared" si="5"/>
        <v/>
      </c>
      <c r="N12" s="39"/>
      <c r="O12" s="36"/>
      <c r="R12" s="26" t="s">
        <v>46</v>
      </c>
    </row>
    <row r="13" spans="1:18" x14ac:dyDescent="0.25">
      <c r="A13">
        <f>COUNTIF($C$2:C13,C13)</f>
        <v>12</v>
      </c>
      <c r="B13" s="1" t="str">
        <f t="shared" si="2"/>
        <v>12</v>
      </c>
      <c r="C13" s="1" t="str">
        <f>IFERROR(VLOOKUP(D13,'Planilha de Cadastro - Previsão'!$A$2:$O$1000,15,FALSE()),"")</f>
        <v/>
      </c>
      <c r="D13" s="1">
        <v>12</v>
      </c>
      <c r="F13" s="32" t="str">
        <f t="shared" si="3"/>
        <v/>
      </c>
      <c r="G13" s="33" t="str">
        <f>IFERROR((VLOOKUP(F13,'Planilha de Cadastro - Previsão'!$A$2:$N$1100,2,FALSE()))," ")</f>
        <v xml:space="preserve"> </v>
      </c>
      <c r="H13" s="32" t="str">
        <f>IFERROR((VLOOKUP(F13,'Planilha de Cadastro - Previsão'!$A$2:$N$1100,3,FALSE()))," ")</f>
        <v xml:space="preserve"> </v>
      </c>
      <c r="I13" s="34" t="str">
        <f>IFERROR((VLOOKUP(F13,'Planilha de Cadastro - Previsão'!$A$2:$N$1100,4,FALSE()))," ")</f>
        <v xml:space="preserve"> </v>
      </c>
      <c r="J13" s="34" t="str">
        <f>IFERROR((VLOOKUP(F13,'Planilha de Cadastro - Previsão'!$A$2:$N$1100,5,FALSE()))," ")</f>
        <v xml:space="preserve"> </v>
      </c>
      <c r="K13" s="23"/>
      <c r="L13" s="34" t="str">
        <f t="shared" si="4"/>
        <v/>
      </c>
      <c r="M13" s="35" t="str">
        <f t="shared" si="5"/>
        <v/>
      </c>
      <c r="N13" s="39"/>
      <c r="O13" s="36"/>
      <c r="R13" s="26" t="s">
        <v>48</v>
      </c>
    </row>
    <row r="14" spans="1:18" x14ac:dyDescent="0.25">
      <c r="A14">
        <f>COUNTIF($C$2:C14,C14)</f>
        <v>13</v>
      </c>
      <c r="B14" s="1" t="str">
        <f t="shared" si="2"/>
        <v>13</v>
      </c>
      <c r="C14" s="1" t="str">
        <f>IFERROR(VLOOKUP(D14,'Planilha de Cadastro - Previsão'!$A$2:$O$1000,15,FALSE()),"")</f>
        <v/>
      </c>
      <c r="D14" s="1">
        <v>13</v>
      </c>
      <c r="F14" s="32" t="str">
        <f t="shared" si="3"/>
        <v/>
      </c>
      <c r="G14" s="33" t="str">
        <f>IFERROR((VLOOKUP(F14,'Planilha de Cadastro - Previsão'!$A$2:$N$1100,2,FALSE()))," ")</f>
        <v xml:space="preserve"> </v>
      </c>
      <c r="H14" s="32" t="str">
        <f>IFERROR((VLOOKUP(F14,'Planilha de Cadastro - Previsão'!$A$2:$N$1100,3,FALSE()))," ")</f>
        <v xml:space="preserve"> </v>
      </c>
      <c r="I14" s="34" t="str">
        <f>IFERROR((VLOOKUP(F14,'Planilha de Cadastro - Previsão'!$A$2:$N$1100,4,FALSE()))," ")</f>
        <v xml:space="preserve"> </v>
      </c>
      <c r="J14" s="34" t="str">
        <f>IFERROR((VLOOKUP(F14,'Planilha de Cadastro - Previsão'!$A$2:$N$1100,5,FALSE()))," ")</f>
        <v xml:space="preserve"> </v>
      </c>
      <c r="K14" s="36"/>
      <c r="L14" s="34" t="str">
        <f t="shared" si="4"/>
        <v/>
      </c>
      <c r="M14" s="35" t="str">
        <f t="shared" si="5"/>
        <v/>
      </c>
      <c r="N14" s="39"/>
      <c r="O14" s="36"/>
      <c r="R14" s="26" t="s">
        <v>53</v>
      </c>
    </row>
    <row r="15" spans="1:18" x14ac:dyDescent="0.25">
      <c r="A15">
        <f>COUNTIF($C$2:C15,C15)</f>
        <v>14</v>
      </c>
      <c r="B15" s="1" t="str">
        <f t="shared" si="2"/>
        <v>14</v>
      </c>
      <c r="C15" s="1" t="str">
        <f>IFERROR(VLOOKUP(D15,'Planilha de Cadastro - Previsão'!$A$2:$O$1000,15,FALSE()),"")</f>
        <v/>
      </c>
      <c r="D15" s="1">
        <v>14</v>
      </c>
      <c r="F15" s="32" t="str">
        <f t="shared" si="3"/>
        <v/>
      </c>
      <c r="G15" s="33" t="str">
        <f>IFERROR((VLOOKUP(F15,'Planilha de Cadastro - Previsão'!$A$2:$N$1100,2,FALSE()))," ")</f>
        <v xml:space="preserve"> </v>
      </c>
      <c r="H15" s="32" t="str">
        <f>IFERROR((VLOOKUP(F15,'Planilha de Cadastro - Previsão'!$A$2:$N$1100,3,FALSE()))," ")</f>
        <v xml:space="preserve"> </v>
      </c>
      <c r="I15" s="34" t="str">
        <f>IFERROR((VLOOKUP(F15,'Planilha de Cadastro - Previsão'!$A$2:$N$1100,4,FALSE()))," ")</f>
        <v xml:space="preserve"> </v>
      </c>
      <c r="J15" s="34" t="str">
        <f>IFERROR((VLOOKUP(F15,'Planilha de Cadastro - Previsão'!$A$2:$N$1100,5,FALSE()))," ")</f>
        <v xml:space="preserve"> </v>
      </c>
      <c r="K15" s="36"/>
      <c r="L15" s="34" t="str">
        <f t="shared" si="4"/>
        <v/>
      </c>
      <c r="M15" s="35" t="str">
        <f t="shared" si="5"/>
        <v/>
      </c>
      <c r="N15" s="39"/>
      <c r="O15" s="36"/>
      <c r="R15" s="26" t="s">
        <v>58</v>
      </c>
    </row>
    <row r="16" spans="1:18" x14ac:dyDescent="0.25">
      <c r="A16">
        <f>COUNTIF($C$2:C16,C16)</f>
        <v>15</v>
      </c>
      <c r="B16" s="1" t="str">
        <f t="shared" si="2"/>
        <v>15</v>
      </c>
      <c r="C16" s="1" t="str">
        <f>IFERROR(VLOOKUP(D16,'Planilha de Cadastro - Previsão'!$A$2:$O$1000,15,FALSE()),"")</f>
        <v/>
      </c>
      <c r="D16" s="1">
        <v>15</v>
      </c>
      <c r="F16" s="32" t="str">
        <f t="shared" si="3"/>
        <v/>
      </c>
      <c r="G16" s="33" t="str">
        <f>IFERROR((VLOOKUP(F16,'Planilha de Cadastro - Previsão'!$A$2:$N$1100,2,FALSE()))," ")</f>
        <v xml:space="preserve"> </v>
      </c>
      <c r="H16" s="32" t="str">
        <f>IFERROR((VLOOKUP(F16,'Planilha de Cadastro - Previsão'!$A$2:$N$1100,3,FALSE()))," ")</f>
        <v xml:space="preserve"> </v>
      </c>
      <c r="I16" s="34" t="str">
        <f>IFERROR((VLOOKUP(F16,'Planilha de Cadastro - Previsão'!$A$2:$N$1100,4,FALSE()))," ")</f>
        <v xml:space="preserve"> </v>
      </c>
      <c r="J16" s="34" t="str">
        <f>IFERROR((VLOOKUP(F16,'Planilha de Cadastro - Previsão'!$A$2:$N$1100,5,FALSE()))," ")</f>
        <v xml:space="preserve"> </v>
      </c>
      <c r="K16" s="36"/>
      <c r="L16" s="34" t="str">
        <f t="shared" si="4"/>
        <v/>
      </c>
      <c r="M16" s="35" t="str">
        <f t="shared" si="5"/>
        <v/>
      </c>
      <c r="N16" s="39"/>
      <c r="O16" s="36"/>
    </row>
    <row r="17" spans="1:15" x14ac:dyDescent="0.25">
      <c r="A17">
        <f>COUNTIF($C$2:C17,C17)</f>
        <v>16</v>
      </c>
      <c r="B17" s="1" t="str">
        <f t="shared" si="2"/>
        <v>16</v>
      </c>
      <c r="C17" s="1" t="str">
        <f>IFERROR(VLOOKUP(D17,'Planilha de Cadastro - Previsão'!$A$2:$O$1000,15,FALSE()),"")</f>
        <v/>
      </c>
      <c r="D17" s="1">
        <v>16</v>
      </c>
      <c r="F17" s="32" t="str">
        <f t="shared" si="3"/>
        <v/>
      </c>
      <c r="G17" s="33" t="str">
        <f>IFERROR((VLOOKUP(F17,'Planilha de Cadastro - Previsão'!$A$2:$N$1100,2,FALSE()))," ")</f>
        <v xml:space="preserve"> </v>
      </c>
      <c r="H17" s="32" t="str">
        <f>IFERROR((VLOOKUP(F17,'Planilha de Cadastro - Previsão'!$A$2:$N$1100,3,FALSE()))," ")</f>
        <v xml:space="preserve"> </v>
      </c>
      <c r="I17" s="34" t="str">
        <f>IFERROR((VLOOKUP(F17,'Planilha de Cadastro - Previsão'!$A$2:$N$1100,4,FALSE()))," ")</f>
        <v xml:space="preserve"> </v>
      </c>
      <c r="J17" s="34" t="str">
        <f>IFERROR((VLOOKUP(F17,'Planilha de Cadastro - Previsão'!$A$2:$N$1100,5,FALSE()))," ")</f>
        <v xml:space="preserve"> </v>
      </c>
      <c r="K17" s="23"/>
      <c r="L17" s="34" t="str">
        <f t="shared" si="4"/>
        <v/>
      </c>
      <c r="M17" s="35" t="str">
        <f t="shared" si="5"/>
        <v/>
      </c>
      <c r="N17" s="39"/>
      <c r="O17" s="36"/>
    </row>
    <row r="18" spans="1:15" x14ac:dyDescent="0.25">
      <c r="A18">
        <f>COUNTIF($C$2:C18,C18)</f>
        <v>17</v>
      </c>
      <c r="B18" s="1" t="str">
        <f t="shared" si="2"/>
        <v>17</v>
      </c>
      <c r="C18" s="1" t="str">
        <f>IFERROR(VLOOKUP(D18,'Planilha de Cadastro - Previsão'!$A$2:$O$1000,15,FALSE()),"")</f>
        <v/>
      </c>
      <c r="D18" s="1">
        <v>17</v>
      </c>
      <c r="F18" s="32" t="str">
        <f t="shared" si="3"/>
        <v/>
      </c>
      <c r="G18" s="33" t="str">
        <f>IFERROR((VLOOKUP(F18,'Planilha de Cadastro - Previsão'!$A$2:$N$1100,2,FALSE()))," ")</f>
        <v xml:space="preserve"> </v>
      </c>
      <c r="H18" s="32" t="str">
        <f>IFERROR((VLOOKUP(F18,'Planilha de Cadastro - Previsão'!$A$2:$N$1100,3,FALSE()))," ")</f>
        <v xml:space="preserve"> </v>
      </c>
      <c r="I18" s="34" t="str">
        <f>IFERROR((VLOOKUP(F18,'Planilha de Cadastro - Previsão'!$A$2:$N$1100,4,FALSE()))," ")</f>
        <v xml:space="preserve"> </v>
      </c>
      <c r="J18" s="34" t="str">
        <f>IFERROR((VLOOKUP(F18,'Planilha de Cadastro - Previsão'!$A$2:$N$1100,5,FALSE()))," ")</f>
        <v xml:space="preserve"> </v>
      </c>
      <c r="K18" s="36"/>
      <c r="L18" s="34" t="str">
        <f t="shared" si="4"/>
        <v/>
      </c>
      <c r="M18" s="35" t="str">
        <f t="shared" si="5"/>
        <v/>
      </c>
      <c r="N18" s="39"/>
      <c r="O18" s="36"/>
    </row>
    <row r="19" spans="1:15" x14ac:dyDescent="0.25">
      <c r="A19">
        <f>COUNTIF($C$2:C19,C19)</f>
        <v>18</v>
      </c>
      <c r="B19" s="1" t="str">
        <f t="shared" si="2"/>
        <v>18</v>
      </c>
      <c r="C19" s="1" t="str">
        <f>IFERROR(VLOOKUP(D19,'Planilha de Cadastro - Previsão'!$A$2:$O$1000,15,FALSE()),"")</f>
        <v/>
      </c>
      <c r="D19" s="1">
        <v>18</v>
      </c>
      <c r="F19" s="32" t="str">
        <f t="shared" si="3"/>
        <v/>
      </c>
      <c r="G19" s="33" t="str">
        <f>IFERROR((VLOOKUP(F19,'Planilha de Cadastro - Previsão'!$A$2:$N$1100,2,FALSE()))," ")</f>
        <v xml:space="preserve"> </v>
      </c>
      <c r="H19" s="32" t="str">
        <f>IFERROR((VLOOKUP(F19,'Planilha de Cadastro - Previsão'!$A$2:$N$1100,3,FALSE()))," ")</f>
        <v xml:space="preserve"> </v>
      </c>
      <c r="I19" s="34" t="str">
        <f>IFERROR((VLOOKUP(F19,'Planilha de Cadastro - Previsão'!$A$2:$N$1100,4,FALSE()))," ")</f>
        <v xml:space="preserve"> </v>
      </c>
      <c r="J19" s="34" t="str">
        <f>IFERROR((VLOOKUP(F19,'Planilha de Cadastro - Previsão'!$A$2:$N$1100,5,FALSE()))," ")</f>
        <v xml:space="preserve"> </v>
      </c>
      <c r="K19" s="36"/>
      <c r="L19" s="34" t="str">
        <f t="shared" si="4"/>
        <v/>
      </c>
      <c r="M19" s="35" t="str">
        <f t="shared" si="5"/>
        <v/>
      </c>
      <c r="N19" s="39"/>
      <c r="O19" s="36"/>
    </row>
    <row r="20" spans="1:15" x14ac:dyDescent="0.25">
      <c r="A20">
        <f>COUNTIF($C$2:C20,C20)</f>
        <v>19</v>
      </c>
      <c r="B20" s="1" t="str">
        <f t="shared" si="2"/>
        <v>19</v>
      </c>
      <c r="C20" s="1" t="str">
        <f>IFERROR(VLOOKUP(D20,'Planilha de Cadastro - Previsão'!$A$2:$O$1000,15,FALSE()),"")</f>
        <v/>
      </c>
      <c r="D20" s="1">
        <v>19</v>
      </c>
      <c r="F20" s="32" t="str">
        <f t="shared" si="3"/>
        <v/>
      </c>
      <c r="G20" s="33" t="str">
        <f>IFERROR((VLOOKUP(F20,'Planilha de Cadastro - Previsão'!$A$2:$N$1100,2,FALSE()))," ")</f>
        <v xml:space="preserve"> </v>
      </c>
      <c r="H20" s="32" t="str">
        <f>IFERROR((VLOOKUP(F20,'Planilha de Cadastro - Previsão'!$A$2:$N$1100,3,FALSE()))," ")</f>
        <v xml:space="preserve"> </v>
      </c>
      <c r="I20" s="34" t="str">
        <f>IFERROR((VLOOKUP(F20,'Planilha de Cadastro - Previsão'!$A$2:$N$1100,4,FALSE()))," ")</f>
        <v xml:space="preserve"> </v>
      </c>
      <c r="J20" s="34" t="str">
        <f>IFERROR((VLOOKUP(F20,'Planilha de Cadastro - Previsão'!$A$2:$N$1100,5,FALSE()))," ")</f>
        <v xml:space="preserve"> </v>
      </c>
      <c r="K20" s="36"/>
      <c r="L20" s="34" t="str">
        <f t="shared" si="4"/>
        <v/>
      </c>
      <c r="M20" s="35" t="str">
        <f t="shared" si="5"/>
        <v/>
      </c>
      <c r="N20" s="39"/>
      <c r="O20" s="36"/>
    </row>
    <row r="21" spans="1:15" x14ac:dyDescent="0.25">
      <c r="A21">
        <f>COUNTIF($C$2:C21,C21)</f>
        <v>20</v>
      </c>
      <c r="B21" s="1" t="str">
        <f t="shared" si="2"/>
        <v>20</v>
      </c>
      <c r="C21" s="1" t="str">
        <f>IFERROR(VLOOKUP(D21,'Planilha de Cadastro - Previsão'!$A$2:$O$1000,15,FALSE()),"")</f>
        <v/>
      </c>
      <c r="D21" s="1">
        <v>20</v>
      </c>
      <c r="F21" s="32" t="str">
        <f t="shared" si="3"/>
        <v/>
      </c>
      <c r="G21" s="33" t="str">
        <f>IFERROR((VLOOKUP(F21,'Planilha de Cadastro - Previsão'!$A$2:$N$1100,2,FALSE()))," ")</f>
        <v xml:space="preserve"> </v>
      </c>
      <c r="H21" s="32" t="str">
        <f>IFERROR((VLOOKUP(F21,'Planilha de Cadastro - Previsão'!$A$2:$N$1100,3,FALSE()))," ")</f>
        <v xml:space="preserve"> </v>
      </c>
      <c r="I21" s="34" t="str">
        <f>IFERROR((VLOOKUP(F21,'Planilha de Cadastro - Previsão'!$A$2:$N$1100,4,FALSE()))," ")</f>
        <v xml:space="preserve"> </v>
      </c>
      <c r="J21" s="34" t="str">
        <f>IFERROR((VLOOKUP(F21,'Planilha de Cadastro - Previsão'!$A$2:$N$1100,5,FALSE()))," ")</f>
        <v xml:space="preserve"> </v>
      </c>
      <c r="K21" s="36"/>
      <c r="L21" s="34" t="str">
        <f t="shared" si="4"/>
        <v/>
      </c>
      <c r="M21" s="35" t="str">
        <f t="shared" si="5"/>
        <v/>
      </c>
      <c r="N21" s="39"/>
      <c r="O21" s="36"/>
    </row>
    <row r="22" spans="1:15" x14ac:dyDescent="0.25">
      <c r="A22">
        <f>COUNTIF($C$2:C22,C22)</f>
        <v>21</v>
      </c>
      <c r="B22" s="1" t="str">
        <f t="shared" si="2"/>
        <v>21</v>
      </c>
      <c r="C22" s="1" t="str">
        <f>IFERROR(VLOOKUP(D22,'Planilha de Cadastro - Previsão'!$A$2:$O$1000,15,FALSE()),"")</f>
        <v/>
      </c>
      <c r="D22" s="1">
        <v>21</v>
      </c>
      <c r="F22" s="32" t="str">
        <f t="shared" si="3"/>
        <v/>
      </c>
      <c r="G22" s="33" t="str">
        <f>IFERROR((VLOOKUP(F22,'Planilha de Cadastro - Previsão'!$A$2:$N$1100,2,FALSE()))," ")</f>
        <v xml:space="preserve"> </v>
      </c>
      <c r="H22" s="32" t="str">
        <f>IFERROR((VLOOKUP(F22,'Planilha de Cadastro - Previsão'!$A$2:$N$1100,3,FALSE()))," ")</f>
        <v xml:space="preserve"> </v>
      </c>
      <c r="I22" s="34" t="str">
        <f>IFERROR((VLOOKUP(F22,'Planilha de Cadastro - Previsão'!$A$2:$N$1100,4,FALSE()))," ")</f>
        <v xml:space="preserve"> </v>
      </c>
      <c r="J22" s="34" t="str">
        <f>IFERROR((VLOOKUP(F22,'Planilha de Cadastro - Previsão'!$A$2:$N$1100,5,FALSE()))," ")</f>
        <v xml:space="preserve"> </v>
      </c>
      <c r="K22" s="36"/>
      <c r="L22" s="34" t="str">
        <f t="shared" si="4"/>
        <v/>
      </c>
      <c r="M22" s="35" t="str">
        <f t="shared" si="5"/>
        <v/>
      </c>
      <c r="N22" s="39"/>
      <c r="O22" s="36"/>
    </row>
    <row r="23" spans="1:15" x14ac:dyDescent="0.25">
      <c r="A23">
        <f>COUNTIF($C$2:C23,C23)</f>
        <v>22</v>
      </c>
      <c r="B23" s="1" t="str">
        <f t="shared" si="2"/>
        <v>22</v>
      </c>
      <c r="C23" s="1" t="str">
        <f>IFERROR(VLOOKUP(D23,'Planilha de Cadastro - Previsão'!$A$2:$O$1000,15,FALSE()),"")</f>
        <v/>
      </c>
      <c r="D23" s="1">
        <v>22</v>
      </c>
      <c r="F23" s="32" t="str">
        <f t="shared" si="3"/>
        <v/>
      </c>
      <c r="G23" s="33" t="str">
        <f>IFERROR((VLOOKUP(F23,'Planilha de Cadastro - Previsão'!$A$2:$N$1100,2,FALSE()))," ")</f>
        <v xml:space="preserve"> </v>
      </c>
      <c r="H23" s="32" t="str">
        <f>IFERROR((VLOOKUP(F23,'Planilha de Cadastro - Previsão'!$A$2:$N$1100,3,FALSE()))," ")</f>
        <v xml:space="preserve"> </v>
      </c>
      <c r="I23" s="34" t="str">
        <f>IFERROR((VLOOKUP(F23,'Planilha de Cadastro - Previsão'!$A$2:$N$1100,4,FALSE()))," ")</f>
        <v xml:space="preserve"> </v>
      </c>
      <c r="J23" s="34" t="str">
        <f>IFERROR((VLOOKUP(F23,'Planilha de Cadastro - Previsão'!$A$2:$N$1100,5,FALSE()))," ")</f>
        <v xml:space="preserve"> </v>
      </c>
      <c r="K23" s="36"/>
      <c r="L23" s="34" t="str">
        <f t="shared" si="4"/>
        <v/>
      </c>
      <c r="M23" s="35" t="str">
        <f t="shared" si="5"/>
        <v/>
      </c>
      <c r="N23" s="39"/>
      <c r="O23" s="36"/>
    </row>
    <row r="24" spans="1:15" x14ac:dyDescent="0.25">
      <c r="A24">
        <f>COUNTIF($C$2:C24,C24)</f>
        <v>23</v>
      </c>
      <c r="B24" s="1" t="str">
        <f t="shared" si="2"/>
        <v>23</v>
      </c>
      <c r="C24" s="1" t="str">
        <f>IFERROR(VLOOKUP(D24,'Planilha de Cadastro - Previsão'!$A$2:$O$1000,15,FALSE()),"")</f>
        <v/>
      </c>
      <c r="D24" s="1">
        <v>23</v>
      </c>
      <c r="F24" s="32" t="str">
        <f t="shared" si="3"/>
        <v/>
      </c>
      <c r="G24" s="33" t="str">
        <f>IFERROR((VLOOKUP(F24,'Planilha de Cadastro - Previsão'!$A$2:$N$1100,2,FALSE()))," ")</f>
        <v xml:space="preserve"> </v>
      </c>
      <c r="H24" s="32" t="str">
        <f>IFERROR((VLOOKUP(F24,'Planilha de Cadastro - Previsão'!$A$2:$N$1100,3,FALSE()))," ")</f>
        <v xml:space="preserve"> </v>
      </c>
      <c r="I24" s="34" t="str">
        <f>IFERROR((VLOOKUP(F24,'Planilha de Cadastro - Previsão'!$A$2:$N$1100,4,FALSE()))," ")</f>
        <v xml:space="preserve"> </v>
      </c>
      <c r="J24" s="34" t="str">
        <f>IFERROR((VLOOKUP(F24,'Planilha de Cadastro - Previsão'!$A$2:$N$1100,5,FALSE()))," ")</f>
        <v xml:space="preserve"> </v>
      </c>
      <c r="K24" s="36"/>
      <c r="L24" s="34" t="str">
        <f t="shared" si="4"/>
        <v/>
      </c>
      <c r="M24" s="35" t="str">
        <f t="shared" si="5"/>
        <v/>
      </c>
      <c r="N24" s="39"/>
      <c r="O24" s="36"/>
    </row>
    <row r="25" spans="1:15" x14ac:dyDescent="0.25">
      <c r="A25">
        <f>COUNTIF($C$2:C25,C25)</f>
        <v>24</v>
      </c>
      <c r="B25" s="1" t="str">
        <f t="shared" si="2"/>
        <v>24</v>
      </c>
      <c r="C25" s="1" t="str">
        <f>IFERROR(VLOOKUP(D25,'Planilha de Cadastro - Previsão'!$A$2:$O$1000,15,FALSE()),"")</f>
        <v/>
      </c>
      <c r="D25" s="1">
        <v>24</v>
      </c>
      <c r="F25" s="32" t="str">
        <f t="shared" si="3"/>
        <v/>
      </c>
      <c r="G25" s="33" t="str">
        <f>IFERROR((VLOOKUP(F25,'Planilha de Cadastro - Previsão'!$A$2:$N$1100,2,FALSE()))," ")</f>
        <v xml:space="preserve"> </v>
      </c>
      <c r="H25" s="32" t="str">
        <f>IFERROR((VLOOKUP(F25,'Planilha de Cadastro - Previsão'!$A$2:$N$1100,3,FALSE()))," ")</f>
        <v xml:space="preserve"> </v>
      </c>
      <c r="I25" s="34" t="str">
        <f>IFERROR((VLOOKUP(F25,'Planilha de Cadastro - Previsão'!$A$2:$N$1100,4,FALSE()))," ")</f>
        <v xml:space="preserve"> </v>
      </c>
      <c r="J25" s="34" t="str">
        <f>IFERROR((VLOOKUP(F25,'Planilha de Cadastro - Previsão'!$A$2:$N$1100,5,FALSE()))," ")</f>
        <v xml:space="preserve"> </v>
      </c>
      <c r="K25" s="36"/>
      <c r="L25" s="34" t="str">
        <f t="shared" si="4"/>
        <v/>
      </c>
      <c r="M25" s="35" t="str">
        <f t="shared" si="5"/>
        <v/>
      </c>
      <c r="N25" s="39"/>
      <c r="O25" s="36"/>
    </row>
    <row r="26" spans="1:15" x14ac:dyDescent="0.25">
      <c r="A26">
        <f>COUNTIF($C$2:C26,C26)</f>
        <v>25</v>
      </c>
      <c r="B26" s="1" t="str">
        <f t="shared" si="2"/>
        <v>25</v>
      </c>
      <c r="C26" s="1" t="str">
        <f>IFERROR(VLOOKUP(D26,'Planilha de Cadastro - Previsão'!$A$2:$O$1000,15,FALSE()),"")</f>
        <v/>
      </c>
      <c r="D26" s="1">
        <v>25</v>
      </c>
      <c r="F26" s="32" t="str">
        <f t="shared" si="3"/>
        <v/>
      </c>
      <c r="G26" s="33" t="str">
        <f>IFERROR((VLOOKUP(F26,'Planilha de Cadastro - Previsão'!$A$2:$N$1100,2,FALSE()))," ")</f>
        <v xml:space="preserve"> </v>
      </c>
      <c r="H26" s="32" t="str">
        <f>IFERROR((VLOOKUP(F26,'Planilha de Cadastro - Previsão'!$A$2:$N$1100,3,FALSE()))," ")</f>
        <v xml:space="preserve"> </v>
      </c>
      <c r="I26" s="34" t="str">
        <f>IFERROR((VLOOKUP(F26,'Planilha de Cadastro - Previsão'!$A$2:$N$1100,4,FALSE()))," ")</f>
        <v xml:space="preserve"> </v>
      </c>
      <c r="J26" s="34" t="str">
        <f>IFERROR((VLOOKUP(F26,'Planilha de Cadastro - Previsão'!$A$2:$N$1100,5,FALSE()))," ")</f>
        <v xml:space="preserve"> </v>
      </c>
      <c r="K26" s="36"/>
      <c r="L26" s="34" t="str">
        <f t="shared" si="4"/>
        <v/>
      </c>
      <c r="M26" s="35" t="str">
        <f t="shared" si="5"/>
        <v/>
      </c>
      <c r="N26" s="39"/>
      <c r="O26" s="36"/>
    </row>
    <row r="27" spans="1:15" x14ac:dyDescent="0.25">
      <c r="A27">
        <f>COUNTIF($C$2:C27,C27)</f>
        <v>26</v>
      </c>
      <c r="B27" s="1" t="str">
        <f t="shared" si="2"/>
        <v>26</v>
      </c>
      <c r="C27" s="1" t="str">
        <f>IFERROR(VLOOKUP(D27,'Planilha de Cadastro - Previsão'!$A$2:$O$1000,15,FALSE()),"")</f>
        <v/>
      </c>
      <c r="D27" s="1">
        <v>26</v>
      </c>
      <c r="F27" s="32" t="str">
        <f t="shared" si="3"/>
        <v/>
      </c>
      <c r="G27" s="33" t="str">
        <f>IFERROR((VLOOKUP(F27,'Planilha de Cadastro - Previsão'!$A$2:$N$1100,2,FALSE()))," ")</f>
        <v xml:space="preserve"> </v>
      </c>
      <c r="H27" s="32" t="str">
        <f>IFERROR((VLOOKUP(F27,'Planilha de Cadastro - Previsão'!$A$2:$N$1100,3,FALSE()))," ")</f>
        <v xml:space="preserve"> </v>
      </c>
      <c r="I27" s="34" t="str">
        <f>IFERROR((VLOOKUP(F27,'Planilha de Cadastro - Previsão'!$A$2:$N$1100,4,FALSE()))," ")</f>
        <v xml:space="preserve"> </v>
      </c>
      <c r="J27" s="34" t="str">
        <f>IFERROR((VLOOKUP(F27,'Planilha de Cadastro - Previsão'!$A$2:$N$1100,5,FALSE()))," ")</f>
        <v xml:space="preserve"> </v>
      </c>
      <c r="K27" s="36"/>
      <c r="L27" s="34" t="str">
        <f t="shared" si="4"/>
        <v/>
      </c>
      <c r="M27" s="35" t="str">
        <f t="shared" si="5"/>
        <v/>
      </c>
      <c r="N27" s="39"/>
      <c r="O27" s="36"/>
    </row>
    <row r="28" spans="1:15" x14ac:dyDescent="0.25">
      <c r="A28">
        <f>COUNTIF($C$2:C28,C28)</f>
        <v>27</v>
      </c>
      <c r="B28" s="1" t="str">
        <f t="shared" si="2"/>
        <v>27</v>
      </c>
      <c r="C28" s="1" t="str">
        <f>IFERROR(VLOOKUP(D28,'Planilha de Cadastro - Previsão'!$A$2:$O$1000,15,FALSE()),"")</f>
        <v/>
      </c>
      <c r="D28" s="1">
        <v>27</v>
      </c>
      <c r="F28" s="32" t="str">
        <f t="shared" si="3"/>
        <v/>
      </c>
      <c r="G28" s="33" t="str">
        <f>IFERROR((VLOOKUP(F28,'Planilha de Cadastro - Previsão'!$A$2:$N$1100,2,FALSE()))," ")</f>
        <v xml:space="preserve"> </v>
      </c>
      <c r="H28" s="32" t="str">
        <f>IFERROR((VLOOKUP(F28,'Planilha de Cadastro - Previsão'!$A$2:$N$1100,3,FALSE()))," ")</f>
        <v xml:space="preserve"> </v>
      </c>
      <c r="I28" s="34" t="str">
        <f>IFERROR((VLOOKUP(F28,'Planilha de Cadastro - Previsão'!$A$2:$N$1100,4,FALSE()))," ")</f>
        <v xml:space="preserve"> </v>
      </c>
      <c r="J28" s="34" t="str">
        <f>IFERROR((VLOOKUP(F28,'Planilha de Cadastro - Previsão'!$A$2:$N$1100,5,FALSE()))," ")</f>
        <v xml:space="preserve"> </v>
      </c>
      <c r="K28" s="36"/>
      <c r="L28" s="34" t="str">
        <f t="shared" si="4"/>
        <v/>
      </c>
      <c r="M28" s="35" t="str">
        <f t="shared" si="5"/>
        <v/>
      </c>
      <c r="N28" s="39"/>
      <c r="O28" s="36"/>
    </row>
    <row r="29" spans="1:15" x14ac:dyDescent="0.25">
      <c r="A29">
        <f>COUNTIF($C$2:C29,C29)</f>
        <v>28</v>
      </c>
      <c r="B29" s="1" t="str">
        <f t="shared" si="2"/>
        <v>28</v>
      </c>
      <c r="C29" s="1" t="str">
        <f>IFERROR(VLOOKUP(D29,'Planilha de Cadastro - Previsão'!$A$2:$O$1000,15,FALSE()),"")</f>
        <v/>
      </c>
      <c r="D29" s="1">
        <v>28</v>
      </c>
      <c r="F29" s="32" t="str">
        <f t="shared" si="3"/>
        <v/>
      </c>
      <c r="G29" s="33" t="str">
        <f>IFERROR((VLOOKUP(F29,'Planilha de Cadastro - Previsão'!$A$2:$N$1100,2,FALSE()))," ")</f>
        <v xml:space="preserve"> </v>
      </c>
      <c r="H29" s="32" t="str">
        <f>IFERROR((VLOOKUP(F29,'Planilha de Cadastro - Previsão'!$A$2:$N$1100,3,FALSE()))," ")</f>
        <v xml:space="preserve"> </v>
      </c>
      <c r="I29" s="34" t="str">
        <f>IFERROR((VLOOKUP(F29,'Planilha de Cadastro - Previsão'!$A$2:$N$1100,4,FALSE()))," ")</f>
        <v xml:space="preserve"> </v>
      </c>
      <c r="J29" s="34" t="str">
        <f>IFERROR((VLOOKUP(F29,'Planilha de Cadastro - Previsão'!$A$2:$N$1100,5,FALSE()))," ")</f>
        <v xml:space="preserve"> </v>
      </c>
      <c r="K29" s="36"/>
      <c r="L29" s="34" t="str">
        <f t="shared" si="4"/>
        <v/>
      </c>
      <c r="M29" s="35" t="str">
        <f t="shared" si="5"/>
        <v/>
      </c>
      <c r="N29" s="39"/>
      <c r="O29" s="36"/>
    </row>
    <row r="30" spans="1:15" x14ac:dyDescent="0.25">
      <c r="A30">
        <f>COUNTIF($C$2:C30,C30)</f>
        <v>29</v>
      </c>
      <c r="B30" s="1" t="str">
        <f t="shared" si="2"/>
        <v>29</v>
      </c>
      <c r="C30" s="1" t="str">
        <f>IFERROR(VLOOKUP(D30,'Planilha de Cadastro - Previsão'!$A$2:$O$1000,15,FALSE()),"")</f>
        <v/>
      </c>
      <c r="D30" s="1">
        <v>29</v>
      </c>
      <c r="F30" s="32" t="str">
        <f t="shared" si="3"/>
        <v/>
      </c>
      <c r="G30" s="33" t="str">
        <f>IFERROR((VLOOKUP(F30,'Planilha de Cadastro - Previsão'!$A$2:$N$1100,2,FALSE()))," ")</f>
        <v xml:space="preserve"> </v>
      </c>
      <c r="H30" s="32" t="str">
        <f>IFERROR((VLOOKUP(F30,'Planilha de Cadastro - Previsão'!$A$2:$N$1100,3,FALSE()))," ")</f>
        <v xml:space="preserve"> </v>
      </c>
      <c r="I30" s="34" t="str">
        <f>IFERROR((VLOOKUP(F30,'Planilha de Cadastro - Previsão'!$A$2:$N$1100,4,FALSE()))," ")</f>
        <v xml:space="preserve"> </v>
      </c>
      <c r="J30" s="34" t="str">
        <f>IFERROR((VLOOKUP(F30,'Planilha de Cadastro - Previsão'!$A$2:$N$1100,5,FALSE()))," ")</f>
        <v xml:space="preserve"> </v>
      </c>
      <c r="K30" s="36"/>
      <c r="L30" s="34" t="str">
        <f t="shared" si="4"/>
        <v/>
      </c>
      <c r="M30" s="35" t="str">
        <f t="shared" si="5"/>
        <v/>
      </c>
      <c r="N30" s="39"/>
      <c r="O30" s="36"/>
    </row>
    <row r="31" spans="1:15" x14ac:dyDescent="0.25">
      <c r="A31">
        <f>COUNTIF($C$2:C31,C31)</f>
        <v>30</v>
      </c>
      <c r="B31" s="1" t="str">
        <f t="shared" si="2"/>
        <v>30</v>
      </c>
      <c r="C31" s="1" t="str">
        <f>IFERROR(VLOOKUP(D31,'Planilha de Cadastro - Previsão'!$A$2:$O$1000,15,FALSE()),"")</f>
        <v/>
      </c>
      <c r="D31" s="1">
        <v>30</v>
      </c>
      <c r="F31" s="32" t="str">
        <f t="shared" si="3"/>
        <v/>
      </c>
      <c r="G31" s="33" t="str">
        <f>IFERROR((VLOOKUP(F31,'Planilha de Cadastro - Previsão'!$A$2:$N$1100,2,FALSE()))," ")</f>
        <v xml:space="preserve"> </v>
      </c>
      <c r="H31" s="32" t="str">
        <f>IFERROR((VLOOKUP(F31,'Planilha de Cadastro - Previsão'!$A$2:$N$1100,3,FALSE()))," ")</f>
        <v xml:space="preserve"> </v>
      </c>
      <c r="I31" s="34" t="str">
        <f>IFERROR((VLOOKUP(F31,'Planilha de Cadastro - Previsão'!$A$2:$N$1100,4,FALSE()))," ")</f>
        <v xml:space="preserve"> </v>
      </c>
      <c r="J31" s="34" t="str">
        <f>IFERROR((VLOOKUP(F31,'Planilha de Cadastro - Previsão'!$A$2:$N$1100,5,FALSE()))," ")</f>
        <v xml:space="preserve"> </v>
      </c>
      <c r="K31" s="36"/>
      <c r="L31" s="34" t="str">
        <f t="shared" si="4"/>
        <v/>
      </c>
      <c r="M31" s="35" t="str">
        <f t="shared" si="5"/>
        <v/>
      </c>
      <c r="N31" s="39"/>
      <c r="O31" s="36"/>
    </row>
    <row r="32" spans="1:15" x14ac:dyDescent="0.25">
      <c r="A32">
        <f>COUNTIF($C$2:C32,C32)</f>
        <v>31</v>
      </c>
      <c r="B32" s="1" t="str">
        <f t="shared" si="2"/>
        <v>31</v>
      </c>
      <c r="C32" s="1" t="str">
        <f>IFERROR(VLOOKUP(D32,'Planilha de Cadastro - Previsão'!$A$2:$O$1000,15,FALSE()),"")</f>
        <v/>
      </c>
      <c r="D32" s="1">
        <v>31</v>
      </c>
      <c r="F32" s="32" t="str">
        <f t="shared" si="3"/>
        <v/>
      </c>
      <c r="G32" s="33" t="str">
        <f>IFERROR((VLOOKUP(F32,'Planilha de Cadastro - Previsão'!$A$2:$N$1100,2,FALSE()))," ")</f>
        <v xml:space="preserve"> </v>
      </c>
      <c r="H32" s="32" t="str">
        <f>IFERROR((VLOOKUP(F32,'Planilha de Cadastro - Previsão'!$A$2:$N$1100,3,FALSE()))," ")</f>
        <v xml:space="preserve"> </v>
      </c>
      <c r="I32" s="34" t="str">
        <f>IFERROR((VLOOKUP(F32,'Planilha de Cadastro - Previsão'!$A$2:$N$1100,4,FALSE()))," ")</f>
        <v xml:space="preserve"> </v>
      </c>
      <c r="J32" s="34" t="str">
        <f>IFERROR((VLOOKUP(F32,'Planilha de Cadastro - Previsão'!$A$2:$N$1100,5,FALSE()))," ")</f>
        <v xml:space="preserve"> </v>
      </c>
      <c r="K32" s="36"/>
      <c r="L32" s="34" t="str">
        <f t="shared" si="4"/>
        <v/>
      </c>
      <c r="M32" s="35" t="str">
        <f t="shared" si="5"/>
        <v/>
      </c>
      <c r="N32" s="39"/>
      <c r="O32" s="36"/>
    </row>
    <row r="33" spans="1:15" x14ac:dyDescent="0.25">
      <c r="A33">
        <f>COUNTIF($C$2:C33,C33)</f>
        <v>32</v>
      </c>
      <c r="B33" s="1" t="str">
        <f t="shared" si="2"/>
        <v>32</v>
      </c>
      <c r="C33" s="1" t="str">
        <f>IFERROR(VLOOKUP(D33,'Planilha de Cadastro - Previsão'!$A$2:$O$1000,15,FALSE()),"")</f>
        <v/>
      </c>
      <c r="D33" s="1">
        <v>32</v>
      </c>
      <c r="F33" s="32" t="str">
        <f t="shared" si="3"/>
        <v/>
      </c>
      <c r="G33" s="33" t="str">
        <f>IFERROR((VLOOKUP(F33,'Planilha de Cadastro - Previsão'!$A$2:$N$1100,2,FALSE()))," ")</f>
        <v xml:space="preserve"> </v>
      </c>
      <c r="H33" s="32" t="str">
        <f>IFERROR((VLOOKUP(F33,'Planilha de Cadastro - Previsão'!$A$2:$N$1100,3,FALSE()))," ")</f>
        <v xml:space="preserve"> </v>
      </c>
      <c r="I33" s="34" t="str">
        <f>IFERROR((VLOOKUP(F33,'Planilha de Cadastro - Previsão'!$A$2:$N$1100,4,FALSE()))," ")</f>
        <v xml:space="preserve"> </v>
      </c>
      <c r="J33" s="34" t="str">
        <f>IFERROR((VLOOKUP(F33,'Planilha de Cadastro - Previsão'!$A$2:$N$1100,5,FALSE()))," ")</f>
        <v xml:space="preserve"> </v>
      </c>
      <c r="K33" s="36"/>
      <c r="L33" s="34" t="str">
        <f t="shared" si="4"/>
        <v/>
      </c>
      <c r="M33" s="35" t="str">
        <f t="shared" si="5"/>
        <v/>
      </c>
      <c r="N33" s="39"/>
      <c r="O33" s="36"/>
    </row>
    <row r="34" spans="1:15" x14ac:dyDescent="0.25">
      <c r="A34">
        <f>COUNTIF($C$2:C34,C34)</f>
        <v>33</v>
      </c>
      <c r="B34" s="1" t="str">
        <f t="shared" si="2"/>
        <v>33</v>
      </c>
      <c r="C34" s="1" t="str">
        <f>IFERROR(VLOOKUP(D34,'Planilha de Cadastro - Previsão'!$A$2:$O$1000,15,FALSE()),"")</f>
        <v/>
      </c>
      <c r="D34" s="1">
        <v>33</v>
      </c>
      <c r="F34" s="32" t="str">
        <f t="shared" si="3"/>
        <v/>
      </c>
      <c r="G34" s="33" t="str">
        <f>IFERROR((VLOOKUP(F34,'Planilha de Cadastro - Previsão'!$A$2:$N$1100,2,FALSE()))," ")</f>
        <v xml:space="preserve"> </v>
      </c>
      <c r="H34" s="32" t="str">
        <f>IFERROR((VLOOKUP(F34,'Planilha de Cadastro - Previsão'!$A$2:$N$1100,3,FALSE()))," ")</f>
        <v xml:space="preserve"> </v>
      </c>
      <c r="I34" s="34" t="str">
        <f>IFERROR((VLOOKUP(F34,'Planilha de Cadastro - Previsão'!$A$2:$N$1100,4,FALSE()))," ")</f>
        <v xml:space="preserve"> </v>
      </c>
      <c r="J34" s="34" t="str">
        <f>IFERROR((VLOOKUP(F34,'Planilha de Cadastro - Previsão'!$A$2:$N$1100,5,FALSE()))," ")</f>
        <v xml:space="preserve"> </v>
      </c>
      <c r="K34" s="36"/>
      <c r="L34" s="34" t="str">
        <f t="shared" si="4"/>
        <v/>
      </c>
      <c r="M34" s="35" t="str">
        <f t="shared" si="5"/>
        <v/>
      </c>
      <c r="N34" s="39"/>
      <c r="O34" s="36"/>
    </row>
    <row r="35" spans="1:15" x14ac:dyDescent="0.25">
      <c r="A35">
        <f>COUNTIF($C$2:C35,C35)</f>
        <v>34</v>
      </c>
      <c r="B35" s="1" t="str">
        <f t="shared" si="2"/>
        <v>34</v>
      </c>
      <c r="C35" s="1" t="str">
        <f>IFERROR(VLOOKUP(D35,'Planilha de Cadastro - Previsão'!$A$2:$O$1000,15,FALSE()),"")</f>
        <v/>
      </c>
      <c r="D35" s="1">
        <v>34</v>
      </c>
      <c r="F35" s="32" t="str">
        <f t="shared" si="3"/>
        <v/>
      </c>
      <c r="G35" s="33" t="str">
        <f>IFERROR((VLOOKUP(F35,'Planilha de Cadastro - Previsão'!$A$2:$N$1100,2,FALSE()))," ")</f>
        <v xml:space="preserve"> </v>
      </c>
      <c r="H35" s="32" t="str">
        <f>IFERROR((VLOOKUP(F35,'Planilha de Cadastro - Previsão'!$A$2:$N$1100,3,FALSE()))," ")</f>
        <v xml:space="preserve"> </v>
      </c>
      <c r="I35" s="34" t="str">
        <f>IFERROR((VLOOKUP(F35,'Planilha de Cadastro - Previsão'!$A$2:$N$1100,4,FALSE()))," ")</f>
        <v xml:space="preserve"> </v>
      </c>
      <c r="J35" s="34" t="str">
        <f>IFERROR((VLOOKUP(F35,'Planilha de Cadastro - Previsão'!$A$2:$N$1100,5,FALSE()))," ")</f>
        <v xml:space="preserve"> </v>
      </c>
      <c r="K35" s="36"/>
      <c r="L35" s="34" t="str">
        <f t="shared" si="4"/>
        <v/>
      </c>
      <c r="M35" s="35" t="str">
        <f t="shared" si="5"/>
        <v/>
      </c>
      <c r="N35" s="39"/>
      <c r="O35" s="36"/>
    </row>
    <row r="36" spans="1:15" x14ac:dyDescent="0.25">
      <c r="A36">
        <f>COUNTIF($C$2:C36,C36)</f>
        <v>35</v>
      </c>
      <c r="B36" s="1" t="str">
        <f t="shared" si="2"/>
        <v>35</v>
      </c>
      <c r="C36" s="1" t="str">
        <f>IFERROR(VLOOKUP(D36,'Planilha de Cadastro - Previsão'!$A$2:$O$1000,15,FALSE()),"")</f>
        <v/>
      </c>
      <c r="D36" s="1">
        <v>35</v>
      </c>
      <c r="F36" s="32" t="str">
        <f t="shared" si="3"/>
        <v/>
      </c>
      <c r="G36" s="33" t="str">
        <f>IFERROR((VLOOKUP(F36,'Planilha de Cadastro - Previsão'!$A$2:$N$1100,2,FALSE()))," ")</f>
        <v xml:space="preserve"> </v>
      </c>
      <c r="H36" s="32" t="str">
        <f>IFERROR((VLOOKUP(F36,'Planilha de Cadastro - Previsão'!$A$2:$N$1100,3,FALSE()))," ")</f>
        <v xml:space="preserve"> </v>
      </c>
      <c r="I36" s="34" t="str">
        <f>IFERROR((VLOOKUP(F36,'Planilha de Cadastro - Previsão'!$A$2:$N$1100,4,FALSE()))," ")</f>
        <v xml:space="preserve"> </v>
      </c>
      <c r="J36" s="34" t="str">
        <f>IFERROR((VLOOKUP(F36,'Planilha de Cadastro - Previsão'!$A$2:$N$1100,5,FALSE()))," ")</f>
        <v xml:space="preserve"> </v>
      </c>
      <c r="K36" s="36"/>
      <c r="L36" s="34" t="str">
        <f t="shared" si="4"/>
        <v/>
      </c>
      <c r="M36" s="35" t="str">
        <f t="shared" si="5"/>
        <v/>
      </c>
      <c r="N36" s="39"/>
      <c r="O36" s="36"/>
    </row>
    <row r="37" spans="1:15" x14ac:dyDescent="0.25">
      <c r="A37">
        <f>COUNTIF($C$2:C37,C37)</f>
        <v>36</v>
      </c>
      <c r="B37" s="1" t="str">
        <f t="shared" si="2"/>
        <v>36</v>
      </c>
      <c r="C37" s="1" t="str">
        <f>IFERROR(VLOOKUP(D37,'Planilha de Cadastro - Previsão'!$A$2:$O$1000,15,FALSE()),"")</f>
        <v/>
      </c>
      <c r="D37" s="1">
        <v>36</v>
      </c>
      <c r="F37" s="32" t="str">
        <f t="shared" si="3"/>
        <v/>
      </c>
      <c r="G37" s="33" t="str">
        <f>IFERROR((VLOOKUP(F37,'Planilha de Cadastro - Previsão'!$A$2:$N$1100,2,FALSE()))," ")</f>
        <v xml:space="preserve"> </v>
      </c>
      <c r="H37" s="32" t="str">
        <f>IFERROR((VLOOKUP(F37,'Planilha de Cadastro - Previsão'!$A$2:$N$1100,3,FALSE()))," ")</f>
        <v xml:space="preserve"> </v>
      </c>
      <c r="I37" s="34" t="str">
        <f>IFERROR((VLOOKUP(F37,'Planilha de Cadastro - Previsão'!$A$2:$N$1100,4,FALSE()))," ")</f>
        <v xml:space="preserve"> </v>
      </c>
      <c r="J37" s="34" t="str">
        <f>IFERROR((VLOOKUP(F37,'Planilha de Cadastro - Previsão'!$A$2:$N$1100,5,FALSE()))," ")</f>
        <v xml:space="preserve"> </v>
      </c>
      <c r="K37" s="36"/>
      <c r="L37" s="34" t="str">
        <f t="shared" si="4"/>
        <v/>
      </c>
      <c r="M37" s="35" t="str">
        <f t="shared" si="5"/>
        <v/>
      </c>
      <c r="N37" s="39"/>
      <c r="O37" s="36"/>
    </row>
    <row r="38" spans="1:15" x14ac:dyDescent="0.25">
      <c r="A38">
        <f>COUNTIF($C$2:C38,C38)</f>
        <v>37</v>
      </c>
      <c r="B38" s="1" t="str">
        <f t="shared" si="2"/>
        <v>37</v>
      </c>
      <c r="C38" s="1" t="str">
        <f>IFERROR(VLOOKUP(D38,'Planilha de Cadastro - Previsão'!$A$2:$O$1000,15,FALSE()),"")</f>
        <v/>
      </c>
      <c r="D38" s="1">
        <v>37</v>
      </c>
      <c r="F38" s="32" t="str">
        <f t="shared" si="3"/>
        <v/>
      </c>
      <c r="G38" s="33" t="str">
        <f>IFERROR((VLOOKUP(F38,'Planilha de Cadastro - Previsão'!$A$2:$N$1100,2,FALSE()))," ")</f>
        <v xml:space="preserve"> </v>
      </c>
      <c r="H38" s="32" t="str">
        <f>IFERROR((VLOOKUP(F38,'Planilha de Cadastro - Previsão'!$A$2:$N$1100,3,FALSE()))," ")</f>
        <v xml:space="preserve"> </v>
      </c>
      <c r="I38" s="34" t="str">
        <f>IFERROR((VLOOKUP(F38,'Planilha de Cadastro - Previsão'!$A$2:$N$1100,4,FALSE()))," ")</f>
        <v xml:space="preserve"> </v>
      </c>
      <c r="J38" s="34" t="str">
        <f>IFERROR((VLOOKUP(F38,'Planilha de Cadastro - Previsão'!$A$2:$N$1100,5,FALSE()))," ")</f>
        <v xml:space="preserve"> </v>
      </c>
      <c r="K38" s="36"/>
      <c r="L38" s="34" t="str">
        <f t="shared" si="4"/>
        <v/>
      </c>
      <c r="M38" s="35" t="str">
        <f t="shared" si="5"/>
        <v/>
      </c>
      <c r="N38" s="39"/>
      <c r="O38" s="36"/>
    </row>
    <row r="39" spans="1:15" x14ac:dyDescent="0.25">
      <c r="A39">
        <f>COUNTIF($C$2:C39,C39)</f>
        <v>38</v>
      </c>
      <c r="B39" s="1" t="str">
        <f t="shared" si="2"/>
        <v>38</v>
      </c>
      <c r="C39" s="1" t="str">
        <f>IFERROR(VLOOKUP(D39,'Planilha de Cadastro - Previsão'!$A$2:$O$1000,15,FALSE()),"")</f>
        <v/>
      </c>
      <c r="D39" s="1">
        <v>38</v>
      </c>
      <c r="F39" s="32" t="str">
        <f t="shared" si="3"/>
        <v/>
      </c>
      <c r="G39" s="33" t="str">
        <f>IFERROR((VLOOKUP(F39,'Planilha de Cadastro - Previsão'!$A$2:$N$1100,2,FALSE()))," ")</f>
        <v xml:space="preserve"> </v>
      </c>
      <c r="H39" s="32" t="str">
        <f>IFERROR((VLOOKUP(F39,'Planilha de Cadastro - Previsão'!$A$2:$N$1100,3,FALSE()))," ")</f>
        <v xml:space="preserve"> </v>
      </c>
      <c r="I39" s="34" t="str">
        <f>IFERROR((VLOOKUP(F39,'Planilha de Cadastro - Previsão'!$A$2:$N$1100,4,FALSE()))," ")</f>
        <v xml:space="preserve"> </v>
      </c>
      <c r="J39" s="34" t="str">
        <f>IFERROR((VLOOKUP(F39,'Planilha de Cadastro - Previsão'!$A$2:$N$1100,5,FALSE()))," ")</f>
        <v xml:space="preserve"> </v>
      </c>
      <c r="K39" s="36"/>
      <c r="L39" s="34" t="str">
        <f t="shared" si="4"/>
        <v/>
      </c>
      <c r="M39" s="35" t="str">
        <f t="shared" si="5"/>
        <v/>
      </c>
      <c r="N39" s="39"/>
      <c r="O39" s="36"/>
    </row>
    <row r="40" spans="1:15" x14ac:dyDescent="0.25">
      <c r="A40">
        <f>COUNTIF($C$2:C40,C40)</f>
        <v>39</v>
      </c>
      <c r="B40" s="1" t="str">
        <f t="shared" si="2"/>
        <v>39</v>
      </c>
      <c r="C40" s="1" t="str">
        <f>IFERROR(VLOOKUP(D40,'Planilha de Cadastro - Previsão'!$A$2:$O$1000,15,FALSE()),"")</f>
        <v/>
      </c>
      <c r="D40" s="1">
        <v>39</v>
      </c>
      <c r="F40" s="32" t="str">
        <f t="shared" si="3"/>
        <v/>
      </c>
      <c r="G40" s="33" t="str">
        <f>IFERROR((VLOOKUP(F40,'Planilha de Cadastro - Previsão'!$A$2:$N$1100,2,FALSE()))," ")</f>
        <v xml:space="preserve"> </v>
      </c>
      <c r="H40" s="32" t="str">
        <f>IFERROR((VLOOKUP(F40,'Planilha de Cadastro - Previsão'!$A$2:$N$1100,3,FALSE()))," ")</f>
        <v xml:space="preserve"> </v>
      </c>
      <c r="I40" s="34" t="str">
        <f>IFERROR((VLOOKUP(F40,'Planilha de Cadastro - Previsão'!$A$2:$N$1100,4,FALSE()))," ")</f>
        <v xml:space="preserve"> </v>
      </c>
      <c r="J40" s="34" t="str">
        <f>IFERROR((VLOOKUP(F40,'Planilha de Cadastro - Previsão'!$A$2:$N$1100,5,FALSE()))," ")</f>
        <v xml:space="preserve"> </v>
      </c>
      <c r="K40" s="36"/>
      <c r="L40" s="34" t="str">
        <f t="shared" si="4"/>
        <v/>
      </c>
      <c r="M40" s="35" t="str">
        <f t="shared" si="5"/>
        <v/>
      </c>
      <c r="N40" s="39"/>
      <c r="O40" s="36"/>
    </row>
    <row r="41" spans="1:15" x14ac:dyDescent="0.25">
      <c r="A41">
        <f>COUNTIF($C$2:C41,C41)</f>
        <v>40</v>
      </c>
      <c r="B41" s="1" t="str">
        <f t="shared" si="2"/>
        <v>40</v>
      </c>
      <c r="C41" s="1" t="str">
        <f>IFERROR(VLOOKUP(D41,'Planilha de Cadastro - Previsão'!$A$2:$O$1000,15,FALSE()),"")</f>
        <v/>
      </c>
      <c r="D41" s="1">
        <v>40</v>
      </c>
      <c r="F41" s="32" t="str">
        <f t="shared" si="3"/>
        <v/>
      </c>
      <c r="G41" s="33" t="str">
        <f>IFERROR((VLOOKUP(F41,'Planilha de Cadastro - Previsão'!$A$2:$N$1100,2,FALSE()))," ")</f>
        <v xml:space="preserve"> </v>
      </c>
      <c r="H41" s="32" t="str">
        <f>IFERROR((VLOOKUP(F41,'Planilha de Cadastro - Previsão'!$A$2:$N$1100,3,FALSE()))," ")</f>
        <v xml:space="preserve"> </v>
      </c>
      <c r="I41" s="34" t="str">
        <f>IFERROR((VLOOKUP(F41,'Planilha de Cadastro - Previsão'!$A$2:$N$1100,4,FALSE()))," ")</f>
        <v xml:space="preserve"> </v>
      </c>
      <c r="J41" s="34" t="str">
        <f>IFERROR((VLOOKUP(F41,'Planilha de Cadastro - Previsão'!$A$2:$N$1100,5,FALSE()))," ")</f>
        <v xml:space="preserve"> </v>
      </c>
      <c r="K41" s="36"/>
      <c r="L41" s="34" t="str">
        <f t="shared" si="4"/>
        <v/>
      </c>
      <c r="M41" s="35" t="str">
        <f t="shared" si="5"/>
        <v/>
      </c>
      <c r="N41" s="39"/>
      <c r="O41" s="36"/>
    </row>
    <row r="42" spans="1:15" x14ac:dyDescent="0.25">
      <c r="A42">
        <f>COUNTIF($C$2:C42,C42)</f>
        <v>41</v>
      </c>
      <c r="B42" s="1" t="str">
        <f t="shared" si="2"/>
        <v>41</v>
      </c>
      <c r="C42" s="1" t="str">
        <f>IFERROR(VLOOKUP(D42,'Planilha de Cadastro - Previsão'!$A$2:$O$1000,15,FALSE()),"")</f>
        <v/>
      </c>
      <c r="D42" s="1">
        <v>41</v>
      </c>
      <c r="F42" s="32" t="str">
        <f t="shared" si="3"/>
        <v/>
      </c>
      <c r="G42" s="33" t="str">
        <f>IFERROR((VLOOKUP(F42,'Planilha de Cadastro - Previsão'!$A$2:$N$1100,2,FALSE()))," ")</f>
        <v xml:space="preserve"> </v>
      </c>
      <c r="H42" s="32" t="str">
        <f>IFERROR((VLOOKUP(F42,'Planilha de Cadastro - Previsão'!$A$2:$N$1100,3,FALSE()))," ")</f>
        <v xml:space="preserve"> </v>
      </c>
      <c r="I42" s="34" t="str">
        <f>IFERROR((VLOOKUP(F42,'Planilha de Cadastro - Previsão'!$A$2:$N$1100,4,FALSE()))," ")</f>
        <v xml:space="preserve"> </v>
      </c>
      <c r="J42" s="34" t="str">
        <f>IFERROR((VLOOKUP(F42,'Planilha de Cadastro - Previsão'!$A$2:$N$1100,5,FALSE()))," ")</f>
        <v xml:space="preserve"> </v>
      </c>
      <c r="K42" s="36"/>
      <c r="L42" s="34" t="str">
        <f t="shared" si="4"/>
        <v/>
      </c>
      <c r="M42" s="35" t="str">
        <f t="shared" si="5"/>
        <v/>
      </c>
      <c r="N42" s="39"/>
      <c r="O42" s="36"/>
    </row>
    <row r="43" spans="1:15" x14ac:dyDescent="0.25">
      <c r="A43">
        <f>COUNTIF($C$2:C43,C43)</f>
        <v>42</v>
      </c>
      <c r="B43" s="1" t="str">
        <f t="shared" si="2"/>
        <v>42</v>
      </c>
      <c r="C43" s="1" t="str">
        <f>IFERROR(VLOOKUP(D43,'Planilha de Cadastro - Previsão'!$A$2:$O$1000,15,FALSE()),"")</f>
        <v/>
      </c>
      <c r="D43" s="1">
        <v>42</v>
      </c>
      <c r="F43" s="32" t="str">
        <f t="shared" si="3"/>
        <v/>
      </c>
      <c r="G43" s="33" t="str">
        <f>IFERROR((VLOOKUP(F43,'Planilha de Cadastro - Previsão'!$A$2:$N$1100,2,FALSE()))," ")</f>
        <v xml:space="preserve"> </v>
      </c>
      <c r="H43" s="32" t="str">
        <f>IFERROR((VLOOKUP(F43,'Planilha de Cadastro - Previsão'!$A$2:$N$1100,3,FALSE()))," ")</f>
        <v xml:space="preserve"> </v>
      </c>
      <c r="I43" s="34" t="str">
        <f>IFERROR((VLOOKUP(F43,'Planilha de Cadastro - Previsão'!$A$2:$N$1100,4,FALSE()))," ")</f>
        <v xml:space="preserve"> </v>
      </c>
      <c r="J43" s="34" t="str">
        <f>IFERROR((VLOOKUP(F43,'Planilha de Cadastro - Previsão'!$A$2:$N$1100,5,FALSE()))," ")</f>
        <v xml:space="preserve"> </v>
      </c>
      <c r="K43" s="36"/>
      <c r="L43" s="34" t="str">
        <f t="shared" si="4"/>
        <v/>
      </c>
      <c r="M43" s="35" t="str">
        <f t="shared" si="5"/>
        <v/>
      </c>
      <c r="N43" s="39"/>
      <c r="O43" s="36"/>
    </row>
    <row r="44" spans="1:15" x14ac:dyDescent="0.25">
      <c r="A44">
        <f>COUNTIF($C$2:C44,C44)</f>
        <v>43</v>
      </c>
      <c r="B44" s="1" t="str">
        <f t="shared" si="2"/>
        <v>43</v>
      </c>
      <c r="C44" s="1" t="str">
        <f>IFERROR(VLOOKUP(D44,'Planilha de Cadastro - Previsão'!$A$2:$O$1000,15,FALSE()),"")</f>
        <v/>
      </c>
      <c r="D44" s="1">
        <v>43</v>
      </c>
      <c r="F44" s="32" t="str">
        <f t="shared" si="3"/>
        <v/>
      </c>
      <c r="G44" s="33" t="str">
        <f>IFERROR((VLOOKUP(F44,'Planilha de Cadastro - Previsão'!$A$2:$N$1100,2,FALSE()))," ")</f>
        <v xml:space="preserve"> </v>
      </c>
      <c r="H44" s="32" t="str">
        <f>IFERROR((VLOOKUP(F44,'Planilha de Cadastro - Previsão'!$A$2:$N$1100,3,FALSE()))," ")</f>
        <v xml:space="preserve"> </v>
      </c>
      <c r="I44" s="34" t="str">
        <f>IFERROR((VLOOKUP(F44,'Planilha de Cadastro - Previsão'!$A$2:$N$1100,4,FALSE()))," ")</f>
        <v xml:space="preserve"> </v>
      </c>
      <c r="J44" s="34" t="str">
        <f>IFERROR((VLOOKUP(F44,'Planilha de Cadastro - Previsão'!$A$2:$N$1100,5,FALSE()))," ")</f>
        <v xml:space="preserve"> </v>
      </c>
      <c r="K44" s="36"/>
      <c r="L44" s="34" t="str">
        <f t="shared" si="4"/>
        <v/>
      </c>
      <c r="M44" s="35" t="str">
        <f t="shared" si="5"/>
        <v/>
      </c>
      <c r="N44" s="39"/>
      <c r="O44" s="36"/>
    </row>
    <row r="45" spans="1:15" x14ac:dyDescent="0.25">
      <c r="A45">
        <f>COUNTIF($C$2:C45,C45)</f>
        <v>44</v>
      </c>
      <c r="B45" s="1" t="str">
        <f t="shared" si="2"/>
        <v>44</v>
      </c>
      <c r="C45" s="1" t="str">
        <f>IFERROR(VLOOKUP(D45,'Planilha de Cadastro - Previsão'!$A$2:$O$1000,15,FALSE()),"")</f>
        <v/>
      </c>
      <c r="D45" s="1">
        <v>44</v>
      </c>
      <c r="F45" s="32" t="str">
        <f t="shared" si="3"/>
        <v/>
      </c>
      <c r="G45" s="33" t="str">
        <f>IFERROR((VLOOKUP(F45,'Planilha de Cadastro - Previsão'!$A$2:$N$1100,2,FALSE()))," ")</f>
        <v xml:space="preserve"> </v>
      </c>
      <c r="H45" s="32" t="str">
        <f>IFERROR((VLOOKUP(F45,'Planilha de Cadastro - Previsão'!$A$2:$N$1100,3,FALSE()))," ")</f>
        <v xml:space="preserve"> </v>
      </c>
      <c r="I45" s="34" t="str">
        <f>IFERROR((VLOOKUP(F45,'Planilha de Cadastro - Previsão'!$A$2:$N$1100,4,FALSE()))," ")</f>
        <v xml:space="preserve"> </v>
      </c>
      <c r="J45" s="34" t="str">
        <f>IFERROR((VLOOKUP(F45,'Planilha de Cadastro - Previsão'!$A$2:$N$1100,5,FALSE()))," ")</f>
        <v xml:space="preserve"> </v>
      </c>
      <c r="K45" s="36"/>
      <c r="L45" s="34" t="str">
        <f t="shared" si="4"/>
        <v/>
      </c>
      <c r="M45" s="35" t="str">
        <f t="shared" si="5"/>
        <v/>
      </c>
      <c r="N45" s="39"/>
      <c r="O45" s="36"/>
    </row>
    <row r="46" spans="1:15" x14ac:dyDescent="0.25">
      <c r="A46">
        <f>COUNTIF($C$2:C46,C46)</f>
        <v>45</v>
      </c>
      <c r="B46" s="1" t="str">
        <f t="shared" si="2"/>
        <v>45</v>
      </c>
      <c r="C46" s="1" t="str">
        <f>IFERROR(VLOOKUP(D46,'Planilha de Cadastro - Previsão'!$A$2:$O$1000,15,FALSE()),"")</f>
        <v/>
      </c>
      <c r="D46" s="1">
        <v>45</v>
      </c>
      <c r="F46" s="32" t="str">
        <f t="shared" si="3"/>
        <v/>
      </c>
      <c r="G46" s="33" t="str">
        <f>IFERROR((VLOOKUP(F46,'Planilha de Cadastro - Previsão'!$A$2:$N$1100,2,FALSE()))," ")</f>
        <v xml:space="preserve"> </v>
      </c>
      <c r="H46" s="32" t="str">
        <f>IFERROR((VLOOKUP(F46,'Planilha de Cadastro - Previsão'!$A$2:$N$1100,3,FALSE()))," ")</f>
        <v xml:space="preserve"> </v>
      </c>
      <c r="I46" s="34" t="str">
        <f>IFERROR((VLOOKUP(F46,'Planilha de Cadastro - Previsão'!$A$2:$N$1100,4,FALSE()))," ")</f>
        <v xml:space="preserve"> </v>
      </c>
      <c r="J46" s="34" t="str">
        <f>IFERROR((VLOOKUP(F46,'Planilha de Cadastro - Previsão'!$A$2:$N$1100,5,FALSE()))," ")</f>
        <v xml:space="preserve"> </v>
      </c>
      <c r="K46" s="36"/>
      <c r="L46" s="34" t="str">
        <f t="shared" si="4"/>
        <v/>
      </c>
      <c r="M46" s="35" t="str">
        <f t="shared" si="5"/>
        <v/>
      </c>
      <c r="N46" s="39"/>
      <c r="O46" s="36"/>
    </row>
    <row r="47" spans="1:15" x14ac:dyDescent="0.25">
      <c r="A47">
        <f>COUNTIF($C$2:C47,C47)</f>
        <v>46</v>
      </c>
      <c r="B47" s="1" t="str">
        <f t="shared" si="2"/>
        <v>46</v>
      </c>
      <c r="C47" s="1" t="str">
        <f>IFERROR(VLOOKUP(D47,'Planilha de Cadastro - Previsão'!$A$2:$O$1000,15,FALSE()),"")</f>
        <v/>
      </c>
      <c r="D47" s="1">
        <v>46</v>
      </c>
      <c r="F47" s="32" t="str">
        <f t="shared" si="3"/>
        <v/>
      </c>
      <c r="G47" s="33" t="str">
        <f>IFERROR((VLOOKUP(F47,'Planilha de Cadastro - Previsão'!$A$2:$N$1100,2,FALSE()))," ")</f>
        <v xml:space="preserve"> </v>
      </c>
      <c r="H47" s="32" t="str">
        <f>IFERROR((VLOOKUP(F47,'Planilha de Cadastro - Previsão'!$A$2:$N$1100,3,FALSE()))," ")</f>
        <v xml:space="preserve"> </v>
      </c>
      <c r="I47" s="34" t="str">
        <f>IFERROR((VLOOKUP(F47,'Planilha de Cadastro - Previsão'!$A$2:$N$1100,4,FALSE()))," ")</f>
        <v xml:space="preserve"> </v>
      </c>
      <c r="J47" s="34" t="str">
        <f>IFERROR((VLOOKUP(F47,'Planilha de Cadastro - Previsão'!$A$2:$N$1100,5,FALSE()))," ")</f>
        <v xml:space="preserve"> </v>
      </c>
      <c r="K47" s="36"/>
      <c r="L47" s="34" t="str">
        <f t="shared" si="4"/>
        <v/>
      </c>
      <c r="M47" s="35" t="str">
        <f t="shared" si="5"/>
        <v/>
      </c>
      <c r="N47" s="39"/>
      <c r="O47" s="36"/>
    </row>
    <row r="48" spans="1:15" x14ac:dyDescent="0.25">
      <c r="A48">
        <f>COUNTIF($C$2:C48,C48)</f>
        <v>47</v>
      </c>
      <c r="B48" s="1" t="str">
        <f t="shared" si="2"/>
        <v>47</v>
      </c>
      <c r="C48" s="1" t="str">
        <f>IFERROR(VLOOKUP(D48,'Planilha de Cadastro - Previsão'!$A$2:$O$1000,15,FALSE()),"")</f>
        <v/>
      </c>
      <c r="D48" s="1">
        <v>47</v>
      </c>
      <c r="F48" s="32" t="str">
        <f t="shared" si="3"/>
        <v/>
      </c>
      <c r="G48" s="33" t="str">
        <f>IFERROR((VLOOKUP(F48,'Planilha de Cadastro - Previsão'!$A$2:$N$1100,2,FALSE()))," ")</f>
        <v xml:space="preserve"> </v>
      </c>
      <c r="H48" s="32" t="str">
        <f>IFERROR((VLOOKUP(F48,'Planilha de Cadastro - Previsão'!$A$2:$N$1100,3,FALSE()))," ")</f>
        <v xml:space="preserve"> </v>
      </c>
      <c r="I48" s="34" t="str">
        <f>IFERROR((VLOOKUP(F48,'Planilha de Cadastro - Previsão'!$A$2:$N$1100,4,FALSE()))," ")</f>
        <v xml:space="preserve"> </v>
      </c>
      <c r="J48" s="34" t="str">
        <f>IFERROR((VLOOKUP(F48,'Planilha de Cadastro - Previsão'!$A$2:$N$1100,5,FALSE()))," ")</f>
        <v xml:space="preserve"> </v>
      </c>
      <c r="K48" s="36"/>
      <c r="L48" s="34" t="str">
        <f t="shared" si="4"/>
        <v/>
      </c>
      <c r="M48" s="35" t="str">
        <f t="shared" si="5"/>
        <v/>
      </c>
      <c r="N48" s="39"/>
      <c r="O48" s="36"/>
    </row>
    <row r="49" spans="1:15" x14ac:dyDescent="0.25">
      <c r="A49">
        <f>COUNTIF($C$2:C49,C49)</f>
        <v>48</v>
      </c>
      <c r="B49" s="1" t="str">
        <f t="shared" si="2"/>
        <v>48</v>
      </c>
      <c r="C49" s="1" t="str">
        <f>IFERROR(VLOOKUP(D49,'Planilha de Cadastro - Previsão'!$A$2:$O$1000,15,FALSE()),"")</f>
        <v/>
      </c>
      <c r="D49" s="1">
        <v>48</v>
      </c>
      <c r="F49" s="32" t="str">
        <f t="shared" si="3"/>
        <v/>
      </c>
      <c r="G49" s="33" t="str">
        <f>IFERROR((VLOOKUP(F49,'Planilha de Cadastro - Previsão'!$A$2:$N$1100,2,FALSE()))," ")</f>
        <v xml:space="preserve"> </v>
      </c>
      <c r="H49" s="32" t="str">
        <f>IFERROR((VLOOKUP(F49,'Planilha de Cadastro - Previsão'!$A$2:$N$1100,3,FALSE()))," ")</f>
        <v xml:space="preserve"> </v>
      </c>
      <c r="I49" s="34" t="str">
        <f>IFERROR((VLOOKUP(F49,'Planilha de Cadastro - Previsão'!$A$2:$N$1100,4,FALSE()))," ")</f>
        <v xml:space="preserve"> </v>
      </c>
      <c r="J49" s="34" t="str">
        <f>IFERROR((VLOOKUP(F49,'Planilha de Cadastro - Previsão'!$A$2:$N$1100,5,FALSE()))," ")</f>
        <v xml:space="preserve"> </v>
      </c>
      <c r="K49" s="36"/>
      <c r="L49" s="34" t="str">
        <f t="shared" si="4"/>
        <v/>
      </c>
      <c r="M49" s="35" t="str">
        <f t="shared" si="5"/>
        <v/>
      </c>
      <c r="N49" s="39"/>
      <c r="O49" s="36"/>
    </row>
    <row r="50" spans="1:15" x14ac:dyDescent="0.25">
      <c r="A50">
        <f>COUNTIF($C$2:C50,C50)</f>
        <v>49</v>
      </c>
      <c r="B50" s="1" t="str">
        <f t="shared" si="2"/>
        <v>49</v>
      </c>
      <c r="C50" s="1" t="str">
        <f>IFERROR(VLOOKUP(D50,'Planilha de Cadastro - Previsão'!$A$2:$O$1000,15,FALSE()),"")</f>
        <v/>
      </c>
      <c r="D50" s="1">
        <v>49</v>
      </c>
      <c r="F50" s="32" t="str">
        <f t="shared" si="3"/>
        <v/>
      </c>
      <c r="G50" s="33" t="str">
        <f>IFERROR((VLOOKUP(F50,'Planilha de Cadastro - Previsão'!$A$2:$N$1100,2,FALSE()))," ")</f>
        <v xml:space="preserve"> </v>
      </c>
      <c r="H50" s="32" t="str">
        <f>IFERROR((VLOOKUP(F50,'Planilha de Cadastro - Previsão'!$A$2:$N$1100,3,FALSE()))," ")</f>
        <v xml:space="preserve"> </v>
      </c>
      <c r="I50" s="34" t="str">
        <f>IFERROR((VLOOKUP(F50,'Planilha de Cadastro - Previsão'!$A$2:$N$1100,4,FALSE()))," ")</f>
        <v xml:space="preserve"> </v>
      </c>
      <c r="J50" s="34" t="str">
        <f>IFERROR((VLOOKUP(F50,'Planilha de Cadastro - Previsão'!$A$2:$N$1100,5,FALSE()))," ")</f>
        <v xml:space="preserve"> </v>
      </c>
      <c r="K50" s="36"/>
      <c r="L50" s="34" t="str">
        <f t="shared" si="4"/>
        <v/>
      </c>
      <c r="M50" s="35" t="str">
        <f t="shared" si="5"/>
        <v/>
      </c>
      <c r="N50" s="39"/>
      <c r="O50" s="36"/>
    </row>
    <row r="51" spans="1:15" x14ac:dyDescent="0.25">
      <c r="A51">
        <f>COUNTIF($C$2:C51,C51)</f>
        <v>50</v>
      </c>
      <c r="B51" s="1" t="str">
        <f t="shared" si="2"/>
        <v>50</v>
      </c>
      <c r="C51" s="1" t="str">
        <f>IFERROR(VLOOKUP(D51,'Planilha de Cadastro - Previsão'!$A$2:$O$1000,15,FALSE()),"")</f>
        <v/>
      </c>
      <c r="D51" s="1">
        <v>50</v>
      </c>
      <c r="F51" s="32" t="str">
        <f t="shared" si="3"/>
        <v/>
      </c>
      <c r="G51" s="33" t="str">
        <f>IFERROR((VLOOKUP(F51,'Planilha de Cadastro - Previsão'!$A$2:$N$1100,2,FALSE()))," ")</f>
        <v xml:space="preserve"> </v>
      </c>
      <c r="H51" s="32" t="str">
        <f>IFERROR((VLOOKUP(F51,'Planilha de Cadastro - Previsão'!$A$2:$N$1100,3,FALSE()))," ")</f>
        <v xml:space="preserve"> </v>
      </c>
      <c r="I51" s="34" t="str">
        <f>IFERROR((VLOOKUP(F51,'Planilha de Cadastro - Previsão'!$A$2:$N$1100,4,FALSE()))," ")</f>
        <v xml:space="preserve"> </v>
      </c>
      <c r="J51" s="34" t="str">
        <f>IFERROR((VLOOKUP(F51,'Planilha de Cadastro - Previsão'!$A$2:$N$1100,5,FALSE()))," ")</f>
        <v xml:space="preserve"> </v>
      </c>
      <c r="K51" s="36"/>
      <c r="L51" s="34" t="str">
        <f t="shared" si="4"/>
        <v/>
      </c>
      <c r="M51" s="35" t="str">
        <f t="shared" si="5"/>
        <v/>
      </c>
      <c r="N51" s="39"/>
      <c r="O51" s="36"/>
    </row>
    <row r="52" spans="1:15" x14ac:dyDescent="0.25">
      <c r="A52">
        <f>COUNTIF($C$2:C52,C52)</f>
        <v>51</v>
      </c>
      <c r="B52" s="1" t="str">
        <f t="shared" si="2"/>
        <v>51</v>
      </c>
      <c r="C52" s="1" t="str">
        <f>IFERROR(VLOOKUP(D52,'Planilha de Cadastro - Previsão'!$A$2:$O$1000,15,FALSE()),"")</f>
        <v/>
      </c>
      <c r="D52" s="1">
        <v>51</v>
      </c>
      <c r="F52" s="32" t="str">
        <f t="shared" si="3"/>
        <v/>
      </c>
      <c r="G52" s="33" t="str">
        <f>IFERROR((VLOOKUP(F52,'Planilha de Cadastro - Previsão'!$A$2:$N$1100,2,FALSE()))," ")</f>
        <v xml:space="preserve"> </v>
      </c>
      <c r="H52" s="32" t="str">
        <f>IFERROR((VLOOKUP(F52,'Planilha de Cadastro - Previsão'!$A$2:$N$1100,3,FALSE()))," ")</f>
        <v xml:space="preserve"> </v>
      </c>
      <c r="I52" s="34" t="str">
        <f>IFERROR((VLOOKUP(F52,'Planilha de Cadastro - Previsão'!$A$2:$N$1100,4,FALSE()))," ")</f>
        <v xml:space="preserve"> </v>
      </c>
      <c r="J52" s="34" t="str">
        <f>IFERROR((VLOOKUP(F52,'Planilha de Cadastro - Previsão'!$A$2:$N$1100,5,FALSE()))," ")</f>
        <v xml:space="preserve"> </v>
      </c>
      <c r="K52" s="36"/>
      <c r="L52" s="34" t="str">
        <f t="shared" si="4"/>
        <v/>
      </c>
      <c r="M52" s="35" t="str">
        <f t="shared" si="5"/>
        <v/>
      </c>
      <c r="N52" s="39"/>
      <c r="O52" s="36"/>
    </row>
    <row r="53" spans="1:15" x14ac:dyDescent="0.25">
      <c r="A53">
        <f>COUNTIF($C$2:C53,C53)</f>
        <v>52</v>
      </c>
      <c r="B53" s="1" t="str">
        <f t="shared" si="2"/>
        <v>52</v>
      </c>
      <c r="C53" s="1" t="str">
        <f>IFERROR(VLOOKUP(D53,'Planilha de Cadastro - Previsão'!$A$2:$O$1000,15,FALSE()),"")</f>
        <v/>
      </c>
      <c r="D53" s="1">
        <v>52</v>
      </c>
      <c r="F53" s="32" t="str">
        <f t="shared" si="3"/>
        <v/>
      </c>
      <c r="G53" s="33" t="str">
        <f>IFERROR((VLOOKUP(F53,'Planilha de Cadastro - Previsão'!$A$2:$N$1100,2,FALSE()))," ")</f>
        <v xml:space="preserve"> </v>
      </c>
      <c r="H53" s="32" t="str">
        <f>IFERROR((VLOOKUP(F53,'Planilha de Cadastro - Previsão'!$A$2:$N$1100,3,FALSE()))," ")</f>
        <v xml:space="preserve"> </v>
      </c>
      <c r="I53" s="34" t="str">
        <f>IFERROR((VLOOKUP(F53,'Planilha de Cadastro - Previsão'!$A$2:$N$1100,4,FALSE()))," ")</f>
        <v xml:space="preserve"> </v>
      </c>
      <c r="J53" s="34" t="str">
        <f>IFERROR((VLOOKUP(F53,'Planilha de Cadastro - Previsão'!$A$2:$N$1100,5,FALSE()))," ")</f>
        <v xml:space="preserve"> </v>
      </c>
      <c r="K53" s="36"/>
      <c r="L53" s="34" t="str">
        <f t="shared" si="4"/>
        <v/>
      </c>
      <c r="M53" s="35" t="str">
        <f t="shared" si="5"/>
        <v/>
      </c>
      <c r="N53" s="39"/>
      <c r="O53" s="36"/>
    </row>
    <row r="54" spans="1:15" x14ac:dyDescent="0.25">
      <c r="A54">
        <f>COUNTIF($C$2:C54,C54)</f>
        <v>53</v>
      </c>
      <c r="B54" s="1" t="str">
        <f t="shared" si="2"/>
        <v>53</v>
      </c>
      <c r="C54" s="1" t="str">
        <f>IFERROR(VLOOKUP(D54,'Planilha de Cadastro - Previsão'!$A$2:$O$1000,15,FALSE()),"")</f>
        <v/>
      </c>
      <c r="D54" s="1">
        <v>53</v>
      </c>
      <c r="F54" s="32" t="str">
        <f t="shared" si="3"/>
        <v/>
      </c>
      <c r="G54" s="33" t="str">
        <f>IFERROR((VLOOKUP(F54,'Planilha de Cadastro - Previsão'!$A$2:$N$1100,2,FALSE()))," ")</f>
        <v xml:space="preserve"> </v>
      </c>
      <c r="H54" s="32" t="str">
        <f>IFERROR((VLOOKUP(F54,'Planilha de Cadastro - Previsão'!$A$2:$N$1100,3,FALSE()))," ")</f>
        <v xml:space="preserve"> </v>
      </c>
      <c r="I54" s="34" t="str">
        <f>IFERROR((VLOOKUP(F54,'Planilha de Cadastro - Previsão'!$A$2:$N$1100,4,FALSE()))," ")</f>
        <v xml:space="preserve"> </v>
      </c>
      <c r="J54" s="34" t="str">
        <f>IFERROR((VLOOKUP(F54,'Planilha de Cadastro - Previsão'!$A$2:$N$1100,5,FALSE()))," ")</f>
        <v xml:space="preserve"> </v>
      </c>
      <c r="K54" s="36"/>
      <c r="L54" s="34" t="str">
        <f t="shared" si="4"/>
        <v/>
      </c>
      <c r="M54" s="35" t="str">
        <f t="shared" si="5"/>
        <v/>
      </c>
      <c r="N54" s="39"/>
      <c r="O54" s="36"/>
    </row>
    <row r="55" spans="1:15" x14ac:dyDescent="0.25">
      <c r="A55">
        <f>COUNTIF($C$2:C55,C55)</f>
        <v>54</v>
      </c>
      <c r="B55" s="1" t="str">
        <f t="shared" si="2"/>
        <v>54</v>
      </c>
      <c r="C55" s="1" t="str">
        <f>IFERROR(VLOOKUP(D55,'Planilha de Cadastro - Previsão'!$A$2:$O$1000,15,FALSE()),"")</f>
        <v/>
      </c>
      <c r="D55" s="1">
        <v>54</v>
      </c>
      <c r="F55" s="32" t="str">
        <f t="shared" si="3"/>
        <v/>
      </c>
      <c r="G55" s="33" t="str">
        <f>IFERROR((VLOOKUP(F55,'Planilha de Cadastro - Previsão'!$A$2:$N$1100,2,FALSE()))," ")</f>
        <v xml:space="preserve"> </v>
      </c>
      <c r="H55" s="32" t="str">
        <f>IFERROR((VLOOKUP(F55,'Planilha de Cadastro - Previsão'!$A$2:$N$1100,3,FALSE()))," ")</f>
        <v xml:space="preserve"> </v>
      </c>
      <c r="I55" s="34" t="str">
        <f>IFERROR((VLOOKUP(F55,'Planilha de Cadastro - Previsão'!$A$2:$N$1100,4,FALSE()))," ")</f>
        <v xml:space="preserve"> </v>
      </c>
      <c r="J55" s="34" t="str">
        <f>IFERROR((VLOOKUP(F55,'Planilha de Cadastro - Previsão'!$A$2:$N$1100,5,FALSE()))," ")</f>
        <v xml:space="preserve"> </v>
      </c>
      <c r="K55" s="36"/>
      <c r="L55" s="34" t="str">
        <f t="shared" si="4"/>
        <v/>
      </c>
      <c r="M55" s="35" t="str">
        <f t="shared" si="5"/>
        <v/>
      </c>
      <c r="N55" s="39"/>
      <c r="O55" s="36"/>
    </row>
    <row r="56" spans="1:15" x14ac:dyDescent="0.25">
      <c r="A56">
        <f>COUNTIF($C$2:C56,C56)</f>
        <v>55</v>
      </c>
      <c r="B56" s="1" t="str">
        <f t="shared" si="2"/>
        <v>55</v>
      </c>
      <c r="C56" s="1" t="str">
        <f>IFERROR(VLOOKUP(D56,'Planilha de Cadastro - Previsão'!$A$2:$O$1000,15,FALSE()),"")</f>
        <v/>
      </c>
      <c r="D56" s="1">
        <v>55</v>
      </c>
      <c r="F56" s="32" t="str">
        <f t="shared" si="3"/>
        <v/>
      </c>
      <c r="G56" s="33" t="str">
        <f>IFERROR((VLOOKUP(F56,'Planilha de Cadastro - Previsão'!$A$2:$N$1100,2,FALSE()))," ")</f>
        <v xml:space="preserve"> </v>
      </c>
      <c r="H56" s="32" t="str">
        <f>IFERROR((VLOOKUP(F56,'Planilha de Cadastro - Previsão'!$A$2:$N$1100,3,FALSE()))," ")</f>
        <v xml:space="preserve"> </v>
      </c>
      <c r="I56" s="34" t="str">
        <f>IFERROR((VLOOKUP(F56,'Planilha de Cadastro - Previsão'!$A$2:$N$1100,4,FALSE()))," ")</f>
        <v xml:space="preserve"> </v>
      </c>
      <c r="J56" s="34" t="str">
        <f>IFERROR((VLOOKUP(F56,'Planilha de Cadastro - Previsão'!$A$2:$N$1100,5,FALSE()))," ")</f>
        <v xml:space="preserve"> </v>
      </c>
      <c r="K56" s="36"/>
      <c r="L56" s="34" t="str">
        <f t="shared" si="4"/>
        <v/>
      </c>
      <c r="M56" s="35" t="str">
        <f t="shared" si="5"/>
        <v/>
      </c>
      <c r="N56" s="39"/>
      <c r="O56" s="36"/>
    </row>
    <row r="57" spans="1:15" x14ac:dyDescent="0.25">
      <c r="A57">
        <f>COUNTIF($C$2:C57,C57)</f>
        <v>56</v>
      </c>
      <c r="B57" s="1" t="str">
        <f t="shared" si="2"/>
        <v>56</v>
      </c>
      <c r="C57" s="1" t="str">
        <f>IFERROR(VLOOKUP(D57,'Planilha de Cadastro - Previsão'!$A$2:$O$1000,15,FALSE()),"")</f>
        <v/>
      </c>
      <c r="D57" s="1">
        <v>56</v>
      </c>
      <c r="F57" s="32" t="str">
        <f t="shared" si="3"/>
        <v/>
      </c>
      <c r="G57" s="33" t="str">
        <f>IFERROR((VLOOKUP(F57,'Planilha de Cadastro - Previsão'!$A$2:$N$1100,2,FALSE()))," ")</f>
        <v xml:space="preserve"> </v>
      </c>
      <c r="H57" s="32" t="str">
        <f>IFERROR((VLOOKUP(F57,'Planilha de Cadastro - Previsão'!$A$2:$N$1100,3,FALSE()))," ")</f>
        <v xml:space="preserve"> </v>
      </c>
      <c r="I57" s="34" t="str">
        <f>IFERROR((VLOOKUP(F57,'Planilha de Cadastro - Previsão'!$A$2:$N$1100,4,FALSE()))," ")</f>
        <v xml:space="preserve"> </v>
      </c>
      <c r="J57" s="34" t="str">
        <f>IFERROR((VLOOKUP(F57,'Planilha de Cadastro - Previsão'!$A$2:$N$1100,5,FALSE()))," ")</f>
        <v xml:space="preserve"> </v>
      </c>
      <c r="K57" s="36"/>
      <c r="L57" s="34" t="str">
        <f t="shared" si="4"/>
        <v/>
      </c>
      <c r="M57" s="35" t="str">
        <f t="shared" si="5"/>
        <v/>
      </c>
      <c r="N57" s="39"/>
      <c r="O57" s="36"/>
    </row>
    <row r="58" spans="1:15" x14ac:dyDescent="0.25">
      <c r="A58">
        <f>COUNTIF($C$2:C58,C58)</f>
        <v>57</v>
      </c>
      <c r="B58" s="1" t="str">
        <f t="shared" si="2"/>
        <v>57</v>
      </c>
      <c r="C58" s="1" t="str">
        <f>IFERROR(VLOOKUP(D58,'Planilha de Cadastro - Previsão'!$A$2:$O$1000,15,FALSE()),"")</f>
        <v/>
      </c>
      <c r="D58" s="1">
        <v>57</v>
      </c>
      <c r="F58" s="32" t="str">
        <f t="shared" si="3"/>
        <v/>
      </c>
      <c r="G58" s="33" t="str">
        <f>IFERROR((VLOOKUP(F58,'Planilha de Cadastro - Previsão'!$A$2:$N$1100,2,FALSE()))," ")</f>
        <v xml:space="preserve"> </v>
      </c>
      <c r="H58" s="32" t="str">
        <f>IFERROR((VLOOKUP(F58,'Planilha de Cadastro - Previsão'!$A$2:$N$1100,3,FALSE()))," ")</f>
        <v xml:space="preserve"> </v>
      </c>
      <c r="I58" s="34" t="str">
        <f>IFERROR((VLOOKUP(F58,'Planilha de Cadastro - Previsão'!$A$2:$N$1100,4,FALSE()))," ")</f>
        <v xml:space="preserve"> </v>
      </c>
      <c r="J58" s="34" t="str">
        <f>IFERROR((VLOOKUP(F58,'Planilha de Cadastro - Previsão'!$A$2:$N$1100,5,FALSE()))," ")</f>
        <v xml:space="preserve"> </v>
      </c>
      <c r="K58" s="36"/>
      <c r="L58" s="34" t="str">
        <f t="shared" si="4"/>
        <v/>
      </c>
      <c r="M58" s="35" t="str">
        <f t="shared" si="5"/>
        <v/>
      </c>
      <c r="N58" s="39"/>
      <c r="O58" s="36"/>
    </row>
    <row r="59" spans="1:15" x14ac:dyDescent="0.25">
      <c r="A59">
        <f>COUNTIF($C$2:C59,C59)</f>
        <v>58</v>
      </c>
      <c r="B59" s="1" t="str">
        <f t="shared" si="2"/>
        <v>58</v>
      </c>
      <c r="C59" s="1" t="str">
        <f>IFERROR(VLOOKUP(D59,'Planilha de Cadastro - Previsão'!$A$2:$O$1000,15,FALSE()),"")</f>
        <v/>
      </c>
      <c r="D59" s="1">
        <v>58</v>
      </c>
      <c r="F59" s="32" t="str">
        <f t="shared" si="3"/>
        <v/>
      </c>
      <c r="G59" s="33" t="str">
        <f>IFERROR((VLOOKUP(F59,'Planilha de Cadastro - Previsão'!$A$2:$N$1100,2,FALSE()))," ")</f>
        <v xml:space="preserve"> </v>
      </c>
      <c r="H59" s="32" t="str">
        <f>IFERROR((VLOOKUP(F59,'Planilha de Cadastro - Previsão'!$A$2:$N$1100,3,FALSE()))," ")</f>
        <v xml:space="preserve"> </v>
      </c>
      <c r="I59" s="34" t="str">
        <f>IFERROR((VLOOKUP(F59,'Planilha de Cadastro - Previsão'!$A$2:$N$1100,4,FALSE()))," ")</f>
        <v xml:space="preserve"> </v>
      </c>
      <c r="J59" s="34" t="str">
        <f>IFERROR((VLOOKUP(F59,'Planilha de Cadastro - Previsão'!$A$2:$N$1100,5,FALSE()))," ")</f>
        <v xml:space="preserve"> </v>
      </c>
      <c r="K59" s="36"/>
      <c r="L59" s="34" t="str">
        <f t="shared" si="4"/>
        <v/>
      </c>
      <c r="M59" s="35" t="str">
        <f t="shared" si="5"/>
        <v/>
      </c>
      <c r="N59" s="39"/>
      <c r="O59" s="36"/>
    </row>
    <row r="60" spans="1:15" x14ac:dyDescent="0.25">
      <c r="A60">
        <f>COUNTIF($C$2:C60,C60)</f>
        <v>59</v>
      </c>
      <c r="B60" s="1" t="str">
        <f t="shared" si="2"/>
        <v>59</v>
      </c>
      <c r="C60" s="1" t="str">
        <f>IFERROR(VLOOKUP(D60,'Planilha de Cadastro - Previsão'!$A$2:$O$1000,15,FALSE()),"")</f>
        <v/>
      </c>
      <c r="D60" s="1">
        <v>59</v>
      </c>
      <c r="F60" s="32" t="str">
        <f t="shared" si="3"/>
        <v/>
      </c>
      <c r="G60" s="33" t="str">
        <f>IFERROR((VLOOKUP(F60,'Planilha de Cadastro - Previsão'!$A$2:$N$1100,2,FALSE()))," ")</f>
        <v xml:space="preserve"> </v>
      </c>
      <c r="H60" s="32" t="str">
        <f>IFERROR((VLOOKUP(F60,'Planilha de Cadastro - Previsão'!$A$2:$N$1100,3,FALSE()))," ")</f>
        <v xml:space="preserve"> </v>
      </c>
      <c r="I60" s="34" t="str">
        <f>IFERROR((VLOOKUP(F60,'Planilha de Cadastro - Previsão'!$A$2:$N$1100,4,FALSE()))," ")</f>
        <v xml:space="preserve"> </v>
      </c>
      <c r="J60" s="34" t="str">
        <f>IFERROR((VLOOKUP(F60,'Planilha de Cadastro - Previsão'!$A$2:$N$1100,5,FALSE()))," ")</f>
        <v xml:space="preserve"> </v>
      </c>
      <c r="K60" s="36"/>
      <c r="L60" s="34" t="str">
        <f t="shared" si="4"/>
        <v/>
      </c>
      <c r="M60" s="35" t="str">
        <f t="shared" si="5"/>
        <v/>
      </c>
      <c r="N60" s="39"/>
      <c r="O60" s="36"/>
    </row>
    <row r="61" spans="1:15" x14ac:dyDescent="0.25">
      <c r="A61">
        <f>COUNTIF($C$2:C61,C61)</f>
        <v>60</v>
      </c>
      <c r="B61" s="1" t="str">
        <f t="shared" si="2"/>
        <v>60</v>
      </c>
      <c r="C61" s="1" t="str">
        <f>IFERROR(VLOOKUP(D61,'Planilha de Cadastro - Previsão'!$A$2:$O$1000,15,FALSE()),"")</f>
        <v/>
      </c>
      <c r="D61" s="1">
        <v>60</v>
      </c>
      <c r="F61" s="32" t="str">
        <f t="shared" si="3"/>
        <v/>
      </c>
      <c r="G61" s="33" t="str">
        <f>IFERROR((VLOOKUP(F61,'Planilha de Cadastro - Previsão'!$A$2:$N$1100,2,FALSE()))," ")</f>
        <v xml:space="preserve"> </v>
      </c>
      <c r="H61" s="32" t="str">
        <f>IFERROR((VLOOKUP(F61,'Planilha de Cadastro - Previsão'!$A$2:$N$1100,3,FALSE()))," ")</f>
        <v xml:space="preserve"> </v>
      </c>
      <c r="I61" s="34" t="str">
        <f>IFERROR((VLOOKUP(F61,'Planilha de Cadastro - Previsão'!$A$2:$N$1100,4,FALSE()))," ")</f>
        <v xml:space="preserve"> </v>
      </c>
      <c r="J61" s="34" t="str">
        <f>IFERROR((VLOOKUP(F61,'Planilha de Cadastro - Previsão'!$A$2:$N$1100,5,FALSE()))," ")</f>
        <v xml:space="preserve"> </v>
      </c>
      <c r="K61" s="36"/>
      <c r="L61" s="34" t="str">
        <f t="shared" si="4"/>
        <v/>
      </c>
      <c r="M61" s="35" t="str">
        <f t="shared" si="5"/>
        <v/>
      </c>
      <c r="N61" s="39"/>
      <c r="O61" s="36"/>
    </row>
    <row r="62" spans="1:15" x14ac:dyDescent="0.25">
      <c r="A62">
        <f>COUNTIF($C$2:C62,C62)</f>
        <v>61</v>
      </c>
      <c r="B62" s="1" t="str">
        <f t="shared" si="2"/>
        <v>61</v>
      </c>
      <c r="C62" s="1" t="str">
        <f>IFERROR(VLOOKUP(D62,'Planilha de Cadastro - Previsão'!$A$2:$O$1000,15,FALSE()),"")</f>
        <v/>
      </c>
      <c r="D62" s="1">
        <v>61</v>
      </c>
      <c r="F62" s="32" t="str">
        <f t="shared" si="3"/>
        <v/>
      </c>
      <c r="G62" s="33" t="str">
        <f>IFERROR((VLOOKUP(F62,'Planilha de Cadastro - Previsão'!$A$2:$N$1100,2,FALSE()))," ")</f>
        <v xml:space="preserve"> </v>
      </c>
      <c r="H62" s="32" t="str">
        <f>IFERROR((VLOOKUP(F62,'Planilha de Cadastro - Previsão'!$A$2:$N$1100,3,FALSE()))," ")</f>
        <v xml:space="preserve"> </v>
      </c>
      <c r="I62" s="34" t="str">
        <f>IFERROR((VLOOKUP(F62,'Planilha de Cadastro - Previsão'!$A$2:$N$1100,4,FALSE()))," ")</f>
        <v xml:space="preserve"> </v>
      </c>
      <c r="J62" s="34" t="str">
        <f>IFERROR((VLOOKUP(F62,'Planilha de Cadastro - Previsão'!$A$2:$N$1100,5,FALSE()))," ")</f>
        <v xml:space="preserve"> </v>
      </c>
      <c r="K62" s="36"/>
      <c r="L62" s="34" t="str">
        <f t="shared" si="4"/>
        <v/>
      </c>
      <c r="M62" s="35" t="str">
        <f t="shared" si="5"/>
        <v/>
      </c>
      <c r="N62" s="39"/>
      <c r="O62" s="36"/>
    </row>
    <row r="63" spans="1:15" x14ac:dyDescent="0.25">
      <c r="A63">
        <f>COUNTIF($C$2:C63,C63)</f>
        <v>62</v>
      </c>
      <c r="B63" s="1" t="str">
        <f t="shared" si="2"/>
        <v>62</v>
      </c>
      <c r="C63" s="1" t="str">
        <f>IFERROR(VLOOKUP(D63,'Planilha de Cadastro - Previsão'!$A$2:$O$1000,15,FALSE()),"")</f>
        <v/>
      </c>
      <c r="D63" s="1">
        <v>62</v>
      </c>
      <c r="F63" s="32" t="str">
        <f t="shared" si="3"/>
        <v/>
      </c>
      <c r="G63" s="33" t="str">
        <f>IFERROR((VLOOKUP(F63,'Planilha de Cadastro - Previsão'!$A$2:$N$1100,2,FALSE()))," ")</f>
        <v xml:space="preserve"> </v>
      </c>
      <c r="H63" s="32" t="str">
        <f>IFERROR((VLOOKUP(F63,'Planilha de Cadastro - Previsão'!$A$2:$N$1100,3,FALSE()))," ")</f>
        <v xml:space="preserve"> </v>
      </c>
      <c r="I63" s="34" t="str">
        <f>IFERROR((VLOOKUP(F63,'Planilha de Cadastro - Previsão'!$A$2:$N$1100,4,FALSE()))," ")</f>
        <v xml:space="preserve"> </v>
      </c>
      <c r="J63" s="34" t="str">
        <f>IFERROR((VLOOKUP(F63,'Planilha de Cadastro - Previsão'!$A$2:$N$1100,5,FALSE()))," ")</f>
        <v xml:space="preserve"> </v>
      </c>
      <c r="K63" s="36"/>
      <c r="L63" s="34" t="str">
        <f t="shared" si="4"/>
        <v/>
      </c>
      <c r="M63" s="35" t="str">
        <f t="shared" si="5"/>
        <v/>
      </c>
      <c r="N63" s="39"/>
      <c r="O63" s="36"/>
    </row>
    <row r="64" spans="1:15" x14ac:dyDescent="0.25">
      <c r="A64">
        <f>COUNTIF($C$2:C64,C64)</f>
        <v>63</v>
      </c>
      <c r="B64" s="1" t="str">
        <f t="shared" si="2"/>
        <v>63</v>
      </c>
      <c r="C64" s="1" t="str">
        <f>IFERROR(VLOOKUP(D64,'Planilha de Cadastro - Previsão'!$A$2:$O$1000,15,FALSE()),"")</f>
        <v/>
      </c>
      <c r="D64" s="1">
        <v>63</v>
      </c>
      <c r="F64" s="32" t="str">
        <f t="shared" si="3"/>
        <v/>
      </c>
      <c r="G64" s="33" t="str">
        <f>IFERROR((VLOOKUP(F64,'Planilha de Cadastro - Previsão'!$A$2:$N$1100,2,FALSE()))," ")</f>
        <v xml:space="preserve"> </v>
      </c>
      <c r="H64" s="32" t="str">
        <f>IFERROR((VLOOKUP(F64,'Planilha de Cadastro - Previsão'!$A$2:$N$1100,3,FALSE()))," ")</f>
        <v xml:space="preserve"> </v>
      </c>
      <c r="I64" s="34" t="str">
        <f>IFERROR((VLOOKUP(F64,'Planilha de Cadastro - Previsão'!$A$2:$N$1100,4,FALSE()))," ")</f>
        <v xml:space="preserve"> </v>
      </c>
      <c r="J64" s="34" t="str">
        <f>IFERROR((VLOOKUP(F64,'Planilha de Cadastro - Previsão'!$A$2:$N$1100,5,FALSE()))," ")</f>
        <v xml:space="preserve"> </v>
      </c>
      <c r="K64" s="36"/>
      <c r="L64" s="34" t="str">
        <f t="shared" si="4"/>
        <v/>
      </c>
      <c r="M64" s="35" t="str">
        <f t="shared" si="5"/>
        <v/>
      </c>
      <c r="N64" s="39"/>
      <c r="O64" s="36"/>
    </row>
    <row r="65" spans="1:15" x14ac:dyDescent="0.25">
      <c r="A65">
        <f>COUNTIF($C$2:C65,C65)</f>
        <v>64</v>
      </c>
      <c r="B65" s="1" t="str">
        <f t="shared" si="2"/>
        <v>64</v>
      </c>
      <c r="C65" s="1" t="str">
        <f>IFERROR(VLOOKUP(D65,'Planilha de Cadastro - Previsão'!$A$2:$O$1000,15,FALSE()),"")</f>
        <v/>
      </c>
      <c r="D65" s="1">
        <v>64</v>
      </c>
      <c r="F65" s="32" t="str">
        <f t="shared" si="3"/>
        <v/>
      </c>
      <c r="G65" s="33" t="str">
        <f>IFERROR((VLOOKUP(F65,'Planilha de Cadastro - Previsão'!$A$2:$N$1100,2,FALSE()))," ")</f>
        <v xml:space="preserve"> </v>
      </c>
      <c r="H65" s="32" t="str">
        <f>IFERROR((VLOOKUP(F65,'Planilha de Cadastro - Previsão'!$A$2:$N$1100,3,FALSE()))," ")</f>
        <v xml:space="preserve"> </v>
      </c>
      <c r="I65" s="34" t="str">
        <f>IFERROR((VLOOKUP(F65,'Planilha de Cadastro - Previsão'!$A$2:$N$1100,4,FALSE()))," ")</f>
        <v xml:space="preserve"> </v>
      </c>
      <c r="J65" s="34" t="str">
        <f>IFERROR((VLOOKUP(F65,'Planilha de Cadastro - Previsão'!$A$2:$N$1100,5,FALSE()))," ")</f>
        <v xml:space="preserve"> </v>
      </c>
      <c r="K65" s="36"/>
      <c r="L65" s="34" t="str">
        <f t="shared" si="4"/>
        <v/>
      </c>
      <c r="M65" s="35" t="str">
        <f t="shared" si="5"/>
        <v/>
      </c>
      <c r="N65" s="39"/>
      <c r="O65" s="36"/>
    </row>
    <row r="66" spans="1:15" x14ac:dyDescent="0.25">
      <c r="A66">
        <f>COUNTIF($C$2:C66,C66)</f>
        <v>65</v>
      </c>
      <c r="B66" s="1" t="str">
        <f t="shared" si="2"/>
        <v>65</v>
      </c>
      <c r="C66" s="1" t="str">
        <f>IFERROR(VLOOKUP(D66,'Planilha de Cadastro - Previsão'!$A$2:$O$1000,15,FALSE()),"")</f>
        <v/>
      </c>
      <c r="D66" s="1">
        <v>65</v>
      </c>
      <c r="F66" s="32" t="str">
        <f t="shared" si="3"/>
        <v/>
      </c>
      <c r="G66" s="33" t="str">
        <f>IFERROR((VLOOKUP(F66,'Planilha de Cadastro - Previsão'!$A$2:$N$1100,2,FALSE()))," ")</f>
        <v xml:space="preserve"> </v>
      </c>
      <c r="H66" s="32" t="str">
        <f>IFERROR((VLOOKUP(F66,'Planilha de Cadastro - Previsão'!$A$2:$N$1100,3,FALSE()))," ")</f>
        <v xml:space="preserve"> </v>
      </c>
      <c r="I66" s="34" t="str">
        <f>IFERROR((VLOOKUP(F66,'Planilha de Cadastro - Previsão'!$A$2:$N$1100,4,FALSE()))," ")</f>
        <v xml:space="preserve"> </v>
      </c>
      <c r="J66" s="34" t="str">
        <f>IFERROR((VLOOKUP(F66,'Planilha de Cadastro - Previsão'!$A$2:$N$1100,5,FALSE()))," ")</f>
        <v xml:space="preserve"> </v>
      </c>
      <c r="K66" s="36"/>
      <c r="L66" s="34" t="str">
        <f t="shared" si="4"/>
        <v/>
      </c>
      <c r="M66" s="35" t="str">
        <f t="shared" si="5"/>
        <v/>
      </c>
      <c r="N66" s="39"/>
      <c r="O66" s="36"/>
    </row>
    <row r="67" spans="1:15" x14ac:dyDescent="0.25">
      <c r="A67">
        <f>COUNTIF($C$2:C67,C67)</f>
        <v>66</v>
      </c>
      <c r="B67" s="1" t="str">
        <f t="shared" ref="B67:B130" si="6">IFERROR(CONCATENATE(C67,A67),"")</f>
        <v>66</v>
      </c>
      <c r="C67" s="1" t="str">
        <f>IFERROR(VLOOKUP(D67,'Planilha de Cadastro - Previsão'!$A$2:$O$1000,15,FALSE()),"")</f>
        <v/>
      </c>
      <c r="D67" s="1">
        <v>66</v>
      </c>
      <c r="F67" s="32" t="str">
        <f t="shared" ref="F67:F130" si="7">IFERROR((VLOOKUP(CONCATENATE("Sim",D67),$B$2:$D$1000,3,FALSE())),"")</f>
        <v/>
      </c>
      <c r="G67" s="33" t="str">
        <f>IFERROR((VLOOKUP(F67,'Planilha de Cadastro - Previsão'!$A$2:$N$1100,2,FALSE()))," ")</f>
        <v xml:space="preserve"> </v>
      </c>
      <c r="H67" s="32" t="str">
        <f>IFERROR((VLOOKUP(F67,'Planilha de Cadastro - Previsão'!$A$2:$N$1100,3,FALSE()))," ")</f>
        <v xml:space="preserve"> </v>
      </c>
      <c r="I67" s="34" t="str">
        <f>IFERROR((VLOOKUP(F67,'Planilha de Cadastro - Previsão'!$A$2:$N$1100,4,FALSE()))," ")</f>
        <v xml:space="preserve"> </v>
      </c>
      <c r="J67" s="34" t="str">
        <f>IFERROR((VLOOKUP(F67,'Planilha de Cadastro - Previsão'!$A$2:$N$1100,5,FALSE()))," ")</f>
        <v xml:space="preserve"> </v>
      </c>
      <c r="K67" s="36"/>
      <c r="L67" s="34" t="str">
        <f t="shared" ref="L67:L130" si="8">IF(K67&gt;0,(K67*H67)-(I67*H67)-(K67*H67*4%),"")</f>
        <v/>
      </c>
      <c r="M67" s="35" t="str">
        <f t="shared" ref="M67:M130" si="9">IFERROR(L67/(K67*H67),"")</f>
        <v/>
      </c>
      <c r="N67" s="39"/>
      <c r="O67" s="36"/>
    </row>
    <row r="68" spans="1:15" x14ac:dyDescent="0.25">
      <c r="A68">
        <f>COUNTIF($C$2:C68,C68)</f>
        <v>67</v>
      </c>
      <c r="B68" s="1" t="str">
        <f t="shared" si="6"/>
        <v>67</v>
      </c>
      <c r="C68" s="1" t="str">
        <f>IFERROR(VLOOKUP(D68,'Planilha de Cadastro - Previsão'!$A$2:$O$1000,15,FALSE()),"")</f>
        <v/>
      </c>
      <c r="D68" s="1">
        <v>67</v>
      </c>
      <c r="F68" s="32" t="str">
        <f t="shared" si="7"/>
        <v/>
      </c>
      <c r="G68" s="33" t="str">
        <f>IFERROR((VLOOKUP(F68,'Planilha de Cadastro - Previsão'!$A$2:$N$1100,2,FALSE()))," ")</f>
        <v xml:space="preserve"> </v>
      </c>
      <c r="H68" s="32" t="str">
        <f>IFERROR((VLOOKUP(F68,'Planilha de Cadastro - Previsão'!$A$2:$N$1100,3,FALSE()))," ")</f>
        <v xml:space="preserve"> </v>
      </c>
      <c r="I68" s="34" t="str">
        <f>IFERROR((VLOOKUP(F68,'Planilha de Cadastro - Previsão'!$A$2:$N$1100,4,FALSE()))," ")</f>
        <v xml:space="preserve"> </v>
      </c>
      <c r="J68" s="34" t="str">
        <f>IFERROR((VLOOKUP(F68,'Planilha de Cadastro - Previsão'!$A$2:$N$1100,5,FALSE()))," ")</f>
        <v xml:space="preserve"> </v>
      </c>
      <c r="K68" s="36"/>
      <c r="L68" s="34" t="str">
        <f t="shared" si="8"/>
        <v/>
      </c>
      <c r="M68" s="35" t="str">
        <f t="shared" si="9"/>
        <v/>
      </c>
      <c r="N68" s="39"/>
      <c r="O68" s="36"/>
    </row>
    <row r="69" spans="1:15" x14ac:dyDescent="0.25">
      <c r="A69">
        <f>COUNTIF($C$2:C69,C69)</f>
        <v>68</v>
      </c>
      <c r="B69" s="1" t="str">
        <f t="shared" si="6"/>
        <v>68</v>
      </c>
      <c r="C69" s="1" t="str">
        <f>IFERROR(VLOOKUP(D69,'Planilha de Cadastro - Previsão'!$A$2:$O$1000,15,FALSE()),"")</f>
        <v/>
      </c>
      <c r="D69" s="1">
        <v>68</v>
      </c>
      <c r="F69" s="32" t="str">
        <f t="shared" si="7"/>
        <v/>
      </c>
      <c r="G69" s="33" t="str">
        <f>IFERROR((VLOOKUP(F69,'Planilha de Cadastro - Previsão'!$A$2:$N$1100,2,FALSE()))," ")</f>
        <v xml:space="preserve"> </v>
      </c>
      <c r="H69" s="32" t="str">
        <f>IFERROR((VLOOKUP(F69,'Planilha de Cadastro - Previsão'!$A$2:$N$1100,3,FALSE()))," ")</f>
        <v xml:space="preserve"> </v>
      </c>
      <c r="I69" s="34" t="str">
        <f>IFERROR((VLOOKUP(F69,'Planilha de Cadastro - Previsão'!$A$2:$N$1100,4,FALSE()))," ")</f>
        <v xml:space="preserve"> </v>
      </c>
      <c r="J69" s="34" t="str">
        <f>IFERROR((VLOOKUP(F69,'Planilha de Cadastro - Previsão'!$A$2:$N$1100,5,FALSE()))," ")</f>
        <v xml:space="preserve"> </v>
      </c>
      <c r="K69" s="36"/>
      <c r="L69" s="34" t="str">
        <f t="shared" si="8"/>
        <v/>
      </c>
      <c r="M69" s="35" t="str">
        <f t="shared" si="9"/>
        <v/>
      </c>
      <c r="N69" s="39"/>
      <c r="O69" s="36"/>
    </row>
    <row r="70" spans="1:15" x14ac:dyDescent="0.25">
      <c r="A70">
        <f>COUNTIF($C$2:C70,C70)</f>
        <v>69</v>
      </c>
      <c r="B70" s="1" t="str">
        <f t="shared" si="6"/>
        <v>69</v>
      </c>
      <c r="C70" s="1" t="str">
        <f>IFERROR(VLOOKUP(D70,'Planilha de Cadastro - Previsão'!$A$2:$O$1000,15,FALSE()),"")</f>
        <v/>
      </c>
      <c r="D70" s="1">
        <v>69</v>
      </c>
      <c r="F70" s="32" t="str">
        <f t="shared" si="7"/>
        <v/>
      </c>
      <c r="G70" s="33" t="str">
        <f>IFERROR((VLOOKUP(F70,'Planilha de Cadastro - Previsão'!$A$2:$N$1100,2,FALSE()))," ")</f>
        <v xml:space="preserve"> </v>
      </c>
      <c r="H70" s="32" t="str">
        <f>IFERROR((VLOOKUP(F70,'Planilha de Cadastro - Previsão'!$A$2:$N$1100,3,FALSE()))," ")</f>
        <v xml:space="preserve"> </v>
      </c>
      <c r="I70" s="34" t="str">
        <f>IFERROR((VLOOKUP(F70,'Planilha de Cadastro - Previsão'!$A$2:$N$1100,4,FALSE()))," ")</f>
        <v xml:space="preserve"> </v>
      </c>
      <c r="J70" s="34" t="str">
        <f>IFERROR((VLOOKUP(F70,'Planilha de Cadastro - Previsão'!$A$2:$N$1100,5,FALSE()))," ")</f>
        <v xml:space="preserve"> </v>
      </c>
      <c r="K70" s="36"/>
      <c r="L70" s="34" t="str">
        <f t="shared" si="8"/>
        <v/>
      </c>
      <c r="M70" s="35" t="str">
        <f t="shared" si="9"/>
        <v/>
      </c>
      <c r="N70" s="39"/>
      <c r="O70" s="36"/>
    </row>
    <row r="71" spans="1:15" x14ac:dyDescent="0.25">
      <c r="A71">
        <f>COUNTIF($C$2:C71,C71)</f>
        <v>70</v>
      </c>
      <c r="B71" s="1" t="str">
        <f t="shared" si="6"/>
        <v>70</v>
      </c>
      <c r="C71" s="1" t="str">
        <f>IFERROR(VLOOKUP(D71,'Planilha de Cadastro - Previsão'!$A$2:$O$1000,15,FALSE()),"")</f>
        <v/>
      </c>
      <c r="D71" s="1">
        <v>70</v>
      </c>
      <c r="F71" s="32" t="str">
        <f t="shared" si="7"/>
        <v/>
      </c>
      <c r="G71" s="33" t="str">
        <f>IFERROR((VLOOKUP(F71,'Planilha de Cadastro - Previsão'!$A$2:$N$1100,2,FALSE()))," ")</f>
        <v xml:space="preserve"> </v>
      </c>
      <c r="H71" s="32" t="str">
        <f>IFERROR((VLOOKUP(F71,'Planilha de Cadastro - Previsão'!$A$2:$N$1100,3,FALSE()))," ")</f>
        <v xml:space="preserve"> </v>
      </c>
      <c r="I71" s="34" t="str">
        <f>IFERROR((VLOOKUP(F71,'Planilha de Cadastro - Previsão'!$A$2:$N$1100,4,FALSE()))," ")</f>
        <v xml:space="preserve"> </v>
      </c>
      <c r="J71" s="34" t="str">
        <f>IFERROR((VLOOKUP(F71,'Planilha de Cadastro - Previsão'!$A$2:$N$1100,5,FALSE()))," ")</f>
        <v xml:space="preserve"> </v>
      </c>
      <c r="K71" s="36"/>
      <c r="L71" s="34" t="str">
        <f t="shared" si="8"/>
        <v/>
      </c>
      <c r="M71" s="35" t="str">
        <f t="shared" si="9"/>
        <v/>
      </c>
      <c r="N71" s="39"/>
      <c r="O71" s="36"/>
    </row>
    <row r="72" spans="1:15" x14ac:dyDescent="0.25">
      <c r="A72">
        <f>COUNTIF($C$2:C72,C72)</f>
        <v>71</v>
      </c>
      <c r="B72" s="1" t="str">
        <f t="shared" si="6"/>
        <v>71</v>
      </c>
      <c r="C72" s="1" t="str">
        <f>IFERROR(VLOOKUP(D72,'Planilha de Cadastro - Previsão'!$A$2:$O$1000,15,FALSE()),"")</f>
        <v/>
      </c>
      <c r="D72" s="1">
        <v>71</v>
      </c>
      <c r="F72" s="32" t="str">
        <f t="shared" si="7"/>
        <v/>
      </c>
      <c r="G72" s="33" t="str">
        <f>IFERROR((VLOOKUP(F72,'Planilha de Cadastro - Previsão'!$A$2:$N$1100,2,FALSE()))," ")</f>
        <v xml:space="preserve"> </v>
      </c>
      <c r="H72" s="32" t="str">
        <f>IFERROR((VLOOKUP(F72,'Planilha de Cadastro - Previsão'!$A$2:$N$1100,3,FALSE()))," ")</f>
        <v xml:space="preserve"> </v>
      </c>
      <c r="I72" s="34" t="str">
        <f>IFERROR((VLOOKUP(F72,'Planilha de Cadastro - Previsão'!$A$2:$N$1100,4,FALSE()))," ")</f>
        <v xml:space="preserve"> </v>
      </c>
      <c r="J72" s="34" t="str">
        <f>IFERROR((VLOOKUP(F72,'Planilha de Cadastro - Previsão'!$A$2:$N$1100,5,FALSE()))," ")</f>
        <v xml:space="preserve"> </v>
      </c>
      <c r="K72" s="36"/>
      <c r="L72" s="34" t="str">
        <f t="shared" si="8"/>
        <v/>
      </c>
      <c r="M72" s="35" t="str">
        <f t="shared" si="9"/>
        <v/>
      </c>
      <c r="N72" s="39"/>
      <c r="O72" s="36"/>
    </row>
    <row r="73" spans="1:15" x14ac:dyDescent="0.25">
      <c r="A73">
        <f>COUNTIF($C$2:C73,C73)</f>
        <v>72</v>
      </c>
      <c r="B73" s="1" t="str">
        <f t="shared" si="6"/>
        <v>72</v>
      </c>
      <c r="C73" s="1" t="str">
        <f>IFERROR(VLOOKUP(D73,'Planilha de Cadastro - Previsão'!$A$2:$O$1000,15,FALSE()),"")</f>
        <v/>
      </c>
      <c r="D73" s="1">
        <v>72</v>
      </c>
      <c r="F73" s="32" t="str">
        <f t="shared" si="7"/>
        <v/>
      </c>
      <c r="G73" s="33" t="str">
        <f>IFERROR((VLOOKUP(F73,'Planilha de Cadastro - Previsão'!$A$2:$N$1100,2,FALSE()))," ")</f>
        <v xml:space="preserve"> </v>
      </c>
      <c r="H73" s="32" t="str">
        <f>IFERROR((VLOOKUP(F73,'Planilha de Cadastro - Previsão'!$A$2:$N$1100,3,FALSE()))," ")</f>
        <v xml:space="preserve"> </v>
      </c>
      <c r="I73" s="34" t="str">
        <f>IFERROR((VLOOKUP(F73,'Planilha de Cadastro - Previsão'!$A$2:$N$1100,4,FALSE()))," ")</f>
        <v xml:space="preserve"> </v>
      </c>
      <c r="J73" s="34" t="str">
        <f>IFERROR((VLOOKUP(F73,'Planilha de Cadastro - Previsão'!$A$2:$N$1100,5,FALSE()))," ")</f>
        <v xml:space="preserve"> </v>
      </c>
      <c r="K73" s="36"/>
      <c r="L73" s="34" t="str">
        <f t="shared" si="8"/>
        <v/>
      </c>
      <c r="M73" s="35" t="str">
        <f t="shared" si="9"/>
        <v/>
      </c>
      <c r="N73" s="39"/>
      <c r="O73" s="36"/>
    </row>
    <row r="74" spans="1:15" x14ac:dyDescent="0.25">
      <c r="A74">
        <f>COUNTIF($C$2:C74,C74)</f>
        <v>73</v>
      </c>
      <c r="B74" s="1" t="str">
        <f t="shared" si="6"/>
        <v>73</v>
      </c>
      <c r="C74" s="1" t="str">
        <f>IFERROR(VLOOKUP(D74,'Planilha de Cadastro - Previsão'!$A$2:$O$1000,15,FALSE()),"")</f>
        <v/>
      </c>
      <c r="D74" s="1">
        <v>73</v>
      </c>
      <c r="F74" s="32" t="str">
        <f t="shared" si="7"/>
        <v/>
      </c>
      <c r="G74" s="33" t="str">
        <f>IFERROR((VLOOKUP(F74,'Planilha de Cadastro - Previsão'!$A$2:$N$1100,2,FALSE()))," ")</f>
        <v xml:space="preserve"> </v>
      </c>
      <c r="H74" s="32" t="str">
        <f>IFERROR((VLOOKUP(F74,'Planilha de Cadastro - Previsão'!$A$2:$N$1100,3,FALSE()))," ")</f>
        <v xml:space="preserve"> </v>
      </c>
      <c r="I74" s="34" t="str">
        <f>IFERROR((VLOOKUP(F74,'Planilha de Cadastro - Previsão'!$A$2:$N$1100,4,FALSE()))," ")</f>
        <v xml:space="preserve"> </v>
      </c>
      <c r="J74" s="34" t="str">
        <f>IFERROR((VLOOKUP(F74,'Planilha de Cadastro - Previsão'!$A$2:$N$1100,5,FALSE()))," ")</f>
        <v xml:space="preserve"> </v>
      </c>
      <c r="K74" s="36"/>
      <c r="L74" s="34" t="str">
        <f t="shared" si="8"/>
        <v/>
      </c>
      <c r="M74" s="35" t="str">
        <f t="shared" si="9"/>
        <v/>
      </c>
      <c r="N74" s="39"/>
      <c r="O74" s="36"/>
    </row>
    <row r="75" spans="1:15" x14ac:dyDescent="0.25">
      <c r="A75">
        <f>COUNTIF($C$2:C75,C75)</f>
        <v>74</v>
      </c>
      <c r="B75" s="1" t="str">
        <f t="shared" si="6"/>
        <v>74</v>
      </c>
      <c r="C75" s="1" t="str">
        <f>IFERROR(VLOOKUP(D75,'Planilha de Cadastro - Previsão'!$A$2:$O$1000,15,FALSE()),"")</f>
        <v/>
      </c>
      <c r="D75" s="1">
        <v>74</v>
      </c>
      <c r="F75" s="32" t="str">
        <f t="shared" si="7"/>
        <v/>
      </c>
      <c r="G75" s="33" t="str">
        <f>IFERROR((VLOOKUP(F75,'Planilha de Cadastro - Previsão'!$A$2:$N$1100,2,FALSE()))," ")</f>
        <v xml:space="preserve"> </v>
      </c>
      <c r="H75" s="32" t="str">
        <f>IFERROR((VLOOKUP(F75,'Planilha de Cadastro - Previsão'!$A$2:$N$1100,3,FALSE()))," ")</f>
        <v xml:space="preserve"> </v>
      </c>
      <c r="I75" s="34" t="str">
        <f>IFERROR((VLOOKUP(F75,'Planilha de Cadastro - Previsão'!$A$2:$N$1100,4,FALSE()))," ")</f>
        <v xml:space="preserve"> </v>
      </c>
      <c r="J75" s="34" t="str">
        <f>IFERROR((VLOOKUP(F75,'Planilha de Cadastro - Previsão'!$A$2:$N$1100,5,FALSE()))," ")</f>
        <v xml:space="preserve"> </v>
      </c>
      <c r="K75" s="36"/>
      <c r="L75" s="34" t="str">
        <f t="shared" si="8"/>
        <v/>
      </c>
      <c r="M75" s="35" t="str">
        <f t="shared" si="9"/>
        <v/>
      </c>
      <c r="N75" s="39"/>
      <c r="O75" s="36"/>
    </row>
    <row r="76" spans="1:15" x14ac:dyDescent="0.25">
      <c r="A76">
        <f>COUNTIF($C$2:C76,C76)</f>
        <v>75</v>
      </c>
      <c r="B76" s="1" t="str">
        <f t="shared" si="6"/>
        <v>75</v>
      </c>
      <c r="C76" s="1" t="str">
        <f>IFERROR(VLOOKUP(D76,'Planilha de Cadastro - Previsão'!$A$2:$O$1000,15,FALSE()),"")</f>
        <v/>
      </c>
      <c r="D76" s="1">
        <v>75</v>
      </c>
      <c r="F76" s="32" t="str">
        <f t="shared" si="7"/>
        <v/>
      </c>
      <c r="G76" s="33" t="str">
        <f>IFERROR((VLOOKUP(F76,'Planilha de Cadastro - Previsão'!$A$2:$N$1100,2,FALSE()))," ")</f>
        <v xml:space="preserve"> </v>
      </c>
      <c r="H76" s="32" t="str">
        <f>IFERROR((VLOOKUP(F76,'Planilha de Cadastro - Previsão'!$A$2:$N$1100,3,FALSE()))," ")</f>
        <v xml:space="preserve"> </v>
      </c>
      <c r="I76" s="34" t="str">
        <f>IFERROR((VLOOKUP(F76,'Planilha de Cadastro - Previsão'!$A$2:$N$1100,4,FALSE()))," ")</f>
        <v xml:space="preserve"> </v>
      </c>
      <c r="J76" s="34" t="str">
        <f>IFERROR((VLOOKUP(F76,'Planilha de Cadastro - Previsão'!$A$2:$N$1100,5,FALSE()))," ")</f>
        <v xml:space="preserve"> </v>
      </c>
      <c r="K76" s="36"/>
      <c r="L76" s="34" t="str">
        <f t="shared" si="8"/>
        <v/>
      </c>
      <c r="M76" s="35" t="str">
        <f t="shared" si="9"/>
        <v/>
      </c>
      <c r="N76" s="39"/>
      <c r="O76" s="36"/>
    </row>
    <row r="77" spans="1:15" x14ac:dyDescent="0.25">
      <c r="A77">
        <f>COUNTIF($C$2:C77,C77)</f>
        <v>76</v>
      </c>
      <c r="B77" s="1" t="str">
        <f t="shared" si="6"/>
        <v>76</v>
      </c>
      <c r="C77" s="1" t="str">
        <f>IFERROR(VLOOKUP(D77,'Planilha de Cadastro - Previsão'!$A$2:$O$1000,15,FALSE()),"")</f>
        <v/>
      </c>
      <c r="D77" s="1">
        <v>76</v>
      </c>
      <c r="F77" s="32" t="str">
        <f t="shared" si="7"/>
        <v/>
      </c>
      <c r="G77" s="33" t="str">
        <f>IFERROR((VLOOKUP(F77,'Planilha de Cadastro - Previsão'!$A$2:$N$1100,2,FALSE()))," ")</f>
        <v xml:space="preserve"> </v>
      </c>
      <c r="H77" s="32" t="str">
        <f>IFERROR((VLOOKUP(F77,'Planilha de Cadastro - Previsão'!$A$2:$N$1100,3,FALSE()))," ")</f>
        <v xml:space="preserve"> </v>
      </c>
      <c r="I77" s="34" t="str">
        <f>IFERROR((VLOOKUP(F77,'Planilha de Cadastro - Previsão'!$A$2:$N$1100,4,FALSE()))," ")</f>
        <v xml:space="preserve"> </v>
      </c>
      <c r="J77" s="34" t="str">
        <f>IFERROR((VLOOKUP(F77,'Planilha de Cadastro - Previsão'!$A$2:$N$1100,5,FALSE()))," ")</f>
        <v xml:space="preserve"> </v>
      </c>
      <c r="K77" s="36"/>
      <c r="L77" s="34" t="str">
        <f t="shared" si="8"/>
        <v/>
      </c>
      <c r="M77" s="35" t="str">
        <f t="shared" si="9"/>
        <v/>
      </c>
      <c r="N77" s="39"/>
      <c r="O77" s="36"/>
    </row>
    <row r="78" spans="1:15" x14ac:dyDescent="0.25">
      <c r="A78">
        <f>COUNTIF($C$2:C78,C78)</f>
        <v>77</v>
      </c>
      <c r="B78" s="1" t="str">
        <f t="shared" si="6"/>
        <v>77</v>
      </c>
      <c r="C78" s="1" t="str">
        <f>IFERROR(VLOOKUP(D78,'Planilha de Cadastro - Previsão'!$A$2:$O$1000,15,FALSE()),"")</f>
        <v/>
      </c>
      <c r="D78" s="1">
        <v>77</v>
      </c>
      <c r="F78" s="32" t="str">
        <f t="shared" si="7"/>
        <v/>
      </c>
      <c r="G78" s="33" t="str">
        <f>IFERROR((VLOOKUP(F78,'Planilha de Cadastro - Previsão'!$A$2:$N$1100,2,FALSE()))," ")</f>
        <v xml:space="preserve"> </v>
      </c>
      <c r="H78" s="32" t="str">
        <f>IFERROR((VLOOKUP(F78,'Planilha de Cadastro - Previsão'!$A$2:$N$1100,3,FALSE()))," ")</f>
        <v xml:space="preserve"> </v>
      </c>
      <c r="I78" s="34" t="str">
        <f>IFERROR((VLOOKUP(F78,'Planilha de Cadastro - Previsão'!$A$2:$N$1100,4,FALSE()))," ")</f>
        <v xml:space="preserve"> </v>
      </c>
      <c r="J78" s="34" t="str">
        <f>IFERROR((VLOOKUP(F78,'Planilha de Cadastro - Previsão'!$A$2:$N$1100,5,FALSE()))," ")</f>
        <v xml:space="preserve"> </v>
      </c>
      <c r="K78" s="36"/>
      <c r="L78" s="34" t="str">
        <f t="shared" si="8"/>
        <v/>
      </c>
      <c r="M78" s="35" t="str">
        <f t="shared" si="9"/>
        <v/>
      </c>
      <c r="N78" s="39"/>
      <c r="O78" s="36"/>
    </row>
    <row r="79" spans="1:15" x14ac:dyDescent="0.25">
      <c r="A79">
        <f>COUNTIF($C$2:C79,C79)</f>
        <v>78</v>
      </c>
      <c r="B79" s="1" t="str">
        <f t="shared" si="6"/>
        <v>78</v>
      </c>
      <c r="C79" s="1" t="str">
        <f>IFERROR(VLOOKUP(D79,'Planilha de Cadastro - Previsão'!$A$2:$O$1000,15,FALSE()),"")</f>
        <v/>
      </c>
      <c r="D79" s="1">
        <v>78</v>
      </c>
      <c r="F79" s="32" t="str">
        <f t="shared" si="7"/>
        <v/>
      </c>
      <c r="G79" s="33" t="str">
        <f>IFERROR((VLOOKUP(F79,'Planilha de Cadastro - Previsão'!$A$2:$N$1100,2,FALSE()))," ")</f>
        <v xml:space="preserve"> </v>
      </c>
      <c r="H79" s="32" t="str">
        <f>IFERROR((VLOOKUP(F79,'Planilha de Cadastro - Previsão'!$A$2:$N$1100,3,FALSE()))," ")</f>
        <v xml:space="preserve"> </v>
      </c>
      <c r="I79" s="34" t="str">
        <f>IFERROR((VLOOKUP(F79,'Planilha de Cadastro - Previsão'!$A$2:$N$1100,4,FALSE()))," ")</f>
        <v xml:space="preserve"> </v>
      </c>
      <c r="J79" s="34" t="str">
        <f>IFERROR((VLOOKUP(F79,'Planilha de Cadastro - Previsão'!$A$2:$N$1100,5,FALSE()))," ")</f>
        <v xml:space="preserve"> </v>
      </c>
      <c r="K79" s="36"/>
      <c r="L79" s="34" t="str">
        <f t="shared" si="8"/>
        <v/>
      </c>
      <c r="M79" s="35" t="str">
        <f t="shared" si="9"/>
        <v/>
      </c>
      <c r="N79" s="39"/>
      <c r="O79" s="36"/>
    </row>
    <row r="80" spans="1:15" x14ac:dyDescent="0.25">
      <c r="A80">
        <f>COUNTIF($C$2:C80,C80)</f>
        <v>79</v>
      </c>
      <c r="B80" s="1" t="str">
        <f t="shared" si="6"/>
        <v>79</v>
      </c>
      <c r="C80" s="1" t="str">
        <f>IFERROR(VLOOKUP(D80,'Planilha de Cadastro - Previsão'!$A$2:$O$1000,15,FALSE()),"")</f>
        <v/>
      </c>
      <c r="D80" s="1">
        <v>79</v>
      </c>
      <c r="F80" s="32" t="str">
        <f t="shared" si="7"/>
        <v/>
      </c>
      <c r="G80" s="33" t="str">
        <f>IFERROR((VLOOKUP(F80,'Planilha de Cadastro - Previsão'!$A$2:$N$1100,2,FALSE()))," ")</f>
        <v xml:space="preserve"> </v>
      </c>
      <c r="H80" s="32" t="str">
        <f>IFERROR((VLOOKUP(F80,'Planilha de Cadastro - Previsão'!$A$2:$N$1100,3,FALSE()))," ")</f>
        <v xml:space="preserve"> </v>
      </c>
      <c r="I80" s="34" t="str">
        <f>IFERROR((VLOOKUP(F80,'Planilha de Cadastro - Previsão'!$A$2:$N$1100,4,FALSE()))," ")</f>
        <v xml:space="preserve"> </v>
      </c>
      <c r="J80" s="34" t="str">
        <f>IFERROR((VLOOKUP(F80,'Planilha de Cadastro - Previsão'!$A$2:$N$1100,5,FALSE()))," ")</f>
        <v xml:space="preserve"> </v>
      </c>
      <c r="K80" s="36"/>
      <c r="L80" s="34" t="str">
        <f t="shared" si="8"/>
        <v/>
      </c>
      <c r="M80" s="35" t="str">
        <f t="shared" si="9"/>
        <v/>
      </c>
      <c r="N80" s="39"/>
      <c r="O80" s="36"/>
    </row>
    <row r="81" spans="1:15" x14ac:dyDescent="0.25">
      <c r="A81">
        <f>COUNTIF($C$2:C81,C81)</f>
        <v>80</v>
      </c>
      <c r="B81" s="1" t="str">
        <f t="shared" si="6"/>
        <v>80</v>
      </c>
      <c r="C81" s="1" t="str">
        <f>IFERROR(VLOOKUP(D81,'Planilha de Cadastro - Previsão'!$A$2:$O$1000,15,FALSE()),"")</f>
        <v/>
      </c>
      <c r="D81" s="1">
        <v>80</v>
      </c>
      <c r="F81" s="32" t="str">
        <f t="shared" si="7"/>
        <v/>
      </c>
      <c r="G81" s="33" t="str">
        <f>IFERROR((VLOOKUP(F81,'Planilha de Cadastro - Previsão'!$A$2:$N$1100,2,FALSE()))," ")</f>
        <v xml:space="preserve"> </v>
      </c>
      <c r="H81" s="32" t="str">
        <f>IFERROR((VLOOKUP(F81,'Planilha de Cadastro - Previsão'!$A$2:$N$1100,3,FALSE()))," ")</f>
        <v xml:space="preserve"> </v>
      </c>
      <c r="I81" s="34" t="str">
        <f>IFERROR((VLOOKUP(F81,'Planilha de Cadastro - Previsão'!$A$2:$N$1100,4,FALSE()))," ")</f>
        <v xml:space="preserve"> </v>
      </c>
      <c r="J81" s="34" t="str">
        <f>IFERROR((VLOOKUP(F81,'Planilha de Cadastro - Previsão'!$A$2:$N$1100,5,FALSE()))," ")</f>
        <v xml:space="preserve"> </v>
      </c>
      <c r="K81" s="36"/>
      <c r="L81" s="34" t="str">
        <f t="shared" si="8"/>
        <v/>
      </c>
      <c r="M81" s="35" t="str">
        <f t="shared" si="9"/>
        <v/>
      </c>
      <c r="N81" s="39"/>
      <c r="O81" s="36"/>
    </row>
    <row r="82" spans="1:15" x14ac:dyDescent="0.25">
      <c r="A82">
        <f>COUNTIF($C$2:C82,C82)</f>
        <v>81</v>
      </c>
      <c r="B82" s="1" t="str">
        <f t="shared" si="6"/>
        <v>81</v>
      </c>
      <c r="C82" s="1" t="str">
        <f>IFERROR(VLOOKUP(D82,'Planilha de Cadastro - Previsão'!$A$2:$O$1000,15,FALSE()),"")</f>
        <v/>
      </c>
      <c r="D82" s="1">
        <v>81</v>
      </c>
      <c r="F82" s="32" t="str">
        <f t="shared" si="7"/>
        <v/>
      </c>
      <c r="G82" s="33" t="str">
        <f>IFERROR((VLOOKUP(F82,'Planilha de Cadastro - Previsão'!$A$2:$N$1100,2,FALSE()))," ")</f>
        <v xml:space="preserve"> </v>
      </c>
      <c r="H82" s="32" t="str">
        <f>IFERROR((VLOOKUP(F82,'Planilha de Cadastro - Previsão'!$A$2:$N$1100,3,FALSE()))," ")</f>
        <v xml:space="preserve"> </v>
      </c>
      <c r="I82" s="34" t="str">
        <f>IFERROR((VLOOKUP(F82,'Planilha de Cadastro - Previsão'!$A$2:$N$1100,4,FALSE()))," ")</f>
        <v xml:space="preserve"> </v>
      </c>
      <c r="J82" s="34" t="str">
        <f>IFERROR((VLOOKUP(F82,'Planilha de Cadastro - Previsão'!$A$2:$N$1100,5,FALSE()))," ")</f>
        <v xml:space="preserve"> </v>
      </c>
      <c r="K82" s="36"/>
      <c r="L82" s="34" t="str">
        <f t="shared" si="8"/>
        <v/>
      </c>
      <c r="M82" s="35" t="str">
        <f t="shared" si="9"/>
        <v/>
      </c>
      <c r="N82" s="39"/>
      <c r="O82" s="36"/>
    </row>
    <row r="83" spans="1:15" x14ac:dyDescent="0.25">
      <c r="A83">
        <f>COUNTIF($C$2:C83,C83)</f>
        <v>82</v>
      </c>
      <c r="B83" s="1" t="str">
        <f t="shared" si="6"/>
        <v>82</v>
      </c>
      <c r="C83" s="1" t="str">
        <f>IFERROR(VLOOKUP(D83,'Planilha de Cadastro - Previsão'!$A$2:$O$1000,15,FALSE()),"")</f>
        <v/>
      </c>
      <c r="D83" s="1">
        <v>82</v>
      </c>
      <c r="F83" s="32" t="str">
        <f t="shared" si="7"/>
        <v/>
      </c>
      <c r="G83" s="33" t="str">
        <f>IFERROR((VLOOKUP(F83,'Planilha de Cadastro - Previsão'!$A$2:$N$1100,2,FALSE()))," ")</f>
        <v xml:space="preserve"> </v>
      </c>
      <c r="H83" s="32" t="str">
        <f>IFERROR((VLOOKUP(F83,'Planilha de Cadastro - Previsão'!$A$2:$N$1100,3,FALSE()))," ")</f>
        <v xml:space="preserve"> </v>
      </c>
      <c r="I83" s="34" t="str">
        <f>IFERROR((VLOOKUP(F83,'Planilha de Cadastro - Previsão'!$A$2:$N$1100,4,FALSE()))," ")</f>
        <v xml:space="preserve"> </v>
      </c>
      <c r="J83" s="34" t="str">
        <f>IFERROR((VLOOKUP(F83,'Planilha de Cadastro - Previsão'!$A$2:$N$1100,5,FALSE()))," ")</f>
        <v xml:space="preserve"> </v>
      </c>
      <c r="K83" s="36"/>
      <c r="L83" s="34" t="str">
        <f t="shared" si="8"/>
        <v/>
      </c>
      <c r="M83" s="35" t="str">
        <f t="shared" si="9"/>
        <v/>
      </c>
      <c r="N83" s="39"/>
      <c r="O83" s="36"/>
    </row>
    <row r="84" spans="1:15" x14ac:dyDescent="0.25">
      <c r="A84">
        <f>COUNTIF($C$2:C84,C84)</f>
        <v>83</v>
      </c>
      <c r="B84" s="1" t="str">
        <f t="shared" si="6"/>
        <v>83</v>
      </c>
      <c r="C84" s="1" t="str">
        <f>IFERROR(VLOOKUP(D84,'Planilha de Cadastro - Previsão'!$A$2:$O$1000,15,FALSE()),"")</f>
        <v/>
      </c>
      <c r="D84" s="1">
        <v>83</v>
      </c>
      <c r="F84" s="32" t="str">
        <f t="shared" si="7"/>
        <v/>
      </c>
      <c r="G84" s="33" t="str">
        <f>IFERROR((VLOOKUP(F84,'Planilha de Cadastro - Previsão'!$A$2:$N$1100,2,FALSE()))," ")</f>
        <v xml:space="preserve"> </v>
      </c>
      <c r="H84" s="32" t="str">
        <f>IFERROR((VLOOKUP(F84,'Planilha de Cadastro - Previsão'!$A$2:$N$1100,3,FALSE()))," ")</f>
        <v xml:space="preserve"> </v>
      </c>
      <c r="I84" s="34" t="str">
        <f>IFERROR((VLOOKUP(F84,'Planilha de Cadastro - Previsão'!$A$2:$N$1100,4,FALSE()))," ")</f>
        <v xml:space="preserve"> </v>
      </c>
      <c r="J84" s="34" t="str">
        <f>IFERROR((VLOOKUP(F84,'Planilha de Cadastro - Previsão'!$A$2:$N$1100,5,FALSE()))," ")</f>
        <v xml:space="preserve"> </v>
      </c>
      <c r="K84" s="36"/>
      <c r="L84" s="34" t="str">
        <f t="shared" si="8"/>
        <v/>
      </c>
      <c r="M84" s="35" t="str">
        <f t="shared" si="9"/>
        <v/>
      </c>
      <c r="N84" s="39"/>
      <c r="O84" s="36"/>
    </row>
    <row r="85" spans="1:15" x14ac:dyDescent="0.25">
      <c r="A85">
        <f>COUNTIF($C$2:C85,C85)</f>
        <v>84</v>
      </c>
      <c r="B85" s="1" t="str">
        <f t="shared" si="6"/>
        <v>84</v>
      </c>
      <c r="C85" s="1" t="str">
        <f>IFERROR(VLOOKUP(D85,'Planilha de Cadastro - Previsão'!$A$2:$O$1000,15,FALSE()),"")</f>
        <v/>
      </c>
      <c r="D85" s="1">
        <v>84</v>
      </c>
      <c r="F85" s="32" t="str">
        <f t="shared" si="7"/>
        <v/>
      </c>
      <c r="G85" s="33" t="str">
        <f>IFERROR((VLOOKUP(F85,'Planilha de Cadastro - Previsão'!$A$2:$N$1100,2,FALSE()))," ")</f>
        <v xml:space="preserve"> </v>
      </c>
      <c r="H85" s="32" t="str">
        <f>IFERROR((VLOOKUP(F85,'Planilha de Cadastro - Previsão'!$A$2:$N$1100,3,FALSE()))," ")</f>
        <v xml:space="preserve"> </v>
      </c>
      <c r="I85" s="34" t="str">
        <f>IFERROR((VLOOKUP(F85,'Planilha de Cadastro - Previsão'!$A$2:$N$1100,4,FALSE()))," ")</f>
        <v xml:space="preserve"> </v>
      </c>
      <c r="J85" s="34" t="str">
        <f>IFERROR((VLOOKUP(F85,'Planilha de Cadastro - Previsão'!$A$2:$N$1100,5,FALSE()))," ")</f>
        <v xml:space="preserve"> </v>
      </c>
      <c r="K85" s="36"/>
      <c r="L85" s="34" t="str">
        <f t="shared" si="8"/>
        <v/>
      </c>
      <c r="M85" s="35" t="str">
        <f t="shared" si="9"/>
        <v/>
      </c>
      <c r="N85" s="39"/>
      <c r="O85" s="36"/>
    </row>
    <row r="86" spans="1:15" x14ac:dyDescent="0.25">
      <c r="A86">
        <f>COUNTIF($C$2:C86,C86)</f>
        <v>85</v>
      </c>
      <c r="B86" s="1" t="str">
        <f t="shared" si="6"/>
        <v>85</v>
      </c>
      <c r="C86" s="1" t="str">
        <f>IFERROR(VLOOKUP(D86,'Planilha de Cadastro - Previsão'!$A$2:$O$1000,15,FALSE()),"")</f>
        <v/>
      </c>
      <c r="D86" s="1">
        <v>85</v>
      </c>
      <c r="F86" s="32" t="str">
        <f t="shared" si="7"/>
        <v/>
      </c>
      <c r="G86" s="33" t="str">
        <f>IFERROR((VLOOKUP(F86,'Planilha de Cadastro - Previsão'!$A$2:$N$1100,2,FALSE()))," ")</f>
        <v xml:space="preserve"> </v>
      </c>
      <c r="H86" s="32" t="str">
        <f>IFERROR((VLOOKUP(F86,'Planilha de Cadastro - Previsão'!$A$2:$N$1100,3,FALSE()))," ")</f>
        <v xml:space="preserve"> </v>
      </c>
      <c r="I86" s="34" t="str">
        <f>IFERROR((VLOOKUP(F86,'Planilha de Cadastro - Previsão'!$A$2:$N$1100,4,FALSE()))," ")</f>
        <v xml:space="preserve"> </v>
      </c>
      <c r="J86" s="34" t="str">
        <f>IFERROR((VLOOKUP(F86,'Planilha de Cadastro - Previsão'!$A$2:$N$1100,5,FALSE()))," ")</f>
        <v xml:space="preserve"> </v>
      </c>
      <c r="K86" s="36"/>
      <c r="L86" s="34" t="str">
        <f t="shared" si="8"/>
        <v/>
      </c>
      <c r="M86" s="35" t="str">
        <f t="shared" si="9"/>
        <v/>
      </c>
      <c r="N86" s="39"/>
      <c r="O86" s="36"/>
    </row>
    <row r="87" spans="1:15" x14ac:dyDescent="0.25">
      <c r="A87">
        <f>COUNTIF($C$2:C87,C87)</f>
        <v>86</v>
      </c>
      <c r="B87" s="1" t="str">
        <f t="shared" si="6"/>
        <v>86</v>
      </c>
      <c r="C87" s="1" t="str">
        <f>IFERROR(VLOOKUP(D87,'Planilha de Cadastro - Previsão'!$A$2:$O$1000,15,FALSE()),"")</f>
        <v/>
      </c>
      <c r="D87" s="1">
        <v>86</v>
      </c>
      <c r="F87" s="32" t="str">
        <f t="shared" si="7"/>
        <v/>
      </c>
      <c r="G87" s="33" t="str">
        <f>IFERROR((VLOOKUP(F87,'Planilha de Cadastro - Previsão'!$A$2:$N$1100,2,FALSE()))," ")</f>
        <v xml:space="preserve"> </v>
      </c>
      <c r="H87" s="32" t="str">
        <f>IFERROR((VLOOKUP(F87,'Planilha de Cadastro - Previsão'!$A$2:$N$1100,3,FALSE()))," ")</f>
        <v xml:space="preserve"> </v>
      </c>
      <c r="I87" s="34" t="str">
        <f>IFERROR((VLOOKUP(F87,'Planilha de Cadastro - Previsão'!$A$2:$N$1100,4,FALSE()))," ")</f>
        <v xml:space="preserve"> </v>
      </c>
      <c r="J87" s="34" t="str">
        <f>IFERROR((VLOOKUP(F87,'Planilha de Cadastro - Previsão'!$A$2:$N$1100,5,FALSE()))," ")</f>
        <v xml:space="preserve"> </v>
      </c>
      <c r="K87" s="36"/>
      <c r="L87" s="34" t="str">
        <f t="shared" si="8"/>
        <v/>
      </c>
      <c r="M87" s="35" t="str">
        <f t="shared" si="9"/>
        <v/>
      </c>
      <c r="N87" s="39"/>
      <c r="O87" s="36"/>
    </row>
    <row r="88" spans="1:15" x14ac:dyDescent="0.25">
      <c r="A88">
        <f>COUNTIF($C$2:C88,C88)</f>
        <v>87</v>
      </c>
      <c r="B88" s="1" t="str">
        <f t="shared" si="6"/>
        <v>87</v>
      </c>
      <c r="C88" s="1" t="str">
        <f>IFERROR(VLOOKUP(D88,'Planilha de Cadastro - Previsão'!$A$2:$O$1000,15,FALSE()),"")</f>
        <v/>
      </c>
      <c r="D88" s="1">
        <v>87</v>
      </c>
      <c r="F88" s="32" t="str">
        <f t="shared" si="7"/>
        <v/>
      </c>
      <c r="G88" s="33" t="str">
        <f>IFERROR((VLOOKUP(F88,'Planilha de Cadastro - Previsão'!$A$2:$N$1100,2,FALSE()))," ")</f>
        <v xml:space="preserve"> </v>
      </c>
      <c r="H88" s="32" t="str">
        <f>IFERROR((VLOOKUP(F88,'Planilha de Cadastro - Previsão'!$A$2:$N$1100,3,FALSE()))," ")</f>
        <v xml:space="preserve"> </v>
      </c>
      <c r="I88" s="34" t="str">
        <f>IFERROR((VLOOKUP(F88,'Planilha de Cadastro - Previsão'!$A$2:$N$1100,4,FALSE()))," ")</f>
        <v xml:space="preserve"> </v>
      </c>
      <c r="J88" s="34" t="str">
        <f>IFERROR((VLOOKUP(F88,'Planilha de Cadastro - Previsão'!$A$2:$N$1100,5,FALSE()))," ")</f>
        <v xml:space="preserve"> </v>
      </c>
      <c r="K88" s="36"/>
      <c r="L88" s="34" t="str">
        <f t="shared" si="8"/>
        <v/>
      </c>
      <c r="M88" s="35" t="str">
        <f t="shared" si="9"/>
        <v/>
      </c>
      <c r="N88" s="39"/>
      <c r="O88" s="36"/>
    </row>
    <row r="89" spans="1:15" x14ac:dyDescent="0.25">
      <c r="A89">
        <f>COUNTIF($C$2:C89,C89)</f>
        <v>88</v>
      </c>
      <c r="B89" s="1" t="str">
        <f t="shared" si="6"/>
        <v>88</v>
      </c>
      <c r="C89" s="1" t="str">
        <f>IFERROR(VLOOKUP(D89,'Planilha de Cadastro - Previsão'!$A$2:$O$1000,15,FALSE()),"")</f>
        <v/>
      </c>
      <c r="D89" s="1">
        <v>88</v>
      </c>
      <c r="F89" s="32" t="str">
        <f t="shared" si="7"/>
        <v/>
      </c>
      <c r="G89" s="33" t="str">
        <f>IFERROR((VLOOKUP(F89,'Planilha de Cadastro - Previsão'!$A$2:$N$1100,2,FALSE()))," ")</f>
        <v xml:space="preserve"> </v>
      </c>
      <c r="H89" s="32" t="str">
        <f>IFERROR((VLOOKUP(F89,'Planilha de Cadastro - Previsão'!$A$2:$N$1100,3,FALSE()))," ")</f>
        <v xml:space="preserve"> </v>
      </c>
      <c r="I89" s="34" t="str">
        <f>IFERROR((VLOOKUP(F89,'Planilha de Cadastro - Previsão'!$A$2:$N$1100,4,FALSE()))," ")</f>
        <v xml:space="preserve"> </v>
      </c>
      <c r="J89" s="34" t="str">
        <f>IFERROR((VLOOKUP(F89,'Planilha de Cadastro - Previsão'!$A$2:$N$1100,5,FALSE()))," ")</f>
        <v xml:space="preserve"> </v>
      </c>
      <c r="K89" s="36"/>
      <c r="L89" s="34" t="str">
        <f t="shared" si="8"/>
        <v/>
      </c>
      <c r="M89" s="35" t="str">
        <f t="shared" si="9"/>
        <v/>
      </c>
      <c r="N89" s="39"/>
      <c r="O89" s="36"/>
    </row>
    <row r="90" spans="1:15" x14ac:dyDescent="0.25">
      <c r="A90">
        <f>COUNTIF($C$2:C90,C90)</f>
        <v>89</v>
      </c>
      <c r="B90" s="1" t="str">
        <f t="shared" si="6"/>
        <v>89</v>
      </c>
      <c r="C90" s="1" t="str">
        <f>IFERROR(VLOOKUP(D90,'Planilha de Cadastro - Previsão'!$A$2:$O$1000,15,FALSE()),"")</f>
        <v/>
      </c>
      <c r="D90" s="1">
        <v>89</v>
      </c>
      <c r="F90" s="32" t="str">
        <f t="shared" si="7"/>
        <v/>
      </c>
      <c r="G90" s="33" t="str">
        <f>IFERROR((VLOOKUP(F90,'Planilha de Cadastro - Previsão'!$A$2:$N$1100,2,FALSE()))," ")</f>
        <v xml:space="preserve"> </v>
      </c>
      <c r="H90" s="32" t="str">
        <f>IFERROR((VLOOKUP(F90,'Planilha de Cadastro - Previsão'!$A$2:$N$1100,3,FALSE()))," ")</f>
        <v xml:space="preserve"> </v>
      </c>
      <c r="I90" s="34" t="str">
        <f>IFERROR((VLOOKUP(F90,'Planilha de Cadastro - Previsão'!$A$2:$N$1100,4,FALSE()))," ")</f>
        <v xml:space="preserve"> </v>
      </c>
      <c r="J90" s="34" t="str">
        <f>IFERROR((VLOOKUP(F90,'Planilha de Cadastro - Previsão'!$A$2:$N$1100,5,FALSE()))," ")</f>
        <v xml:space="preserve"> </v>
      </c>
      <c r="K90" s="36"/>
      <c r="L90" s="34" t="str">
        <f t="shared" si="8"/>
        <v/>
      </c>
      <c r="M90" s="35" t="str">
        <f t="shared" si="9"/>
        <v/>
      </c>
      <c r="N90" s="39"/>
      <c r="O90" s="36"/>
    </row>
    <row r="91" spans="1:15" x14ac:dyDescent="0.25">
      <c r="A91">
        <f>COUNTIF($C$2:C91,C91)</f>
        <v>90</v>
      </c>
      <c r="B91" s="1" t="str">
        <f t="shared" si="6"/>
        <v>90</v>
      </c>
      <c r="C91" s="1" t="str">
        <f>IFERROR(VLOOKUP(D91,'Planilha de Cadastro - Previsão'!$A$2:$O$1000,15,FALSE()),"")</f>
        <v/>
      </c>
      <c r="D91" s="1">
        <v>90</v>
      </c>
      <c r="F91" s="32" t="str">
        <f t="shared" si="7"/>
        <v/>
      </c>
      <c r="G91" s="33" t="str">
        <f>IFERROR((VLOOKUP(F91,'Planilha de Cadastro - Previsão'!$A$2:$N$1100,2,FALSE()))," ")</f>
        <v xml:space="preserve"> </v>
      </c>
      <c r="H91" s="32" t="str">
        <f>IFERROR((VLOOKUP(F91,'Planilha de Cadastro - Previsão'!$A$2:$N$1100,3,FALSE()))," ")</f>
        <v xml:space="preserve"> </v>
      </c>
      <c r="I91" s="34" t="str">
        <f>IFERROR((VLOOKUP(F91,'Planilha de Cadastro - Previsão'!$A$2:$N$1100,4,FALSE()))," ")</f>
        <v xml:space="preserve"> </v>
      </c>
      <c r="J91" s="34" t="str">
        <f>IFERROR((VLOOKUP(F91,'Planilha de Cadastro - Previsão'!$A$2:$N$1100,5,FALSE()))," ")</f>
        <v xml:space="preserve"> </v>
      </c>
      <c r="K91" s="36"/>
      <c r="L91" s="34" t="str">
        <f t="shared" si="8"/>
        <v/>
      </c>
      <c r="M91" s="35" t="str">
        <f t="shared" si="9"/>
        <v/>
      </c>
      <c r="N91" s="39"/>
      <c r="O91" s="36"/>
    </row>
    <row r="92" spans="1:15" x14ac:dyDescent="0.25">
      <c r="A92">
        <f>COUNTIF($C$2:C92,C92)</f>
        <v>91</v>
      </c>
      <c r="B92" s="1" t="str">
        <f t="shared" si="6"/>
        <v>91</v>
      </c>
      <c r="C92" s="1" t="str">
        <f>IFERROR(VLOOKUP(D92,'Planilha de Cadastro - Previsão'!$A$2:$O$1000,15,FALSE()),"")</f>
        <v/>
      </c>
      <c r="D92" s="1">
        <v>91</v>
      </c>
      <c r="F92" s="32" t="str">
        <f t="shared" si="7"/>
        <v/>
      </c>
      <c r="G92" s="33" t="str">
        <f>IFERROR((VLOOKUP(F92,'Planilha de Cadastro - Previsão'!$A$2:$N$1100,2,FALSE()))," ")</f>
        <v xml:space="preserve"> </v>
      </c>
      <c r="H92" s="32" t="str">
        <f>IFERROR((VLOOKUP(F92,'Planilha de Cadastro - Previsão'!$A$2:$N$1100,3,FALSE()))," ")</f>
        <v xml:space="preserve"> </v>
      </c>
      <c r="I92" s="34" t="str">
        <f>IFERROR((VLOOKUP(F92,'Planilha de Cadastro - Previsão'!$A$2:$N$1100,4,FALSE()))," ")</f>
        <v xml:space="preserve"> </v>
      </c>
      <c r="J92" s="34" t="str">
        <f>IFERROR((VLOOKUP(F92,'Planilha de Cadastro - Previsão'!$A$2:$N$1100,5,FALSE()))," ")</f>
        <v xml:space="preserve"> </v>
      </c>
      <c r="K92" s="36"/>
      <c r="L92" s="34" t="str">
        <f t="shared" si="8"/>
        <v/>
      </c>
      <c r="M92" s="35" t="str">
        <f t="shared" si="9"/>
        <v/>
      </c>
      <c r="N92" s="39"/>
      <c r="O92" s="36"/>
    </row>
    <row r="93" spans="1:15" x14ac:dyDescent="0.25">
      <c r="A93">
        <f>COUNTIF($C$2:C93,C93)</f>
        <v>92</v>
      </c>
      <c r="B93" s="1" t="str">
        <f t="shared" si="6"/>
        <v>92</v>
      </c>
      <c r="C93" s="1" t="str">
        <f>IFERROR(VLOOKUP(D93,'Planilha de Cadastro - Previsão'!$A$2:$O$1000,15,FALSE()),"")</f>
        <v/>
      </c>
      <c r="D93" s="1">
        <v>92</v>
      </c>
      <c r="F93" s="32" t="str">
        <f t="shared" si="7"/>
        <v/>
      </c>
      <c r="G93" s="33" t="str">
        <f>IFERROR((VLOOKUP(F93,'Planilha de Cadastro - Previsão'!$A$2:$N$1100,2,FALSE()))," ")</f>
        <v xml:space="preserve"> </v>
      </c>
      <c r="H93" s="32" t="str">
        <f>IFERROR((VLOOKUP(F93,'Planilha de Cadastro - Previsão'!$A$2:$N$1100,3,FALSE()))," ")</f>
        <v xml:space="preserve"> </v>
      </c>
      <c r="I93" s="34" t="str">
        <f>IFERROR((VLOOKUP(F93,'Planilha de Cadastro - Previsão'!$A$2:$N$1100,4,FALSE()))," ")</f>
        <v xml:space="preserve"> </v>
      </c>
      <c r="J93" s="34" t="str">
        <f>IFERROR((VLOOKUP(F93,'Planilha de Cadastro - Previsão'!$A$2:$N$1100,5,FALSE()))," ")</f>
        <v xml:space="preserve"> </v>
      </c>
      <c r="K93" s="36"/>
      <c r="L93" s="34" t="str">
        <f t="shared" si="8"/>
        <v/>
      </c>
      <c r="M93" s="35" t="str">
        <f t="shared" si="9"/>
        <v/>
      </c>
      <c r="N93" s="39"/>
      <c r="O93" s="36"/>
    </row>
    <row r="94" spans="1:15" x14ac:dyDescent="0.25">
      <c r="A94">
        <f>COUNTIF($C$2:C94,C94)</f>
        <v>93</v>
      </c>
      <c r="B94" s="1" t="str">
        <f t="shared" si="6"/>
        <v>93</v>
      </c>
      <c r="C94" s="1" t="str">
        <f>IFERROR(VLOOKUP(D94,'Planilha de Cadastro - Previsão'!$A$2:$O$1000,15,FALSE()),"")</f>
        <v/>
      </c>
      <c r="D94" s="1">
        <v>93</v>
      </c>
      <c r="F94" s="32" t="str">
        <f t="shared" si="7"/>
        <v/>
      </c>
      <c r="G94" s="33" t="str">
        <f>IFERROR((VLOOKUP(F94,'Planilha de Cadastro - Previsão'!$A$2:$N$1100,2,FALSE()))," ")</f>
        <v xml:space="preserve"> </v>
      </c>
      <c r="H94" s="32" t="str">
        <f>IFERROR((VLOOKUP(F94,'Planilha de Cadastro - Previsão'!$A$2:$N$1100,3,FALSE()))," ")</f>
        <v xml:space="preserve"> </v>
      </c>
      <c r="I94" s="34" t="str">
        <f>IFERROR((VLOOKUP(F94,'Planilha de Cadastro - Previsão'!$A$2:$N$1100,4,FALSE()))," ")</f>
        <v xml:space="preserve"> </v>
      </c>
      <c r="J94" s="34" t="str">
        <f>IFERROR((VLOOKUP(F94,'Planilha de Cadastro - Previsão'!$A$2:$N$1100,5,FALSE()))," ")</f>
        <v xml:space="preserve"> </v>
      </c>
      <c r="K94" s="36"/>
      <c r="L94" s="34" t="str">
        <f t="shared" si="8"/>
        <v/>
      </c>
      <c r="M94" s="35" t="str">
        <f t="shared" si="9"/>
        <v/>
      </c>
      <c r="N94" s="39"/>
      <c r="O94" s="36"/>
    </row>
    <row r="95" spans="1:15" x14ac:dyDescent="0.25">
      <c r="A95">
        <f>COUNTIF($C$2:C95,C95)</f>
        <v>94</v>
      </c>
      <c r="B95" s="1" t="str">
        <f t="shared" si="6"/>
        <v>94</v>
      </c>
      <c r="C95" s="1" t="str">
        <f>IFERROR(VLOOKUP(D95,'Planilha de Cadastro - Previsão'!$A$2:$O$1000,15,FALSE()),"")</f>
        <v/>
      </c>
      <c r="D95" s="1">
        <v>94</v>
      </c>
      <c r="F95" s="32" t="str">
        <f t="shared" si="7"/>
        <v/>
      </c>
      <c r="G95" s="33" t="str">
        <f>IFERROR((VLOOKUP(F95,'Planilha de Cadastro - Previsão'!$A$2:$N$1100,2,FALSE()))," ")</f>
        <v xml:space="preserve"> </v>
      </c>
      <c r="H95" s="32" t="str">
        <f>IFERROR((VLOOKUP(F95,'Planilha de Cadastro - Previsão'!$A$2:$N$1100,3,FALSE()))," ")</f>
        <v xml:space="preserve"> </v>
      </c>
      <c r="I95" s="34" t="str">
        <f>IFERROR((VLOOKUP(F95,'Planilha de Cadastro - Previsão'!$A$2:$N$1100,4,FALSE()))," ")</f>
        <v xml:space="preserve"> </v>
      </c>
      <c r="J95" s="34" t="str">
        <f>IFERROR((VLOOKUP(F95,'Planilha de Cadastro - Previsão'!$A$2:$N$1100,5,FALSE()))," ")</f>
        <v xml:space="preserve"> </v>
      </c>
      <c r="K95" s="36"/>
      <c r="L95" s="34" t="str">
        <f t="shared" si="8"/>
        <v/>
      </c>
      <c r="M95" s="35" t="str">
        <f t="shared" si="9"/>
        <v/>
      </c>
      <c r="N95" s="39"/>
      <c r="O95" s="36"/>
    </row>
    <row r="96" spans="1:15" x14ac:dyDescent="0.25">
      <c r="A96">
        <f>COUNTIF($C$2:C96,C96)</f>
        <v>95</v>
      </c>
      <c r="B96" s="1" t="str">
        <f t="shared" si="6"/>
        <v>95</v>
      </c>
      <c r="C96" s="1" t="str">
        <f>IFERROR(VLOOKUP(D96,'Planilha de Cadastro - Previsão'!$A$2:$O$1000,15,FALSE()),"")</f>
        <v/>
      </c>
      <c r="D96" s="1">
        <v>95</v>
      </c>
      <c r="F96" s="32" t="str">
        <f t="shared" si="7"/>
        <v/>
      </c>
      <c r="G96" s="33" t="str">
        <f>IFERROR((VLOOKUP(F96,'Planilha de Cadastro - Previsão'!$A$2:$N$1100,2,FALSE()))," ")</f>
        <v xml:space="preserve"> </v>
      </c>
      <c r="H96" s="32" t="str">
        <f>IFERROR((VLOOKUP(F96,'Planilha de Cadastro - Previsão'!$A$2:$N$1100,3,FALSE()))," ")</f>
        <v xml:space="preserve"> </v>
      </c>
      <c r="I96" s="34" t="str">
        <f>IFERROR((VLOOKUP(F96,'Planilha de Cadastro - Previsão'!$A$2:$N$1100,4,FALSE()))," ")</f>
        <v xml:space="preserve"> </v>
      </c>
      <c r="J96" s="34" t="str">
        <f>IFERROR((VLOOKUP(F96,'Planilha de Cadastro - Previsão'!$A$2:$N$1100,5,FALSE()))," ")</f>
        <v xml:space="preserve"> </v>
      </c>
      <c r="K96" s="36"/>
      <c r="L96" s="34" t="str">
        <f t="shared" si="8"/>
        <v/>
      </c>
      <c r="M96" s="35" t="str">
        <f t="shared" si="9"/>
        <v/>
      </c>
      <c r="N96" s="39"/>
      <c r="O96" s="36"/>
    </row>
    <row r="97" spans="1:15" x14ac:dyDescent="0.25">
      <c r="A97">
        <f>COUNTIF($C$2:C97,C97)</f>
        <v>96</v>
      </c>
      <c r="B97" s="1" t="str">
        <f t="shared" si="6"/>
        <v>96</v>
      </c>
      <c r="C97" s="1" t="str">
        <f>IFERROR(VLOOKUP(D97,'Planilha de Cadastro - Previsão'!$A$2:$O$1000,15,FALSE()),"")</f>
        <v/>
      </c>
      <c r="D97" s="1">
        <v>96</v>
      </c>
      <c r="F97" s="32" t="str">
        <f t="shared" si="7"/>
        <v/>
      </c>
      <c r="G97" s="33" t="str">
        <f>IFERROR((VLOOKUP(F97,'Planilha de Cadastro - Previsão'!$A$2:$N$1100,2,FALSE()))," ")</f>
        <v xml:space="preserve"> </v>
      </c>
      <c r="H97" s="32" t="str">
        <f>IFERROR((VLOOKUP(F97,'Planilha de Cadastro - Previsão'!$A$2:$N$1100,3,FALSE()))," ")</f>
        <v xml:space="preserve"> </v>
      </c>
      <c r="I97" s="34" t="str">
        <f>IFERROR((VLOOKUP(F97,'Planilha de Cadastro - Previsão'!$A$2:$N$1100,4,FALSE()))," ")</f>
        <v xml:space="preserve"> </v>
      </c>
      <c r="J97" s="34" t="str">
        <f>IFERROR((VLOOKUP(F97,'Planilha de Cadastro - Previsão'!$A$2:$N$1100,5,FALSE()))," ")</f>
        <v xml:space="preserve"> </v>
      </c>
      <c r="K97" s="36"/>
      <c r="L97" s="34" t="str">
        <f t="shared" si="8"/>
        <v/>
      </c>
      <c r="M97" s="35" t="str">
        <f t="shared" si="9"/>
        <v/>
      </c>
      <c r="N97" s="39"/>
      <c r="O97" s="36"/>
    </row>
    <row r="98" spans="1:15" x14ac:dyDescent="0.25">
      <c r="A98">
        <f>COUNTIF($C$2:C98,C98)</f>
        <v>97</v>
      </c>
      <c r="B98" s="1" t="str">
        <f t="shared" si="6"/>
        <v>97</v>
      </c>
      <c r="C98" s="1" t="str">
        <f>IFERROR(VLOOKUP(D98,'Planilha de Cadastro - Previsão'!$A$2:$O$1000,15,FALSE()),"")</f>
        <v/>
      </c>
      <c r="D98" s="1">
        <v>97</v>
      </c>
      <c r="F98" s="32" t="str">
        <f t="shared" si="7"/>
        <v/>
      </c>
      <c r="G98" s="33" t="str">
        <f>IFERROR((VLOOKUP(F98,'Planilha de Cadastro - Previsão'!$A$2:$N$1100,2,FALSE()))," ")</f>
        <v xml:space="preserve"> </v>
      </c>
      <c r="H98" s="32" t="str">
        <f>IFERROR((VLOOKUP(F98,'Planilha de Cadastro - Previsão'!$A$2:$N$1100,3,FALSE()))," ")</f>
        <v xml:space="preserve"> </v>
      </c>
      <c r="I98" s="34" t="str">
        <f>IFERROR((VLOOKUP(F98,'Planilha de Cadastro - Previsão'!$A$2:$N$1100,4,FALSE()))," ")</f>
        <v xml:space="preserve"> </v>
      </c>
      <c r="J98" s="34" t="str">
        <f>IFERROR((VLOOKUP(F98,'Planilha de Cadastro - Previsão'!$A$2:$N$1100,5,FALSE()))," ")</f>
        <v xml:space="preserve"> </v>
      </c>
      <c r="K98" s="36"/>
      <c r="L98" s="34" t="str">
        <f t="shared" si="8"/>
        <v/>
      </c>
      <c r="M98" s="35" t="str">
        <f t="shared" si="9"/>
        <v/>
      </c>
      <c r="N98" s="39"/>
      <c r="O98" s="36"/>
    </row>
    <row r="99" spans="1:15" x14ac:dyDescent="0.25">
      <c r="A99">
        <f>COUNTIF($C$2:C99,C99)</f>
        <v>98</v>
      </c>
      <c r="B99" s="1" t="str">
        <f t="shared" si="6"/>
        <v>98</v>
      </c>
      <c r="C99" s="1" t="str">
        <f>IFERROR(VLOOKUP(D99,'Planilha de Cadastro - Previsão'!$A$2:$O$1000,15,FALSE()),"")</f>
        <v/>
      </c>
      <c r="D99" s="1">
        <v>98</v>
      </c>
      <c r="F99" s="32" t="str">
        <f t="shared" si="7"/>
        <v/>
      </c>
      <c r="G99" s="33" t="str">
        <f>IFERROR((VLOOKUP(F99,'Planilha de Cadastro - Previsão'!$A$2:$N$1100,2,FALSE()))," ")</f>
        <v xml:space="preserve"> </v>
      </c>
      <c r="H99" s="32" t="str">
        <f>IFERROR((VLOOKUP(F99,'Planilha de Cadastro - Previsão'!$A$2:$N$1100,3,FALSE()))," ")</f>
        <v xml:space="preserve"> </v>
      </c>
      <c r="I99" s="34" t="str">
        <f>IFERROR((VLOOKUP(F99,'Planilha de Cadastro - Previsão'!$A$2:$N$1100,4,FALSE()))," ")</f>
        <v xml:space="preserve"> </v>
      </c>
      <c r="J99" s="34" t="str">
        <f>IFERROR((VLOOKUP(F99,'Planilha de Cadastro - Previsão'!$A$2:$N$1100,5,FALSE()))," ")</f>
        <v xml:space="preserve"> </v>
      </c>
      <c r="K99" s="36"/>
      <c r="L99" s="34" t="str">
        <f t="shared" si="8"/>
        <v/>
      </c>
      <c r="M99" s="35" t="str">
        <f t="shared" si="9"/>
        <v/>
      </c>
      <c r="N99" s="39"/>
      <c r="O99" s="36"/>
    </row>
    <row r="100" spans="1:15" x14ac:dyDescent="0.25">
      <c r="A100">
        <f>COUNTIF($C$2:C100,C100)</f>
        <v>99</v>
      </c>
      <c r="B100" s="1" t="str">
        <f t="shared" si="6"/>
        <v>99</v>
      </c>
      <c r="C100" s="1" t="str">
        <f>IFERROR(VLOOKUP(D100,'Planilha de Cadastro - Previsão'!$A$2:$O$1000,15,FALSE()),"")</f>
        <v/>
      </c>
      <c r="D100" s="1">
        <v>99</v>
      </c>
      <c r="F100" s="32" t="str">
        <f t="shared" si="7"/>
        <v/>
      </c>
      <c r="G100" s="33" t="str">
        <f>IFERROR((VLOOKUP(F100,'Planilha de Cadastro - Previsão'!$A$2:$N$1100,2,FALSE()))," ")</f>
        <v xml:space="preserve"> </v>
      </c>
      <c r="H100" s="32" t="str">
        <f>IFERROR((VLOOKUP(F100,'Planilha de Cadastro - Previsão'!$A$2:$N$1100,3,FALSE()))," ")</f>
        <v xml:space="preserve"> </v>
      </c>
      <c r="I100" s="34" t="str">
        <f>IFERROR((VLOOKUP(F100,'Planilha de Cadastro - Previsão'!$A$2:$N$1100,4,FALSE()))," ")</f>
        <v xml:space="preserve"> </v>
      </c>
      <c r="J100" s="34" t="str">
        <f>IFERROR((VLOOKUP(F100,'Planilha de Cadastro - Previsão'!$A$2:$N$1100,5,FALSE()))," ")</f>
        <v xml:space="preserve"> </v>
      </c>
      <c r="K100" s="36"/>
      <c r="L100" s="34" t="str">
        <f t="shared" si="8"/>
        <v/>
      </c>
      <c r="M100" s="35" t="str">
        <f t="shared" si="9"/>
        <v/>
      </c>
      <c r="N100" s="39"/>
      <c r="O100" s="36"/>
    </row>
    <row r="101" spans="1:15" x14ac:dyDescent="0.25">
      <c r="A101">
        <f>COUNTIF($C$2:C101,C101)</f>
        <v>100</v>
      </c>
      <c r="B101" s="1" t="str">
        <f t="shared" si="6"/>
        <v>100</v>
      </c>
      <c r="C101" s="1" t="str">
        <f>IFERROR(VLOOKUP(D101,'Planilha de Cadastro - Previsão'!$A$2:$O$1000,15,FALSE()),"")</f>
        <v/>
      </c>
      <c r="D101" s="1">
        <v>100</v>
      </c>
      <c r="F101" s="32" t="str">
        <f t="shared" si="7"/>
        <v/>
      </c>
      <c r="G101" s="33" t="str">
        <f>IFERROR((VLOOKUP(F101,'Planilha de Cadastro - Previsão'!$A$2:$N$1100,2,FALSE()))," ")</f>
        <v xml:space="preserve"> </v>
      </c>
      <c r="H101" s="32" t="str">
        <f>IFERROR((VLOOKUP(F101,'Planilha de Cadastro - Previsão'!$A$2:$N$1100,3,FALSE()))," ")</f>
        <v xml:space="preserve"> </v>
      </c>
      <c r="I101" s="34" t="str">
        <f>IFERROR((VLOOKUP(F101,'Planilha de Cadastro - Previsão'!$A$2:$N$1100,4,FALSE()))," ")</f>
        <v xml:space="preserve"> </v>
      </c>
      <c r="J101" s="34" t="str">
        <f>IFERROR((VLOOKUP(F101,'Planilha de Cadastro - Previsão'!$A$2:$N$1100,5,FALSE()))," ")</f>
        <v xml:space="preserve"> </v>
      </c>
      <c r="K101" s="36"/>
      <c r="L101" s="34" t="str">
        <f t="shared" si="8"/>
        <v/>
      </c>
      <c r="M101" s="35" t="str">
        <f t="shared" si="9"/>
        <v/>
      </c>
      <c r="N101" s="39"/>
      <c r="O101" s="36"/>
    </row>
    <row r="102" spans="1:15" x14ac:dyDescent="0.25">
      <c r="A102">
        <f>COUNTIF($C$2:C102,C102)</f>
        <v>101</v>
      </c>
      <c r="B102" s="1" t="str">
        <f t="shared" si="6"/>
        <v>101</v>
      </c>
      <c r="C102" s="1" t="str">
        <f>IFERROR(VLOOKUP(D102,'Planilha de Cadastro - Previsão'!$A$2:$O$1000,15,FALSE()),"")</f>
        <v/>
      </c>
      <c r="D102" s="1">
        <v>101</v>
      </c>
      <c r="F102" s="32" t="str">
        <f t="shared" si="7"/>
        <v/>
      </c>
      <c r="G102" s="33" t="str">
        <f>IFERROR((VLOOKUP(F102,'Planilha de Cadastro - Previsão'!$A$2:$N$1100,2,FALSE()))," ")</f>
        <v xml:space="preserve"> </v>
      </c>
      <c r="H102" s="32" t="str">
        <f>IFERROR((VLOOKUP(F102,'Planilha de Cadastro - Previsão'!$A$2:$N$1100,3,FALSE()))," ")</f>
        <v xml:space="preserve"> </v>
      </c>
      <c r="I102" s="34" t="str">
        <f>IFERROR((VLOOKUP(F102,'Planilha de Cadastro - Previsão'!$A$2:$N$1100,4,FALSE()))," ")</f>
        <v xml:space="preserve"> </v>
      </c>
      <c r="J102" s="34" t="str">
        <f>IFERROR((VLOOKUP(F102,'Planilha de Cadastro - Previsão'!$A$2:$N$1100,5,FALSE()))," ")</f>
        <v xml:space="preserve"> </v>
      </c>
      <c r="K102" s="36"/>
      <c r="L102" s="34" t="str">
        <f t="shared" si="8"/>
        <v/>
      </c>
      <c r="M102" s="35" t="str">
        <f t="shared" si="9"/>
        <v/>
      </c>
      <c r="N102" s="39"/>
      <c r="O102" s="36"/>
    </row>
    <row r="103" spans="1:15" x14ac:dyDescent="0.25">
      <c r="A103">
        <f>COUNTIF($C$2:C103,C103)</f>
        <v>102</v>
      </c>
      <c r="B103" s="1" t="str">
        <f t="shared" si="6"/>
        <v>102</v>
      </c>
      <c r="C103" s="1" t="str">
        <f>IFERROR(VLOOKUP(D103,'Planilha de Cadastro - Previsão'!$A$2:$O$1000,15,FALSE()),"")</f>
        <v/>
      </c>
      <c r="D103" s="1">
        <v>102</v>
      </c>
      <c r="F103" s="32" t="str">
        <f t="shared" si="7"/>
        <v/>
      </c>
      <c r="G103" s="33" t="str">
        <f>IFERROR((VLOOKUP(F103,'Planilha de Cadastro - Previsão'!$A$2:$N$1100,2,FALSE()))," ")</f>
        <v xml:space="preserve"> </v>
      </c>
      <c r="H103" s="32" t="str">
        <f>IFERROR((VLOOKUP(F103,'Planilha de Cadastro - Previsão'!$A$2:$N$1100,3,FALSE()))," ")</f>
        <v xml:space="preserve"> </v>
      </c>
      <c r="I103" s="34" t="str">
        <f>IFERROR((VLOOKUP(F103,'Planilha de Cadastro - Previsão'!$A$2:$N$1100,4,FALSE()))," ")</f>
        <v xml:space="preserve"> </v>
      </c>
      <c r="J103" s="34" t="str">
        <f>IFERROR((VLOOKUP(F103,'Planilha de Cadastro - Previsão'!$A$2:$N$1100,5,FALSE()))," ")</f>
        <v xml:space="preserve"> </v>
      </c>
      <c r="K103" s="36"/>
      <c r="L103" s="34" t="str">
        <f t="shared" si="8"/>
        <v/>
      </c>
      <c r="M103" s="35" t="str">
        <f t="shared" si="9"/>
        <v/>
      </c>
      <c r="N103" s="39"/>
      <c r="O103" s="36"/>
    </row>
    <row r="104" spans="1:15" x14ac:dyDescent="0.25">
      <c r="A104">
        <f>COUNTIF($C$2:C104,C104)</f>
        <v>103</v>
      </c>
      <c r="B104" s="1" t="str">
        <f t="shared" si="6"/>
        <v>103</v>
      </c>
      <c r="C104" s="1" t="str">
        <f>IFERROR(VLOOKUP(D104,'Planilha de Cadastro - Previsão'!$A$2:$O$1000,15,FALSE()),"")</f>
        <v/>
      </c>
      <c r="D104" s="1">
        <v>103</v>
      </c>
      <c r="F104" s="32" t="str">
        <f t="shared" si="7"/>
        <v/>
      </c>
      <c r="G104" s="33" t="str">
        <f>IFERROR((VLOOKUP(F104,'Planilha de Cadastro - Previsão'!$A$2:$N$1100,2,FALSE()))," ")</f>
        <v xml:space="preserve"> </v>
      </c>
      <c r="H104" s="32" t="str">
        <f>IFERROR((VLOOKUP(F104,'Planilha de Cadastro - Previsão'!$A$2:$N$1100,3,FALSE()))," ")</f>
        <v xml:space="preserve"> </v>
      </c>
      <c r="I104" s="34" t="str">
        <f>IFERROR((VLOOKUP(F104,'Planilha de Cadastro - Previsão'!$A$2:$N$1100,4,FALSE()))," ")</f>
        <v xml:space="preserve"> </v>
      </c>
      <c r="J104" s="34" t="str">
        <f>IFERROR((VLOOKUP(F104,'Planilha de Cadastro - Previsão'!$A$2:$N$1100,5,FALSE()))," ")</f>
        <v xml:space="preserve"> </v>
      </c>
      <c r="K104" s="36"/>
      <c r="L104" s="34" t="str">
        <f t="shared" si="8"/>
        <v/>
      </c>
      <c r="M104" s="35" t="str">
        <f t="shared" si="9"/>
        <v/>
      </c>
      <c r="N104" s="39"/>
      <c r="O104" s="36"/>
    </row>
    <row r="105" spans="1:15" x14ac:dyDescent="0.25">
      <c r="A105">
        <f>COUNTIF($C$2:C105,C105)</f>
        <v>104</v>
      </c>
      <c r="B105" s="1" t="str">
        <f t="shared" si="6"/>
        <v>104</v>
      </c>
      <c r="C105" s="1" t="str">
        <f>IFERROR(VLOOKUP(D105,'Planilha de Cadastro - Previsão'!$A$2:$O$1000,15,FALSE()),"")</f>
        <v/>
      </c>
      <c r="D105" s="1">
        <v>104</v>
      </c>
      <c r="F105" s="32" t="str">
        <f t="shared" si="7"/>
        <v/>
      </c>
      <c r="G105" s="33" t="str">
        <f>IFERROR((VLOOKUP(F105,'Planilha de Cadastro - Previsão'!$A$2:$N$1100,2,FALSE()))," ")</f>
        <v xml:space="preserve"> </v>
      </c>
      <c r="H105" s="32" t="str">
        <f>IFERROR((VLOOKUP(F105,'Planilha de Cadastro - Previsão'!$A$2:$N$1100,3,FALSE()))," ")</f>
        <v xml:space="preserve"> </v>
      </c>
      <c r="I105" s="34" t="str">
        <f>IFERROR((VLOOKUP(F105,'Planilha de Cadastro - Previsão'!$A$2:$N$1100,4,FALSE()))," ")</f>
        <v xml:space="preserve"> </v>
      </c>
      <c r="J105" s="34" t="str">
        <f>IFERROR((VLOOKUP(F105,'Planilha de Cadastro - Previsão'!$A$2:$N$1100,5,FALSE()))," ")</f>
        <v xml:space="preserve"> </v>
      </c>
      <c r="K105" s="36"/>
      <c r="L105" s="34" t="str">
        <f t="shared" si="8"/>
        <v/>
      </c>
      <c r="M105" s="35" t="str">
        <f t="shared" si="9"/>
        <v/>
      </c>
      <c r="N105" s="39"/>
      <c r="O105" s="36"/>
    </row>
    <row r="106" spans="1:15" x14ac:dyDescent="0.25">
      <c r="A106">
        <f>COUNTIF($C$2:C106,C106)</f>
        <v>105</v>
      </c>
      <c r="B106" s="1" t="str">
        <f t="shared" si="6"/>
        <v>105</v>
      </c>
      <c r="C106" s="1" t="str">
        <f>IFERROR(VLOOKUP(D106,'Planilha de Cadastro - Previsão'!$A$2:$O$1000,15,FALSE()),"")</f>
        <v/>
      </c>
      <c r="D106" s="1">
        <v>105</v>
      </c>
      <c r="F106" s="32" t="str">
        <f t="shared" si="7"/>
        <v/>
      </c>
      <c r="G106" s="33" t="str">
        <f>IFERROR((VLOOKUP(F106,'Planilha de Cadastro - Previsão'!$A$2:$N$1100,2,FALSE()))," ")</f>
        <v xml:space="preserve"> </v>
      </c>
      <c r="H106" s="32" t="str">
        <f>IFERROR((VLOOKUP(F106,'Planilha de Cadastro - Previsão'!$A$2:$N$1100,3,FALSE()))," ")</f>
        <v xml:space="preserve"> </v>
      </c>
      <c r="I106" s="34" t="str">
        <f>IFERROR((VLOOKUP(F106,'Planilha de Cadastro - Previsão'!$A$2:$N$1100,4,FALSE()))," ")</f>
        <v xml:space="preserve"> </v>
      </c>
      <c r="J106" s="34" t="str">
        <f>IFERROR((VLOOKUP(F106,'Planilha de Cadastro - Previsão'!$A$2:$N$1100,5,FALSE()))," ")</f>
        <v xml:space="preserve"> </v>
      </c>
      <c r="K106" s="36"/>
      <c r="L106" s="34" t="str">
        <f t="shared" si="8"/>
        <v/>
      </c>
      <c r="M106" s="35" t="str">
        <f t="shared" si="9"/>
        <v/>
      </c>
      <c r="N106" s="39"/>
      <c r="O106" s="36"/>
    </row>
    <row r="107" spans="1:15" x14ac:dyDescent="0.25">
      <c r="A107">
        <f>COUNTIF($C$2:C107,C107)</f>
        <v>106</v>
      </c>
      <c r="B107" s="1" t="str">
        <f t="shared" si="6"/>
        <v>106</v>
      </c>
      <c r="C107" s="1" t="str">
        <f>IFERROR(VLOOKUP(D107,'Planilha de Cadastro - Previsão'!$A$2:$O$1000,15,FALSE()),"")</f>
        <v/>
      </c>
      <c r="D107" s="1">
        <v>106</v>
      </c>
      <c r="F107" s="32" t="str">
        <f t="shared" si="7"/>
        <v/>
      </c>
      <c r="G107" s="33" t="str">
        <f>IFERROR((VLOOKUP(F107,'Planilha de Cadastro - Previsão'!$A$2:$N$1100,2,FALSE()))," ")</f>
        <v xml:space="preserve"> </v>
      </c>
      <c r="H107" s="32" t="str">
        <f>IFERROR((VLOOKUP(F107,'Planilha de Cadastro - Previsão'!$A$2:$N$1100,3,FALSE()))," ")</f>
        <v xml:space="preserve"> </v>
      </c>
      <c r="I107" s="34" t="str">
        <f>IFERROR((VLOOKUP(F107,'Planilha de Cadastro - Previsão'!$A$2:$N$1100,4,FALSE()))," ")</f>
        <v xml:space="preserve"> </v>
      </c>
      <c r="J107" s="34" t="str">
        <f>IFERROR((VLOOKUP(F107,'Planilha de Cadastro - Previsão'!$A$2:$N$1100,5,FALSE()))," ")</f>
        <v xml:space="preserve"> </v>
      </c>
      <c r="K107" s="36"/>
      <c r="L107" s="34" t="str">
        <f t="shared" si="8"/>
        <v/>
      </c>
      <c r="M107" s="35" t="str">
        <f t="shared" si="9"/>
        <v/>
      </c>
      <c r="N107" s="39"/>
      <c r="O107" s="36"/>
    </row>
    <row r="108" spans="1:15" x14ac:dyDescent="0.25">
      <c r="A108">
        <f>COUNTIF($C$2:C108,C108)</f>
        <v>107</v>
      </c>
      <c r="B108" s="1" t="str">
        <f t="shared" si="6"/>
        <v>107</v>
      </c>
      <c r="C108" s="1" t="str">
        <f>IFERROR(VLOOKUP(D108,'Planilha de Cadastro - Previsão'!$A$2:$O$1000,15,FALSE()),"")</f>
        <v/>
      </c>
      <c r="D108" s="1">
        <v>107</v>
      </c>
      <c r="F108" s="32" t="str">
        <f t="shared" si="7"/>
        <v/>
      </c>
      <c r="G108" s="33" t="str">
        <f>IFERROR((VLOOKUP(F108,'Planilha de Cadastro - Previsão'!$A$2:$N$1100,2,FALSE()))," ")</f>
        <v xml:space="preserve"> </v>
      </c>
      <c r="H108" s="32" t="str">
        <f>IFERROR((VLOOKUP(F108,'Planilha de Cadastro - Previsão'!$A$2:$N$1100,3,FALSE()))," ")</f>
        <v xml:space="preserve"> </v>
      </c>
      <c r="I108" s="34" t="str">
        <f>IFERROR((VLOOKUP(F108,'Planilha de Cadastro - Previsão'!$A$2:$N$1100,4,FALSE()))," ")</f>
        <v xml:space="preserve"> </v>
      </c>
      <c r="J108" s="34" t="str">
        <f>IFERROR((VLOOKUP(F108,'Planilha de Cadastro - Previsão'!$A$2:$N$1100,5,FALSE()))," ")</f>
        <v xml:space="preserve"> </v>
      </c>
      <c r="K108" s="36"/>
      <c r="L108" s="34" t="str">
        <f t="shared" si="8"/>
        <v/>
      </c>
      <c r="M108" s="35" t="str">
        <f t="shared" si="9"/>
        <v/>
      </c>
      <c r="N108" s="39"/>
      <c r="O108" s="36"/>
    </row>
    <row r="109" spans="1:15" x14ac:dyDescent="0.25">
      <c r="A109">
        <f>COUNTIF($C$2:C109,C109)</f>
        <v>108</v>
      </c>
      <c r="B109" s="1" t="str">
        <f t="shared" si="6"/>
        <v>108</v>
      </c>
      <c r="C109" s="1" t="str">
        <f>IFERROR(VLOOKUP(D109,'Planilha de Cadastro - Previsão'!$A$2:$O$1000,15,FALSE()),"")</f>
        <v/>
      </c>
      <c r="D109" s="1">
        <v>108</v>
      </c>
      <c r="F109" s="32" t="str">
        <f t="shared" si="7"/>
        <v/>
      </c>
      <c r="G109" s="33" t="str">
        <f>IFERROR((VLOOKUP(F109,'Planilha de Cadastro - Previsão'!$A$2:$N$1100,2,FALSE()))," ")</f>
        <v xml:space="preserve"> </v>
      </c>
      <c r="H109" s="32" t="str">
        <f>IFERROR((VLOOKUP(F109,'Planilha de Cadastro - Previsão'!$A$2:$N$1100,3,FALSE()))," ")</f>
        <v xml:space="preserve"> </v>
      </c>
      <c r="I109" s="34" t="str">
        <f>IFERROR((VLOOKUP(F109,'Planilha de Cadastro - Previsão'!$A$2:$N$1100,4,FALSE()))," ")</f>
        <v xml:space="preserve"> </v>
      </c>
      <c r="J109" s="34" t="str">
        <f>IFERROR((VLOOKUP(F109,'Planilha de Cadastro - Previsão'!$A$2:$N$1100,5,FALSE()))," ")</f>
        <v xml:space="preserve"> </v>
      </c>
      <c r="K109" s="36"/>
      <c r="L109" s="34" t="str">
        <f t="shared" si="8"/>
        <v/>
      </c>
      <c r="M109" s="35" t="str">
        <f t="shared" si="9"/>
        <v/>
      </c>
      <c r="N109" s="39"/>
      <c r="O109" s="36"/>
    </row>
    <row r="110" spans="1:15" x14ac:dyDescent="0.25">
      <c r="A110">
        <f>COUNTIF($C$2:C110,C110)</f>
        <v>109</v>
      </c>
      <c r="B110" s="1" t="str">
        <f t="shared" si="6"/>
        <v>109</v>
      </c>
      <c r="C110" s="1" t="str">
        <f>IFERROR(VLOOKUP(D110,'Planilha de Cadastro - Previsão'!$A$2:$O$1000,15,FALSE()),"")</f>
        <v/>
      </c>
      <c r="D110" s="1">
        <v>109</v>
      </c>
      <c r="F110" s="32" t="str">
        <f t="shared" si="7"/>
        <v/>
      </c>
      <c r="G110" s="33" t="str">
        <f>IFERROR((VLOOKUP(F110,'Planilha de Cadastro - Previsão'!$A$2:$N$1100,2,FALSE()))," ")</f>
        <v xml:space="preserve"> </v>
      </c>
      <c r="H110" s="32" t="str">
        <f>IFERROR((VLOOKUP(F110,'Planilha de Cadastro - Previsão'!$A$2:$N$1100,3,FALSE()))," ")</f>
        <v xml:space="preserve"> </v>
      </c>
      <c r="I110" s="34" t="str">
        <f>IFERROR((VLOOKUP(F110,'Planilha de Cadastro - Previsão'!$A$2:$N$1100,4,FALSE()))," ")</f>
        <v xml:space="preserve"> </v>
      </c>
      <c r="J110" s="34" t="str">
        <f>IFERROR((VLOOKUP(F110,'Planilha de Cadastro - Previsão'!$A$2:$N$1100,5,FALSE()))," ")</f>
        <v xml:space="preserve"> </v>
      </c>
      <c r="K110" s="36"/>
      <c r="L110" s="34" t="str">
        <f t="shared" si="8"/>
        <v/>
      </c>
      <c r="M110" s="35" t="str">
        <f t="shared" si="9"/>
        <v/>
      </c>
      <c r="N110" s="39"/>
      <c r="O110" s="36"/>
    </row>
    <row r="111" spans="1:15" x14ac:dyDescent="0.25">
      <c r="A111">
        <f>COUNTIF($C$2:C111,C111)</f>
        <v>110</v>
      </c>
      <c r="B111" s="1" t="str">
        <f t="shared" si="6"/>
        <v>110</v>
      </c>
      <c r="C111" s="1" t="str">
        <f>IFERROR(VLOOKUP(D111,'Planilha de Cadastro - Previsão'!$A$2:$O$1000,15,FALSE()),"")</f>
        <v/>
      </c>
      <c r="D111" s="1">
        <v>110</v>
      </c>
      <c r="F111" s="32" t="str">
        <f t="shared" si="7"/>
        <v/>
      </c>
      <c r="G111" s="33" t="str">
        <f>IFERROR((VLOOKUP(F111,'Planilha de Cadastro - Previsão'!$A$2:$N$1100,2,FALSE()))," ")</f>
        <v xml:space="preserve"> </v>
      </c>
      <c r="H111" s="32" t="str">
        <f>IFERROR((VLOOKUP(F111,'Planilha de Cadastro - Previsão'!$A$2:$N$1100,3,FALSE()))," ")</f>
        <v xml:space="preserve"> </v>
      </c>
      <c r="I111" s="34" t="str">
        <f>IFERROR((VLOOKUP(F111,'Planilha de Cadastro - Previsão'!$A$2:$N$1100,4,FALSE()))," ")</f>
        <v xml:space="preserve"> </v>
      </c>
      <c r="J111" s="34" t="str">
        <f>IFERROR((VLOOKUP(F111,'Planilha de Cadastro - Previsão'!$A$2:$N$1100,5,FALSE()))," ")</f>
        <v xml:space="preserve"> </v>
      </c>
      <c r="K111" s="36"/>
      <c r="L111" s="34" t="str">
        <f t="shared" si="8"/>
        <v/>
      </c>
      <c r="M111" s="35" t="str">
        <f t="shared" si="9"/>
        <v/>
      </c>
      <c r="N111" s="39"/>
      <c r="O111" s="36"/>
    </row>
    <row r="112" spans="1:15" x14ac:dyDescent="0.25">
      <c r="A112">
        <f>COUNTIF($C$2:C112,C112)</f>
        <v>111</v>
      </c>
      <c r="B112" s="1" t="str">
        <f t="shared" si="6"/>
        <v>111</v>
      </c>
      <c r="C112" s="1" t="str">
        <f>IFERROR(VLOOKUP(D112,'Planilha de Cadastro - Previsão'!$A$2:$O$1000,15,FALSE()),"")</f>
        <v/>
      </c>
      <c r="D112" s="1">
        <v>111</v>
      </c>
      <c r="F112" s="32" t="str">
        <f t="shared" si="7"/>
        <v/>
      </c>
      <c r="G112" s="33" t="str">
        <f>IFERROR((VLOOKUP(F112,'Planilha de Cadastro - Previsão'!$A$2:$N$1100,2,FALSE()))," ")</f>
        <v xml:space="preserve"> </v>
      </c>
      <c r="H112" s="32" t="str">
        <f>IFERROR((VLOOKUP(F112,'Planilha de Cadastro - Previsão'!$A$2:$N$1100,3,FALSE()))," ")</f>
        <v xml:space="preserve"> </v>
      </c>
      <c r="I112" s="34" t="str">
        <f>IFERROR((VLOOKUP(F112,'Planilha de Cadastro - Previsão'!$A$2:$N$1100,4,FALSE()))," ")</f>
        <v xml:space="preserve"> </v>
      </c>
      <c r="J112" s="34" t="str">
        <f>IFERROR((VLOOKUP(F112,'Planilha de Cadastro - Previsão'!$A$2:$N$1100,5,FALSE()))," ")</f>
        <v xml:space="preserve"> </v>
      </c>
      <c r="K112" s="36"/>
      <c r="L112" s="34" t="str">
        <f t="shared" si="8"/>
        <v/>
      </c>
      <c r="M112" s="35" t="str">
        <f t="shared" si="9"/>
        <v/>
      </c>
      <c r="N112" s="39"/>
      <c r="O112" s="36"/>
    </row>
    <row r="113" spans="1:15" x14ac:dyDescent="0.25">
      <c r="A113">
        <f>COUNTIF($C$2:C113,C113)</f>
        <v>112</v>
      </c>
      <c r="B113" s="1" t="str">
        <f t="shared" si="6"/>
        <v>112</v>
      </c>
      <c r="C113" s="1" t="str">
        <f>IFERROR(VLOOKUP(D113,'Planilha de Cadastro - Previsão'!$A$2:$O$1000,15,FALSE()),"")</f>
        <v/>
      </c>
      <c r="D113" s="1">
        <v>112</v>
      </c>
      <c r="F113" s="32" t="str">
        <f t="shared" si="7"/>
        <v/>
      </c>
      <c r="G113" s="33" t="str">
        <f>IFERROR((VLOOKUP(F113,'Planilha de Cadastro - Previsão'!$A$2:$N$1100,2,FALSE()))," ")</f>
        <v xml:space="preserve"> </v>
      </c>
      <c r="H113" s="32" t="str">
        <f>IFERROR((VLOOKUP(F113,'Planilha de Cadastro - Previsão'!$A$2:$N$1100,3,FALSE()))," ")</f>
        <v xml:space="preserve"> </v>
      </c>
      <c r="I113" s="34" t="str">
        <f>IFERROR((VLOOKUP(F113,'Planilha de Cadastro - Previsão'!$A$2:$N$1100,4,FALSE()))," ")</f>
        <v xml:space="preserve"> </v>
      </c>
      <c r="J113" s="34" t="str">
        <f>IFERROR((VLOOKUP(F113,'Planilha de Cadastro - Previsão'!$A$2:$N$1100,5,FALSE()))," ")</f>
        <v xml:space="preserve"> </v>
      </c>
      <c r="K113" s="36"/>
      <c r="L113" s="34" t="str">
        <f t="shared" si="8"/>
        <v/>
      </c>
      <c r="M113" s="35" t="str">
        <f t="shared" si="9"/>
        <v/>
      </c>
      <c r="N113" s="39"/>
      <c r="O113" s="36"/>
    </row>
    <row r="114" spans="1:15" x14ac:dyDescent="0.25">
      <c r="A114">
        <f>COUNTIF($C$2:C114,C114)</f>
        <v>113</v>
      </c>
      <c r="B114" s="1" t="str">
        <f t="shared" si="6"/>
        <v>113</v>
      </c>
      <c r="C114" s="1" t="str">
        <f>IFERROR(VLOOKUP(D114,'Planilha de Cadastro - Previsão'!$A$2:$O$1000,15,FALSE()),"")</f>
        <v/>
      </c>
      <c r="D114" s="1">
        <v>113</v>
      </c>
      <c r="F114" s="32" t="str">
        <f t="shared" si="7"/>
        <v/>
      </c>
      <c r="G114" s="33" t="str">
        <f>IFERROR((VLOOKUP(F114,'Planilha de Cadastro - Previsão'!$A$2:$N$1100,2,FALSE()))," ")</f>
        <v xml:space="preserve"> </v>
      </c>
      <c r="H114" s="32" t="str">
        <f>IFERROR((VLOOKUP(F114,'Planilha de Cadastro - Previsão'!$A$2:$N$1100,3,FALSE()))," ")</f>
        <v xml:space="preserve"> </v>
      </c>
      <c r="I114" s="34" t="str">
        <f>IFERROR((VLOOKUP(F114,'Planilha de Cadastro - Previsão'!$A$2:$N$1100,4,FALSE()))," ")</f>
        <v xml:space="preserve"> </v>
      </c>
      <c r="J114" s="34" t="str">
        <f>IFERROR((VLOOKUP(F114,'Planilha de Cadastro - Previsão'!$A$2:$N$1100,5,FALSE()))," ")</f>
        <v xml:space="preserve"> </v>
      </c>
      <c r="K114" s="36"/>
      <c r="L114" s="34" t="str">
        <f t="shared" si="8"/>
        <v/>
      </c>
      <c r="M114" s="35" t="str">
        <f t="shared" si="9"/>
        <v/>
      </c>
      <c r="N114" s="39"/>
      <c r="O114" s="36"/>
    </row>
    <row r="115" spans="1:15" x14ac:dyDescent="0.25">
      <c r="A115">
        <f>COUNTIF($C$2:C115,C115)</f>
        <v>114</v>
      </c>
      <c r="B115" s="1" t="str">
        <f t="shared" si="6"/>
        <v>114</v>
      </c>
      <c r="C115" s="1" t="str">
        <f>IFERROR(VLOOKUP(D115,'Planilha de Cadastro - Previsão'!$A$2:$O$1000,15,FALSE()),"")</f>
        <v/>
      </c>
      <c r="D115" s="1">
        <v>114</v>
      </c>
      <c r="F115" s="32" t="str">
        <f t="shared" si="7"/>
        <v/>
      </c>
      <c r="G115" s="33" t="str">
        <f>IFERROR((VLOOKUP(F115,'Planilha de Cadastro - Previsão'!$A$2:$N$1100,2,FALSE()))," ")</f>
        <v xml:space="preserve"> </v>
      </c>
      <c r="H115" s="32" t="str">
        <f>IFERROR((VLOOKUP(F115,'Planilha de Cadastro - Previsão'!$A$2:$N$1100,3,FALSE()))," ")</f>
        <v xml:space="preserve"> </v>
      </c>
      <c r="I115" s="34" t="str">
        <f>IFERROR((VLOOKUP(F115,'Planilha de Cadastro - Previsão'!$A$2:$N$1100,4,FALSE()))," ")</f>
        <v xml:space="preserve"> </v>
      </c>
      <c r="J115" s="34" t="str">
        <f>IFERROR((VLOOKUP(F115,'Planilha de Cadastro - Previsão'!$A$2:$N$1100,5,FALSE()))," ")</f>
        <v xml:space="preserve"> </v>
      </c>
      <c r="K115" s="36"/>
      <c r="L115" s="34" t="str">
        <f t="shared" si="8"/>
        <v/>
      </c>
      <c r="M115" s="35" t="str">
        <f t="shared" si="9"/>
        <v/>
      </c>
      <c r="N115" s="39"/>
      <c r="O115" s="36"/>
    </row>
    <row r="116" spans="1:15" x14ac:dyDescent="0.25">
      <c r="A116">
        <f>COUNTIF($C$2:C116,C116)</f>
        <v>115</v>
      </c>
      <c r="B116" s="1" t="str">
        <f t="shared" si="6"/>
        <v>115</v>
      </c>
      <c r="C116" s="1" t="str">
        <f>IFERROR(VLOOKUP(D116,'Planilha de Cadastro - Previsão'!$A$2:$O$1000,15,FALSE()),"")</f>
        <v/>
      </c>
      <c r="D116" s="1">
        <v>115</v>
      </c>
      <c r="F116" s="32" t="str">
        <f t="shared" si="7"/>
        <v/>
      </c>
      <c r="G116" s="33" t="str">
        <f>IFERROR((VLOOKUP(F116,'Planilha de Cadastro - Previsão'!$A$2:$N$1100,2,FALSE()))," ")</f>
        <v xml:space="preserve"> </v>
      </c>
      <c r="H116" s="32" t="str">
        <f>IFERROR((VLOOKUP(F116,'Planilha de Cadastro - Previsão'!$A$2:$N$1100,3,FALSE()))," ")</f>
        <v xml:space="preserve"> </v>
      </c>
      <c r="I116" s="34" t="str">
        <f>IFERROR((VLOOKUP(F116,'Planilha de Cadastro - Previsão'!$A$2:$N$1100,4,FALSE()))," ")</f>
        <v xml:space="preserve"> </v>
      </c>
      <c r="J116" s="34" t="str">
        <f>IFERROR((VLOOKUP(F116,'Planilha de Cadastro - Previsão'!$A$2:$N$1100,5,FALSE()))," ")</f>
        <v xml:space="preserve"> </v>
      </c>
      <c r="K116" s="36"/>
      <c r="L116" s="34" t="str">
        <f t="shared" si="8"/>
        <v/>
      </c>
      <c r="M116" s="35" t="str">
        <f t="shared" si="9"/>
        <v/>
      </c>
      <c r="N116" s="39"/>
      <c r="O116" s="36"/>
    </row>
    <row r="117" spans="1:15" x14ac:dyDescent="0.25">
      <c r="A117">
        <f>COUNTIF($C$2:C117,C117)</f>
        <v>116</v>
      </c>
      <c r="B117" s="1" t="str">
        <f t="shared" si="6"/>
        <v>116</v>
      </c>
      <c r="C117" s="1" t="str">
        <f>IFERROR(VLOOKUP(D117,'Planilha de Cadastro - Previsão'!$A$2:$O$1000,15,FALSE()),"")</f>
        <v/>
      </c>
      <c r="D117" s="1">
        <v>116</v>
      </c>
      <c r="F117" s="32" t="str">
        <f t="shared" si="7"/>
        <v/>
      </c>
      <c r="G117" s="33" t="str">
        <f>IFERROR((VLOOKUP(F117,'Planilha de Cadastro - Previsão'!$A$2:$N$1100,2,FALSE()))," ")</f>
        <v xml:space="preserve"> </v>
      </c>
      <c r="H117" s="32" t="str">
        <f>IFERROR((VLOOKUP(F117,'Planilha de Cadastro - Previsão'!$A$2:$N$1100,3,FALSE()))," ")</f>
        <v xml:space="preserve"> </v>
      </c>
      <c r="I117" s="34" t="str">
        <f>IFERROR((VLOOKUP(F117,'Planilha de Cadastro - Previsão'!$A$2:$N$1100,4,FALSE()))," ")</f>
        <v xml:space="preserve"> </v>
      </c>
      <c r="J117" s="34" t="str">
        <f>IFERROR((VLOOKUP(F117,'Planilha de Cadastro - Previsão'!$A$2:$N$1100,5,FALSE()))," ")</f>
        <v xml:space="preserve"> </v>
      </c>
      <c r="K117" s="36"/>
      <c r="L117" s="34" t="str">
        <f t="shared" si="8"/>
        <v/>
      </c>
      <c r="M117" s="35" t="str">
        <f t="shared" si="9"/>
        <v/>
      </c>
      <c r="N117" s="39"/>
      <c r="O117" s="36"/>
    </row>
    <row r="118" spans="1:15" x14ac:dyDescent="0.25">
      <c r="A118">
        <f>COUNTIF($C$2:C118,C118)</f>
        <v>117</v>
      </c>
      <c r="B118" s="1" t="str">
        <f t="shared" si="6"/>
        <v>117</v>
      </c>
      <c r="C118" s="1" t="str">
        <f>IFERROR(VLOOKUP(D118,'Planilha de Cadastro - Previsão'!$A$2:$O$1000,15,FALSE()),"")</f>
        <v/>
      </c>
      <c r="D118" s="1">
        <v>117</v>
      </c>
      <c r="F118" s="32" t="str">
        <f t="shared" si="7"/>
        <v/>
      </c>
      <c r="G118" s="33" t="str">
        <f>IFERROR((VLOOKUP(F118,'Planilha de Cadastro - Previsão'!$A$2:$N$1100,2,FALSE()))," ")</f>
        <v xml:space="preserve"> </v>
      </c>
      <c r="H118" s="32" t="str">
        <f>IFERROR((VLOOKUP(F118,'Planilha de Cadastro - Previsão'!$A$2:$N$1100,3,FALSE()))," ")</f>
        <v xml:space="preserve"> </v>
      </c>
      <c r="I118" s="34" t="str">
        <f>IFERROR((VLOOKUP(F118,'Planilha de Cadastro - Previsão'!$A$2:$N$1100,4,FALSE()))," ")</f>
        <v xml:space="preserve"> </v>
      </c>
      <c r="J118" s="34" t="str">
        <f>IFERROR((VLOOKUP(F118,'Planilha de Cadastro - Previsão'!$A$2:$N$1100,5,FALSE()))," ")</f>
        <v xml:space="preserve"> </v>
      </c>
      <c r="K118" s="36"/>
      <c r="L118" s="34" t="str">
        <f t="shared" si="8"/>
        <v/>
      </c>
      <c r="M118" s="35" t="str">
        <f t="shared" si="9"/>
        <v/>
      </c>
      <c r="N118" s="39"/>
      <c r="O118" s="36"/>
    </row>
    <row r="119" spans="1:15" x14ac:dyDescent="0.25">
      <c r="A119">
        <f>COUNTIF($C$2:C119,C119)</f>
        <v>118</v>
      </c>
      <c r="B119" s="1" t="str">
        <f t="shared" si="6"/>
        <v>118</v>
      </c>
      <c r="C119" s="1" t="str">
        <f>IFERROR(VLOOKUP(D119,'Planilha de Cadastro - Previsão'!$A$2:$O$1000,15,FALSE()),"")</f>
        <v/>
      </c>
      <c r="D119" s="1">
        <v>118</v>
      </c>
      <c r="F119" s="32" t="str">
        <f t="shared" si="7"/>
        <v/>
      </c>
      <c r="G119" s="33" t="str">
        <f>IFERROR((VLOOKUP(F119,'Planilha de Cadastro - Previsão'!$A$2:$N$1100,2,FALSE()))," ")</f>
        <v xml:space="preserve"> </v>
      </c>
      <c r="H119" s="32" t="str">
        <f>IFERROR((VLOOKUP(F119,'Planilha de Cadastro - Previsão'!$A$2:$N$1100,3,FALSE()))," ")</f>
        <v xml:space="preserve"> </v>
      </c>
      <c r="I119" s="34" t="str">
        <f>IFERROR((VLOOKUP(F119,'Planilha de Cadastro - Previsão'!$A$2:$N$1100,4,FALSE()))," ")</f>
        <v xml:space="preserve"> </v>
      </c>
      <c r="J119" s="34" t="str">
        <f>IFERROR((VLOOKUP(F119,'Planilha de Cadastro - Previsão'!$A$2:$N$1100,5,FALSE()))," ")</f>
        <v xml:space="preserve"> </v>
      </c>
      <c r="K119" s="36"/>
      <c r="L119" s="34" t="str">
        <f t="shared" si="8"/>
        <v/>
      </c>
      <c r="M119" s="35" t="str">
        <f t="shared" si="9"/>
        <v/>
      </c>
      <c r="N119" s="39"/>
      <c r="O119" s="36"/>
    </row>
    <row r="120" spans="1:15" x14ac:dyDescent="0.25">
      <c r="A120">
        <f>COUNTIF($C$2:C120,C120)</f>
        <v>119</v>
      </c>
      <c r="B120" s="1" t="str">
        <f t="shared" si="6"/>
        <v>119</v>
      </c>
      <c r="C120" s="1" t="str">
        <f>IFERROR(VLOOKUP(D120,'Planilha de Cadastro - Previsão'!$A$2:$O$1000,15,FALSE()),"")</f>
        <v/>
      </c>
      <c r="D120" s="1">
        <v>119</v>
      </c>
      <c r="F120" s="32" t="str">
        <f t="shared" si="7"/>
        <v/>
      </c>
      <c r="G120" s="33" t="str">
        <f>IFERROR((VLOOKUP(F120,'Planilha de Cadastro - Previsão'!$A$2:$N$1100,2,FALSE()))," ")</f>
        <v xml:space="preserve"> </v>
      </c>
      <c r="H120" s="32" t="str">
        <f>IFERROR((VLOOKUP(F120,'Planilha de Cadastro - Previsão'!$A$2:$N$1100,3,FALSE()))," ")</f>
        <v xml:space="preserve"> </v>
      </c>
      <c r="I120" s="34" t="str">
        <f>IFERROR((VLOOKUP(F120,'Planilha de Cadastro - Previsão'!$A$2:$N$1100,4,FALSE()))," ")</f>
        <v xml:space="preserve"> </v>
      </c>
      <c r="J120" s="34" t="str">
        <f>IFERROR((VLOOKUP(F120,'Planilha de Cadastro - Previsão'!$A$2:$N$1100,5,FALSE()))," ")</f>
        <v xml:space="preserve"> </v>
      </c>
      <c r="K120" s="36"/>
      <c r="L120" s="34" t="str">
        <f t="shared" si="8"/>
        <v/>
      </c>
      <c r="M120" s="35" t="str">
        <f t="shared" si="9"/>
        <v/>
      </c>
      <c r="N120" s="39"/>
      <c r="O120" s="36"/>
    </row>
    <row r="121" spans="1:15" x14ac:dyDescent="0.25">
      <c r="A121">
        <f>COUNTIF($C$2:C121,C121)</f>
        <v>120</v>
      </c>
      <c r="B121" s="1" t="str">
        <f t="shared" si="6"/>
        <v>120</v>
      </c>
      <c r="C121" s="1" t="str">
        <f>IFERROR(VLOOKUP(D121,'Planilha de Cadastro - Previsão'!$A$2:$O$1000,15,FALSE()),"")</f>
        <v/>
      </c>
      <c r="D121" s="1">
        <v>120</v>
      </c>
      <c r="F121" s="32" t="str">
        <f t="shared" si="7"/>
        <v/>
      </c>
      <c r="G121" s="33" t="str">
        <f>IFERROR((VLOOKUP(F121,'Planilha de Cadastro - Previsão'!$A$2:$N$1100,2,FALSE()))," ")</f>
        <v xml:space="preserve"> </v>
      </c>
      <c r="H121" s="32" t="str">
        <f>IFERROR((VLOOKUP(F121,'Planilha de Cadastro - Previsão'!$A$2:$N$1100,3,FALSE()))," ")</f>
        <v xml:space="preserve"> </v>
      </c>
      <c r="I121" s="34" t="str">
        <f>IFERROR((VLOOKUP(F121,'Planilha de Cadastro - Previsão'!$A$2:$N$1100,4,FALSE()))," ")</f>
        <v xml:space="preserve"> </v>
      </c>
      <c r="J121" s="34" t="str">
        <f>IFERROR((VLOOKUP(F121,'Planilha de Cadastro - Previsão'!$A$2:$N$1100,5,FALSE()))," ")</f>
        <v xml:space="preserve"> </v>
      </c>
      <c r="K121" s="36"/>
      <c r="L121" s="34" t="str">
        <f t="shared" si="8"/>
        <v/>
      </c>
      <c r="M121" s="35" t="str">
        <f t="shared" si="9"/>
        <v/>
      </c>
      <c r="N121" s="39"/>
      <c r="O121" s="36"/>
    </row>
    <row r="122" spans="1:15" x14ac:dyDescent="0.25">
      <c r="A122">
        <f>COUNTIF($C$2:C122,C122)</f>
        <v>121</v>
      </c>
      <c r="B122" s="1" t="str">
        <f t="shared" si="6"/>
        <v>121</v>
      </c>
      <c r="C122" s="1" t="str">
        <f>IFERROR(VLOOKUP(D122,'Planilha de Cadastro - Previsão'!$A$2:$O$1000,15,FALSE()),"")</f>
        <v/>
      </c>
      <c r="D122" s="1">
        <v>121</v>
      </c>
      <c r="F122" s="32" t="str">
        <f t="shared" si="7"/>
        <v/>
      </c>
      <c r="G122" s="33" t="str">
        <f>IFERROR((VLOOKUP(F122,'Planilha de Cadastro - Previsão'!$A$2:$N$1100,2,FALSE()))," ")</f>
        <v xml:space="preserve"> </v>
      </c>
      <c r="H122" s="32" t="str">
        <f>IFERROR((VLOOKUP(F122,'Planilha de Cadastro - Previsão'!$A$2:$N$1100,3,FALSE()))," ")</f>
        <v xml:space="preserve"> </v>
      </c>
      <c r="I122" s="34" t="str">
        <f>IFERROR((VLOOKUP(F122,'Planilha de Cadastro - Previsão'!$A$2:$N$1100,4,FALSE()))," ")</f>
        <v xml:space="preserve"> </v>
      </c>
      <c r="J122" s="34" t="str">
        <f>IFERROR((VLOOKUP(F122,'Planilha de Cadastro - Previsão'!$A$2:$N$1100,5,FALSE()))," ")</f>
        <v xml:space="preserve"> </v>
      </c>
      <c r="K122" s="36"/>
      <c r="L122" s="34" t="str">
        <f t="shared" si="8"/>
        <v/>
      </c>
      <c r="M122" s="35" t="str">
        <f t="shared" si="9"/>
        <v/>
      </c>
      <c r="N122" s="39"/>
      <c r="O122" s="36"/>
    </row>
    <row r="123" spans="1:15" x14ac:dyDescent="0.25">
      <c r="A123">
        <f>COUNTIF($C$2:C123,C123)</f>
        <v>122</v>
      </c>
      <c r="B123" s="1" t="str">
        <f t="shared" si="6"/>
        <v>122</v>
      </c>
      <c r="C123" s="1" t="str">
        <f>IFERROR(VLOOKUP(D123,'Planilha de Cadastro - Previsão'!$A$2:$O$1000,15,FALSE()),"")</f>
        <v/>
      </c>
      <c r="D123" s="1">
        <v>122</v>
      </c>
      <c r="F123" s="32" t="str">
        <f t="shared" si="7"/>
        <v/>
      </c>
      <c r="G123" s="33" t="str">
        <f>IFERROR((VLOOKUP(F123,'Planilha de Cadastro - Previsão'!$A$2:$N$1100,2,FALSE()))," ")</f>
        <v xml:space="preserve"> </v>
      </c>
      <c r="H123" s="32" t="str">
        <f>IFERROR((VLOOKUP(F123,'Planilha de Cadastro - Previsão'!$A$2:$N$1100,3,FALSE()))," ")</f>
        <v xml:space="preserve"> </v>
      </c>
      <c r="I123" s="34" t="str">
        <f>IFERROR((VLOOKUP(F123,'Planilha de Cadastro - Previsão'!$A$2:$N$1100,4,FALSE()))," ")</f>
        <v xml:space="preserve"> </v>
      </c>
      <c r="J123" s="34" t="str">
        <f>IFERROR((VLOOKUP(F123,'Planilha de Cadastro - Previsão'!$A$2:$N$1100,5,FALSE()))," ")</f>
        <v xml:space="preserve"> </v>
      </c>
      <c r="K123" s="36"/>
      <c r="L123" s="34" t="str">
        <f t="shared" si="8"/>
        <v/>
      </c>
      <c r="M123" s="35" t="str">
        <f t="shared" si="9"/>
        <v/>
      </c>
      <c r="N123" s="39"/>
      <c r="O123" s="36"/>
    </row>
    <row r="124" spans="1:15" x14ac:dyDescent="0.25">
      <c r="A124">
        <f>COUNTIF($C$2:C124,C124)</f>
        <v>123</v>
      </c>
      <c r="B124" s="1" t="str">
        <f t="shared" si="6"/>
        <v>123</v>
      </c>
      <c r="C124" s="1" t="str">
        <f>IFERROR(VLOOKUP(D124,'Planilha de Cadastro - Previsão'!$A$2:$O$1000,15,FALSE()),"")</f>
        <v/>
      </c>
      <c r="D124" s="1">
        <v>123</v>
      </c>
      <c r="F124" s="32" t="str">
        <f t="shared" si="7"/>
        <v/>
      </c>
      <c r="G124" s="33" t="str">
        <f>IFERROR((VLOOKUP(F124,'Planilha de Cadastro - Previsão'!$A$2:$N$1100,2,FALSE()))," ")</f>
        <v xml:space="preserve"> </v>
      </c>
      <c r="H124" s="32" t="str">
        <f>IFERROR((VLOOKUP(F124,'Planilha de Cadastro - Previsão'!$A$2:$N$1100,3,FALSE()))," ")</f>
        <v xml:space="preserve"> </v>
      </c>
      <c r="I124" s="34" t="str">
        <f>IFERROR((VLOOKUP(F124,'Planilha de Cadastro - Previsão'!$A$2:$N$1100,4,FALSE()))," ")</f>
        <v xml:space="preserve"> </v>
      </c>
      <c r="J124" s="34" t="str">
        <f>IFERROR((VLOOKUP(F124,'Planilha de Cadastro - Previsão'!$A$2:$N$1100,5,FALSE()))," ")</f>
        <v xml:space="preserve"> </v>
      </c>
      <c r="K124" s="36"/>
      <c r="L124" s="34" t="str">
        <f t="shared" si="8"/>
        <v/>
      </c>
      <c r="M124" s="35" t="str">
        <f t="shared" si="9"/>
        <v/>
      </c>
      <c r="N124" s="39"/>
      <c r="O124" s="36"/>
    </row>
    <row r="125" spans="1:15" x14ac:dyDescent="0.25">
      <c r="A125">
        <f>COUNTIF($C$2:C125,C125)</f>
        <v>124</v>
      </c>
      <c r="B125" s="1" t="str">
        <f t="shared" si="6"/>
        <v>124</v>
      </c>
      <c r="C125" s="1" t="str">
        <f>IFERROR(VLOOKUP(D125,'Planilha de Cadastro - Previsão'!$A$2:$O$1000,15,FALSE()),"")</f>
        <v/>
      </c>
      <c r="D125" s="1">
        <v>124</v>
      </c>
      <c r="F125" s="32" t="str">
        <f t="shared" si="7"/>
        <v/>
      </c>
      <c r="G125" s="33" t="str">
        <f>IFERROR((VLOOKUP(F125,'Planilha de Cadastro - Previsão'!$A$2:$N$1100,2,FALSE()))," ")</f>
        <v xml:space="preserve"> </v>
      </c>
      <c r="H125" s="32" t="str">
        <f>IFERROR((VLOOKUP(F125,'Planilha de Cadastro - Previsão'!$A$2:$N$1100,3,FALSE()))," ")</f>
        <v xml:space="preserve"> </v>
      </c>
      <c r="I125" s="34" t="str">
        <f>IFERROR((VLOOKUP(F125,'Planilha de Cadastro - Previsão'!$A$2:$N$1100,4,FALSE()))," ")</f>
        <v xml:space="preserve"> </v>
      </c>
      <c r="J125" s="34" t="str">
        <f>IFERROR((VLOOKUP(F125,'Planilha de Cadastro - Previsão'!$A$2:$N$1100,5,FALSE()))," ")</f>
        <v xml:space="preserve"> </v>
      </c>
      <c r="K125" s="36"/>
      <c r="L125" s="34" t="str">
        <f t="shared" si="8"/>
        <v/>
      </c>
      <c r="M125" s="35" t="str">
        <f t="shared" si="9"/>
        <v/>
      </c>
      <c r="N125" s="39"/>
      <c r="O125" s="36"/>
    </row>
    <row r="126" spans="1:15" x14ac:dyDescent="0.25">
      <c r="A126">
        <f>COUNTIF($C$2:C126,C126)</f>
        <v>125</v>
      </c>
      <c r="B126" s="1" t="str">
        <f t="shared" si="6"/>
        <v>125</v>
      </c>
      <c r="C126" s="1" t="str">
        <f>IFERROR(VLOOKUP(D126,'Planilha de Cadastro - Previsão'!$A$2:$O$1000,15,FALSE()),"")</f>
        <v/>
      </c>
      <c r="D126" s="1">
        <v>125</v>
      </c>
      <c r="F126" s="32" t="str">
        <f t="shared" si="7"/>
        <v/>
      </c>
      <c r="G126" s="33" t="str">
        <f>IFERROR((VLOOKUP(F126,'Planilha de Cadastro - Previsão'!$A$2:$N$1100,2,FALSE()))," ")</f>
        <v xml:space="preserve"> </v>
      </c>
      <c r="H126" s="32" t="str">
        <f>IFERROR((VLOOKUP(F126,'Planilha de Cadastro - Previsão'!$A$2:$N$1100,3,FALSE()))," ")</f>
        <v xml:space="preserve"> </v>
      </c>
      <c r="I126" s="34" t="str">
        <f>IFERROR((VLOOKUP(F126,'Planilha de Cadastro - Previsão'!$A$2:$N$1100,4,FALSE()))," ")</f>
        <v xml:space="preserve"> </v>
      </c>
      <c r="J126" s="34" t="str">
        <f>IFERROR((VLOOKUP(F126,'Planilha de Cadastro - Previsão'!$A$2:$N$1100,5,FALSE()))," ")</f>
        <v xml:space="preserve"> </v>
      </c>
      <c r="K126" s="36"/>
      <c r="L126" s="34" t="str">
        <f t="shared" si="8"/>
        <v/>
      </c>
      <c r="M126" s="35" t="str">
        <f t="shared" si="9"/>
        <v/>
      </c>
      <c r="N126" s="39"/>
      <c r="O126" s="36"/>
    </row>
    <row r="127" spans="1:15" x14ac:dyDescent="0.25">
      <c r="A127">
        <f>COUNTIF($C$2:C127,C127)</f>
        <v>126</v>
      </c>
      <c r="B127" s="1" t="str">
        <f t="shared" si="6"/>
        <v>126</v>
      </c>
      <c r="C127" s="1" t="str">
        <f>IFERROR(VLOOKUP(D127,'Planilha de Cadastro - Previsão'!$A$2:$O$1000,15,FALSE()),"")</f>
        <v/>
      </c>
      <c r="D127" s="1">
        <v>126</v>
      </c>
      <c r="F127" s="32" t="str">
        <f t="shared" si="7"/>
        <v/>
      </c>
      <c r="G127" s="33" t="str">
        <f>IFERROR((VLOOKUP(F127,'Planilha de Cadastro - Previsão'!$A$2:$N$1100,2,FALSE()))," ")</f>
        <v xml:space="preserve"> </v>
      </c>
      <c r="H127" s="32" t="str">
        <f>IFERROR((VLOOKUP(F127,'Planilha de Cadastro - Previsão'!$A$2:$N$1100,3,FALSE()))," ")</f>
        <v xml:space="preserve"> </v>
      </c>
      <c r="I127" s="34" t="str">
        <f>IFERROR((VLOOKUP(F127,'Planilha de Cadastro - Previsão'!$A$2:$N$1100,4,FALSE()))," ")</f>
        <v xml:space="preserve"> </v>
      </c>
      <c r="J127" s="34" t="str">
        <f>IFERROR((VLOOKUP(F127,'Planilha de Cadastro - Previsão'!$A$2:$N$1100,5,FALSE()))," ")</f>
        <v xml:space="preserve"> </v>
      </c>
      <c r="K127" s="36"/>
      <c r="L127" s="34" t="str">
        <f t="shared" si="8"/>
        <v/>
      </c>
      <c r="M127" s="35" t="str">
        <f t="shared" si="9"/>
        <v/>
      </c>
      <c r="N127" s="39"/>
      <c r="O127" s="36"/>
    </row>
    <row r="128" spans="1:15" x14ac:dyDescent="0.25">
      <c r="A128">
        <f>COUNTIF($C$2:C128,C128)</f>
        <v>127</v>
      </c>
      <c r="B128" s="1" t="str">
        <f t="shared" si="6"/>
        <v>127</v>
      </c>
      <c r="C128" s="1" t="str">
        <f>IFERROR(VLOOKUP(D128,'Planilha de Cadastro - Previsão'!$A$2:$O$1000,15,FALSE()),"")</f>
        <v/>
      </c>
      <c r="D128" s="1">
        <v>127</v>
      </c>
      <c r="F128" s="32" t="str">
        <f t="shared" si="7"/>
        <v/>
      </c>
      <c r="G128" s="33" t="str">
        <f>IFERROR((VLOOKUP(F128,'Planilha de Cadastro - Previsão'!$A$2:$N$1100,2,FALSE()))," ")</f>
        <v xml:space="preserve"> </v>
      </c>
      <c r="H128" s="32" t="str">
        <f>IFERROR((VLOOKUP(F128,'Planilha de Cadastro - Previsão'!$A$2:$N$1100,3,FALSE()))," ")</f>
        <v xml:space="preserve"> </v>
      </c>
      <c r="I128" s="34" t="str">
        <f>IFERROR((VLOOKUP(F128,'Planilha de Cadastro - Previsão'!$A$2:$N$1100,4,FALSE()))," ")</f>
        <v xml:space="preserve"> </v>
      </c>
      <c r="J128" s="34" t="str">
        <f>IFERROR((VLOOKUP(F128,'Planilha de Cadastro - Previsão'!$A$2:$N$1100,5,FALSE()))," ")</f>
        <v xml:space="preserve"> </v>
      </c>
      <c r="K128" s="36"/>
      <c r="L128" s="34" t="str">
        <f t="shared" si="8"/>
        <v/>
      </c>
      <c r="M128" s="35" t="str">
        <f t="shared" si="9"/>
        <v/>
      </c>
      <c r="N128" s="39"/>
      <c r="O128" s="36"/>
    </row>
    <row r="129" spans="1:15" x14ac:dyDescent="0.25">
      <c r="A129">
        <f>COUNTIF($C$2:C129,C129)</f>
        <v>128</v>
      </c>
      <c r="B129" s="1" t="str">
        <f t="shared" si="6"/>
        <v>128</v>
      </c>
      <c r="C129" s="1" t="str">
        <f>IFERROR(VLOOKUP(D129,'Planilha de Cadastro - Previsão'!$A$2:$O$1000,15,FALSE()),"")</f>
        <v/>
      </c>
      <c r="D129" s="1">
        <v>128</v>
      </c>
      <c r="F129" s="32" t="str">
        <f t="shared" si="7"/>
        <v/>
      </c>
      <c r="G129" s="33" t="str">
        <f>IFERROR((VLOOKUP(F129,'Planilha de Cadastro - Previsão'!$A$2:$N$1100,2,FALSE()))," ")</f>
        <v xml:space="preserve"> </v>
      </c>
      <c r="H129" s="32" t="str">
        <f>IFERROR((VLOOKUP(F129,'Planilha de Cadastro - Previsão'!$A$2:$N$1100,3,FALSE()))," ")</f>
        <v xml:space="preserve"> </v>
      </c>
      <c r="I129" s="34" t="str">
        <f>IFERROR((VLOOKUP(F129,'Planilha de Cadastro - Previsão'!$A$2:$N$1100,4,FALSE()))," ")</f>
        <v xml:space="preserve"> </v>
      </c>
      <c r="J129" s="34" t="str">
        <f>IFERROR((VLOOKUP(F129,'Planilha de Cadastro - Previsão'!$A$2:$N$1100,5,FALSE()))," ")</f>
        <v xml:space="preserve"> </v>
      </c>
      <c r="K129" s="36"/>
      <c r="L129" s="34" t="str">
        <f t="shared" si="8"/>
        <v/>
      </c>
      <c r="M129" s="35" t="str">
        <f t="shared" si="9"/>
        <v/>
      </c>
      <c r="N129" s="39"/>
      <c r="O129" s="36"/>
    </row>
    <row r="130" spans="1:15" x14ac:dyDescent="0.25">
      <c r="A130">
        <f>COUNTIF($C$2:C130,C130)</f>
        <v>129</v>
      </c>
      <c r="B130" s="1" t="str">
        <f t="shared" si="6"/>
        <v>129</v>
      </c>
      <c r="C130" s="1" t="str">
        <f>IFERROR(VLOOKUP(D130,'Planilha de Cadastro - Previsão'!$A$2:$O$1000,15,FALSE()),"")</f>
        <v/>
      </c>
      <c r="D130" s="1">
        <v>129</v>
      </c>
      <c r="F130" s="32" t="str">
        <f t="shared" si="7"/>
        <v/>
      </c>
      <c r="G130" s="33" t="str">
        <f>IFERROR((VLOOKUP(F130,'Planilha de Cadastro - Previsão'!$A$2:$N$1100,2,FALSE()))," ")</f>
        <v xml:space="preserve"> </v>
      </c>
      <c r="H130" s="32" t="str">
        <f>IFERROR((VLOOKUP(F130,'Planilha de Cadastro - Previsão'!$A$2:$N$1100,3,FALSE()))," ")</f>
        <v xml:space="preserve"> </v>
      </c>
      <c r="I130" s="34" t="str">
        <f>IFERROR((VLOOKUP(F130,'Planilha de Cadastro - Previsão'!$A$2:$N$1100,4,FALSE()))," ")</f>
        <v xml:space="preserve"> </v>
      </c>
      <c r="J130" s="34" t="str">
        <f>IFERROR((VLOOKUP(F130,'Planilha de Cadastro - Previsão'!$A$2:$N$1100,5,FALSE()))," ")</f>
        <v xml:space="preserve"> </v>
      </c>
      <c r="K130" s="36"/>
      <c r="L130" s="34" t="str">
        <f t="shared" si="8"/>
        <v/>
      </c>
      <c r="M130" s="35" t="str">
        <f t="shared" si="9"/>
        <v/>
      </c>
      <c r="N130" s="39"/>
      <c r="O130" s="36"/>
    </row>
    <row r="131" spans="1:15" x14ac:dyDescent="0.25">
      <c r="A131">
        <f>COUNTIF($C$2:C131,C131)</f>
        <v>130</v>
      </c>
      <c r="B131" s="1" t="str">
        <f t="shared" ref="B131:B194" si="10">IFERROR(CONCATENATE(C131,A131),"")</f>
        <v>130</v>
      </c>
      <c r="C131" s="1" t="str">
        <f>IFERROR(VLOOKUP(D131,'Planilha de Cadastro - Previsão'!$A$2:$O$1000,15,FALSE()),"")</f>
        <v/>
      </c>
      <c r="D131" s="1">
        <v>130</v>
      </c>
      <c r="F131" s="32" t="str">
        <f t="shared" ref="F131:F194" si="11">IFERROR((VLOOKUP(CONCATENATE("Sim",D131),$B$2:$D$1000,3,FALSE())),"")</f>
        <v/>
      </c>
      <c r="G131" s="33" t="str">
        <f>IFERROR((VLOOKUP(F131,'Planilha de Cadastro - Previsão'!$A$2:$N$1100,2,FALSE()))," ")</f>
        <v xml:space="preserve"> </v>
      </c>
      <c r="H131" s="32" t="str">
        <f>IFERROR((VLOOKUP(F131,'Planilha de Cadastro - Previsão'!$A$2:$N$1100,3,FALSE()))," ")</f>
        <v xml:space="preserve"> </v>
      </c>
      <c r="I131" s="34" t="str">
        <f>IFERROR((VLOOKUP(F131,'Planilha de Cadastro - Previsão'!$A$2:$N$1100,4,FALSE()))," ")</f>
        <v xml:space="preserve"> </v>
      </c>
      <c r="J131" s="34" t="str">
        <f>IFERROR((VLOOKUP(F131,'Planilha de Cadastro - Previsão'!$A$2:$N$1100,5,FALSE()))," ")</f>
        <v xml:space="preserve"> </v>
      </c>
      <c r="K131" s="36"/>
      <c r="L131" s="34" t="str">
        <f t="shared" ref="L131:L194" si="12">IF(K131&gt;0,(K131*H131)-(I131*H131)-(K131*H131*4%),"")</f>
        <v/>
      </c>
      <c r="M131" s="35" t="str">
        <f t="shared" ref="M131:M194" si="13">IFERROR(L131/(K131*H131),"")</f>
        <v/>
      </c>
      <c r="N131" s="39"/>
      <c r="O131" s="36"/>
    </row>
    <row r="132" spans="1:15" x14ac:dyDescent="0.25">
      <c r="A132">
        <f>COUNTIF($C$2:C132,C132)</f>
        <v>131</v>
      </c>
      <c r="B132" s="1" t="str">
        <f t="shared" si="10"/>
        <v>131</v>
      </c>
      <c r="C132" s="1" t="str">
        <f>IFERROR(VLOOKUP(D132,'Planilha de Cadastro - Previsão'!$A$2:$O$1000,15,FALSE()),"")</f>
        <v/>
      </c>
      <c r="D132" s="1">
        <v>131</v>
      </c>
      <c r="F132" s="32" t="str">
        <f t="shared" si="11"/>
        <v/>
      </c>
      <c r="G132" s="33" t="str">
        <f>IFERROR((VLOOKUP(F132,'Planilha de Cadastro - Previsão'!$A$2:$N$1100,2,FALSE()))," ")</f>
        <v xml:space="preserve"> </v>
      </c>
      <c r="H132" s="32" t="str">
        <f>IFERROR((VLOOKUP(F132,'Planilha de Cadastro - Previsão'!$A$2:$N$1100,3,FALSE()))," ")</f>
        <v xml:space="preserve"> </v>
      </c>
      <c r="I132" s="34" t="str">
        <f>IFERROR((VLOOKUP(F132,'Planilha de Cadastro - Previsão'!$A$2:$N$1100,4,FALSE()))," ")</f>
        <v xml:space="preserve"> </v>
      </c>
      <c r="J132" s="34" t="str">
        <f>IFERROR((VLOOKUP(F132,'Planilha de Cadastro - Previsão'!$A$2:$N$1100,5,FALSE()))," ")</f>
        <v xml:space="preserve"> </v>
      </c>
      <c r="K132" s="36"/>
      <c r="L132" s="34" t="str">
        <f t="shared" si="12"/>
        <v/>
      </c>
      <c r="M132" s="35" t="str">
        <f t="shared" si="13"/>
        <v/>
      </c>
      <c r="N132" s="39"/>
      <c r="O132" s="36"/>
    </row>
    <row r="133" spans="1:15" x14ac:dyDescent="0.25">
      <c r="A133">
        <f>COUNTIF($C$2:C133,C133)</f>
        <v>132</v>
      </c>
      <c r="B133" s="1" t="str">
        <f t="shared" si="10"/>
        <v>132</v>
      </c>
      <c r="C133" s="1" t="str">
        <f>IFERROR(VLOOKUP(D133,'Planilha de Cadastro - Previsão'!$A$2:$O$1000,15,FALSE()),"")</f>
        <v/>
      </c>
      <c r="D133" s="1">
        <v>132</v>
      </c>
      <c r="F133" s="32" t="str">
        <f t="shared" si="11"/>
        <v/>
      </c>
      <c r="G133" s="33" t="str">
        <f>IFERROR((VLOOKUP(F133,'Planilha de Cadastro - Previsão'!$A$2:$N$1100,2,FALSE()))," ")</f>
        <v xml:space="preserve"> </v>
      </c>
      <c r="H133" s="32" t="str">
        <f>IFERROR((VLOOKUP(F133,'Planilha de Cadastro - Previsão'!$A$2:$N$1100,3,FALSE()))," ")</f>
        <v xml:space="preserve"> </v>
      </c>
      <c r="I133" s="34" t="str">
        <f>IFERROR((VLOOKUP(F133,'Planilha de Cadastro - Previsão'!$A$2:$N$1100,4,FALSE()))," ")</f>
        <v xml:space="preserve"> </v>
      </c>
      <c r="J133" s="34" t="str">
        <f>IFERROR((VLOOKUP(F133,'Planilha de Cadastro - Previsão'!$A$2:$N$1100,5,FALSE()))," ")</f>
        <v xml:space="preserve"> </v>
      </c>
      <c r="K133" s="36"/>
      <c r="L133" s="34" t="str">
        <f t="shared" si="12"/>
        <v/>
      </c>
      <c r="M133" s="35" t="str">
        <f t="shared" si="13"/>
        <v/>
      </c>
      <c r="N133" s="39"/>
      <c r="O133" s="36"/>
    </row>
    <row r="134" spans="1:15" x14ac:dyDescent="0.25">
      <c r="A134">
        <f>COUNTIF($C$2:C134,C134)</f>
        <v>133</v>
      </c>
      <c r="B134" s="1" t="str">
        <f t="shared" si="10"/>
        <v>133</v>
      </c>
      <c r="C134" s="1" t="str">
        <f>IFERROR(VLOOKUP(D134,'Planilha de Cadastro - Previsão'!$A$2:$O$1000,15,FALSE()),"")</f>
        <v/>
      </c>
      <c r="D134" s="1">
        <v>133</v>
      </c>
      <c r="F134" s="32" t="str">
        <f t="shared" si="11"/>
        <v/>
      </c>
      <c r="G134" s="33" t="str">
        <f>IFERROR((VLOOKUP(F134,'Planilha de Cadastro - Previsão'!$A$2:$N$1100,2,FALSE()))," ")</f>
        <v xml:space="preserve"> </v>
      </c>
      <c r="H134" s="32" t="str">
        <f>IFERROR((VLOOKUP(F134,'Planilha de Cadastro - Previsão'!$A$2:$N$1100,3,FALSE()))," ")</f>
        <v xml:space="preserve"> </v>
      </c>
      <c r="I134" s="34" t="str">
        <f>IFERROR((VLOOKUP(F134,'Planilha de Cadastro - Previsão'!$A$2:$N$1100,4,FALSE()))," ")</f>
        <v xml:space="preserve"> </v>
      </c>
      <c r="J134" s="34" t="str">
        <f>IFERROR((VLOOKUP(F134,'Planilha de Cadastro - Previsão'!$A$2:$N$1100,5,FALSE()))," ")</f>
        <v xml:space="preserve"> </v>
      </c>
      <c r="K134" s="36"/>
      <c r="L134" s="34" t="str">
        <f t="shared" si="12"/>
        <v/>
      </c>
      <c r="M134" s="35" t="str">
        <f t="shared" si="13"/>
        <v/>
      </c>
      <c r="N134" s="39"/>
      <c r="O134" s="36"/>
    </row>
    <row r="135" spans="1:15" x14ac:dyDescent="0.25">
      <c r="A135">
        <f>COUNTIF($C$2:C135,C135)</f>
        <v>134</v>
      </c>
      <c r="B135" s="1" t="str">
        <f t="shared" si="10"/>
        <v>134</v>
      </c>
      <c r="C135" s="1" t="str">
        <f>IFERROR(VLOOKUP(D135,'Planilha de Cadastro - Previsão'!$A$2:$O$1000,15,FALSE()),"")</f>
        <v/>
      </c>
      <c r="D135" s="1">
        <v>134</v>
      </c>
      <c r="F135" s="32" t="str">
        <f t="shared" si="11"/>
        <v/>
      </c>
      <c r="G135" s="33" t="str">
        <f>IFERROR((VLOOKUP(F135,'Planilha de Cadastro - Previsão'!$A$2:$N$1100,2,FALSE()))," ")</f>
        <v xml:space="preserve"> </v>
      </c>
      <c r="H135" s="32" t="str">
        <f>IFERROR((VLOOKUP(F135,'Planilha de Cadastro - Previsão'!$A$2:$N$1100,3,FALSE()))," ")</f>
        <v xml:space="preserve"> </v>
      </c>
      <c r="I135" s="34" t="str">
        <f>IFERROR((VLOOKUP(F135,'Planilha de Cadastro - Previsão'!$A$2:$N$1100,4,FALSE()))," ")</f>
        <v xml:space="preserve"> </v>
      </c>
      <c r="J135" s="34" t="str">
        <f>IFERROR((VLOOKUP(F135,'Planilha de Cadastro - Previsão'!$A$2:$N$1100,5,FALSE()))," ")</f>
        <v xml:space="preserve"> </v>
      </c>
      <c r="K135" s="36"/>
      <c r="L135" s="34" t="str">
        <f t="shared" si="12"/>
        <v/>
      </c>
      <c r="M135" s="35" t="str">
        <f t="shared" si="13"/>
        <v/>
      </c>
      <c r="N135" s="39"/>
      <c r="O135" s="36"/>
    </row>
    <row r="136" spans="1:15" x14ac:dyDescent="0.25">
      <c r="A136">
        <f>COUNTIF($C$2:C136,C136)</f>
        <v>135</v>
      </c>
      <c r="B136" s="1" t="str">
        <f t="shared" si="10"/>
        <v>135</v>
      </c>
      <c r="C136" s="1" t="str">
        <f>IFERROR(VLOOKUP(D136,'Planilha de Cadastro - Previsão'!$A$2:$O$1000,15,FALSE()),"")</f>
        <v/>
      </c>
      <c r="D136" s="1">
        <v>135</v>
      </c>
      <c r="F136" s="32" t="str">
        <f t="shared" si="11"/>
        <v/>
      </c>
      <c r="G136" s="33" t="str">
        <f>IFERROR((VLOOKUP(F136,'Planilha de Cadastro - Previsão'!$A$2:$N$1100,2,FALSE()))," ")</f>
        <v xml:space="preserve"> </v>
      </c>
      <c r="H136" s="32" t="str">
        <f>IFERROR((VLOOKUP(F136,'Planilha de Cadastro - Previsão'!$A$2:$N$1100,3,FALSE()))," ")</f>
        <v xml:space="preserve"> </v>
      </c>
      <c r="I136" s="34" t="str">
        <f>IFERROR((VLOOKUP(F136,'Planilha de Cadastro - Previsão'!$A$2:$N$1100,4,FALSE()))," ")</f>
        <v xml:space="preserve"> </v>
      </c>
      <c r="J136" s="34" t="str">
        <f>IFERROR((VLOOKUP(F136,'Planilha de Cadastro - Previsão'!$A$2:$N$1100,5,FALSE()))," ")</f>
        <v xml:space="preserve"> </v>
      </c>
      <c r="K136" s="36"/>
      <c r="L136" s="34" t="str">
        <f t="shared" si="12"/>
        <v/>
      </c>
      <c r="M136" s="35" t="str">
        <f t="shared" si="13"/>
        <v/>
      </c>
      <c r="N136" s="39"/>
      <c r="O136" s="36"/>
    </row>
    <row r="137" spans="1:15" x14ac:dyDescent="0.25">
      <c r="A137">
        <f>COUNTIF($C$2:C137,C137)</f>
        <v>136</v>
      </c>
      <c r="B137" s="1" t="str">
        <f t="shared" si="10"/>
        <v>136</v>
      </c>
      <c r="C137" s="1" t="str">
        <f>IFERROR(VLOOKUP(D137,'Planilha de Cadastro - Previsão'!$A$2:$O$1000,15,FALSE()),"")</f>
        <v/>
      </c>
      <c r="D137" s="1">
        <v>136</v>
      </c>
      <c r="F137" s="32" t="str">
        <f t="shared" si="11"/>
        <v/>
      </c>
      <c r="G137" s="33" t="str">
        <f>IFERROR((VLOOKUP(F137,'Planilha de Cadastro - Previsão'!$A$2:$N$1100,2,FALSE()))," ")</f>
        <v xml:space="preserve"> </v>
      </c>
      <c r="H137" s="32" t="str">
        <f>IFERROR((VLOOKUP(F137,'Planilha de Cadastro - Previsão'!$A$2:$N$1100,3,FALSE()))," ")</f>
        <v xml:space="preserve"> </v>
      </c>
      <c r="I137" s="34" t="str">
        <f>IFERROR((VLOOKUP(F137,'Planilha de Cadastro - Previsão'!$A$2:$N$1100,4,FALSE()))," ")</f>
        <v xml:space="preserve"> </v>
      </c>
      <c r="J137" s="34" t="str">
        <f>IFERROR((VLOOKUP(F137,'Planilha de Cadastro - Previsão'!$A$2:$N$1100,5,FALSE()))," ")</f>
        <v xml:space="preserve"> </v>
      </c>
      <c r="K137" s="36"/>
      <c r="L137" s="34" t="str">
        <f t="shared" si="12"/>
        <v/>
      </c>
      <c r="M137" s="35" t="str">
        <f t="shared" si="13"/>
        <v/>
      </c>
      <c r="N137" s="39"/>
      <c r="O137" s="36"/>
    </row>
    <row r="138" spans="1:15" x14ac:dyDescent="0.25">
      <c r="A138">
        <f>COUNTIF($C$2:C138,C138)</f>
        <v>137</v>
      </c>
      <c r="B138" s="1" t="str">
        <f t="shared" si="10"/>
        <v>137</v>
      </c>
      <c r="C138" s="1" t="str">
        <f>IFERROR(VLOOKUP(D138,'Planilha de Cadastro - Previsão'!$A$2:$O$1000,15,FALSE()),"")</f>
        <v/>
      </c>
      <c r="D138" s="1">
        <v>137</v>
      </c>
      <c r="F138" s="32" t="str">
        <f t="shared" si="11"/>
        <v/>
      </c>
      <c r="G138" s="33" t="str">
        <f>IFERROR((VLOOKUP(F138,'Planilha de Cadastro - Previsão'!$A$2:$N$1100,2,FALSE()))," ")</f>
        <v xml:space="preserve"> </v>
      </c>
      <c r="H138" s="32" t="str">
        <f>IFERROR((VLOOKUP(F138,'Planilha de Cadastro - Previsão'!$A$2:$N$1100,3,FALSE()))," ")</f>
        <v xml:space="preserve"> </v>
      </c>
      <c r="I138" s="34" t="str">
        <f>IFERROR((VLOOKUP(F138,'Planilha de Cadastro - Previsão'!$A$2:$N$1100,4,FALSE()))," ")</f>
        <v xml:space="preserve"> </v>
      </c>
      <c r="J138" s="34" t="str">
        <f>IFERROR((VLOOKUP(F138,'Planilha de Cadastro - Previsão'!$A$2:$N$1100,5,FALSE()))," ")</f>
        <v xml:space="preserve"> </v>
      </c>
      <c r="K138" s="36"/>
      <c r="L138" s="34" t="str">
        <f t="shared" si="12"/>
        <v/>
      </c>
      <c r="M138" s="35" t="str">
        <f t="shared" si="13"/>
        <v/>
      </c>
      <c r="N138" s="39"/>
      <c r="O138" s="36"/>
    </row>
    <row r="139" spans="1:15" x14ac:dyDescent="0.25">
      <c r="A139">
        <f>COUNTIF($C$2:C139,C139)</f>
        <v>138</v>
      </c>
      <c r="B139" s="1" t="str">
        <f t="shared" si="10"/>
        <v>138</v>
      </c>
      <c r="C139" s="1" t="str">
        <f>IFERROR(VLOOKUP(D139,'Planilha de Cadastro - Previsão'!$A$2:$O$1000,15,FALSE()),"")</f>
        <v/>
      </c>
      <c r="D139" s="1">
        <v>138</v>
      </c>
      <c r="F139" s="32" t="str">
        <f t="shared" si="11"/>
        <v/>
      </c>
      <c r="G139" s="33" t="str">
        <f>IFERROR((VLOOKUP(F139,'Planilha de Cadastro - Previsão'!$A$2:$N$1100,2,FALSE()))," ")</f>
        <v xml:space="preserve"> </v>
      </c>
      <c r="H139" s="32" t="str">
        <f>IFERROR((VLOOKUP(F139,'Planilha de Cadastro - Previsão'!$A$2:$N$1100,3,FALSE()))," ")</f>
        <v xml:space="preserve"> </v>
      </c>
      <c r="I139" s="34" t="str">
        <f>IFERROR((VLOOKUP(F139,'Planilha de Cadastro - Previsão'!$A$2:$N$1100,4,FALSE()))," ")</f>
        <v xml:space="preserve"> </v>
      </c>
      <c r="J139" s="34" t="str">
        <f>IFERROR((VLOOKUP(F139,'Planilha de Cadastro - Previsão'!$A$2:$N$1100,5,FALSE()))," ")</f>
        <v xml:space="preserve"> </v>
      </c>
      <c r="K139" s="36"/>
      <c r="L139" s="34" t="str">
        <f t="shared" si="12"/>
        <v/>
      </c>
      <c r="M139" s="35" t="str">
        <f t="shared" si="13"/>
        <v/>
      </c>
      <c r="N139" s="39"/>
      <c r="O139" s="36"/>
    </row>
    <row r="140" spans="1:15" x14ac:dyDescent="0.25">
      <c r="A140">
        <f>COUNTIF($C$2:C140,C140)</f>
        <v>139</v>
      </c>
      <c r="B140" s="1" t="str">
        <f t="shared" si="10"/>
        <v>139</v>
      </c>
      <c r="C140" s="1" t="str">
        <f>IFERROR(VLOOKUP(D140,'Planilha de Cadastro - Previsão'!$A$2:$O$1000,15,FALSE()),"")</f>
        <v/>
      </c>
      <c r="D140" s="1">
        <v>139</v>
      </c>
      <c r="F140" s="32" t="str">
        <f t="shared" si="11"/>
        <v/>
      </c>
      <c r="G140" s="33" t="str">
        <f>IFERROR((VLOOKUP(F140,'Planilha de Cadastro - Previsão'!$A$2:$N$1100,2,FALSE()))," ")</f>
        <v xml:space="preserve"> </v>
      </c>
      <c r="H140" s="32" t="str">
        <f>IFERROR((VLOOKUP(F140,'Planilha de Cadastro - Previsão'!$A$2:$N$1100,3,FALSE()))," ")</f>
        <v xml:space="preserve"> </v>
      </c>
      <c r="I140" s="34" t="str">
        <f>IFERROR((VLOOKUP(F140,'Planilha de Cadastro - Previsão'!$A$2:$N$1100,4,FALSE()))," ")</f>
        <v xml:space="preserve"> </v>
      </c>
      <c r="J140" s="34" t="str">
        <f>IFERROR((VLOOKUP(F140,'Planilha de Cadastro - Previsão'!$A$2:$N$1100,5,FALSE()))," ")</f>
        <v xml:space="preserve"> </v>
      </c>
      <c r="K140" s="36"/>
      <c r="L140" s="34" t="str">
        <f t="shared" si="12"/>
        <v/>
      </c>
      <c r="M140" s="35" t="str">
        <f t="shared" si="13"/>
        <v/>
      </c>
      <c r="N140" s="39"/>
      <c r="O140" s="36"/>
    </row>
    <row r="141" spans="1:15" x14ac:dyDescent="0.25">
      <c r="A141">
        <f>COUNTIF($C$2:C141,C141)</f>
        <v>140</v>
      </c>
      <c r="B141" s="1" t="str">
        <f t="shared" si="10"/>
        <v>140</v>
      </c>
      <c r="C141" s="1" t="str">
        <f>IFERROR(VLOOKUP(D141,'Planilha de Cadastro - Previsão'!$A$2:$O$1000,15,FALSE()),"")</f>
        <v/>
      </c>
      <c r="D141" s="1">
        <v>140</v>
      </c>
      <c r="F141" s="32" t="str">
        <f t="shared" si="11"/>
        <v/>
      </c>
      <c r="G141" s="33" t="str">
        <f>IFERROR((VLOOKUP(F141,'Planilha de Cadastro - Previsão'!$A$2:$N$1100,2,FALSE()))," ")</f>
        <v xml:space="preserve"> </v>
      </c>
      <c r="H141" s="32" t="str">
        <f>IFERROR((VLOOKUP(F141,'Planilha de Cadastro - Previsão'!$A$2:$N$1100,3,FALSE()))," ")</f>
        <v xml:space="preserve"> </v>
      </c>
      <c r="I141" s="34" t="str">
        <f>IFERROR((VLOOKUP(F141,'Planilha de Cadastro - Previsão'!$A$2:$N$1100,4,FALSE()))," ")</f>
        <v xml:space="preserve"> </v>
      </c>
      <c r="J141" s="34" t="str">
        <f>IFERROR((VLOOKUP(F141,'Planilha de Cadastro - Previsão'!$A$2:$N$1100,5,FALSE()))," ")</f>
        <v xml:space="preserve"> </v>
      </c>
      <c r="K141" s="36"/>
      <c r="L141" s="34" t="str">
        <f t="shared" si="12"/>
        <v/>
      </c>
      <c r="M141" s="35" t="str">
        <f t="shared" si="13"/>
        <v/>
      </c>
      <c r="N141" s="39"/>
      <c r="O141" s="36"/>
    </row>
    <row r="142" spans="1:15" x14ac:dyDescent="0.25">
      <c r="A142">
        <f>COUNTIF($C$2:C142,C142)</f>
        <v>141</v>
      </c>
      <c r="B142" s="1" t="str">
        <f t="shared" si="10"/>
        <v>141</v>
      </c>
      <c r="C142" s="1" t="str">
        <f>IFERROR(VLOOKUP(D142,'Planilha de Cadastro - Previsão'!$A$2:$O$1000,15,FALSE()),"")</f>
        <v/>
      </c>
      <c r="D142" s="1">
        <v>141</v>
      </c>
      <c r="F142" s="32" t="str">
        <f t="shared" si="11"/>
        <v/>
      </c>
      <c r="G142" s="33" t="str">
        <f>IFERROR((VLOOKUP(F142,'Planilha de Cadastro - Previsão'!$A$2:$N$1100,2,FALSE()))," ")</f>
        <v xml:space="preserve"> </v>
      </c>
      <c r="H142" s="32" t="str">
        <f>IFERROR((VLOOKUP(F142,'Planilha de Cadastro - Previsão'!$A$2:$N$1100,3,FALSE()))," ")</f>
        <v xml:space="preserve"> </v>
      </c>
      <c r="I142" s="34" t="str">
        <f>IFERROR((VLOOKUP(F142,'Planilha de Cadastro - Previsão'!$A$2:$N$1100,4,FALSE()))," ")</f>
        <v xml:space="preserve"> </v>
      </c>
      <c r="J142" s="34" t="str">
        <f>IFERROR((VLOOKUP(F142,'Planilha de Cadastro - Previsão'!$A$2:$N$1100,5,FALSE()))," ")</f>
        <v xml:space="preserve"> </v>
      </c>
      <c r="K142" s="36"/>
      <c r="L142" s="34" t="str">
        <f t="shared" si="12"/>
        <v/>
      </c>
      <c r="M142" s="35" t="str">
        <f t="shared" si="13"/>
        <v/>
      </c>
      <c r="N142" s="39"/>
      <c r="O142" s="36"/>
    </row>
    <row r="143" spans="1:15" x14ac:dyDescent="0.25">
      <c r="A143">
        <f>COUNTIF($C$2:C143,C143)</f>
        <v>142</v>
      </c>
      <c r="B143" s="1" t="str">
        <f t="shared" si="10"/>
        <v>142</v>
      </c>
      <c r="C143" s="1" t="str">
        <f>IFERROR(VLOOKUP(D143,'Planilha de Cadastro - Previsão'!$A$2:$O$1000,15,FALSE()),"")</f>
        <v/>
      </c>
      <c r="D143" s="1">
        <v>142</v>
      </c>
      <c r="F143" s="32" t="str">
        <f t="shared" si="11"/>
        <v/>
      </c>
      <c r="G143" s="33" t="str">
        <f>IFERROR((VLOOKUP(F143,'Planilha de Cadastro - Previsão'!$A$2:$N$1100,2,FALSE()))," ")</f>
        <v xml:space="preserve"> </v>
      </c>
      <c r="H143" s="32" t="str">
        <f>IFERROR((VLOOKUP(F143,'Planilha de Cadastro - Previsão'!$A$2:$N$1100,3,FALSE()))," ")</f>
        <v xml:space="preserve"> </v>
      </c>
      <c r="I143" s="34" t="str">
        <f>IFERROR((VLOOKUP(F143,'Planilha de Cadastro - Previsão'!$A$2:$N$1100,4,FALSE()))," ")</f>
        <v xml:space="preserve"> </v>
      </c>
      <c r="J143" s="34" t="str">
        <f>IFERROR((VLOOKUP(F143,'Planilha de Cadastro - Previsão'!$A$2:$N$1100,5,FALSE()))," ")</f>
        <v xml:space="preserve"> </v>
      </c>
      <c r="K143" s="36"/>
      <c r="L143" s="34" t="str">
        <f t="shared" si="12"/>
        <v/>
      </c>
      <c r="M143" s="35" t="str">
        <f t="shared" si="13"/>
        <v/>
      </c>
      <c r="N143" s="39"/>
      <c r="O143" s="36"/>
    </row>
    <row r="144" spans="1:15" x14ac:dyDescent="0.25">
      <c r="A144">
        <f>COUNTIF($C$2:C144,C144)</f>
        <v>143</v>
      </c>
      <c r="B144" s="1" t="str">
        <f t="shared" si="10"/>
        <v>143</v>
      </c>
      <c r="C144" s="1" t="str">
        <f>IFERROR(VLOOKUP(D144,'Planilha de Cadastro - Previsão'!$A$2:$O$1000,15,FALSE()),"")</f>
        <v/>
      </c>
      <c r="D144" s="1">
        <v>143</v>
      </c>
      <c r="F144" s="32" t="str">
        <f t="shared" si="11"/>
        <v/>
      </c>
      <c r="G144" s="33" t="str">
        <f>IFERROR((VLOOKUP(F144,'Planilha de Cadastro - Previsão'!$A$2:$N$1100,2,FALSE()))," ")</f>
        <v xml:space="preserve"> </v>
      </c>
      <c r="H144" s="32" t="str">
        <f>IFERROR((VLOOKUP(F144,'Planilha de Cadastro - Previsão'!$A$2:$N$1100,3,FALSE()))," ")</f>
        <v xml:space="preserve"> </v>
      </c>
      <c r="I144" s="34" t="str">
        <f>IFERROR((VLOOKUP(F144,'Planilha de Cadastro - Previsão'!$A$2:$N$1100,4,FALSE()))," ")</f>
        <v xml:space="preserve"> </v>
      </c>
      <c r="J144" s="34" t="str">
        <f>IFERROR((VLOOKUP(F144,'Planilha de Cadastro - Previsão'!$A$2:$N$1100,5,FALSE()))," ")</f>
        <v xml:space="preserve"> </v>
      </c>
      <c r="K144" s="36"/>
      <c r="L144" s="34" t="str">
        <f t="shared" si="12"/>
        <v/>
      </c>
      <c r="M144" s="35" t="str">
        <f t="shared" si="13"/>
        <v/>
      </c>
      <c r="N144" s="39"/>
      <c r="O144" s="36"/>
    </row>
    <row r="145" spans="1:15" x14ac:dyDescent="0.25">
      <c r="A145">
        <f>COUNTIF($C$2:C145,C145)</f>
        <v>144</v>
      </c>
      <c r="B145" s="1" t="str">
        <f t="shared" si="10"/>
        <v>144</v>
      </c>
      <c r="C145" s="1" t="str">
        <f>IFERROR(VLOOKUP(D145,'Planilha de Cadastro - Previsão'!$A$2:$O$1000,15,FALSE()),"")</f>
        <v/>
      </c>
      <c r="D145" s="1">
        <v>144</v>
      </c>
      <c r="F145" s="32" t="str">
        <f t="shared" si="11"/>
        <v/>
      </c>
      <c r="G145" s="33" t="str">
        <f>IFERROR((VLOOKUP(F145,'Planilha de Cadastro - Previsão'!$A$2:$N$1100,2,FALSE()))," ")</f>
        <v xml:space="preserve"> </v>
      </c>
      <c r="H145" s="32" t="str">
        <f>IFERROR((VLOOKUP(F145,'Planilha de Cadastro - Previsão'!$A$2:$N$1100,3,FALSE()))," ")</f>
        <v xml:space="preserve"> </v>
      </c>
      <c r="I145" s="34" t="str">
        <f>IFERROR((VLOOKUP(F145,'Planilha de Cadastro - Previsão'!$A$2:$N$1100,4,FALSE()))," ")</f>
        <v xml:space="preserve"> </v>
      </c>
      <c r="J145" s="34" t="str">
        <f>IFERROR((VLOOKUP(F145,'Planilha de Cadastro - Previsão'!$A$2:$N$1100,5,FALSE()))," ")</f>
        <v xml:space="preserve"> </v>
      </c>
      <c r="K145" s="36"/>
      <c r="L145" s="34" t="str">
        <f t="shared" si="12"/>
        <v/>
      </c>
      <c r="M145" s="35" t="str">
        <f t="shared" si="13"/>
        <v/>
      </c>
      <c r="N145" s="39"/>
      <c r="O145" s="36"/>
    </row>
    <row r="146" spans="1:15" x14ac:dyDescent="0.25">
      <c r="A146">
        <f>COUNTIF($C$2:C146,C146)</f>
        <v>145</v>
      </c>
      <c r="B146" s="1" t="str">
        <f t="shared" si="10"/>
        <v>145</v>
      </c>
      <c r="C146" s="1" t="str">
        <f>IFERROR(VLOOKUP(D146,'Planilha de Cadastro - Previsão'!$A$2:$O$1000,15,FALSE()),"")</f>
        <v/>
      </c>
      <c r="D146" s="1">
        <v>145</v>
      </c>
      <c r="F146" s="32" t="str">
        <f t="shared" si="11"/>
        <v/>
      </c>
      <c r="G146" s="33" t="str">
        <f>IFERROR((VLOOKUP(F146,'Planilha de Cadastro - Previsão'!$A$2:$N$1100,2,FALSE()))," ")</f>
        <v xml:space="preserve"> </v>
      </c>
      <c r="H146" s="32" t="str">
        <f>IFERROR((VLOOKUP(F146,'Planilha de Cadastro - Previsão'!$A$2:$N$1100,3,FALSE()))," ")</f>
        <v xml:space="preserve"> </v>
      </c>
      <c r="I146" s="34" t="str">
        <f>IFERROR((VLOOKUP(F146,'Planilha de Cadastro - Previsão'!$A$2:$N$1100,4,FALSE()))," ")</f>
        <v xml:space="preserve"> </v>
      </c>
      <c r="J146" s="34" t="str">
        <f>IFERROR((VLOOKUP(F146,'Planilha de Cadastro - Previsão'!$A$2:$N$1100,5,FALSE()))," ")</f>
        <v xml:space="preserve"> </v>
      </c>
      <c r="K146" s="36"/>
      <c r="L146" s="34" t="str">
        <f t="shared" si="12"/>
        <v/>
      </c>
      <c r="M146" s="35" t="str">
        <f t="shared" si="13"/>
        <v/>
      </c>
      <c r="N146" s="39"/>
      <c r="O146" s="36"/>
    </row>
    <row r="147" spans="1:15" x14ac:dyDescent="0.25">
      <c r="A147">
        <f>COUNTIF($C$2:C147,C147)</f>
        <v>146</v>
      </c>
      <c r="B147" s="1" t="str">
        <f t="shared" si="10"/>
        <v>146</v>
      </c>
      <c r="C147" s="1" t="str">
        <f>IFERROR(VLOOKUP(D147,'Planilha de Cadastro - Previsão'!$A$2:$O$1000,15,FALSE()),"")</f>
        <v/>
      </c>
      <c r="D147" s="1">
        <v>146</v>
      </c>
      <c r="F147" s="32" t="str">
        <f t="shared" si="11"/>
        <v/>
      </c>
      <c r="G147" s="33" t="str">
        <f>IFERROR((VLOOKUP(F147,'Planilha de Cadastro - Previsão'!$A$2:$N$1100,2,FALSE()))," ")</f>
        <v xml:space="preserve"> </v>
      </c>
      <c r="H147" s="32" t="str">
        <f>IFERROR((VLOOKUP(F147,'Planilha de Cadastro - Previsão'!$A$2:$N$1100,3,FALSE()))," ")</f>
        <v xml:space="preserve"> </v>
      </c>
      <c r="I147" s="34" t="str">
        <f>IFERROR((VLOOKUP(F147,'Planilha de Cadastro - Previsão'!$A$2:$N$1100,4,FALSE()))," ")</f>
        <v xml:space="preserve"> </v>
      </c>
      <c r="J147" s="34" t="str">
        <f>IFERROR((VLOOKUP(F147,'Planilha de Cadastro - Previsão'!$A$2:$N$1100,5,FALSE()))," ")</f>
        <v xml:space="preserve"> </v>
      </c>
      <c r="K147" s="36"/>
      <c r="L147" s="34" t="str">
        <f t="shared" si="12"/>
        <v/>
      </c>
      <c r="M147" s="35" t="str">
        <f t="shared" si="13"/>
        <v/>
      </c>
      <c r="N147" s="39"/>
      <c r="O147" s="36"/>
    </row>
    <row r="148" spans="1:15" x14ac:dyDescent="0.25">
      <c r="A148">
        <f>COUNTIF($C$2:C148,C148)</f>
        <v>147</v>
      </c>
      <c r="B148" s="1" t="str">
        <f t="shared" si="10"/>
        <v>147</v>
      </c>
      <c r="C148" s="1" t="str">
        <f>IFERROR(VLOOKUP(D148,'Planilha de Cadastro - Previsão'!$A$2:$O$1000,15,FALSE()),"")</f>
        <v/>
      </c>
      <c r="D148" s="1">
        <v>147</v>
      </c>
      <c r="F148" s="32" t="str">
        <f t="shared" si="11"/>
        <v/>
      </c>
      <c r="G148" s="33" t="str">
        <f>IFERROR((VLOOKUP(F148,'Planilha de Cadastro - Previsão'!$A$2:$N$1100,2,FALSE()))," ")</f>
        <v xml:space="preserve"> </v>
      </c>
      <c r="H148" s="32" t="str">
        <f>IFERROR((VLOOKUP(F148,'Planilha de Cadastro - Previsão'!$A$2:$N$1100,3,FALSE()))," ")</f>
        <v xml:space="preserve"> </v>
      </c>
      <c r="I148" s="34" t="str">
        <f>IFERROR((VLOOKUP(F148,'Planilha de Cadastro - Previsão'!$A$2:$N$1100,4,FALSE()))," ")</f>
        <v xml:space="preserve"> </v>
      </c>
      <c r="J148" s="34" t="str">
        <f>IFERROR((VLOOKUP(F148,'Planilha de Cadastro - Previsão'!$A$2:$N$1100,5,FALSE()))," ")</f>
        <v xml:space="preserve"> </v>
      </c>
      <c r="K148" s="36"/>
      <c r="L148" s="34" t="str">
        <f t="shared" si="12"/>
        <v/>
      </c>
      <c r="M148" s="35" t="str">
        <f t="shared" si="13"/>
        <v/>
      </c>
      <c r="N148" s="39"/>
      <c r="O148" s="36"/>
    </row>
    <row r="149" spans="1:15" x14ac:dyDescent="0.25">
      <c r="A149">
        <f>COUNTIF($C$2:C149,C149)</f>
        <v>148</v>
      </c>
      <c r="B149" s="1" t="str">
        <f t="shared" si="10"/>
        <v>148</v>
      </c>
      <c r="C149" s="1" t="str">
        <f>IFERROR(VLOOKUP(D149,'Planilha de Cadastro - Previsão'!$A$2:$O$1000,15,FALSE()),"")</f>
        <v/>
      </c>
      <c r="D149" s="1">
        <v>148</v>
      </c>
      <c r="F149" s="32" t="str">
        <f t="shared" si="11"/>
        <v/>
      </c>
      <c r="G149" s="33" t="str">
        <f>IFERROR((VLOOKUP(F149,'Planilha de Cadastro - Previsão'!$A$2:$N$1100,2,FALSE()))," ")</f>
        <v xml:space="preserve"> </v>
      </c>
      <c r="H149" s="32" t="str">
        <f>IFERROR((VLOOKUP(F149,'Planilha de Cadastro - Previsão'!$A$2:$N$1100,3,FALSE()))," ")</f>
        <v xml:space="preserve"> </v>
      </c>
      <c r="I149" s="34" t="str">
        <f>IFERROR((VLOOKUP(F149,'Planilha de Cadastro - Previsão'!$A$2:$N$1100,4,FALSE()))," ")</f>
        <v xml:space="preserve"> </v>
      </c>
      <c r="J149" s="34" t="str">
        <f>IFERROR((VLOOKUP(F149,'Planilha de Cadastro - Previsão'!$A$2:$N$1100,5,FALSE()))," ")</f>
        <v xml:space="preserve"> </v>
      </c>
      <c r="K149" s="36"/>
      <c r="L149" s="34" t="str">
        <f t="shared" si="12"/>
        <v/>
      </c>
      <c r="M149" s="35" t="str">
        <f t="shared" si="13"/>
        <v/>
      </c>
      <c r="N149" s="39"/>
      <c r="O149" s="36"/>
    </row>
    <row r="150" spans="1:15" x14ac:dyDescent="0.25">
      <c r="A150">
        <f>COUNTIF($C$2:C150,C150)</f>
        <v>149</v>
      </c>
      <c r="B150" s="1" t="str">
        <f t="shared" si="10"/>
        <v>149</v>
      </c>
      <c r="C150" s="1" t="str">
        <f>IFERROR(VLOOKUP(D150,'Planilha de Cadastro - Previsão'!$A$2:$O$1000,15,FALSE()),"")</f>
        <v/>
      </c>
      <c r="D150" s="1">
        <v>149</v>
      </c>
      <c r="F150" s="32" t="str">
        <f t="shared" si="11"/>
        <v/>
      </c>
      <c r="G150" s="33" t="str">
        <f>IFERROR((VLOOKUP(F150,'Planilha de Cadastro - Previsão'!$A$2:$N$1100,2,FALSE()))," ")</f>
        <v xml:space="preserve"> </v>
      </c>
      <c r="H150" s="32" t="str">
        <f>IFERROR((VLOOKUP(F150,'Planilha de Cadastro - Previsão'!$A$2:$N$1100,3,FALSE()))," ")</f>
        <v xml:space="preserve"> </v>
      </c>
      <c r="I150" s="34" t="str">
        <f>IFERROR((VLOOKUP(F150,'Planilha de Cadastro - Previsão'!$A$2:$N$1100,4,FALSE()))," ")</f>
        <v xml:space="preserve"> </v>
      </c>
      <c r="J150" s="34" t="str">
        <f>IFERROR((VLOOKUP(F150,'Planilha de Cadastro - Previsão'!$A$2:$N$1100,5,FALSE()))," ")</f>
        <v xml:space="preserve"> </v>
      </c>
      <c r="K150" s="36"/>
      <c r="L150" s="34" t="str">
        <f t="shared" si="12"/>
        <v/>
      </c>
      <c r="M150" s="35" t="str">
        <f t="shared" si="13"/>
        <v/>
      </c>
      <c r="N150" s="39"/>
      <c r="O150" s="36"/>
    </row>
    <row r="151" spans="1:15" x14ac:dyDescent="0.25">
      <c r="A151">
        <f>COUNTIF($C$2:C151,C151)</f>
        <v>150</v>
      </c>
      <c r="B151" s="1" t="str">
        <f t="shared" si="10"/>
        <v>150</v>
      </c>
      <c r="C151" s="1" t="str">
        <f>IFERROR(VLOOKUP(D151,'Planilha de Cadastro - Previsão'!$A$2:$O$1000,15,FALSE()),"")</f>
        <v/>
      </c>
      <c r="D151" s="1">
        <v>150</v>
      </c>
      <c r="F151" s="32" t="str">
        <f t="shared" si="11"/>
        <v/>
      </c>
      <c r="G151" s="33" t="str">
        <f>IFERROR((VLOOKUP(F151,'Planilha de Cadastro - Previsão'!$A$2:$N$1100,2,FALSE()))," ")</f>
        <v xml:space="preserve"> </v>
      </c>
      <c r="H151" s="32" t="str">
        <f>IFERROR((VLOOKUP(F151,'Planilha de Cadastro - Previsão'!$A$2:$N$1100,3,FALSE()))," ")</f>
        <v xml:space="preserve"> </v>
      </c>
      <c r="I151" s="34" t="str">
        <f>IFERROR((VLOOKUP(F151,'Planilha de Cadastro - Previsão'!$A$2:$N$1100,4,FALSE()))," ")</f>
        <v xml:space="preserve"> </v>
      </c>
      <c r="J151" s="34" t="str">
        <f>IFERROR((VLOOKUP(F151,'Planilha de Cadastro - Previsão'!$A$2:$N$1100,5,FALSE()))," ")</f>
        <v xml:space="preserve"> </v>
      </c>
      <c r="K151" s="36"/>
      <c r="L151" s="34" t="str">
        <f t="shared" si="12"/>
        <v/>
      </c>
      <c r="M151" s="35" t="str">
        <f t="shared" si="13"/>
        <v/>
      </c>
      <c r="N151" s="39"/>
      <c r="O151" s="36"/>
    </row>
    <row r="152" spans="1:15" x14ac:dyDescent="0.25">
      <c r="A152">
        <f>COUNTIF($C$2:C152,C152)</f>
        <v>151</v>
      </c>
      <c r="B152" s="1" t="str">
        <f t="shared" si="10"/>
        <v>151</v>
      </c>
      <c r="C152" s="1" t="str">
        <f>IFERROR(VLOOKUP(D152,'Planilha de Cadastro - Previsão'!$A$2:$O$1000,15,FALSE()),"")</f>
        <v/>
      </c>
      <c r="D152" s="1">
        <v>151</v>
      </c>
      <c r="F152" s="32" t="str">
        <f t="shared" si="11"/>
        <v/>
      </c>
      <c r="G152" s="33" t="str">
        <f>IFERROR((VLOOKUP(F152,'Planilha de Cadastro - Previsão'!$A$2:$N$1100,2,FALSE()))," ")</f>
        <v xml:space="preserve"> </v>
      </c>
      <c r="H152" s="32" t="str">
        <f>IFERROR((VLOOKUP(F152,'Planilha de Cadastro - Previsão'!$A$2:$N$1100,3,FALSE()))," ")</f>
        <v xml:space="preserve"> </v>
      </c>
      <c r="I152" s="34" t="str">
        <f>IFERROR((VLOOKUP(F152,'Planilha de Cadastro - Previsão'!$A$2:$N$1100,4,FALSE()))," ")</f>
        <v xml:space="preserve"> </v>
      </c>
      <c r="J152" s="34" t="str">
        <f>IFERROR((VLOOKUP(F152,'Planilha de Cadastro - Previsão'!$A$2:$N$1100,5,FALSE()))," ")</f>
        <v xml:space="preserve"> </v>
      </c>
      <c r="K152" s="36"/>
      <c r="L152" s="34" t="str">
        <f t="shared" si="12"/>
        <v/>
      </c>
      <c r="M152" s="35" t="str">
        <f t="shared" si="13"/>
        <v/>
      </c>
      <c r="N152" s="39"/>
      <c r="O152" s="36"/>
    </row>
    <row r="153" spans="1:15" x14ac:dyDescent="0.25">
      <c r="A153">
        <f>COUNTIF($C$2:C153,C153)</f>
        <v>152</v>
      </c>
      <c r="B153" s="1" t="str">
        <f t="shared" si="10"/>
        <v>152</v>
      </c>
      <c r="C153" s="1" t="str">
        <f>IFERROR(VLOOKUP(D153,'Planilha de Cadastro - Previsão'!$A$2:$O$1000,15,FALSE()),"")</f>
        <v/>
      </c>
      <c r="D153" s="1">
        <v>152</v>
      </c>
      <c r="F153" s="32" t="str">
        <f t="shared" si="11"/>
        <v/>
      </c>
      <c r="G153" s="33" t="str">
        <f>IFERROR((VLOOKUP(F153,'Planilha de Cadastro - Previsão'!$A$2:$N$1100,2,FALSE()))," ")</f>
        <v xml:space="preserve"> </v>
      </c>
      <c r="H153" s="32" t="str">
        <f>IFERROR((VLOOKUP(F153,'Planilha de Cadastro - Previsão'!$A$2:$N$1100,3,FALSE()))," ")</f>
        <v xml:space="preserve"> </v>
      </c>
      <c r="I153" s="34" t="str">
        <f>IFERROR((VLOOKUP(F153,'Planilha de Cadastro - Previsão'!$A$2:$N$1100,4,FALSE()))," ")</f>
        <v xml:space="preserve"> </v>
      </c>
      <c r="J153" s="34" t="str">
        <f>IFERROR((VLOOKUP(F153,'Planilha de Cadastro - Previsão'!$A$2:$N$1100,5,FALSE()))," ")</f>
        <v xml:space="preserve"> </v>
      </c>
      <c r="K153" s="36"/>
      <c r="L153" s="34" t="str">
        <f t="shared" si="12"/>
        <v/>
      </c>
      <c r="M153" s="35" t="str">
        <f t="shared" si="13"/>
        <v/>
      </c>
      <c r="N153" s="39"/>
      <c r="O153" s="36"/>
    </row>
    <row r="154" spans="1:15" x14ac:dyDescent="0.25">
      <c r="A154">
        <f>COUNTIF($C$2:C154,C154)</f>
        <v>153</v>
      </c>
      <c r="B154" s="1" t="str">
        <f t="shared" si="10"/>
        <v>153</v>
      </c>
      <c r="C154" s="1" t="str">
        <f>IFERROR(VLOOKUP(D154,'Planilha de Cadastro - Previsão'!$A$2:$O$1000,15,FALSE()),"")</f>
        <v/>
      </c>
      <c r="D154" s="1">
        <v>153</v>
      </c>
      <c r="F154" s="32" t="str">
        <f t="shared" si="11"/>
        <v/>
      </c>
      <c r="G154" s="33" t="str">
        <f>IFERROR((VLOOKUP(F154,'Planilha de Cadastro - Previsão'!$A$2:$N$1100,2,FALSE()))," ")</f>
        <v xml:space="preserve"> </v>
      </c>
      <c r="H154" s="32" t="str">
        <f>IFERROR((VLOOKUP(F154,'Planilha de Cadastro - Previsão'!$A$2:$N$1100,3,FALSE()))," ")</f>
        <v xml:space="preserve"> </v>
      </c>
      <c r="I154" s="34" t="str">
        <f>IFERROR((VLOOKUP(F154,'Planilha de Cadastro - Previsão'!$A$2:$N$1100,4,FALSE()))," ")</f>
        <v xml:space="preserve"> </v>
      </c>
      <c r="J154" s="34" t="str">
        <f>IFERROR((VLOOKUP(F154,'Planilha de Cadastro - Previsão'!$A$2:$N$1100,5,FALSE()))," ")</f>
        <v xml:space="preserve"> </v>
      </c>
      <c r="K154" s="36"/>
      <c r="L154" s="34" t="str">
        <f t="shared" si="12"/>
        <v/>
      </c>
      <c r="M154" s="35" t="str">
        <f t="shared" si="13"/>
        <v/>
      </c>
      <c r="N154" s="39"/>
      <c r="O154" s="36"/>
    </row>
    <row r="155" spans="1:15" x14ac:dyDescent="0.25">
      <c r="A155">
        <f>COUNTIF($C$2:C155,C155)</f>
        <v>154</v>
      </c>
      <c r="B155" s="1" t="str">
        <f t="shared" si="10"/>
        <v>154</v>
      </c>
      <c r="C155" s="1" t="str">
        <f>IFERROR(VLOOKUP(D155,'Planilha de Cadastro - Previsão'!$A$2:$O$1000,15,FALSE()),"")</f>
        <v/>
      </c>
      <c r="D155" s="1">
        <v>154</v>
      </c>
      <c r="F155" s="32" t="str">
        <f t="shared" si="11"/>
        <v/>
      </c>
      <c r="G155" s="33" t="str">
        <f>IFERROR((VLOOKUP(F155,'Planilha de Cadastro - Previsão'!$A$2:$N$1100,2,FALSE()))," ")</f>
        <v xml:space="preserve"> </v>
      </c>
      <c r="H155" s="32" t="str">
        <f>IFERROR((VLOOKUP(F155,'Planilha de Cadastro - Previsão'!$A$2:$N$1100,3,FALSE()))," ")</f>
        <v xml:space="preserve"> </v>
      </c>
      <c r="I155" s="34" t="str">
        <f>IFERROR((VLOOKUP(F155,'Planilha de Cadastro - Previsão'!$A$2:$N$1100,4,FALSE()))," ")</f>
        <v xml:space="preserve"> </v>
      </c>
      <c r="J155" s="34" t="str">
        <f>IFERROR((VLOOKUP(F155,'Planilha de Cadastro - Previsão'!$A$2:$N$1100,5,FALSE()))," ")</f>
        <v xml:space="preserve"> </v>
      </c>
      <c r="K155" s="36"/>
      <c r="L155" s="34" t="str">
        <f t="shared" si="12"/>
        <v/>
      </c>
      <c r="M155" s="35" t="str">
        <f t="shared" si="13"/>
        <v/>
      </c>
      <c r="N155" s="39"/>
      <c r="O155" s="36"/>
    </row>
    <row r="156" spans="1:15" x14ac:dyDescent="0.25">
      <c r="A156">
        <f>COUNTIF($C$2:C156,C156)</f>
        <v>155</v>
      </c>
      <c r="B156" s="1" t="str">
        <f t="shared" si="10"/>
        <v>155</v>
      </c>
      <c r="C156" s="1" t="str">
        <f>IFERROR(VLOOKUP(D156,'Planilha de Cadastro - Previsão'!$A$2:$O$1000,15,FALSE()),"")</f>
        <v/>
      </c>
      <c r="D156" s="1">
        <v>155</v>
      </c>
      <c r="F156" s="32" t="str">
        <f t="shared" si="11"/>
        <v/>
      </c>
      <c r="G156" s="33" t="str">
        <f>IFERROR((VLOOKUP(F156,'Planilha de Cadastro - Previsão'!$A$2:$N$1100,2,FALSE()))," ")</f>
        <v xml:space="preserve"> </v>
      </c>
      <c r="H156" s="32" t="str">
        <f>IFERROR((VLOOKUP(F156,'Planilha de Cadastro - Previsão'!$A$2:$N$1100,3,FALSE()))," ")</f>
        <v xml:space="preserve"> </v>
      </c>
      <c r="I156" s="34" t="str">
        <f>IFERROR((VLOOKUP(F156,'Planilha de Cadastro - Previsão'!$A$2:$N$1100,4,FALSE()))," ")</f>
        <v xml:space="preserve"> </v>
      </c>
      <c r="J156" s="34" t="str">
        <f>IFERROR((VLOOKUP(F156,'Planilha de Cadastro - Previsão'!$A$2:$N$1100,5,FALSE()))," ")</f>
        <v xml:space="preserve"> </v>
      </c>
      <c r="K156" s="36"/>
      <c r="L156" s="34" t="str">
        <f t="shared" si="12"/>
        <v/>
      </c>
      <c r="M156" s="35" t="str">
        <f t="shared" si="13"/>
        <v/>
      </c>
      <c r="N156" s="39"/>
      <c r="O156" s="36"/>
    </row>
    <row r="157" spans="1:15" x14ac:dyDescent="0.25">
      <c r="A157">
        <f>COUNTIF($C$2:C157,C157)</f>
        <v>156</v>
      </c>
      <c r="B157" s="1" t="str">
        <f t="shared" si="10"/>
        <v>156</v>
      </c>
      <c r="C157" s="1" t="str">
        <f>IFERROR(VLOOKUP(D157,'Planilha de Cadastro - Previsão'!$A$2:$O$1000,15,FALSE()),"")</f>
        <v/>
      </c>
      <c r="D157" s="1">
        <v>156</v>
      </c>
      <c r="F157" s="32" t="str">
        <f t="shared" si="11"/>
        <v/>
      </c>
      <c r="G157" s="33" t="str">
        <f>IFERROR((VLOOKUP(F157,'Planilha de Cadastro - Previsão'!$A$2:$N$1100,2,FALSE()))," ")</f>
        <v xml:space="preserve"> </v>
      </c>
      <c r="H157" s="32" t="str">
        <f>IFERROR((VLOOKUP(F157,'Planilha de Cadastro - Previsão'!$A$2:$N$1100,3,FALSE()))," ")</f>
        <v xml:space="preserve"> </v>
      </c>
      <c r="I157" s="34" t="str">
        <f>IFERROR((VLOOKUP(F157,'Planilha de Cadastro - Previsão'!$A$2:$N$1100,4,FALSE()))," ")</f>
        <v xml:space="preserve"> </v>
      </c>
      <c r="J157" s="34" t="str">
        <f>IFERROR((VLOOKUP(F157,'Planilha de Cadastro - Previsão'!$A$2:$N$1100,5,FALSE()))," ")</f>
        <v xml:space="preserve"> </v>
      </c>
      <c r="K157" s="36"/>
      <c r="L157" s="34" t="str">
        <f t="shared" si="12"/>
        <v/>
      </c>
      <c r="M157" s="35" t="str">
        <f t="shared" si="13"/>
        <v/>
      </c>
      <c r="N157" s="39"/>
      <c r="O157" s="36"/>
    </row>
    <row r="158" spans="1:15" x14ac:dyDescent="0.25">
      <c r="A158">
        <f>COUNTIF($C$2:C158,C158)</f>
        <v>157</v>
      </c>
      <c r="B158" s="1" t="str">
        <f t="shared" si="10"/>
        <v>157</v>
      </c>
      <c r="C158" s="1" t="str">
        <f>IFERROR(VLOOKUP(D158,'Planilha de Cadastro - Previsão'!$A$2:$O$1000,15,FALSE()),"")</f>
        <v/>
      </c>
      <c r="D158" s="1">
        <v>157</v>
      </c>
      <c r="F158" s="32" t="str">
        <f t="shared" si="11"/>
        <v/>
      </c>
      <c r="G158" s="33" t="str">
        <f>IFERROR((VLOOKUP(F158,'Planilha de Cadastro - Previsão'!$A$2:$N$1100,2,FALSE()))," ")</f>
        <v xml:space="preserve"> </v>
      </c>
      <c r="H158" s="32" t="str">
        <f>IFERROR((VLOOKUP(F158,'Planilha de Cadastro - Previsão'!$A$2:$N$1100,3,FALSE()))," ")</f>
        <v xml:space="preserve"> </v>
      </c>
      <c r="I158" s="34" t="str">
        <f>IFERROR((VLOOKUP(F158,'Planilha de Cadastro - Previsão'!$A$2:$N$1100,4,FALSE()))," ")</f>
        <v xml:space="preserve"> </v>
      </c>
      <c r="J158" s="34" t="str">
        <f>IFERROR((VLOOKUP(F158,'Planilha de Cadastro - Previsão'!$A$2:$N$1100,5,FALSE()))," ")</f>
        <v xml:space="preserve"> </v>
      </c>
      <c r="K158" s="36"/>
      <c r="L158" s="34" t="str">
        <f t="shared" si="12"/>
        <v/>
      </c>
      <c r="M158" s="35" t="str">
        <f t="shared" si="13"/>
        <v/>
      </c>
      <c r="N158" s="39"/>
      <c r="O158" s="36"/>
    </row>
    <row r="159" spans="1:15" x14ac:dyDescent="0.25">
      <c r="A159">
        <f>COUNTIF($C$2:C159,C159)</f>
        <v>158</v>
      </c>
      <c r="B159" s="1" t="str">
        <f t="shared" si="10"/>
        <v>158</v>
      </c>
      <c r="C159" s="1" t="str">
        <f>IFERROR(VLOOKUP(D159,'Planilha de Cadastro - Previsão'!$A$2:$O$1000,15,FALSE()),"")</f>
        <v/>
      </c>
      <c r="D159" s="1">
        <v>158</v>
      </c>
      <c r="F159" s="32" t="str">
        <f t="shared" si="11"/>
        <v/>
      </c>
      <c r="G159" s="33" t="str">
        <f>IFERROR((VLOOKUP(F159,'Planilha de Cadastro - Previsão'!$A$2:$N$1100,2,FALSE()))," ")</f>
        <v xml:space="preserve"> </v>
      </c>
      <c r="H159" s="32" t="str">
        <f>IFERROR((VLOOKUP(F159,'Planilha de Cadastro - Previsão'!$A$2:$N$1100,3,FALSE()))," ")</f>
        <v xml:space="preserve"> </v>
      </c>
      <c r="I159" s="34" t="str">
        <f>IFERROR((VLOOKUP(F159,'Planilha de Cadastro - Previsão'!$A$2:$N$1100,4,FALSE()))," ")</f>
        <v xml:space="preserve"> </v>
      </c>
      <c r="J159" s="34" t="str">
        <f>IFERROR((VLOOKUP(F159,'Planilha de Cadastro - Previsão'!$A$2:$N$1100,5,FALSE()))," ")</f>
        <v xml:space="preserve"> </v>
      </c>
      <c r="K159" s="36"/>
      <c r="L159" s="34" t="str">
        <f t="shared" si="12"/>
        <v/>
      </c>
      <c r="M159" s="35" t="str">
        <f t="shared" si="13"/>
        <v/>
      </c>
      <c r="N159" s="39"/>
      <c r="O159" s="36"/>
    </row>
    <row r="160" spans="1:15" x14ac:dyDescent="0.25">
      <c r="A160">
        <f>COUNTIF($C$2:C160,C160)</f>
        <v>159</v>
      </c>
      <c r="B160" s="1" t="str">
        <f t="shared" si="10"/>
        <v>159</v>
      </c>
      <c r="C160" s="1" t="str">
        <f>IFERROR(VLOOKUP(D160,'Planilha de Cadastro - Previsão'!$A$2:$O$1000,15,FALSE()),"")</f>
        <v/>
      </c>
      <c r="D160" s="1">
        <v>159</v>
      </c>
      <c r="F160" s="32" t="str">
        <f t="shared" si="11"/>
        <v/>
      </c>
      <c r="G160" s="33" t="str">
        <f>IFERROR((VLOOKUP(F160,'Planilha de Cadastro - Previsão'!$A$2:$N$1100,2,FALSE()))," ")</f>
        <v xml:space="preserve"> </v>
      </c>
      <c r="H160" s="32" t="str">
        <f>IFERROR((VLOOKUP(F160,'Planilha de Cadastro - Previsão'!$A$2:$N$1100,3,FALSE()))," ")</f>
        <v xml:space="preserve"> </v>
      </c>
      <c r="I160" s="34" t="str">
        <f>IFERROR((VLOOKUP(F160,'Planilha de Cadastro - Previsão'!$A$2:$N$1100,4,FALSE()))," ")</f>
        <v xml:space="preserve"> </v>
      </c>
      <c r="J160" s="34" t="str">
        <f>IFERROR((VLOOKUP(F160,'Planilha de Cadastro - Previsão'!$A$2:$N$1100,5,FALSE()))," ")</f>
        <v xml:space="preserve"> </v>
      </c>
      <c r="K160" s="36"/>
      <c r="L160" s="34" t="str">
        <f t="shared" si="12"/>
        <v/>
      </c>
      <c r="M160" s="35" t="str">
        <f t="shared" si="13"/>
        <v/>
      </c>
      <c r="N160" s="39"/>
      <c r="O160" s="36"/>
    </row>
    <row r="161" spans="1:15" x14ac:dyDescent="0.25">
      <c r="A161">
        <f>COUNTIF($C$2:C161,C161)</f>
        <v>160</v>
      </c>
      <c r="B161" s="1" t="str">
        <f t="shared" si="10"/>
        <v>160</v>
      </c>
      <c r="C161" s="1" t="str">
        <f>IFERROR(VLOOKUP(D161,'Planilha de Cadastro - Previsão'!$A$2:$O$1000,15,FALSE()),"")</f>
        <v/>
      </c>
      <c r="D161" s="1">
        <v>160</v>
      </c>
      <c r="F161" s="32" t="str">
        <f t="shared" si="11"/>
        <v/>
      </c>
      <c r="G161" s="33" t="str">
        <f>IFERROR((VLOOKUP(F161,'Planilha de Cadastro - Previsão'!$A$2:$N$1100,2,FALSE()))," ")</f>
        <v xml:space="preserve"> </v>
      </c>
      <c r="H161" s="32" t="str">
        <f>IFERROR((VLOOKUP(F161,'Planilha de Cadastro - Previsão'!$A$2:$N$1100,3,FALSE()))," ")</f>
        <v xml:space="preserve"> </v>
      </c>
      <c r="I161" s="34" t="str">
        <f>IFERROR((VLOOKUP(F161,'Planilha de Cadastro - Previsão'!$A$2:$N$1100,4,FALSE()))," ")</f>
        <v xml:space="preserve"> </v>
      </c>
      <c r="J161" s="34" t="str">
        <f>IFERROR((VLOOKUP(F161,'Planilha de Cadastro - Previsão'!$A$2:$N$1100,5,FALSE()))," ")</f>
        <v xml:space="preserve"> </v>
      </c>
      <c r="K161" s="36"/>
      <c r="L161" s="34" t="str">
        <f t="shared" si="12"/>
        <v/>
      </c>
      <c r="M161" s="35" t="str">
        <f t="shared" si="13"/>
        <v/>
      </c>
      <c r="N161" s="39"/>
      <c r="O161" s="36"/>
    </row>
    <row r="162" spans="1:15" x14ac:dyDescent="0.25">
      <c r="A162">
        <f>COUNTIF($C$2:C162,C162)</f>
        <v>161</v>
      </c>
      <c r="B162" s="1" t="str">
        <f t="shared" si="10"/>
        <v>161</v>
      </c>
      <c r="C162" s="1" t="str">
        <f>IFERROR(VLOOKUP(D162,'Planilha de Cadastro - Previsão'!$A$2:$O$1000,15,FALSE()),"")</f>
        <v/>
      </c>
      <c r="D162" s="1">
        <v>161</v>
      </c>
      <c r="F162" s="32" t="str">
        <f t="shared" si="11"/>
        <v/>
      </c>
      <c r="G162" s="33" t="str">
        <f>IFERROR((VLOOKUP(F162,'Planilha de Cadastro - Previsão'!$A$2:$N$1100,2,FALSE()))," ")</f>
        <v xml:space="preserve"> </v>
      </c>
      <c r="H162" s="32" t="str">
        <f>IFERROR((VLOOKUP(F162,'Planilha de Cadastro - Previsão'!$A$2:$N$1100,3,FALSE()))," ")</f>
        <v xml:space="preserve"> </v>
      </c>
      <c r="I162" s="34" t="str">
        <f>IFERROR((VLOOKUP(F162,'Planilha de Cadastro - Previsão'!$A$2:$N$1100,4,FALSE()))," ")</f>
        <v xml:space="preserve"> </v>
      </c>
      <c r="J162" s="34" t="str">
        <f>IFERROR((VLOOKUP(F162,'Planilha de Cadastro - Previsão'!$A$2:$N$1100,5,FALSE()))," ")</f>
        <v xml:space="preserve"> </v>
      </c>
      <c r="K162" s="36"/>
      <c r="L162" s="34" t="str">
        <f t="shared" si="12"/>
        <v/>
      </c>
      <c r="M162" s="35" t="str">
        <f t="shared" si="13"/>
        <v/>
      </c>
      <c r="N162" s="39"/>
      <c r="O162" s="36"/>
    </row>
    <row r="163" spans="1:15" x14ac:dyDescent="0.25">
      <c r="A163">
        <f>COUNTIF($C$2:C163,C163)</f>
        <v>162</v>
      </c>
      <c r="B163" s="1" t="str">
        <f t="shared" si="10"/>
        <v>162</v>
      </c>
      <c r="C163" s="1" t="str">
        <f>IFERROR(VLOOKUP(D163,'Planilha de Cadastro - Previsão'!$A$2:$O$1000,15,FALSE()),"")</f>
        <v/>
      </c>
      <c r="D163" s="1">
        <v>162</v>
      </c>
      <c r="F163" s="32" t="str">
        <f t="shared" si="11"/>
        <v/>
      </c>
      <c r="G163" s="33" t="str">
        <f>IFERROR((VLOOKUP(F163,'Planilha de Cadastro - Previsão'!$A$2:$N$1100,2,FALSE()))," ")</f>
        <v xml:space="preserve"> </v>
      </c>
      <c r="H163" s="32" t="str">
        <f>IFERROR((VLOOKUP(F163,'Planilha de Cadastro - Previsão'!$A$2:$N$1100,3,FALSE()))," ")</f>
        <v xml:space="preserve"> </v>
      </c>
      <c r="I163" s="34" t="str">
        <f>IFERROR((VLOOKUP(F163,'Planilha de Cadastro - Previsão'!$A$2:$N$1100,4,FALSE()))," ")</f>
        <v xml:space="preserve"> </v>
      </c>
      <c r="J163" s="34" t="str">
        <f>IFERROR((VLOOKUP(F163,'Planilha de Cadastro - Previsão'!$A$2:$N$1100,5,FALSE()))," ")</f>
        <v xml:space="preserve"> </v>
      </c>
      <c r="K163" s="36"/>
      <c r="L163" s="34" t="str">
        <f t="shared" si="12"/>
        <v/>
      </c>
      <c r="M163" s="35" t="str">
        <f t="shared" si="13"/>
        <v/>
      </c>
      <c r="N163" s="39"/>
      <c r="O163" s="36"/>
    </row>
    <row r="164" spans="1:15" x14ac:dyDescent="0.25">
      <c r="A164">
        <f>COUNTIF($C$2:C164,C164)</f>
        <v>163</v>
      </c>
      <c r="B164" s="1" t="str">
        <f t="shared" si="10"/>
        <v>163</v>
      </c>
      <c r="C164" s="1" t="str">
        <f>IFERROR(VLOOKUP(D164,'Planilha de Cadastro - Previsão'!$A$2:$O$1000,15,FALSE()),"")</f>
        <v/>
      </c>
      <c r="D164" s="1">
        <v>163</v>
      </c>
      <c r="F164" s="32" t="str">
        <f t="shared" si="11"/>
        <v/>
      </c>
      <c r="G164" s="33" t="str">
        <f>IFERROR((VLOOKUP(F164,'Planilha de Cadastro - Previsão'!$A$2:$N$1100,2,FALSE()))," ")</f>
        <v xml:space="preserve"> </v>
      </c>
      <c r="H164" s="32" t="str">
        <f>IFERROR((VLOOKUP(F164,'Planilha de Cadastro - Previsão'!$A$2:$N$1100,3,FALSE()))," ")</f>
        <v xml:space="preserve"> </v>
      </c>
      <c r="I164" s="34" t="str">
        <f>IFERROR((VLOOKUP(F164,'Planilha de Cadastro - Previsão'!$A$2:$N$1100,4,FALSE()))," ")</f>
        <v xml:space="preserve"> </v>
      </c>
      <c r="J164" s="34" t="str">
        <f>IFERROR((VLOOKUP(F164,'Planilha de Cadastro - Previsão'!$A$2:$N$1100,5,FALSE()))," ")</f>
        <v xml:space="preserve"> </v>
      </c>
      <c r="K164" s="36"/>
      <c r="L164" s="34" t="str">
        <f t="shared" si="12"/>
        <v/>
      </c>
      <c r="M164" s="35" t="str">
        <f t="shared" si="13"/>
        <v/>
      </c>
      <c r="N164" s="39"/>
      <c r="O164" s="36"/>
    </row>
    <row r="165" spans="1:15" x14ac:dyDescent="0.25">
      <c r="A165">
        <f>COUNTIF($C$2:C165,C165)</f>
        <v>164</v>
      </c>
      <c r="B165" s="1" t="str">
        <f t="shared" si="10"/>
        <v>164</v>
      </c>
      <c r="C165" s="1" t="str">
        <f>IFERROR(VLOOKUP(D165,'Planilha de Cadastro - Previsão'!$A$2:$O$1000,15,FALSE()),"")</f>
        <v/>
      </c>
      <c r="D165" s="1">
        <v>164</v>
      </c>
      <c r="F165" s="32" t="str">
        <f t="shared" si="11"/>
        <v/>
      </c>
      <c r="G165" s="33" t="str">
        <f>IFERROR((VLOOKUP(F165,'Planilha de Cadastro - Previsão'!$A$2:$N$1100,2,FALSE()))," ")</f>
        <v xml:space="preserve"> </v>
      </c>
      <c r="H165" s="32" t="str">
        <f>IFERROR((VLOOKUP(F165,'Planilha de Cadastro - Previsão'!$A$2:$N$1100,3,FALSE()))," ")</f>
        <v xml:space="preserve"> </v>
      </c>
      <c r="I165" s="34" t="str">
        <f>IFERROR((VLOOKUP(F165,'Planilha de Cadastro - Previsão'!$A$2:$N$1100,4,FALSE()))," ")</f>
        <v xml:space="preserve"> </v>
      </c>
      <c r="J165" s="34" t="str">
        <f>IFERROR((VLOOKUP(F165,'Planilha de Cadastro - Previsão'!$A$2:$N$1100,5,FALSE()))," ")</f>
        <v xml:space="preserve"> </v>
      </c>
      <c r="K165" s="36"/>
      <c r="L165" s="34" t="str">
        <f t="shared" si="12"/>
        <v/>
      </c>
      <c r="M165" s="35" t="str">
        <f t="shared" si="13"/>
        <v/>
      </c>
      <c r="N165" s="39"/>
      <c r="O165" s="36"/>
    </row>
    <row r="166" spans="1:15" x14ac:dyDescent="0.25">
      <c r="A166">
        <f>COUNTIF($C$2:C166,C166)</f>
        <v>165</v>
      </c>
      <c r="B166" s="1" t="str">
        <f t="shared" si="10"/>
        <v>165</v>
      </c>
      <c r="C166" s="1" t="str">
        <f>IFERROR(VLOOKUP(D166,'Planilha de Cadastro - Previsão'!$A$2:$O$1000,15,FALSE()),"")</f>
        <v/>
      </c>
      <c r="D166" s="1">
        <v>165</v>
      </c>
      <c r="F166" s="32" t="str">
        <f t="shared" si="11"/>
        <v/>
      </c>
      <c r="G166" s="33" t="str">
        <f>IFERROR((VLOOKUP(F166,'Planilha de Cadastro - Previsão'!$A$2:$N$1100,2,FALSE()))," ")</f>
        <v xml:space="preserve"> </v>
      </c>
      <c r="H166" s="32" t="str">
        <f>IFERROR((VLOOKUP(F166,'Planilha de Cadastro - Previsão'!$A$2:$N$1100,3,FALSE()))," ")</f>
        <v xml:space="preserve"> </v>
      </c>
      <c r="I166" s="34" t="str">
        <f>IFERROR((VLOOKUP(F166,'Planilha de Cadastro - Previsão'!$A$2:$N$1100,4,FALSE()))," ")</f>
        <v xml:space="preserve"> </v>
      </c>
      <c r="J166" s="34" t="str">
        <f>IFERROR((VLOOKUP(F166,'Planilha de Cadastro - Previsão'!$A$2:$N$1100,5,FALSE()))," ")</f>
        <v xml:space="preserve"> </v>
      </c>
      <c r="K166" s="36"/>
      <c r="L166" s="34" t="str">
        <f t="shared" si="12"/>
        <v/>
      </c>
      <c r="M166" s="35" t="str">
        <f t="shared" si="13"/>
        <v/>
      </c>
      <c r="N166" s="39"/>
      <c r="O166" s="36"/>
    </row>
    <row r="167" spans="1:15" x14ac:dyDescent="0.25">
      <c r="A167">
        <f>COUNTIF($C$2:C167,C167)</f>
        <v>166</v>
      </c>
      <c r="B167" s="1" t="str">
        <f t="shared" si="10"/>
        <v>166</v>
      </c>
      <c r="C167" s="1" t="str">
        <f>IFERROR(VLOOKUP(D167,'Planilha de Cadastro - Previsão'!$A$2:$O$1000,15,FALSE()),"")</f>
        <v/>
      </c>
      <c r="D167" s="1">
        <v>166</v>
      </c>
      <c r="F167" s="32" t="str">
        <f t="shared" si="11"/>
        <v/>
      </c>
      <c r="G167" s="33" t="str">
        <f>IFERROR((VLOOKUP(F167,'Planilha de Cadastro - Previsão'!$A$2:$N$1100,2,FALSE()))," ")</f>
        <v xml:space="preserve"> </v>
      </c>
      <c r="H167" s="32" t="str">
        <f>IFERROR((VLOOKUP(F167,'Planilha de Cadastro - Previsão'!$A$2:$N$1100,3,FALSE()))," ")</f>
        <v xml:space="preserve"> </v>
      </c>
      <c r="I167" s="34" t="str">
        <f>IFERROR((VLOOKUP(F167,'Planilha de Cadastro - Previsão'!$A$2:$N$1100,4,FALSE()))," ")</f>
        <v xml:space="preserve"> </v>
      </c>
      <c r="J167" s="34" t="str">
        <f>IFERROR((VLOOKUP(F167,'Planilha de Cadastro - Previsão'!$A$2:$N$1100,5,FALSE()))," ")</f>
        <v xml:space="preserve"> </v>
      </c>
      <c r="K167" s="36"/>
      <c r="L167" s="34" t="str">
        <f t="shared" si="12"/>
        <v/>
      </c>
      <c r="M167" s="35" t="str">
        <f t="shared" si="13"/>
        <v/>
      </c>
      <c r="N167" s="39"/>
      <c r="O167" s="36"/>
    </row>
    <row r="168" spans="1:15" x14ac:dyDescent="0.25">
      <c r="A168">
        <f>COUNTIF($C$2:C168,C168)</f>
        <v>167</v>
      </c>
      <c r="B168" s="1" t="str">
        <f t="shared" si="10"/>
        <v>167</v>
      </c>
      <c r="C168" s="1" t="str">
        <f>IFERROR(VLOOKUP(D168,'Planilha de Cadastro - Previsão'!$A$2:$O$1000,15,FALSE()),"")</f>
        <v/>
      </c>
      <c r="D168" s="1">
        <v>167</v>
      </c>
      <c r="F168" s="32" t="str">
        <f t="shared" si="11"/>
        <v/>
      </c>
      <c r="G168" s="33" t="str">
        <f>IFERROR((VLOOKUP(F168,'Planilha de Cadastro - Previsão'!$A$2:$N$1100,2,FALSE()))," ")</f>
        <v xml:space="preserve"> </v>
      </c>
      <c r="H168" s="32" t="str">
        <f>IFERROR((VLOOKUP(F168,'Planilha de Cadastro - Previsão'!$A$2:$N$1100,3,FALSE()))," ")</f>
        <v xml:space="preserve"> </v>
      </c>
      <c r="I168" s="34" t="str">
        <f>IFERROR((VLOOKUP(F168,'Planilha de Cadastro - Previsão'!$A$2:$N$1100,4,FALSE()))," ")</f>
        <v xml:space="preserve"> </v>
      </c>
      <c r="J168" s="34" t="str">
        <f>IFERROR((VLOOKUP(F168,'Planilha de Cadastro - Previsão'!$A$2:$N$1100,5,FALSE()))," ")</f>
        <v xml:space="preserve"> </v>
      </c>
      <c r="K168" s="36"/>
      <c r="L168" s="34" t="str">
        <f t="shared" si="12"/>
        <v/>
      </c>
      <c r="M168" s="35" t="str">
        <f t="shared" si="13"/>
        <v/>
      </c>
      <c r="N168" s="39"/>
      <c r="O168" s="36"/>
    </row>
    <row r="169" spans="1:15" x14ac:dyDescent="0.25">
      <c r="A169">
        <f>COUNTIF($C$2:C169,C169)</f>
        <v>168</v>
      </c>
      <c r="B169" s="1" t="str">
        <f t="shared" si="10"/>
        <v>168</v>
      </c>
      <c r="C169" s="1" t="str">
        <f>IFERROR(VLOOKUP(D169,'Planilha de Cadastro - Previsão'!$A$2:$O$1000,15,FALSE()),"")</f>
        <v/>
      </c>
      <c r="D169" s="1">
        <v>168</v>
      </c>
      <c r="F169" s="32" t="str">
        <f t="shared" si="11"/>
        <v/>
      </c>
      <c r="G169" s="33" t="str">
        <f>IFERROR((VLOOKUP(F169,'Planilha de Cadastro - Previsão'!$A$2:$N$1100,2,FALSE()))," ")</f>
        <v xml:space="preserve"> </v>
      </c>
      <c r="H169" s="32" t="str">
        <f>IFERROR((VLOOKUP(F169,'Planilha de Cadastro - Previsão'!$A$2:$N$1100,3,FALSE()))," ")</f>
        <v xml:space="preserve"> </v>
      </c>
      <c r="I169" s="34" t="str">
        <f>IFERROR((VLOOKUP(F169,'Planilha de Cadastro - Previsão'!$A$2:$N$1100,4,FALSE()))," ")</f>
        <v xml:space="preserve"> </v>
      </c>
      <c r="J169" s="34" t="str">
        <f>IFERROR((VLOOKUP(F169,'Planilha de Cadastro - Previsão'!$A$2:$N$1100,5,FALSE()))," ")</f>
        <v xml:space="preserve"> </v>
      </c>
      <c r="K169" s="36"/>
      <c r="L169" s="34" t="str">
        <f t="shared" si="12"/>
        <v/>
      </c>
      <c r="M169" s="35" t="str">
        <f t="shared" si="13"/>
        <v/>
      </c>
      <c r="N169" s="39"/>
      <c r="O169" s="36"/>
    </row>
    <row r="170" spans="1:15" x14ac:dyDescent="0.25">
      <c r="A170">
        <f>COUNTIF($C$2:C170,C170)</f>
        <v>169</v>
      </c>
      <c r="B170" s="1" t="str">
        <f t="shared" si="10"/>
        <v>169</v>
      </c>
      <c r="C170" s="1" t="str">
        <f>IFERROR(VLOOKUP(D170,'Planilha de Cadastro - Previsão'!$A$2:$O$1000,15,FALSE()),"")</f>
        <v/>
      </c>
      <c r="D170" s="1">
        <v>169</v>
      </c>
      <c r="F170" s="32" t="str">
        <f t="shared" si="11"/>
        <v/>
      </c>
      <c r="G170" s="33" t="str">
        <f>IFERROR((VLOOKUP(F170,'Planilha de Cadastro - Previsão'!$A$2:$N$1100,2,FALSE()))," ")</f>
        <v xml:space="preserve"> </v>
      </c>
      <c r="H170" s="32" t="str">
        <f>IFERROR((VLOOKUP(F170,'Planilha de Cadastro - Previsão'!$A$2:$N$1100,3,FALSE()))," ")</f>
        <v xml:space="preserve"> </v>
      </c>
      <c r="I170" s="34" t="str">
        <f>IFERROR((VLOOKUP(F170,'Planilha de Cadastro - Previsão'!$A$2:$N$1100,4,FALSE()))," ")</f>
        <v xml:space="preserve"> </v>
      </c>
      <c r="J170" s="34" t="str">
        <f>IFERROR((VLOOKUP(F170,'Planilha de Cadastro - Previsão'!$A$2:$N$1100,5,FALSE()))," ")</f>
        <v xml:space="preserve"> </v>
      </c>
      <c r="K170" s="36"/>
      <c r="L170" s="34" t="str">
        <f t="shared" si="12"/>
        <v/>
      </c>
      <c r="M170" s="35" t="str">
        <f t="shared" si="13"/>
        <v/>
      </c>
      <c r="N170" s="39"/>
      <c r="O170" s="36"/>
    </row>
    <row r="171" spans="1:15" x14ac:dyDescent="0.25">
      <c r="A171">
        <f>COUNTIF($C$2:C171,C171)</f>
        <v>170</v>
      </c>
      <c r="B171" s="1" t="str">
        <f t="shared" si="10"/>
        <v>170</v>
      </c>
      <c r="C171" s="1" t="str">
        <f>IFERROR(VLOOKUP(D171,'Planilha de Cadastro - Previsão'!$A$2:$O$1000,15,FALSE()),"")</f>
        <v/>
      </c>
      <c r="D171" s="1">
        <v>170</v>
      </c>
      <c r="F171" s="32" t="str">
        <f t="shared" si="11"/>
        <v/>
      </c>
      <c r="G171" s="33" t="str">
        <f>IFERROR((VLOOKUP(F171,'Planilha de Cadastro - Previsão'!$A$2:$N$1100,2,FALSE()))," ")</f>
        <v xml:space="preserve"> </v>
      </c>
      <c r="H171" s="32" t="str">
        <f>IFERROR((VLOOKUP(F171,'Planilha de Cadastro - Previsão'!$A$2:$N$1100,3,FALSE()))," ")</f>
        <v xml:space="preserve"> </v>
      </c>
      <c r="I171" s="34" t="str">
        <f>IFERROR((VLOOKUP(F171,'Planilha de Cadastro - Previsão'!$A$2:$N$1100,4,FALSE()))," ")</f>
        <v xml:space="preserve"> </v>
      </c>
      <c r="J171" s="34" t="str">
        <f>IFERROR((VLOOKUP(F171,'Planilha de Cadastro - Previsão'!$A$2:$N$1100,5,FALSE()))," ")</f>
        <v xml:space="preserve"> </v>
      </c>
      <c r="K171" s="36"/>
      <c r="L171" s="34" t="str">
        <f t="shared" si="12"/>
        <v/>
      </c>
      <c r="M171" s="35" t="str">
        <f t="shared" si="13"/>
        <v/>
      </c>
      <c r="N171" s="39"/>
      <c r="O171" s="36"/>
    </row>
    <row r="172" spans="1:15" x14ac:dyDescent="0.25">
      <c r="A172">
        <f>COUNTIF($C$2:C172,C172)</f>
        <v>171</v>
      </c>
      <c r="B172" s="1" t="str">
        <f t="shared" si="10"/>
        <v>171</v>
      </c>
      <c r="C172" s="1" t="str">
        <f>IFERROR(VLOOKUP(D172,'Planilha de Cadastro - Previsão'!$A$2:$O$1000,15,FALSE()),"")</f>
        <v/>
      </c>
      <c r="D172" s="1">
        <v>171</v>
      </c>
      <c r="F172" s="32" t="str">
        <f t="shared" si="11"/>
        <v/>
      </c>
      <c r="G172" s="33" t="str">
        <f>IFERROR((VLOOKUP(F172,'Planilha de Cadastro - Previsão'!$A$2:$N$1100,2,FALSE()))," ")</f>
        <v xml:space="preserve"> </v>
      </c>
      <c r="H172" s="32" t="str">
        <f>IFERROR((VLOOKUP(F172,'Planilha de Cadastro - Previsão'!$A$2:$N$1100,3,FALSE()))," ")</f>
        <v xml:space="preserve"> </v>
      </c>
      <c r="I172" s="34" t="str">
        <f>IFERROR((VLOOKUP(F172,'Planilha de Cadastro - Previsão'!$A$2:$N$1100,4,FALSE()))," ")</f>
        <v xml:space="preserve"> </v>
      </c>
      <c r="J172" s="34" t="str">
        <f>IFERROR((VLOOKUP(F172,'Planilha de Cadastro - Previsão'!$A$2:$N$1100,5,FALSE()))," ")</f>
        <v xml:space="preserve"> </v>
      </c>
      <c r="K172" s="36"/>
      <c r="L172" s="34" t="str">
        <f t="shared" si="12"/>
        <v/>
      </c>
      <c r="M172" s="35" t="str">
        <f t="shared" si="13"/>
        <v/>
      </c>
      <c r="N172" s="39"/>
      <c r="O172" s="36"/>
    </row>
    <row r="173" spans="1:15" x14ac:dyDescent="0.25">
      <c r="A173">
        <f>COUNTIF($C$2:C173,C173)</f>
        <v>172</v>
      </c>
      <c r="B173" s="1" t="str">
        <f t="shared" si="10"/>
        <v>172</v>
      </c>
      <c r="C173" s="1" t="str">
        <f>IFERROR(VLOOKUP(D173,'Planilha de Cadastro - Previsão'!$A$2:$O$1000,15,FALSE()),"")</f>
        <v/>
      </c>
      <c r="D173" s="1">
        <v>172</v>
      </c>
      <c r="F173" s="32" t="str">
        <f t="shared" si="11"/>
        <v/>
      </c>
      <c r="G173" s="33" t="str">
        <f>IFERROR((VLOOKUP(F173,'Planilha de Cadastro - Previsão'!$A$2:$N$1100,2,FALSE()))," ")</f>
        <v xml:space="preserve"> </v>
      </c>
      <c r="H173" s="32" t="str">
        <f>IFERROR((VLOOKUP(F173,'Planilha de Cadastro - Previsão'!$A$2:$N$1100,3,FALSE()))," ")</f>
        <v xml:space="preserve"> </v>
      </c>
      <c r="I173" s="34" t="str">
        <f>IFERROR((VLOOKUP(F173,'Planilha de Cadastro - Previsão'!$A$2:$N$1100,4,FALSE()))," ")</f>
        <v xml:space="preserve"> </v>
      </c>
      <c r="J173" s="34" t="str">
        <f>IFERROR((VLOOKUP(F173,'Planilha de Cadastro - Previsão'!$A$2:$N$1100,5,FALSE()))," ")</f>
        <v xml:space="preserve"> </v>
      </c>
      <c r="K173" s="36"/>
      <c r="L173" s="34" t="str">
        <f t="shared" si="12"/>
        <v/>
      </c>
      <c r="M173" s="35" t="str">
        <f t="shared" si="13"/>
        <v/>
      </c>
      <c r="N173" s="39"/>
      <c r="O173" s="36"/>
    </row>
    <row r="174" spans="1:15" x14ac:dyDescent="0.25">
      <c r="A174">
        <f>COUNTIF($C$2:C174,C174)</f>
        <v>173</v>
      </c>
      <c r="B174" s="1" t="str">
        <f t="shared" si="10"/>
        <v>173</v>
      </c>
      <c r="C174" s="1" t="str">
        <f>IFERROR(VLOOKUP(D174,'Planilha de Cadastro - Previsão'!$A$2:$O$1000,15,FALSE()),"")</f>
        <v/>
      </c>
      <c r="D174" s="1">
        <v>173</v>
      </c>
      <c r="F174" s="32" t="str">
        <f t="shared" si="11"/>
        <v/>
      </c>
      <c r="G174" s="33" t="str">
        <f>IFERROR((VLOOKUP(F174,'Planilha de Cadastro - Previsão'!$A$2:$N$1100,2,FALSE()))," ")</f>
        <v xml:space="preserve"> </v>
      </c>
      <c r="H174" s="32" t="str">
        <f>IFERROR((VLOOKUP(F174,'Planilha de Cadastro - Previsão'!$A$2:$N$1100,3,FALSE()))," ")</f>
        <v xml:space="preserve"> </v>
      </c>
      <c r="I174" s="34" t="str">
        <f>IFERROR((VLOOKUP(F174,'Planilha de Cadastro - Previsão'!$A$2:$N$1100,4,FALSE()))," ")</f>
        <v xml:space="preserve"> </v>
      </c>
      <c r="J174" s="34" t="str">
        <f>IFERROR((VLOOKUP(F174,'Planilha de Cadastro - Previsão'!$A$2:$N$1100,5,FALSE()))," ")</f>
        <v xml:space="preserve"> </v>
      </c>
      <c r="K174" s="36"/>
      <c r="L174" s="34" t="str">
        <f t="shared" si="12"/>
        <v/>
      </c>
      <c r="M174" s="35" t="str">
        <f t="shared" si="13"/>
        <v/>
      </c>
      <c r="N174" s="39"/>
      <c r="O174" s="36"/>
    </row>
    <row r="175" spans="1:15" x14ac:dyDescent="0.25">
      <c r="A175">
        <f>COUNTIF($C$2:C175,C175)</f>
        <v>174</v>
      </c>
      <c r="B175" s="1" t="str">
        <f t="shared" si="10"/>
        <v>174</v>
      </c>
      <c r="C175" s="1" t="str">
        <f>IFERROR(VLOOKUP(D175,'Planilha de Cadastro - Previsão'!$A$2:$O$1000,15,FALSE()),"")</f>
        <v/>
      </c>
      <c r="D175" s="1">
        <v>174</v>
      </c>
      <c r="F175" s="32" t="str">
        <f t="shared" si="11"/>
        <v/>
      </c>
      <c r="G175" s="33" t="str">
        <f>IFERROR((VLOOKUP(F175,'Planilha de Cadastro - Previsão'!$A$2:$N$1100,2,FALSE()))," ")</f>
        <v xml:space="preserve"> </v>
      </c>
      <c r="H175" s="32" t="str">
        <f>IFERROR((VLOOKUP(F175,'Planilha de Cadastro - Previsão'!$A$2:$N$1100,3,FALSE()))," ")</f>
        <v xml:space="preserve"> </v>
      </c>
      <c r="I175" s="34" t="str">
        <f>IFERROR((VLOOKUP(F175,'Planilha de Cadastro - Previsão'!$A$2:$N$1100,4,FALSE()))," ")</f>
        <v xml:space="preserve"> </v>
      </c>
      <c r="J175" s="34" t="str">
        <f>IFERROR((VLOOKUP(F175,'Planilha de Cadastro - Previsão'!$A$2:$N$1100,5,FALSE()))," ")</f>
        <v xml:space="preserve"> </v>
      </c>
      <c r="K175" s="36"/>
      <c r="L175" s="34" t="str">
        <f t="shared" si="12"/>
        <v/>
      </c>
      <c r="M175" s="35" t="str">
        <f t="shared" si="13"/>
        <v/>
      </c>
      <c r="N175" s="39"/>
      <c r="O175" s="36"/>
    </row>
    <row r="176" spans="1:15" x14ac:dyDescent="0.25">
      <c r="A176">
        <f>COUNTIF($C$2:C176,C176)</f>
        <v>175</v>
      </c>
      <c r="B176" s="1" t="str">
        <f t="shared" si="10"/>
        <v>175</v>
      </c>
      <c r="C176" s="1" t="str">
        <f>IFERROR(VLOOKUP(D176,'Planilha de Cadastro - Previsão'!$A$2:$O$1000,15,FALSE()),"")</f>
        <v/>
      </c>
      <c r="D176" s="1">
        <v>175</v>
      </c>
      <c r="F176" s="32" t="str">
        <f t="shared" si="11"/>
        <v/>
      </c>
      <c r="G176" s="33" t="str">
        <f>IFERROR((VLOOKUP(F176,'Planilha de Cadastro - Previsão'!$A$2:$N$1100,2,FALSE()))," ")</f>
        <v xml:space="preserve"> </v>
      </c>
      <c r="H176" s="32" t="str">
        <f>IFERROR((VLOOKUP(F176,'Planilha de Cadastro - Previsão'!$A$2:$N$1100,3,FALSE()))," ")</f>
        <v xml:space="preserve"> </v>
      </c>
      <c r="I176" s="34" t="str">
        <f>IFERROR((VLOOKUP(F176,'Planilha de Cadastro - Previsão'!$A$2:$N$1100,4,FALSE()))," ")</f>
        <v xml:space="preserve"> </v>
      </c>
      <c r="J176" s="34" t="str">
        <f>IFERROR((VLOOKUP(F176,'Planilha de Cadastro - Previsão'!$A$2:$N$1100,5,FALSE()))," ")</f>
        <v xml:space="preserve"> </v>
      </c>
      <c r="K176" s="36"/>
      <c r="L176" s="34" t="str">
        <f t="shared" si="12"/>
        <v/>
      </c>
      <c r="M176" s="35" t="str">
        <f t="shared" si="13"/>
        <v/>
      </c>
      <c r="N176" s="39"/>
      <c r="O176" s="36"/>
    </row>
    <row r="177" spans="1:15" x14ac:dyDescent="0.25">
      <c r="A177">
        <f>COUNTIF($C$2:C177,C177)</f>
        <v>176</v>
      </c>
      <c r="B177" s="1" t="str">
        <f t="shared" si="10"/>
        <v>176</v>
      </c>
      <c r="C177" s="1" t="str">
        <f>IFERROR(VLOOKUP(D177,'Planilha de Cadastro - Previsão'!$A$2:$O$1000,15,FALSE()),"")</f>
        <v/>
      </c>
      <c r="D177" s="1">
        <v>176</v>
      </c>
      <c r="F177" s="32" t="str">
        <f t="shared" si="11"/>
        <v/>
      </c>
      <c r="G177" s="33" t="str">
        <f>IFERROR((VLOOKUP(F177,'Planilha de Cadastro - Previsão'!$A$2:$N$1100,2,FALSE()))," ")</f>
        <v xml:space="preserve"> </v>
      </c>
      <c r="H177" s="32" t="str">
        <f>IFERROR((VLOOKUP(F177,'Planilha de Cadastro - Previsão'!$A$2:$N$1100,3,FALSE()))," ")</f>
        <v xml:space="preserve"> </v>
      </c>
      <c r="I177" s="34" t="str">
        <f>IFERROR((VLOOKUP(F177,'Planilha de Cadastro - Previsão'!$A$2:$N$1100,4,FALSE()))," ")</f>
        <v xml:space="preserve"> </v>
      </c>
      <c r="J177" s="34" t="str">
        <f>IFERROR((VLOOKUP(F177,'Planilha de Cadastro - Previsão'!$A$2:$N$1100,5,FALSE()))," ")</f>
        <v xml:space="preserve"> </v>
      </c>
      <c r="K177" s="36"/>
      <c r="L177" s="34" t="str">
        <f t="shared" si="12"/>
        <v/>
      </c>
      <c r="M177" s="35" t="str">
        <f t="shared" si="13"/>
        <v/>
      </c>
      <c r="N177" s="39"/>
      <c r="O177" s="36"/>
    </row>
    <row r="178" spans="1:15" x14ac:dyDescent="0.25">
      <c r="A178">
        <f>COUNTIF($C$2:C178,C178)</f>
        <v>177</v>
      </c>
      <c r="B178" s="1" t="str">
        <f t="shared" si="10"/>
        <v>177</v>
      </c>
      <c r="C178" s="1" t="str">
        <f>IFERROR(VLOOKUP(D178,'Planilha de Cadastro - Previsão'!$A$2:$O$1000,15,FALSE()),"")</f>
        <v/>
      </c>
      <c r="D178" s="1">
        <v>177</v>
      </c>
      <c r="F178" s="32" t="str">
        <f t="shared" si="11"/>
        <v/>
      </c>
      <c r="G178" s="33" t="str">
        <f>IFERROR((VLOOKUP(F178,'Planilha de Cadastro - Previsão'!$A$2:$N$1100,2,FALSE()))," ")</f>
        <v xml:space="preserve"> </v>
      </c>
      <c r="H178" s="32" t="str">
        <f>IFERROR((VLOOKUP(F178,'Planilha de Cadastro - Previsão'!$A$2:$N$1100,3,FALSE()))," ")</f>
        <v xml:space="preserve"> </v>
      </c>
      <c r="I178" s="34" t="str">
        <f>IFERROR((VLOOKUP(F178,'Planilha de Cadastro - Previsão'!$A$2:$N$1100,4,FALSE()))," ")</f>
        <v xml:space="preserve"> </v>
      </c>
      <c r="J178" s="34" t="str">
        <f>IFERROR((VLOOKUP(F178,'Planilha de Cadastro - Previsão'!$A$2:$N$1100,5,FALSE()))," ")</f>
        <v xml:space="preserve"> </v>
      </c>
      <c r="K178" s="36"/>
      <c r="L178" s="34" t="str">
        <f t="shared" si="12"/>
        <v/>
      </c>
      <c r="M178" s="35" t="str">
        <f t="shared" si="13"/>
        <v/>
      </c>
      <c r="N178" s="39"/>
      <c r="O178" s="36"/>
    </row>
    <row r="179" spans="1:15" x14ac:dyDescent="0.25">
      <c r="A179">
        <f>COUNTIF($C$2:C179,C179)</f>
        <v>178</v>
      </c>
      <c r="B179" s="1" t="str">
        <f t="shared" si="10"/>
        <v>178</v>
      </c>
      <c r="C179" s="1" t="str">
        <f>IFERROR(VLOOKUP(D179,'Planilha de Cadastro - Previsão'!$A$2:$O$1000,15,FALSE()),"")</f>
        <v/>
      </c>
      <c r="D179" s="1">
        <v>178</v>
      </c>
      <c r="F179" s="32" t="str">
        <f t="shared" si="11"/>
        <v/>
      </c>
      <c r="G179" s="33" t="str">
        <f>IFERROR((VLOOKUP(F179,'Planilha de Cadastro - Previsão'!$A$2:$N$1100,2,FALSE()))," ")</f>
        <v xml:space="preserve"> </v>
      </c>
      <c r="H179" s="32" t="str">
        <f>IFERROR((VLOOKUP(F179,'Planilha de Cadastro - Previsão'!$A$2:$N$1100,3,FALSE()))," ")</f>
        <v xml:space="preserve"> </v>
      </c>
      <c r="I179" s="34" t="str">
        <f>IFERROR((VLOOKUP(F179,'Planilha de Cadastro - Previsão'!$A$2:$N$1100,4,FALSE()))," ")</f>
        <v xml:space="preserve"> </v>
      </c>
      <c r="J179" s="34" t="str">
        <f>IFERROR((VLOOKUP(F179,'Planilha de Cadastro - Previsão'!$A$2:$N$1100,5,FALSE()))," ")</f>
        <v xml:space="preserve"> </v>
      </c>
      <c r="K179" s="36"/>
      <c r="L179" s="34" t="str">
        <f t="shared" si="12"/>
        <v/>
      </c>
      <c r="M179" s="35" t="str">
        <f t="shared" si="13"/>
        <v/>
      </c>
      <c r="N179" s="39"/>
      <c r="O179" s="36"/>
    </row>
    <row r="180" spans="1:15" x14ac:dyDescent="0.25">
      <c r="A180">
        <f>COUNTIF($C$2:C180,C180)</f>
        <v>179</v>
      </c>
      <c r="B180" s="1" t="str">
        <f t="shared" si="10"/>
        <v>179</v>
      </c>
      <c r="C180" s="1" t="str">
        <f>IFERROR(VLOOKUP(D180,'Planilha de Cadastro - Previsão'!$A$2:$O$1000,15,FALSE()),"")</f>
        <v/>
      </c>
      <c r="D180" s="1">
        <v>179</v>
      </c>
      <c r="F180" s="32" t="str">
        <f t="shared" si="11"/>
        <v/>
      </c>
      <c r="G180" s="33" t="str">
        <f>IFERROR((VLOOKUP(F180,'Planilha de Cadastro - Previsão'!$A$2:$N$1100,2,FALSE()))," ")</f>
        <v xml:space="preserve"> </v>
      </c>
      <c r="H180" s="32" t="str">
        <f>IFERROR((VLOOKUP(F180,'Planilha de Cadastro - Previsão'!$A$2:$N$1100,3,FALSE()))," ")</f>
        <v xml:space="preserve"> </v>
      </c>
      <c r="I180" s="34" t="str">
        <f>IFERROR((VLOOKUP(F180,'Planilha de Cadastro - Previsão'!$A$2:$N$1100,4,FALSE()))," ")</f>
        <v xml:space="preserve"> </v>
      </c>
      <c r="J180" s="34" t="str">
        <f>IFERROR((VLOOKUP(F180,'Planilha de Cadastro - Previsão'!$A$2:$N$1100,5,FALSE()))," ")</f>
        <v xml:space="preserve"> </v>
      </c>
      <c r="K180" s="36"/>
      <c r="L180" s="34" t="str">
        <f t="shared" si="12"/>
        <v/>
      </c>
      <c r="M180" s="35" t="str">
        <f t="shared" si="13"/>
        <v/>
      </c>
      <c r="N180" s="39"/>
      <c r="O180" s="36"/>
    </row>
    <row r="181" spans="1:15" x14ac:dyDescent="0.25">
      <c r="A181">
        <f>COUNTIF($C$2:C181,C181)</f>
        <v>180</v>
      </c>
      <c r="B181" s="1" t="str">
        <f t="shared" si="10"/>
        <v>180</v>
      </c>
      <c r="C181" s="1" t="str">
        <f>IFERROR(VLOOKUP(D181,'Planilha de Cadastro - Previsão'!$A$2:$O$1000,15,FALSE()),"")</f>
        <v/>
      </c>
      <c r="D181" s="1">
        <v>180</v>
      </c>
      <c r="F181" s="32" t="str">
        <f t="shared" si="11"/>
        <v/>
      </c>
      <c r="G181" s="33" t="str">
        <f>IFERROR((VLOOKUP(F181,'Planilha de Cadastro - Previsão'!$A$2:$N$1100,2,FALSE()))," ")</f>
        <v xml:space="preserve"> </v>
      </c>
      <c r="H181" s="32" t="str">
        <f>IFERROR((VLOOKUP(F181,'Planilha de Cadastro - Previsão'!$A$2:$N$1100,3,FALSE()))," ")</f>
        <v xml:space="preserve"> </v>
      </c>
      <c r="I181" s="34" t="str">
        <f>IFERROR((VLOOKUP(F181,'Planilha de Cadastro - Previsão'!$A$2:$N$1100,4,FALSE()))," ")</f>
        <v xml:space="preserve"> </v>
      </c>
      <c r="J181" s="34" t="str">
        <f>IFERROR((VLOOKUP(F181,'Planilha de Cadastro - Previsão'!$A$2:$N$1100,5,FALSE()))," ")</f>
        <v xml:space="preserve"> </v>
      </c>
      <c r="K181" s="36"/>
      <c r="L181" s="34" t="str">
        <f t="shared" si="12"/>
        <v/>
      </c>
      <c r="M181" s="35" t="str">
        <f t="shared" si="13"/>
        <v/>
      </c>
      <c r="N181" s="39"/>
      <c r="O181" s="36"/>
    </row>
    <row r="182" spans="1:15" x14ac:dyDescent="0.25">
      <c r="A182">
        <f>COUNTIF($C$2:C182,C182)</f>
        <v>181</v>
      </c>
      <c r="B182" s="1" t="str">
        <f t="shared" si="10"/>
        <v>181</v>
      </c>
      <c r="C182" s="1" t="str">
        <f>IFERROR(VLOOKUP(D182,'Planilha de Cadastro - Previsão'!$A$2:$O$1000,15,FALSE()),"")</f>
        <v/>
      </c>
      <c r="D182" s="1">
        <v>181</v>
      </c>
      <c r="F182" s="32" t="str">
        <f t="shared" si="11"/>
        <v/>
      </c>
      <c r="G182" s="33" t="str">
        <f>IFERROR((VLOOKUP(F182,'Planilha de Cadastro - Previsão'!$A$2:$N$1100,2,FALSE()))," ")</f>
        <v xml:space="preserve"> </v>
      </c>
      <c r="H182" s="32" t="str">
        <f>IFERROR((VLOOKUP(F182,'Planilha de Cadastro - Previsão'!$A$2:$N$1100,3,FALSE()))," ")</f>
        <v xml:space="preserve"> </v>
      </c>
      <c r="I182" s="34" t="str">
        <f>IFERROR((VLOOKUP(F182,'Planilha de Cadastro - Previsão'!$A$2:$N$1100,4,FALSE()))," ")</f>
        <v xml:space="preserve"> </v>
      </c>
      <c r="J182" s="34" t="str">
        <f>IFERROR((VLOOKUP(F182,'Planilha de Cadastro - Previsão'!$A$2:$N$1100,5,FALSE()))," ")</f>
        <v xml:space="preserve"> </v>
      </c>
      <c r="K182" s="36"/>
      <c r="L182" s="34" t="str">
        <f t="shared" si="12"/>
        <v/>
      </c>
      <c r="M182" s="35" t="str">
        <f t="shared" si="13"/>
        <v/>
      </c>
      <c r="N182" s="39"/>
      <c r="O182" s="36"/>
    </row>
    <row r="183" spans="1:15" x14ac:dyDescent="0.25">
      <c r="A183">
        <f>COUNTIF($C$2:C183,C183)</f>
        <v>182</v>
      </c>
      <c r="B183" s="1" t="str">
        <f t="shared" si="10"/>
        <v>182</v>
      </c>
      <c r="C183" s="1" t="str">
        <f>IFERROR(VLOOKUP(D183,'Planilha de Cadastro - Previsão'!$A$2:$O$1000,15,FALSE()),"")</f>
        <v/>
      </c>
      <c r="D183" s="1">
        <v>182</v>
      </c>
      <c r="F183" s="32" t="str">
        <f t="shared" si="11"/>
        <v/>
      </c>
      <c r="G183" s="33" t="str">
        <f>IFERROR((VLOOKUP(F183,'Planilha de Cadastro - Previsão'!$A$2:$N$1100,2,FALSE()))," ")</f>
        <v xml:space="preserve"> </v>
      </c>
      <c r="H183" s="32" t="str">
        <f>IFERROR((VLOOKUP(F183,'Planilha de Cadastro - Previsão'!$A$2:$N$1100,3,FALSE()))," ")</f>
        <v xml:space="preserve"> </v>
      </c>
      <c r="I183" s="34" t="str">
        <f>IFERROR((VLOOKUP(F183,'Planilha de Cadastro - Previsão'!$A$2:$N$1100,4,FALSE()))," ")</f>
        <v xml:space="preserve"> </v>
      </c>
      <c r="J183" s="34" t="str">
        <f>IFERROR((VLOOKUP(F183,'Planilha de Cadastro - Previsão'!$A$2:$N$1100,5,FALSE()))," ")</f>
        <v xml:space="preserve"> </v>
      </c>
      <c r="K183" s="36"/>
      <c r="L183" s="34" t="str">
        <f t="shared" si="12"/>
        <v/>
      </c>
      <c r="M183" s="35" t="str">
        <f t="shared" si="13"/>
        <v/>
      </c>
      <c r="N183" s="39"/>
      <c r="O183" s="36"/>
    </row>
    <row r="184" spans="1:15" x14ac:dyDescent="0.25">
      <c r="A184">
        <f>COUNTIF($C$2:C184,C184)</f>
        <v>183</v>
      </c>
      <c r="B184" s="1" t="str">
        <f t="shared" si="10"/>
        <v>183</v>
      </c>
      <c r="C184" s="1" t="str">
        <f>IFERROR(VLOOKUP(D184,'Planilha de Cadastro - Previsão'!$A$2:$O$1000,15,FALSE()),"")</f>
        <v/>
      </c>
      <c r="D184" s="1">
        <v>183</v>
      </c>
      <c r="F184" s="32" t="str">
        <f t="shared" si="11"/>
        <v/>
      </c>
      <c r="G184" s="33" t="str">
        <f>IFERROR((VLOOKUP(F184,'Planilha de Cadastro - Previsão'!$A$2:$N$1100,2,FALSE()))," ")</f>
        <v xml:space="preserve"> </v>
      </c>
      <c r="H184" s="32" t="str">
        <f>IFERROR((VLOOKUP(F184,'Planilha de Cadastro - Previsão'!$A$2:$N$1100,3,FALSE()))," ")</f>
        <v xml:space="preserve"> </v>
      </c>
      <c r="I184" s="34" t="str">
        <f>IFERROR((VLOOKUP(F184,'Planilha de Cadastro - Previsão'!$A$2:$N$1100,4,FALSE()))," ")</f>
        <v xml:space="preserve"> </v>
      </c>
      <c r="J184" s="34" t="str">
        <f>IFERROR((VLOOKUP(F184,'Planilha de Cadastro - Previsão'!$A$2:$N$1100,5,FALSE()))," ")</f>
        <v xml:space="preserve"> </v>
      </c>
      <c r="K184" s="36"/>
      <c r="L184" s="34" t="str">
        <f t="shared" si="12"/>
        <v/>
      </c>
      <c r="M184" s="35" t="str">
        <f t="shared" si="13"/>
        <v/>
      </c>
      <c r="N184" s="39"/>
      <c r="O184" s="36"/>
    </row>
    <row r="185" spans="1:15" x14ac:dyDescent="0.25">
      <c r="A185">
        <f>COUNTIF($C$2:C185,C185)</f>
        <v>184</v>
      </c>
      <c r="B185" s="1" t="str">
        <f t="shared" si="10"/>
        <v>184</v>
      </c>
      <c r="C185" s="1" t="str">
        <f>IFERROR(VLOOKUP(D185,'Planilha de Cadastro - Previsão'!$A$2:$O$1000,15,FALSE()),"")</f>
        <v/>
      </c>
      <c r="D185" s="1">
        <v>184</v>
      </c>
      <c r="F185" s="32" t="str">
        <f t="shared" si="11"/>
        <v/>
      </c>
      <c r="G185" s="33" t="str">
        <f>IFERROR((VLOOKUP(F185,'Planilha de Cadastro - Previsão'!$A$2:$N$1100,2,FALSE()))," ")</f>
        <v xml:space="preserve"> </v>
      </c>
      <c r="H185" s="32" t="str">
        <f>IFERROR((VLOOKUP(F185,'Planilha de Cadastro - Previsão'!$A$2:$N$1100,3,FALSE()))," ")</f>
        <v xml:space="preserve"> </v>
      </c>
      <c r="I185" s="34" t="str">
        <f>IFERROR((VLOOKUP(F185,'Planilha de Cadastro - Previsão'!$A$2:$N$1100,4,FALSE()))," ")</f>
        <v xml:space="preserve"> </v>
      </c>
      <c r="J185" s="34" t="str">
        <f>IFERROR((VLOOKUP(F185,'Planilha de Cadastro - Previsão'!$A$2:$N$1100,5,FALSE()))," ")</f>
        <v xml:space="preserve"> </v>
      </c>
      <c r="K185" s="36"/>
      <c r="L185" s="34" t="str">
        <f t="shared" si="12"/>
        <v/>
      </c>
      <c r="M185" s="35" t="str">
        <f t="shared" si="13"/>
        <v/>
      </c>
      <c r="N185" s="39"/>
      <c r="O185" s="36"/>
    </row>
    <row r="186" spans="1:15" x14ac:dyDescent="0.25">
      <c r="A186">
        <f>COUNTIF($C$2:C186,C186)</f>
        <v>185</v>
      </c>
      <c r="B186" s="1" t="str">
        <f t="shared" si="10"/>
        <v>185</v>
      </c>
      <c r="C186" s="1" t="str">
        <f>IFERROR(VLOOKUP(D186,'Planilha de Cadastro - Previsão'!$A$2:$O$1000,15,FALSE()),"")</f>
        <v/>
      </c>
      <c r="D186" s="1">
        <v>185</v>
      </c>
      <c r="F186" s="32" t="str">
        <f t="shared" si="11"/>
        <v/>
      </c>
      <c r="G186" s="33" t="str">
        <f>IFERROR((VLOOKUP(F186,'Planilha de Cadastro - Previsão'!$A$2:$N$1100,2,FALSE()))," ")</f>
        <v xml:space="preserve"> </v>
      </c>
      <c r="H186" s="32" t="str">
        <f>IFERROR((VLOOKUP(F186,'Planilha de Cadastro - Previsão'!$A$2:$N$1100,3,FALSE()))," ")</f>
        <v xml:space="preserve"> </v>
      </c>
      <c r="I186" s="34" t="str">
        <f>IFERROR((VLOOKUP(F186,'Planilha de Cadastro - Previsão'!$A$2:$N$1100,4,FALSE()))," ")</f>
        <v xml:space="preserve"> </v>
      </c>
      <c r="J186" s="34" t="str">
        <f>IFERROR((VLOOKUP(F186,'Planilha de Cadastro - Previsão'!$A$2:$N$1100,5,FALSE()))," ")</f>
        <v xml:space="preserve"> </v>
      </c>
      <c r="K186" s="36"/>
      <c r="L186" s="34" t="str">
        <f t="shared" si="12"/>
        <v/>
      </c>
      <c r="M186" s="35" t="str">
        <f t="shared" si="13"/>
        <v/>
      </c>
      <c r="N186" s="39"/>
      <c r="O186" s="36"/>
    </row>
    <row r="187" spans="1:15" x14ac:dyDescent="0.25">
      <c r="A187">
        <f>COUNTIF($C$2:C187,C187)</f>
        <v>186</v>
      </c>
      <c r="B187" s="1" t="str">
        <f t="shared" si="10"/>
        <v>186</v>
      </c>
      <c r="C187" s="1" t="str">
        <f>IFERROR(VLOOKUP(D187,'Planilha de Cadastro - Previsão'!$A$2:$O$1000,15,FALSE()),"")</f>
        <v/>
      </c>
      <c r="D187" s="1">
        <v>186</v>
      </c>
      <c r="F187" s="32" t="str">
        <f t="shared" si="11"/>
        <v/>
      </c>
      <c r="G187" s="33" t="str">
        <f>IFERROR((VLOOKUP(F187,'Planilha de Cadastro - Previsão'!$A$2:$N$1100,2,FALSE()))," ")</f>
        <v xml:space="preserve"> </v>
      </c>
      <c r="H187" s="32" t="str">
        <f>IFERROR((VLOOKUP(F187,'Planilha de Cadastro - Previsão'!$A$2:$N$1100,3,FALSE()))," ")</f>
        <v xml:space="preserve"> </v>
      </c>
      <c r="I187" s="34" t="str">
        <f>IFERROR((VLOOKUP(F187,'Planilha de Cadastro - Previsão'!$A$2:$N$1100,4,FALSE()))," ")</f>
        <v xml:space="preserve"> </v>
      </c>
      <c r="J187" s="34" t="str">
        <f>IFERROR((VLOOKUP(F187,'Planilha de Cadastro - Previsão'!$A$2:$N$1100,5,FALSE()))," ")</f>
        <v xml:space="preserve"> </v>
      </c>
      <c r="K187" s="36"/>
      <c r="L187" s="34" t="str">
        <f t="shared" si="12"/>
        <v/>
      </c>
      <c r="M187" s="35" t="str">
        <f t="shared" si="13"/>
        <v/>
      </c>
      <c r="N187" s="39"/>
      <c r="O187" s="36"/>
    </row>
    <row r="188" spans="1:15" x14ac:dyDescent="0.25">
      <c r="A188">
        <f>COUNTIF($C$2:C188,C188)</f>
        <v>187</v>
      </c>
      <c r="B188" s="1" t="str">
        <f t="shared" si="10"/>
        <v>187</v>
      </c>
      <c r="C188" s="1" t="str">
        <f>IFERROR(VLOOKUP(D188,'Planilha de Cadastro - Previsão'!$A$2:$O$1000,15,FALSE()),"")</f>
        <v/>
      </c>
      <c r="D188" s="1">
        <v>187</v>
      </c>
      <c r="F188" s="32" t="str">
        <f t="shared" si="11"/>
        <v/>
      </c>
      <c r="G188" s="33" t="str">
        <f>IFERROR((VLOOKUP(F188,'Planilha de Cadastro - Previsão'!$A$2:$N$1100,2,FALSE()))," ")</f>
        <v xml:space="preserve"> </v>
      </c>
      <c r="H188" s="32" t="str">
        <f>IFERROR((VLOOKUP(F188,'Planilha de Cadastro - Previsão'!$A$2:$N$1100,3,FALSE()))," ")</f>
        <v xml:space="preserve"> </v>
      </c>
      <c r="I188" s="34" t="str">
        <f>IFERROR((VLOOKUP(F188,'Planilha de Cadastro - Previsão'!$A$2:$N$1100,4,FALSE()))," ")</f>
        <v xml:space="preserve"> </v>
      </c>
      <c r="J188" s="34" t="str">
        <f>IFERROR((VLOOKUP(F188,'Planilha de Cadastro - Previsão'!$A$2:$N$1100,5,FALSE()))," ")</f>
        <v xml:space="preserve"> </v>
      </c>
      <c r="K188" s="36"/>
      <c r="L188" s="34" t="str">
        <f t="shared" si="12"/>
        <v/>
      </c>
      <c r="M188" s="35" t="str">
        <f t="shared" si="13"/>
        <v/>
      </c>
      <c r="N188" s="39"/>
      <c r="O188" s="36"/>
    </row>
    <row r="189" spans="1:15" x14ac:dyDescent="0.25">
      <c r="A189">
        <f>COUNTIF($C$2:C189,C189)</f>
        <v>188</v>
      </c>
      <c r="B189" s="1" t="str">
        <f t="shared" si="10"/>
        <v>188</v>
      </c>
      <c r="C189" s="1" t="str">
        <f>IFERROR(VLOOKUP(D189,'Planilha de Cadastro - Previsão'!$A$2:$O$1000,15,FALSE()),"")</f>
        <v/>
      </c>
      <c r="D189" s="1">
        <v>188</v>
      </c>
      <c r="F189" s="32" t="str">
        <f t="shared" si="11"/>
        <v/>
      </c>
      <c r="G189" s="33" t="str">
        <f>IFERROR((VLOOKUP(F189,'Planilha de Cadastro - Previsão'!$A$2:$N$1100,2,FALSE()))," ")</f>
        <v xml:space="preserve"> </v>
      </c>
      <c r="H189" s="32" t="str">
        <f>IFERROR((VLOOKUP(F189,'Planilha de Cadastro - Previsão'!$A$2:$N$1100,3,FALSE()))," ")</f>
        <v xml:space="preserve"> </v>
      </c>
      <c r="I189" s="34" t="str">
        <f>IFERROR((VLOOKUP(F189,'Planilha de Cadastro - Previsão'!$A$2:$N$1100,4,FALSE()))," ")</f>
        <v xml:space="preserve"> </v>
      </c>
      <c r="J189" s="34" t="str">
        <f>IFERROR((VLOOKUP(F189,'Planilha de Cadastro - Previsão'!$A$2:$N$1100,5,FALSE()))," ")</f>
        <v xml:space="preserve"> </v>
      </c>
      <c r="K189" s="36"/>
      <c r="L189" s="34" t="str">
        <f t="shared" si="12"/>
        <v/>
      </c>
      <c r="M189" s="35" t="str">
        <f t="shared" si="13"/>
        <v/>
      </c>
      <c r="N189" s="39"/>
      <c r="O189" s="36"/>
    </row>
    <row r="190" spans="1:15" x14ac:dyDescent="0.25">
      <c r="A190">
        <f>COUNTIF($C$2:C190,C190)</f>
        <v>189</v>
      </c>
      <c r="B190" s="1" t="str">
        <f t="shared" si="10"/>
        <v>189</v>
      </c>
      <c r="C190" s="1" t="str">
        <f>IFERROR(VLOOKUP(D190,'Planilha de Cadastro - Previsão'!$A$2:$O$1000,15,FALSE()),"")</f>
        <v/>
      </c>
      <c r="D190" s="1">
        <v>189</v>
      </c>
      <c r="F190" s="32" t="str">
        <f t="shared" si="11"/>
        <v/>
      </c>
      <c r="G190" s="33" t="str">
        <f>IFERROR((VLOOKUP(F190,'Planilha de Cadastro - Previsão'!$A$2:$N$1100,2,FALSE()))," ")</f>
        <v xml:space="preserve"> </v>
      </c>
      <c r="H190" s="32" t="str">
        <f>IFERROR((VLOOKUP(F190,'Planilha de Cadastro - Previsão'!$A$2:$N$1100,3,FALSE()))," ")</f>
        <v xml:space="preserve"> </v>
      </c>
      <c r="I190" s="34" t="str">
        <f>IFERROR((VLOOKUP(F190,'Planilha de Cadastro - Previsão'!$A$2:$N$1100,4,FALSE()))," ")</f>
        <v xml:space="preserve"> </v>
      </c>
      <c r="J190" s="34" t="str">
        <f>IFERROR((VLOOKUP(F190,'Planilha de Cadastro - Previsão'!$A$2:$N$1100,5,FALSE()))," ")</f>
        <v xml:space="preserve"> </v>
      </c>
      <c r="K190" s="36"/>
      <c r="L190" s="34" t="str">
        <f t="shared" si="12"/>
        <v/>
      </c>
      <c r="M190" s="35" t="str">
        <f t="shared" si="13"/>
        <v/>
      </c>
      <c r="N190" s="39"/>
      <c r="O190" s="36"/>
    </row>
    <row r="191" spans="1:15" x14ac:dyDescent="0.25">
      <c r="A191">
        <f>COUNTIF($C$2:C191,C191)</f>
        <v>190</v>
      </c>
      <c r="B191" s="1" t="str">
        <f t="shared" si="10"/>
        <v>190</v>
      </c>
      <c r="C191" s="1" t="str">
        <f>IFERROR(VLOOKUP(D191,'Planilha de Cadastro - Previsão'!$A$2:$O$1000,15,FALSE()),"")</f>
        <v/>
      </c>
      <c r="D191" s="1">
        <v>190</v>
      </c>
      <c r="F191" s="32" t="str">
        <f t="shared" si="11"/>
        <v/>
      </c>
      <c r="G191" s="33" t="str">
        <f>IFERROR((VLOOKUP(F191,'Planilha de Cadastro - Previsão'!$A$2:$N$1100,2,FALSE()))," ")</f>
        <v xml:space="preserve"> </v>
      </c>
      <c r="H191" s="32" t="str">
        <f>IFERROR((VLOOKUP(F191,'Planilha de Cadastro - Previsão'!$A$2:$N$1100,3,FALSE()))," ")</f>
        <v xml:space="preserve"> </v>
      </c>
      <c r="I191" s="34" t="str">
        <f>IFERROR((VLOOKUP(F191,'Planilha de Cadastro - Previsão'!$A$2:$N$1100,4,FALSE()))," ")</f>
        <v xml:space="preserve"> </v>
      </c>
      <c r="J191" s="34" t="str">
        <f>IFERROR((VLOOKUP(F191,'Planilha de Cadastro - Previsão'!$A$2:$N$1100,5,FALSE()))," ")</f>
        <v xml:space="preserve"> </v>
      </c>
      <c r="K191" s="36"/>
      <c r="L191" s="34" t="str">
        <f t="shared" si="12"/>
        <v/>
      </c>
      <c r="M191" s="35" t="str">
        <f t="shared" si="13"/>
        <v/>
      </c>
      <c r="N191" s="39"/>
      <c r="O191" s="36"/>
    </row>
    <row r="192" spans="1:15" x14ac:dyDescent="0.25">
      <c r="A192">
        <f>COUNTIF($C$2:C192,C192)</f>
        <v>191</v>
      </c>
      <c r="B192" s="1" t="str">
        <f t="shared" si="10"/>
        <v>191</v>
      </c>
      <c r="C192" s="1" t="str">
        <f>IFERROR(VLOOKUP(D192,'Planilha de Cadastro - Previsão'!$A$2:$O$1000,15,FALSE()),"")</f>
        <v/>
      </c>
      <c r="D192" s="1">
        <v>191</v>
      </c>
      <c r="F192" s="32" t="str">
        <f t="shared" si="11"/>
        <v/>
      </c>
      <c r="G192" s="33" t="str">
        <f>IFERROR((VLOOKUP(F192,'Planilha de Cadastro - Previsão'!$A$2:$N$1100,2,FALSE()))," ")</f>
        <v xml:space="preserve"> </v>
      </c>
      <c r="H192" s="32" t="str">
        <f>IFERROR((VLOOKUP(F192,'Planilha de Cadastro - Previsão'!$A$2:$N$1100,3,FALSE()))," ")</f>
        <v xml:space="preserve"> </v>
      </c>
      <c r="I192" s="34" t="str">
        <f>IFERROR((VLOOKUP(F192,'Planilha de Cadastro - Previsão'!$A$2:$N$1100,4,FALSE()))," ")</f>
        <v xml:space="preserve"> </v>
      </c>
      <c r="J192" s="34" t="str">
        <f>IFERROR((VLOOKUP(F192,'Planilha de Cadastro - Previsão'!$A$2:$N$1100,5,FALSE()))," ")</f>
        <v xml:space="preserve"> </v>
      </c>
      <c r="K192" s="36"/>
      <c r="L192" s="34" t="str">
        <f t="shared" si="12"/>
        <v/>
      </c>
      <c r="M192" s="35" t="str">
        <f t="shared" si="13"/>
        <v/>
      </c>
      <c r="N192" s="39"/>
      <c r="O192" s="36"/>
    </row>
    <row r="193" spans="1:15" x14ac:dyDescent="0.25">
      <c r="A193">
        <f>COUNTIF($C$2:C193,C193)</f>
        <v>192</v>
      </c>
      <c r="B193" s="1" t="str">
        <f t="shared" si="10"/>
        <v>192</v>
      </c>
      <c r="C193" s="1" t="str">
        <f>IFERROR(VLOOKUP(D193,'Planilha de Cadastro - Previsão'!$A$2:$O$1000,15,FALSE()),"")</f>
        <v/>
      </c>
      <c r="D193" s="1">
        <v>192</v>
      </c>
      <c r="F193" s="32" t="str">
        <f t="shared" si="11"/>
        <v/>
      </c>
      <c r="G193" s="33" t="str">
        <f>IFERROR((VLOOKUP(F193,'Planilha de Cadastro - Previsão'!$A$2:$N$1100,2,FALSE()))," ")</f>
        <v xml:space="preserve"> </v>
      </c>
      <c r="H193" s="32" t="str">
        <f>IFERROR((VLOOKUP(F193,'Planilha de Cadastro - Previsão'!$A$2:$N$1100,3,FALSE()))," ")</f>
        <v xml:space="preserve"> </v>
      </c>
      <c r="I193" s="34" t="str">
        <f>IFERROR((VLOOKUP(F193,'Planilha de Cadastro - Previsão'!$A$2:$N$1100,4,FALSE()))," ")</f>
        <v xml:space="preserve"> </v>
      </c>
      <c r="J193" s="34" t="str">
        <f>IFERROR((VLOOKUP(F193,'Planilha de Cadastro - Previsão'!$A$2:$N$1100,5,FALSE()))," ")</f>
        <v xml:space="preserve"> </v>
      </c>
      <c r="K193" s="36"/>
      <c r="L193" s="34" t="str">
        <f t="shared" si="12"/>
        <v/>
      </c>
      <c r="M193" s="35" t="str">
        <f t="shared" si="13"/>
        <v/>
      </c>
      <c r="N193" s="39"/>
      <c r="O193" s="36"/>
    </row>
    <row r="194" spans="1:15" x14ac:dyDescent="0.25">
      <c r="A194">
        <f>COUNTIF($C$2:C194,C194)</f>
        <v>193</v>
      </c>
      <c r="B194" s="1" t="str">
        <f t="shared" si="10"/>
        <v>193</v>
      </c>
      <c r="C194" s="1" t="str">
        <f>IFERROR(VLOOKUP(D194,'Planilha de Cadastro - Previsão'!$A$2:$O$1000,15,FALSE()),"")</f>
        <v/>
      </c>
      <c r="D194" s="1">
        <v>193</v>
      </c>
      <c r="F194" s="32" t="str">
        <f t="shared" si="11"/>
        <v/>
      </c>
      <c r="G194" s="33" t="str">
        <f>IFERROR((VLOOKUP(F194,'Planilha de Cadastro - Previsão'!$A$2:$N$1100,2,FALSE()))," ")</f>
        <v xml:space="preserve"> </v>
      </c>
      <c r="H194" s="32" t="str">
        <f>IFERROR((VLOOKUP(F194,'Planilha de Cadastro - Previsão'!$A$2:$N$1100,3,FALSE()))," ")</f>
        <v xml:space="preserve"> </v>
      </c>
      <c r="I194" s="34" t="str">
        <f>IFERROR((VLOOKUP(F194,'Planilha de Cadastro - Previsão'!$A$2:$N$1100,4,FALSE()))," ")</f>
        <v xml:space="preserve"> </v>
      </c>
      <c r="J194" s="34" t="str">
        <f>IFERROR((VLOOKUP(F194,'Planilha de Cadastro - Previsão'!$A$2:$N$1100,5,FALSE()))," ")</f>
        <v xml:space="preserve"> </v>
      </c>
      <c r="K194" s="36"/>
      <c r="L194" s="34" t="str">
        <f t="shared" si="12"/>
        <v/>
      </c>
      <c r="M194" s="35" t="str">
        <f t="shared" si="13"/>
        <v/>
      </c>
      <c r="N194" s="39"/>
      <c r="O194" s="36"/>
    </row>
    <row r="195" spans="1:15" x14ac:dyDescent="0.25">
      <c r="A195">
        <f>COUNTIF($C$2:C195,C195)</f>
        <v>194</v>
      </c>
      <c r="B195" s="1" t="str">
        <f t="shared" ref="B195:B258" si="14">IFERROR(CONCATENATE(C195,A195),"")</f>
        <v>194</v>
      </c>
      <c r="C195" s="1" t="str">
        <f>IFERROR(VLOOKUP(D195,'Planilha de Cadastro - Previsão'!$A$2:$O$1000,15,FALSE()),"")</f>
        <v/>
      </c>
      <c r="D195" s="1">
        <v>194</v>
      </c>
      <c r="F195" s="32" t="str">
        <f t="shared" ref="F195:F258" si="15">IFERROR((VLOOKUP(CONCATENATE("Sim",D195),$B$2:$D$1000,3,FALSE())),"")</f>
        <v/>
      </c>
      <c r="G195" s="33" t="str">
        <f>IFERROR((VLOOKUP(F195,'Planilha de Cadastro - Previsão'!$A$2:$N$1100,2,FALSE()))," ")</f>
        <v xml:space="preserve"> </v>
      </c>
      <c r="H195" s="32" t="str">
        <f>IFERROR((VLOOKUP(F195,'Planilha de Cadastro - Previsão'!$A$2:$N$1100,3,FALSE()))," ")</f>
        <v xml:space="preserve"> </v>
      </c>
      <c r="I195" s="34" t="str">
        <f>IFERROR((VLOOKUP(F195,'Planilha de Cadastro - Previsão'!$A$2:$N$1100,4,FALSE()))," ")</f>
        <v xml:space="preserve"> </v>
      </c>
      <c r="J195" s="34" t="str">
        <f>IFERROR((VLOOKUP(F195,'Planilha de Cadastro - Previsão'!$A$2:$N$1100,5,FALSE()))," ")</f>
        <v xml:space="preserve"> </v>
      </c>
      <c r="K195" s="36"/>
      <c r="L195" s="34" t="str">
        <f t="shared" ref="L195:L258" si="16">IF(K195&gt;0,(K195*H195)-(I195*H195)-(K195*H195*4%),"")</f>
        <v/>
      </c>
      <c r="M195" s="35" t="str">
        <f t="shared" ref="M195:M258" si="17">IFERROR(L195/(K195*H195),"")</f>
        <v/>
      </c>
      <c r="N195" s="39"/>
      <c r="O195" s="36"/>
    </row>
    <row r="196" spans="1:15" x14ac:dyDescent="0.25">
      <c r="A196">
        <f>COUNTIF($C$2:C196,C196)</f>
        <v>195</v>
      </c>
      <c r="B196" s="1" t="str">
        <f t="shared" si="14"/>
        <v>195</v>
      </c>
      <c r="C196" s="1" t="str">
        <f>IFERROR(VLOOKUP(D196,'Planilha de Cadastro - Previsão'!$A$2:$O$1000,15,FALSE()),"")</f>
        <v/>
      </c>
      <c r="D196" s="1">
        <v>195</v>
      </c>
      <c r="F196" s="32" t="str">
        <f t="shared" si="15"/>
        <v/>
      </c>
      <c r="G196" s="33" t="str">
        <f>IFERROR((VLOOKUP(F196,'Planilha de Cadastro - Previsão'!$A$2:$N$1100,2,FALSE()))," ")</f>
        <v xml:space="preserve"> </v>
      </c>
      <c r="H196" s="32" t="str">
        <f>IFERROR((VLOOKUP(F196,'Planilha de Cadastro - Previsão'!$A$2:$N$1100,3,FALSE()))," ")</f>
        <v xml:space="preserve"> </v>
      </c>
      <c r="I196" s="34" t="str">
        <f>IFERROR((VLOOKUP(F196,'Planilha de Cadastro - Previsão'!$A$2:$N$1100,4,FALSE()))," ")</f>
        <v xml:space="preserve"> </v>
      </c>
      <c r="J196" s="34" t="str">
        <f>IFERROR((VLOOKUP(F196,'Planilha de Cadastro - Previsão'!$A$2:$N$1100,5,FALSE()))," ")</f>
        <v xml:space="preserve"> </v>
      </c>
      <c r="K196" s="36"/>
      <c r="L196" s="34" t="str">
        <f t="shared" si="16"/>
        <v/>
      </c>
      <c r="M196" s="35" t="str">
        <f t="shared" si="17"/>
        <v/>
      </c>
      <c r="N196" s="39"/>
      <c r="O196" s="36"/>
    </row>
    <row r="197" spans="1:15" x14ac:dyDescent="0.25">
      <c r="A197">
        <f>COUNTIF($C$2:C197,C197)</f>
        <v>196</v>
      </c>
      <c r="B197" s="1" t="str">
        <f t="shared" si="14"/>
        <v>196</v>
      </c>
      <c r="C197" s="1" t="str">
        <f>IFERROR(VLOOKUP(D197,'Planilha de Cadastro - Previsão'!$A$2:$O$1000,15,FALSE()),"")</f>
        <v/>
      </c>
      <c r="D197" s="1">
        <v>196</v>
      </c>
      <c r="F197" s="32" t="str">
        <f t="shared" si="15"/>
        <v/>
      </c>
      <c r="G197" s="33" t="str">
        <f>IFERROR((VLOOKUP(F197,'Planilha de Cadastro - Previsão'!$A$2:$N$1100,2,FALSE()))," ")</f>
        <v xml:space="preserve"> </v>
      </c>
      <c r="H197" s="32" t="str">
        <f>IFERROR((VLOOKUP(F197,'Planilha de Cadastro - Previsão'!$A$2:$N$1100,3,FALSE()))," ")</f>
        <v xml:space="preserve"> </v>
      </c>
      <c r="I197" s="34" t="str">
        <f>IFERROR((VLOOKUP(F197,'Planilha de Cadastro - Previsão'!$A$2:$N$1100,4,FALSE()))," ")</f>
        <v xml:space="preserve"> </v>
      </c>
      <c r="J197" s="34" t="str">
        <f>IFERROR((VLOOKUP(F197,'Planilha de Cadastro - Previsão'!$A$2:$N$1100,5,FALSE()))," ")</f>
        <v xml:space="preserve"> </v>
      </c>
      <c r="K197" s="36"/>
      <c r="L197" s="34" t="str">
        <f t="shared" si="16"/>
        <v/>
      </c>
      <c r="M197" s="35" t="str">
        <f t="shared" si="17"/>
        <v/>
      </c>
      <c r="N197" s="39"/>
      <c r="O197" s="36"/>
    </row>
    <row r="198" spans="1:15" x14ac:dyDescent="0.25">
      <c r="A198">
        <f>COUNTIF($C$2:C198,C198)</f>
        <v>197</v>
      </c>
      <c r="B198" s="1" t="str">
        <f t="shared" si="14"/>
        <v>197</v>
      </c>
      <c r="C198" s="1" t="str">
        <f>IFERROR(VLOOKUP(D198,'Planilha de Cadastro - Previsão'!$A$2:$O$1000,15,FALSE()),"")</f>
        <v/>
      </c>
      <c r="D198" s="1">
        <v>197</v>
      </c>
      <c r="F198" s="32" t="str">
        <f t="shared" si="15"/>
        <v/>
      </c>
      <c r="G198" s="33" t="str">
        <f>IFERROR((VLOOKUP(F198,'Planilha de Cadastro - Previsão'!$A$2:$N$1100,2,FALSE()))," ")</f>
        <v xml:space="preserve"> </v>
      </c>
      <c r="H198" s="32" t="str">
        <f>IFERROR((VLOOKUP(F198,'Planilha de Cadastro - Previsão'!$A$2:$N$1100,3,FALSE()))," ")</f>
        <v xml:space="preserve"> </v>
      </c>
      <c r="I198" s="34" t="str">
        <f>IFERROR((VLOOKUP(F198,'Planilha de Cadastro - Previsão'!$A$2:$N$1100,4,FALSE()))," ")</f>
        <v xml:space="preserve"> </v>
      </c>
      <c r="J198" s="34" t="str">
        <f>IFERROR((VLOOKUP(F198,'Planilha de Cadastro - Previsão'!$A$2:$N$1100,5,FALSE()))," ")</f>
        <v xml:space="preserve"> </v>
      </c>
      <c r="K198" s="36"/>
      <c r="L198" s="34" t="str">
        <f t="shared" si="16"/>
        <v/>
      </c>
      <c r="M198" s="35" t="str">
        <f t="shared" si="17"/>
        <v/>
      </c>
      <c r="N198" s="39"/>
      <c r="O198" s="36"/>
    </row>
    <row r="199" spans="1:15" x14ac:dyDescent="0.25">
      <c r="A199">
        <f>COUNTIF($C$2:C199,C199)</f>
        <v>198</v>
      </c>
      <c r="B199" s="1" t="str">
        <f t="shared" si="14"/>
        <v>198</v>
      </c>
      <c r="C199" s="1" t="str">
        <f>IFERROR(VLOOKUP(D199,'Planilha de Cadastro - Previsão'!$A$2:$O$1000,15,FALSE()),"")</f>
        <v/>
      </c>
      <c r="D199" s="1">
        <v>198</v>
      </c>
      <c r="F199" s="32" t="str">
        <f t="shared" si="15"/>
        <v/>
      </c>
      <c r="G199" s="33" t="str">
        <f>IFERROR((VLOOKUP(F199,'Planilha de Cadastro - Previsão'!$A$2:$N$1100,2,FALSE()))," ")</f>
        <v xml:space="preserve"> </v>
      </c>
      <c r="H199" s="32" t="str">
        <f>IFERROR((VLOOKUP(F199,'Planilha de Cadastro - Previsão'!$A$2:$N$1100,3,FALSE()))," ")</f>
        <v xml:space="preserve"> </v>
      </c>
      <c r="I199" s="34" t="str">
        <f>IFERROR((VLOOKUP(F199,'Planilha de Cadastro - Previsão'!$A$2:$N$1100,4,FALSE()))," ")</f>
        <v xml:space="preserve"> </v>
      </c>
      <c r="J199" s="34" t="str">
        <f>IFERROR((VLOOKUP(F199,'Planilha de Cadastro - Previsão'!$A$2:$N$1100,5,FALSE()))," ")</f>
        <v xml:space="preserve"> </v>
      </c>
      <c r="K199" s="36"/>
      <c r="L199" s="34" t="str">
        <f t="shared" si="16"/>
        <v/>
      </c>
      <c r="M199" s="35" t="str">
        <f t="shared" si="17"/>
        <v/>
      </c>
      <c r="N199" s="39"/>
      <c r="O199" s="36"/>
    </row>
    <row r="200" spans="1:15" x14ac:dyDescent="0.25">
      <c r="A200">
        <f>COUNTIF($C$2:C200,C200)</f>
        <v>199</v>
      </c>
      <c r="B200" s="1" t="str">
        <f t="shared" si="14"/>
        <v>199</v>
      </c>
      <c r="C200" s="1" t="str">
        <f>IFERROR(VLOOKUP(D200,'Planilha de Cadastro - Previsão'!$A$2:$O$1000,15,FALSE()),"")</f>
        <v/>
      </c>
      <c r="D200" s="1">
        <v>199</v>
      </c>
      <c r="F200" s="32" t="str">
        <f t="shared" si="15"/>
        <v/>
      </c>
      <c r="G200" s="33" t="str">
        <f>IFERROR((VLOOKUP(F200,'Planilha de Cadastro - Previsão'!$A$2:$N$1100,2,FALSE()))," ")</f>
        <v xml:space="preserve"> </v>
      </c>
      <c r="H200" s="32" t="str">
        <f>IFERROR((VLOOKUP(F200,'Planilha de Cadastro - Previsão'!$A$2:$N$1100,3,FALSE()))," ")</f>
        <v xml:space="preserve"> </v>
      </c>
      <c r="I200" s="34" t="str">
        <f>IFERROR((VLOOKUP(F200,'Planilha de Cadastro - Previsão'!$A$2:$N$1100,4,FALSE()))," ")</f>
        <v xml:space="preserve"> </v>
      </c>
      <c r="J200" s="34" t="str">
        <f>IFERROR((VLOOKUP(F200,'Planilha de Cadastro - Previsão'!$A$2:$N$1100,5,FALSE()))," ")</f>
        <v xml:space="preserve"> </v>
      </c>
      <c r="K200" s="36"/>
      <c r="L200" s="34" t="str">
        <f t="shared" si="16"/>
        <v/>
      </c>
      <c r="M200" s="35" t="str">
        <f t="shared" si="17"/>
        <v/>
      </c>
      <c r="N200" s="39"/>
      <c r="O200" s="36"/>
    </row>
    <row r="201" spans="1:15" x14ac:dyDescent="0.25">
      <c r="A201">
        <f>COUNTIF($C$2:C201,C201)</f>
        <v>200</v>
      </c>
      <c r="B201" s="1" t="str">
        <f t="shared" si="14"/>
        <v>200</v>
      </c>
      <c r="C201" s="1" t="str">
        <f>IFERROR(VLOOKUP(D201,'Planilha de Cadastro - Previsão'!$A$2:$O$1000,15,FALSE()),"")</f>
        <v/>
      </c>
      <c r="D201" s="1">
        <v>200</v>
      </c>
      <c r="F201" s="32" t="str">
        <f t="shared" si="15"/>
        <v/>
      </c>
      <c r="G201" s="33" t="str">
        <f>IFERROR((VLOOKUP(F201,'Planilha de Cadastro - Previsão'!$A$2:$N$1100,2,FALSE()))," ")</f>
        <v xml:space="preserve"> </v>
      </c>
      <c r="H201" s="32" t="str">
        <f>IFERROR((VLOOKUP(F201,'Planilha de Cadastro - Previsão'!$A$2:$N$1100,3,FALSE()))," ")</f>
        <v xml:space="preserve"> </v>
      </c>
      <c r="I201" s="34" t="str">
        <f>IFERROR((VLOOKUP(F201,'Planilha de Cadastro - Previsão'!$A$2:$N$1100,4,FALSE()))," ")</f>
        <v xml:space="preserve"> </v>
      </c>
      <c r="J201" s="34" t="str">
        <f>IFERROR((VLOOKUP(F201,'Planilha de Cadastro - Previsão'!$A$2:$N$1100,5,FALSE()))," ")</f>
        <v xml:space="preserve"> </v>
      </c>
      <c r="K201" s="36"/>
      <c r="L201" s="34" t="str">
        <f t="shared" si="16"/>
        <v/>
      </c>
      <c r="M201" s="35" t="str">
        <f t="shared" si="17"/>
        <v/>
      </c>
      <c r="N201" s="39"/>
      <c r="O201" s="36"/>
    </row>
    <row r="202" spans="1:15" x14ac:dyDescent="0.25">
      <c r="A202">
        <f>COUNTIF($C$2:C202,C202)</f>
        <v>201</v>
      </c>
      <c r="B202" s="1" t="str">
        <f t="shared" si="14"/>
        <v>201</v>
      </c>
      <c r="C202" s="1" t="str">
        <f>IFERROR(VLOOKUP(D202,'Planilha de Cadastro - Previsão'!$A$2:$O$1000,15,FALSE()),"")</f>
        <v/>
      </c>
      <c r="D202" s="1">
        <v>201</v>
      </c>
      <c r="F202" s="32" t="str">
        <f t="shared" si="15"/>
        <v/>
      </c>
      <c r="G202" s="33" t="str">
        <f>IFERROR((VLOOKUP(F202,'Planilha de Cadastro - Previsão'!$A$2:$N$1100,2,FALSE()))," ")</f>
        <v xml:space="preserve"> </v>
      </c>
      <c r="H202" s="32" t="str">
        <f>IFERROR((VLOOKUP(F202,'Planilha de Cadastro - Previsão'!$A$2:$N$1100,3,FALSE()))," ")</f>
        <v xml:space="preserve"> </v>
      </c>
      <c r="I202" s="34" t="str">
        <f>IFERROR((VLOOKUP(F202,'Planilha de Cadastro - Previsão'!$A$2:$N$1100,4,FALSE()))," ")</f>
        <v xml:space="preserve"> </v>
      </c>
      <c r="J202" s="34" t="str">
        <f>IFERROR((VLOOKUP(F202,'Planilha de Cadastro - Previsão'!$A$2:$N$1100,5,FALSE()))," ")</f>
        <v xml:space="preserve"> </v>
      </c>
      <c r="K202" s="36"/>
      <c r="L202" s="34" t="str">
        <f t="shared" si="16"/>
        <v/>
      </c>
      <c r="M202" s="35" t="str">
        <f t="shared" si="17"/>
        <v/>
      </c>
      <c r="N202" s="39"/>
      <c r="O202" s="36"/>
    </row>
    <row r="203" spans="1:15" x14ac:dyDescent="0.25">
      <c r="A203">
        <f>COUNTIF($C$2:C203,C203)</f>
        <v>202</v>
      </c>
      <c r="B203" s="1" t="str">
        <f t="shared" si="14"/>
        <v>202</v>
      </c>
      <c r="C203" s="1" t="str">
        <f>IFERROR(VLOOKUP(D203,'Planilha de Cadastro - Previsão'!$A$2:$O$1000,15,FALSE()),"")</f>
        <v/>
      </c>
      <c r="D203" s="1">
        <v>202</v>
      </c>
      <c r="F203" s="32" t="str">
        <f t="shared" si="15"/>
        <v/>
      </c>
      <c r="G203" s="33" t="str">
        <f>IFERROR((VLOOKUP(F203,'Planilha de Cadastro - Previsão'!$A$2:$N$1100,2,FALSE()))," ")</f>
        <v xml:space="preserve"> </v>
      </c>
      <c r="H203" s="32" t="str">
        <f>IFERROR((VLOOKUP(F203,'Planilha de Cadastro - Previsão'!$A$2:$N$1100,3,FALSE()))," ")</f>
        <v xml:space="preserve"> </v>
      </c>
      <c r="I203" s="34" t="str">
        <f>IFERROR((VLOOKUP(F203,'Planilha de Cadastro - Previsão'!$A$2:$N$1100,4,FALSE()))," ")</f>
        <v xml:space="preserve"> </v>
      </c>
      <c r="J203" s="34" t="str">
        <f>IFERROR((VLOOKUP(F203,'Planilha de Cadastro - Previsão'!$A$2:$N$1100,5,FALSE()))," ")</f>
        <v xml:space="preserve"> </v>
      </c>
      <c r="K203" s="36"/>
      <c r="L203" s="34" t="str">
        <f t="shared" si="16"/>
        <v/>
      </c>
      <c r="M203" s="35" t="str">
        <f t="shared" si="17"/>
        <v/>
      </c>
      <c r="N203" s="39"/>
      <c r="O203" s="36"/>
    </row>
    <row r="204" spans="1:15" x14ac:dyDescent="0.25">
      <c r="A204">
        <f>COUNTIF($C$2:C204,C204)</f>
        <v>203</v>
      </c>
      <c r="B204" s="1" t="str">
        <f t="shared" si="14"/>
        <v>203</v>
      </c>
      <c r="C204" s="1" t="str">
        <f>IFERROR(VLOOKUP(D204,'Planilha de Cadastro - Previsão'!$A$2:$O$1000,15,FALSE()),"")</f>
        <v/>
      </c>
      <c r="D204" s="1">
        <v>203</v>
      </c>
      <c r="F204" s="32" t="str">
        <f t="shared" si="15"/>
        <v/>
      </c>
      <c r="G204" s="33" t="str">
        <f>IFERROR((VLOOKUP(F204,'Planilha de Cadastro - Previsão'!$A$2:$N$1100,2,FALSE()))," ")</f>
        <v xml:space="preserve"> </v>
      </c>
      <c r="H204" s="32" t="str">
        <f>IFERROR((VLOOKUP(F204,'Planilha de Cadastro - Previsão'!$A$2:$N$1100,3,FALSE()))," ")</f>
        <v xml:space="preserve"> </v>
      </c>
      <c r="I204" s="34" t="str">
        <f>IFERROR((VLOOKUP(F204,'Planilha de Cadastro - Previsão'!$A$2:$N$1100,4,FALSE()))," ")</f>
        <v xml:space="preserve"> </v>
      </c>
      <c r="J204" s="34" t="str">
        <f>IFERROR((VLOOKUP(F204,'Planilha de Cadastro - Previsão'!$A$2:$N$1100,5,FALSE()))," ")</f>
        <v xml:space="preserve"> </v>
      </c>
      <c r="K204" s="36"/>
      <c r="L204" s="34" t="str">
        <f t="shared" si="16"/>
        <v/>
      </c>
      <c r="M204" s="35" t="str">
        <f t="shared" si="17"/>
        <v/>
      </c>
      <c r="N204" s="39"/>
      <c r="O204" s="36"/>
    </row>
    <row r="205" spans="1:15" x14ac:dyDescent="0.25">
      <c r="A205">
        <f>COUNTIF($C$2:C205,C205)</f>
        <v>204</v>
      </c>
      <c r="B205" s="1" t="str">
        <f t="shared" si="14"/>
        <v>204</v>
      </c>
      <c r="C205" s="1" t="str">
        <f>IFERROR(VLOOKUP(D205,'Planilha de Cadastro - Previsão'!$A$2:$O$1000,15,FALSE()),"")</f>
        <v/>
      </c>
      <c r="D205" s="1">
        <v>204</v>
      </c>
      <c r="F205" s="32" t="str">
        <f t="shared" si="15"/>
        <v/>
      </c>
      <c r="G205" s="33" t="str">
        <f>IFERROR((VLOOKUP(F205,'Planilha de Cadastro - Previsão'!$A$2:$N$1100,2,FALSE()))," ")</f>
        <v xml:space="preserve"> </v>
      </c>
      <c r="H205" s="32" t="str">
        <f>IFERROR((VLOOKUP(F205,'Planilha de Cadastro - Previsão'!$A$2:$N$1100,3,FALSE()))," ")</f>
        <v xml:space="preserve"> </v>
      </c>
      <c r="I205" s="34" t="str">
        <f>IFERROR((VLOOKUP(F205,'Planilha de Cadastro - Previsão'!$A$2:$N$1100,4,FALSE()))," ")</f>
        <v xml:space="preserve"> </v>
      </c>
      <c r="J205" s="34" t="str">
        <f>IFERROR((VLOOKUP(F205,'Planilha de Cadastro - Previsão'!$A$2:$N$1100,5,FALSE()))," ")</f>
        <v xml:space="preserve"> </v>
      </c>
      <c r="K205" s="36"/>
      <c r="L205" s="34" t="str">
        <f t="shared" si="16"/>
        <v/>
      </c>
      <c r="M205" s="35" t="str">
        <f t="shared" si="17"/>
        <v/>
      </c>
      <c r="N205" s="39"/>
      <c r="O205" s="36"/>
    </row>
    <row r="206" spans="1:15" x14ac:dyDescent="0.25">
      <c r="A206">
        <f>COUNTIF($C$2:C206,C206)</f>
        <v>205</v>
      </c>
      <c r="B206" s="1" t="str">
        <f t="shared" si="14"/>
        <v>205</v>
      </c>
      <c r="C206" s="1" t="str">
        <f>IFERROR(VLOOKUP(D206,'Planilha de Cadastro - Previsão'!$A$2:$O$1000,15,FALSE()),"")</f>
        <v/>
      </c>
      <c r="D206" s="1">
        <v>205</v>
      </c>
      <c r="F206" s="32" t="str">
        <f t="shared" si="15"/>
        <v/>
      </c>
      <c r="G206" s="33" t="str">
        <f>IFERROR((VLOOKUP(F206,'Planilha de Cadastro - Previsão'!$A$2:$N$1100,2,FALSE()))," ")</f>
        <v xml:space="preserve"> </v>
      </c>
      <c r="H206" s="32" t="str">
        <f>IFERROR((VLOOKUP(F206,'Planilha de Cadastro - Previsão'!$A$2:$N$1100,3,FALSE()))," ")</f>
        <v xml:space="preserve"> </v>
      </c>
      <c r="I206" s="34" t="str">
        <f>IFERROR((VLOOKUP(F206,'Planilha de Cadastro - Previsão'!$A$2:$N$1100,4,FALSE()))," ")</f>
        <v xml:space="preserve"> </v>
      </c>
      <c r="J206" s="34" t="str">
        <f>IFERROR((VLOOKUP(F206,'Planilha de Cadastro - Previsão'!$A$2:$N$1100,5,FALSE()))," ")</f>
        <v xml:space="preserve"> </v>
      </c>
      <c r="K206" s="36"/>
      <c r="L206" s="34" t="str">
        <f t="shared" si="16"/>
        <v/>
      </c>
      <c r="M206" s="35" t="str">
        <f t="shared" si="17"/>
        <v/>
      </c>
      <c r="N206" s="39"/>
      <c r="O206" s="36"/>
    </row>
    <row r="207" spans="1:15" x14ac:dyDescent="0.25">
      <c r="A207">
        <f>COUNTIF($C$2:C207,C207)</f>
        <v>206</v>
      </c>
      <c r="B207" s="1" t="str">
        <f t="shared" si="14"/>
        <v>206</v>
      </c>
      <c r="C207" s="1" t="str">
        <f>IFERROR(VLOOKUP(D207,'Planilha de Cadastro - Previsão'!$A$2:$O$1000,15,FALSE()),"")</f>
        <v/>
      </c>
      <c r="D207" s="1">
        <v>206</v>
      </c>
      <c r="F207" s="32" t="str">
        <f t="shared" si="15"/>
        <v/>
      </c>
      <c r="G207" s="33" t="str">
        <f>IFERROR((VLOOKUP(F207,'Planilha de Cadastro - Previsão'!$A$2:$N$1100,2,FALSE()))," ")</f>
        <v xml:space="preserve"> </v>
      </c>
      <c r="H207" s="32" t="str">
        <f>IFERROR((VLOOKUP(F207,'Planilha de Cadastro - Previsão'!$A$2:$N$1100,3,FALSE()))," ")</f>
        <v xml:space="preserve"> </v>
      </c>
      <c r="I207" s="34" t="str">
        <f>IFERROR((VLOOKUP(F207,'Planilha de Cadastro - Previsão'!$A$2:$N$1100,4,FALSE()))," ")</f>
        <v xml:space="preserve"> </v>
      </c>
      <c r="J207" s="34" t="str">
        <f>IFERROR((VLOOKUP(F207,'Planilha de Cadastro - Previsão'!$A$2:$N$1100,5,FALSE()))," ")</f>
        <v xml:space="preserve"> </v>
      </c>
      <c r="K207" s="36"/>
      <c r="L207" s="34" t="str">
        <f t="shared" si="16"/>
        <v/>
      </c>
      <c r="M207" s="35" t="str">
        <f t="shared" si="17"/>
        <v/>
      </c>
      <c r="N207" s="39"/>
      <c r="O207" s="36"/>
    </row>
    <row r="208" spans="1:15" x14ac:dyDescent="0.25">
      <c r="A208">
        <f>COUNTIF($C$2:C208,C208)</f>
        <v>207</v>
      </c>
      <c r="B208" s="1" t="str">
        <f t="shared" si="14"/>
        <v>207</v>
      </c>
      <c r="C208" s="1" t="str">
        <f>IFERROR(VLOOKUP(D208,'Planilha de Cadastro - Previsão'!$A$2:$O$1000,15,FALSE()),"")</f>
        <v/>
      </c>
      <c r="D208" s="1">
        <v>207</v>
      </c>
      <c r="F208" s="32" t="str">
        <f t="shared" si="15"/>
        <v/>
      </c>
      <c r="G208" s="33" t="str">
        <f>IFERROR((VLOOKUP(F208,'Planilha de Cadastro - Previsão'!$A$2:$N$1100,2,FALSE()))," ")</f>
        <v xml:space="preserve"> </v>
      </c>
      <c r="H208" s="32" t="str">
        <f>IFERROR((VLOOKUP(F208,'Planilha de Cadastro - Previsão'!$A$2:$N$1100,3,FALSE()))," ")</f>
        <v xml:space="preserve"> </v>
      </c>
      <c r="I208" s="34" t="str">
        <f>IFERROR((VLOOKUP(F208,'Planilha de Cadastro - Previsão'!$A$2:$N$1100,4,FALSE()))," ")</f>
        <v xml:space="preserve"> </v>
      </c>
      <c r="J208" s="34" t="str">
        <f>IFERROR((VLOOKUP(F208,'Planilha de Cadastro - Previsão'!$A$2:$N$1100,5,FALSE()))," ")</f>
        <v xml:space="preserve"> </v>
      </c>
      <c r="K208" s="36"/>
      <c r="L208" s="34" t="str">
        <f t="shared" si="16"/>
        <v/>
      </c>
      <c r="M208" s="35" t="str">
        <f t="shared" si="17"/>
        <v/>
      </c>
      <c r="N208" s="39"/>
      <c r="O208" s="36"/>
    </row>
    <row r="209" spans="1:15" x14ac:dyDescent="0.25">
      <c r="A209">
        <f>COUNTIF($C$2:C209,C209)</f>
        <v>208</v>
      </c>
      <c r="B209" s="1" t="str">
        <f t="shared" si="14"/>
        <v>208</v>
      </c>
      <c r="C209" s="1" t="str">
        <f>IFERROR(VLOOKUP(D209,'Planilha de Cadastro - Previsão'!$A$2:$O$1000,15,FALSE()),"")</f>
        <v/>
      </c>
      <c r="D209" s="1">
        <v>208</v>
      </c>
      <c r="F209" s="32" t="str">
        <f t="shared" si="15"/>
        <v/>
      </c>
      <c r="G209" s="33" t="str">
        <f>IFERROR((VLOOKUP(F209,'Planilha de Cadastro - Previsão'!$A$2:$N$1100,2,FALSE()))," ")</f>
        <v xml:space="preserve"> </v>
      </c>
      <c r="H209" s="32" t="str">
        <f>IFERROR((VLOOKUP(F209,'Planilha de Cadastro - Previsão'!$A$2:$N$1100,3,FALSE()))," ")</f>
        <v xml:space="preserve"> </v>
      </c>
      <c r="I209" s="34" t="str">
        <f>IFERROR((VLOOKUP(F209,'Planilha de Cadastro - Previsão'!$A$2:$N$1100,4,FALSE()))," ")</f>
        <v xml:space="preserve"> </v>
      </c>
      <c r="J209" s="34" t="str">
        <f>IFERROR((VLOOKUP(F209,'Planilha de Cadastro - Previsão'!$A$2:$N$1100,5,FALSE()))," ")</f>
        <v xml:space="preserve"> </v>
      </c>
      <c r="K209" s="36"/>
      <c r="L209" s="34" t="str">
        <f t="shared" si="16"/>
        <v/>
      </c>
      <c r="M209" s="35" t="str">
        <f t="shared" si="17"/>
        <v/>
      </c>
      <c r="N209" s="39"/>
      <c r="O209" s="36"/>
    </row>
    <row r="210" spans="1:15" x14ac:dyDescent="0.25">
      <c r="A210">
        <f>COUNTIF($C$2:C210,C210)</f>
        <v>209</v>
      </c>
      <c r="B210" s="1" t="str">
        <f t="shared" si="14"/>
        <v>209</v>
      </c>
      <c r="C210" s="1" t="str">
        <f>IFERROR(VLOOKUP(D210,'Planilha de Cadastro - Previsão'!$A$2:$O$1000,15,FALSE()),"")</f>
        <v/>
      </c>
      <c r="D210" s="1">
        <v>209</v>
      </c>
      <c r="F210" s="32" t="str">
        <f t="shared" si="15"/>
        <v/>
      </c>
      <c r="G210" s="33" t="str">
        <f>IFERROR((VLOOKUP(F210,'Planilha de Cadastro - Previsão'!$A$2:$N$1100,2,FALSE()))," ")</f>
        <v xml:space="preserve"> </v>
      </c>
      <c r="H210" s="32" t="str">
        <f>IFERROR((VLOOKUP(F210,'Planilha de Cadastro - Previsão'!$A$2:$N$1100,3,FALSE()))," ")</f>
        <v xml:space="preserve"> </v>
      </c>
      <c r="I210" s="34" t="str">
        <f>IFERROR((VLOOKUP(F210,'Planilha de Cadastro - Previsão'!$A$2:$N$1100,4,FALSE()))," ")</f>
        <v xml:space="preserve"> </v>
      </c>
      <c r="J210" s="34" t="str">
        <f>IFERROR((VLOOKUP(F210,'Planilha de Cadastro - Previsão'!$A$2:$N$1100,5,FALSE()))," ")</f>
        <v xml:space="preserve"> </v>
      </c>
      <c r="K210" s="36"/>
      <c r="L210" s="34" t="str">
        <f t="shared" si="16"/>
        <v/>
      </c>
      <c r="M210" s="35" t="str">
        <f t="shared" si="17"/>
        <v/>
      </c>
      <c r="N210" s="39"/>
      <c r="O210" s="36"/>
    </row>
    <row r="211" spans="1:15" x14ac:dyDescent="0.25">
      <c r="A211">
        <f>COUNTIF($C$2:C211,C211)</f>
        <v>210</v>
      </c>
      <c r="B211" s="1" t="str">
        <f t="shared" si="14"/>
        <v>210</v>
      </c>
      <c r="C211" s="1" t="str">
        <f>IFERROR(VLOOKUP(D211,'Planilha de Cadastro - Previsão'!$A$2:$O$1000,15,FALSE()),"")</f>
        <v/>
      </c>
      <c r="D211" s="1">
        <v>210</v>
      </c>
      <c r="F211" s="32" t="str">
        <f t="shared" si="15"/>
        <v/>
      </c>
      <c r="G211" s="33" t="str">
        <f>IFERROR((VLOOKUP(F211,'Planilha de Cadastro - Previsão'!$A$2:$N$1100,2,FALSE()))," ")</f>
        <v xml:space="preserve"> </v>
      </c>
      <c r="H211" s="32" t="str">
        <f>IFERROR((VLOOKUP(F211,'Planilha de Cadastro - Previsão'!$A$2:$N$1100,3,FALSE()))," ")</f>
        <v xml:space="preserve"> </v>
      </c>
      <c r="I211" s="34" t="str">
        <f>IFERROR((VLOOKUP(F211,'Planilha de Cadastro - Previsão'!$A$2:$N$1100,4,FALSE()))," ")</f>
        <v xml:space="preserve"> </v>
      </c>
      <c r="J211" s="34" t="str">
        <f>IFERROR((VLOOKUP(F211,'Planilha de Cadastro - Previsão'!$A$2:$N$1100,5,FALSE()))," ")</f>
        <v xml:space="preserve"> </v>
      </c>
      <c r="K211" s="36"/>
      <c r="L211" s="34" t="str">
        <f t="shared" si="16"/>
        <v/>
      </c>
      <c r="M211" s="35" t="str">
        <f t="shared" si="17"/>
        <v/>
      </c>
      <c r="N211" s="39"/>
      <c r="O211" s="36"/>
    </row>
    <row r="212" spans="1:15" x14ac:dyDescent="0.25">
      <c r="A212">
        <f>COUNTIF($C$2:C212,C212)</f>
        <v>211</v>
      </c>
      <c r="B212" s="1" t="str">
        <f t="shared" si="14"/>
        <v>211</v>
      </c>
      <c r="C212" s="1" t="str">
        <f>IFERROR(VLOOKUP(D212,'Planilha de Cadastro - Previsão'!$A$2:$O$1000,15,FALSE()),"")</f>
        <v/>
      </c>
      <c r="D212" s="1">
        <v>211</v>
      </c>
      <c r="F212" s="32" t="str">
        <f t="shared" si="15"/>
        <v/>
      </c>
      <c r="G212" s="33" t="str">
        <f>IFERROR((VLOOKUP(F212,'Planilha de Cadastro - Previsão'!$A$2:$N$1100,2,FALSE()))," ")</f>
        <v xml:space="preserve"> </v>
      </c>
      <c r="H212" s="32" t="str">
        <f>IFERROR((VLOOKUP(F212,'Planilha de Cadastro - Previsão'!$A$2:$N$1100,3,FALSE()))," ")</f>
        <v xml:space="preserve"> </v>
      </c>
      <c r="I212" s="34" t="str">
        <f>IFERROR((VLOOKUP(F212,'Planilha de Cadastro - Previsão'!$A$2:$N$1100,4,FALSE()))," ")</f>
        <v xml:space="preserve"> </v>
      </c>
      <c r="J212" s="34" t="str">
        <f>IFERROR((VLOOKUP(F212,'Planilha de Cadastro - Previsão'!$A$2:$N$1100,5,FALSE()))," ")</f>
        <v xml:space="preserve"> </v>
      </c>
      <c r="K212" s="36"/>
      <c r="L212" s="34" t="str">
        <f t="shared" si="16"/>
        <v/>
      </c>
      <c r="M212" s="35" t="str">
        <f t="shared" si="17"/>
        <v/>
      </c>
      <c r="N212" s="39"/>
      <c r="O212" s="36"/>
    </row>
    <row r="213" spans="1:15" x14ac:dyDescent="0.25">
      <c r="A213">
        <f>COUNTIF($C$2:C213,C213)</f>
        <v>212</v>
      </c>
      <c r="B213" s="1" t="str">
        <f t="shared" si="14"/>
        <v>212</v>
      </c>
      <c r="C213" s="1" t="str">
        <f>IFERROR(VLOOKUP(D213,'Planilha de Cadastro - Previsão'!$A$2:$O$1000,15,FALSE()),"")</f>
        <v/>
      </c>
      <c r="D213" s="1">
        <v>212</v>
      </c>
      <c r="F213" s="32" t="str">
        <f t="shared" si="15"/>
        <v/>
      </c>
      <c r="G213" s="33" t="str">
        <f>IFERROR((VLOOKUP(F213,'Planilha de Cadastro - Previsão'!$A$2:$N$1100,2,FALSE()))," ")</f>
        <v xml:space="preserve"> </v>
      </c>
      <c r="H213" s="32" t="str">
        <f>IFERROR((VLOOKUP(F213,'Planilha de Cadastro - Previsão'!$A$2:$N$1100,3,FALSE()))," ")</f>
        <v xml:space="preserve"> </v>
      </c>
      <c r="I213" s="34" t="str">
        <f>IFERROR((VLOOKUP(F213,'Planilha de Cadastro - Previsão'!$A$2:$N$1100,4,FALSE()))," ")</f>
        <v xml:space="preserve"> </v>
      </c>
      <c r="J213" s="34" t="str">
        <f>IFERROR((VLOOKUP(F213,'Planilha de Cadastro - Previsão'!$A$2:$N$1100,5,FALSE()))," ")</f>
        <v xml:space="preserve"> </v>
      </c>
      <c r="K213" s="36"/>
      <c r="L213" s="34" t="str">
        <f t="shared" si="16"/>
        <v/>
      </c>
      <c r="M213" s="35" t="str">
        <f t="shared" si="17"/>
        <v/>
      </c>
      <c r="N213" s="39"/>
      <c r="O213" s="36"/>
    </row>
    <row r="214" spans="1:15" x14ac:dyDescent="0.25">
      <c r="A214">
        <f>COUNTIF($C$2:C214,C214)</f>
        <v>213</v>
      </c>
      <c r="B214" s="1" t="str">
        <f t="shared" si="14"/>
        <v>213</v>
      </c>
      <c r="C214" s="1" t="str">
        <f>IFERROR(VLOOKUP(D214,'Planilha de Cadastro - Previsão'!$A$2:$O$1000,15,FALSE()),"")</f>
        <v/>
      </c>
      <c r="D214" s="1">
        <v>213</v>
      </c>
      <c r="F214" s="32" t="str">
        <f t="shared" si="15"/>
        <v/>
      </c>
      <c r="G214" s="33" t="str">
        <f>IFERROR((VLOOKUP(F214,'Planilha de Cadastro - Previsão'!$A$2:$N$1100,2,FALSE()))," ")</f>
        <v xml:space="preserve"> </v>
      </c>
      <c r="H214" s="32" t="str">
        <f>IFERROR((VLOOKUP(F214,'Planilha de Cadastro - Previsão'!$A$2:$N$1100,3,FALSE()))," ")</f>
        <v xml:space="preserve"> </v>
      </c>
      <c r="I214" s="34" t="str">
        <f>IFERROR((VLOOKUP(F214,'Planilha de Cadastro - Previsão'!$A$2:$N$1100,4,FALSE()))," ")</f>
        <v xml:space="preserve"> </v>
      </c>
      <c r="J214" s="34" t="str">
        <f>IFERROR((VLOOKUP(F214,'Planilha de Cadastro - Previsão'!$A$2:$N$1100,5,FALSE()))," ")</f>
        <v xml:space="preserve"> </v>
      </c>
      <c r="K214" s="36"/>
      <c r="L214" s="34" t="str">
        <f t="shared" si="16"/>
        <v/>
      </c>
      <c r="M214" s="35" t="str">
        <f t="shared" si="17"/>
        <v/>
      </c>
      <c r="N214" s="39"/>
      <c r="O214" s="36"/>
    </row>
    <row r="215" spans="1:15" x14ac:dyDescent="0.25">
      <c r="A215">
        <f>COUNTIF($C$2:C215,C215)</f>
        <v>214</v>
      </c>
      <c r="B215" s="1" t="str">
        <f t="shared" si="14"/>
        <v>214</v>
      </c>
      <c r="C215" s="1" t="str">
        <f>IFERROR(VLOOKUP(D215,'Planilha de Cadastro - Previsão'!$A$2:$O$1000,15,FALSE()),"")</f>
        <v/>
      </c>
      <c r="D215" s="1">
        <v>214</v>
      </c>
      <c r="F215" s="32" t="str">
        <f t="shared" si="15"/>
        <v/>
      </c>
      <c r="G215" s="33" t="str">
        <f>IFERROR((VLOOKUP(F215,'Planilha de Cadastro - Previsão'!$A$2:$N$1100,2,FALSE()))," ")</f>
        <v xml:space="preserve"> </v>
      </c>
      <c r="H215" s="32" t="str">
        <f>IFERROR((VLOOKUP(F215,'Planilha de Cadastro - Previsão'!$A$2:$N$1100,3,FALSE()))," ")</f>
        <v xml:space="preserve"> </v>
      </c>
      <c r="I215" s="34" t="str">
        <f>IFERROR((VLOOKUP(F215,'Planilha de Cadastro - Previsão'!$A$2:$N$1100,4,FALSE()))," ")</f>
        <v xml:space="preserve"> </v>
      </c>
      <c r="J215" s="34" t="str">
        <f>IFERROR((VLOOKUP(F215,'Planilha de Cadastro - Previsão'!$A$2:$N$1100,5,FALSE()))," ")</f>
        <v xml:space="preserve"> </v>
      </c>
      <c r="K215" s="36"/>
      <c r="L215" s="34" t="str">
        <f t="shared" si="16"/>
        <v/>
      </c>
      <c r="M215" s="35" t="str">
        <f t="shared" si="17"/>
        <v/>
      </c>
      <c r="N215" s="39"/>
      <c r="O215" s="36"/>
    </row>
    <row r="216" spans="1:15" x14ac:dyDescent="0.25">
      <c r="A216">
        <f>COUNTIF($C$2:C216,C216)</f>
        <v>215</v>
      </c>
      <c r="B216" s="1" t="str">
        <f t="shared" si="14"/>
        <v>215</v>
      </c>
      <c r="C216" s="1" t="str">
        <f>IFERROR(VLOOKUP(D216,'Planilha de Cadastro - Previsão'!$A$2:$O$1000,15,FALSE()),"")</f>
        <v/>
      </c>
      <c r="D216" s="1">
        <v>215</v>
      </c>
      <c r="F216" s="32" t="str">
        <f t="shared" si="15"/>
        <v/>
      </c>
      <c r="G216" s="33" t="str">
        <f>IFERROR((VLOOKUP(F216,'Planilha de Cadastro - Previsão'!$A$2:$N$1100,2,FALSE()))," ")</f>
        <v xml:space="preserve"> </v>
      </c>
      <c r="H216" s="32" t="str">
        <f>IFERROR((VLOOKUP(F216,'Planilha de Cadastro - Previsão'!$A$2:$N$1100,3,FALSE()))," ")</f>
        <v xml:space="preserve"> </v>
      </c>
      <c r="I216" s="34" t="str">
        <f>IFERROR((VLOOKUP(F216,'Planilha de Cadastro - Previsão'!$A$2:$N$1100,4,FALSE()))," ")</f>
        <v xml:space="preserve"> </v>
      </c>
      <c r="J216" s="34" t="str">
        <f>IFERROR((VLOOKUP(F216,'Planilha de Cadastro - Previsão'!$A$2:$N$1100,5,FALSE()))," ")</f>
        <v xml:space="preserve"> </v>
      </c>
      <c r="K216" s="36"/>
      <c r="L216" s="34" t="str">
        <f t="shared" si="16"/>
        <v/>
      </c>
      <c r="M216" s="35" t="str">
        <f t="shared" si="17"/>
        <v/>
      </c>
      <c r="N216" s="39"/>
      <c r="O216" s="36"/>
    </row>
    <row r="217" spans="1:15" x14ac:dyDescent="0.25">
      <c r="A217">
        <f>COUNTIF($C$2:C217,C217)</f>
        <v>216</v>
      </c>
      <c r="B217" s="1" t="str">
        <f t="shared" si="14"/>
        <v>216</v>
      </c>
      <c r="C217" s="1" t="str">
        <f>IFERROR(VLOOKUP(D217,'Planilha de Cadastro - Previsão'!$A$2:$O$1000,15,FALSE()),"")</f>
        <v/>
      </c>
      <c r="D217" s="1">
        <v>216</v>
      </c>
      <c r="F217" s="32" t="str">
        <f t="shared" si="15"/>
        <v/>
      </c>
      <c r="G217" s="33" t="str">
        <f>IFERROR((VLOOKUP(F217,'Planilha de Cadastro - Previsão'!$A$2:$N$1100,2,FALSE()))," ")</f>
        <v xml:space="preserve"> </v>
      </c>
      <c r="H217" s="32" t="str">
        <f>IFERROR((VLOOKUP(F217,'Planilha de Cadastro - Previsão'!$A$2:$N$1100,3,FALSE()))," ")</f>
        <v xml:space="preserve"> </v>
      </c>
      <c r="I217" s="34" t="str">
        <f>IFERROR((VLOOKUP(F217,'Planilha de Cadastro - Previsão'!$A$2:$N$1100,4,FALSE()))," ")</f>
        <v xml:space="preserve"> </v>
      </c>
      <c r="J217" s="34" t="str">
        <f>IFERROR((VLOOKUP(F217,'Planilha de Cadastro - Previsão'!$A$2:$N$1100,5,FALSE()))," ")</f>
        <v xml:space="preserve"> </v>
      </c>
      <c r="K217" s="36"/>
      <c r="L217" s="34" t="str">
        <f t="shared" si="16"/>
        <v/>
      </c>
      <c r="M217" s="35" t="str">
        <f t="shared" si="17"/>
        <v/>
      </c>
      <c r="N217" s="39"/>
      <c r="O217" s="36"/>
    </row>
    <row r="218" spans="1:15" x14ac:dyDescent="0.25">
      <c r="A218">
        <f>COUNTIF($C$2:C218,C218)</f>
        <v>217</v>
      </c>
      <c r="B218" s="1" t="str">
        <f t="shared" si="14"/>
        <v>217</v>
      </c>
      <c r="C218" s="1" t="str">
        <f>IFERROR(VLOOKUP(D218,'Planilha de Cadastro - Previsão'!$A$2:$O$1000,15,FALSE()),"")</f>
        <v/>
      </c>
      <c r="D218" s="1">
        <v>217</v>
      </c>
      <c r="F218" s="32" t="str">
        <f t="shared" si="15"/>
        <v/>
      </c>
      <c r="G218" s="33" t="str">
        <f>IFERROR((VLOOKUP(F218,'Planilha de Cadastro - Previsão'!$A$2:$N$1100,2,FALSE()))," ")</f>
        <v xml:space="preserve"> </v>
      </c>
      <c r="H218" s="32" t="str">
        <f>IFERROR((VLOOKUP(F218,'Planilha de Cadastro - Previsão'!$A$2:$N$1100,3,FALSE()))," ")</f>
        <v xml:space="preserve"> </v>
      </c>
      <c r="I218" s="34" t="str">
        <f>IFERROR((VLOOKUP(F218,'Planilha de Cadastro - Previsão'!$A$2:$N$1100,4,FALSE()))," ")</f>
        <v xml:space="preserve"> </v>
      </c>
      <c r="J218" s="34" t="str">
        <f>IFERROR((VLOOKUP(F218,'Planilha de Cadastro - Previsão'!$A$2:$N$1100,5,FALSE()))," ")</f>
        <v xml:space="preserve"> </v>
      </c>
      <c r="K218" s="36"/>
      <c r="L218" s="34" t="str">
        <f t="shared" si="16"/>
        <v/>
      </c>
      <c r="M218" s="35" t="str">
        <f t="shared" si="17"/>
        <v/>
      </c>
      <c r="N218" s="39"/>
      <c r="O218" s="36"/>
    </row>
    <row r="219" spans="1:15" x14ac:dyDescent="0.25">
      <c r="A219">
        <f>COUNTIF($C$2:C219,C219)</f>
        <v>218</v>
      </c>
      <c r="B219" s="1" t="str">
        <f t="shared" si="14"/>
        <v>218</v>
      </c>
      <c r="C219" s="1" t="str">
        <f>IFERROR(VLOOKUP(D219,'Planilha de Cadastro - Previsão'!$A$2:$O$1000,15,FALSE()),"")</f>
        <v/>
      </c>
      <c r="D219" s="1">
        <v>218</v>
      </c>
      <c r="F219" s="32" t="str">
        <f t="shared" si="15"/>
        <v/>
      </c>
      <c r="G219" s="33" t="str">
        <f>IFERROR((VLOOKUP(F219,'Planilha de Cadastro - Previsão'!$A$2:$N$1100,2,FALSE()))," ")</f>
        <v xml:space="preserve"> </v>
      </c>
      <c r="H219" s="32" t="str">
        <f>IFERROR((VLOOKUP(F219,'Planilha de Cadastro - Previsão'!$A$2:$N$1100,3,FALSE()))," ")</f>
        <v xml:space="preserve"> </v>
      </c>
      <c r="I219" s="34" t="str">
        <f>IFERROR((VLOOKUP(F219,'Planilha de Cadastro - Previsão'!$A$2:$N$1100,4,FALSE()))," ")</f>
        <v xml:space="preserve"> </v>
      </c>
      <c r="J219" s="34" t="str">
        <f>IFERROR((VLOOKUP(F219,'Planilha de Cadastro - Previsão'!$A$2:$N$1100,5,FALSE()))," ")</f>
        <v xml:space="preserve"> </v>
      </c>
      <c r="K219" s="36"/>
      <c r="L219" s="34" t="str">
        <f t="shared" si="16"/>
        <v/>
      </c>
      <c r="M219" s="35" t="str">
        <f t="shared" si="17"/>
        <v/>
      </c>
      <c r="N219" s="39"/>
      <c r="O219" s="36"/>
    </row>
    <row r="220" spans="1:15" x14ac:dyDescent="0.25">
      <c r="A220">
        <f>COUNTIF($C$2:C220,C220)</f>
        <v>219</v>
      </c>
      <c r="B220" s="1" t="str">
        <f t="shared" si="14"/>
        <v>219</v>
      </c>
      <c r="C220" s="1" t="str">
        <f>IFERROR(VLOOKUP(D220,'Planilha de Cadastro - Previsão'!$A$2:$O$1000,15,FALSE()),"")</f>
        <v/>
      </c>
      <c r="D220" s="1">
        <v>219</v>
      </c>
      <c r="F220" s="32" t="str">
        <f t="shared" si="15"/>
        <v/>
      </c>
      <c r="G220" s="33" t="str">
        <f>IFERROR((VLOOKUP(F220,'Planilha de Cadastro - Previsão'!$A$2:$N$1100,2,FALSE()))," ")</f>
        <v xml:space="preserve"> </v>
      </c>
      <c r="H220" s="32" t="str">
        <f>IFERROR((VLOOKUP(F220,'Planilha de Cadastro - Previsão'!$A$2:$N$1100,3,FALSE()))," ")</f>
        <v xml:space="preserve"> </v>
      </c>
      <c r="I220" s="34" t="str">
        <f>IFERROR((VLOOKUP(F220,'Planilha de Cadastro - Previsão'!$A$2:$N$1100,4,FALSE()))," ")</f>
        <v xml:space="preserve"> </v>
      </c>
      <c r="J220" s="34" t="str">
        <f>IFERROR((VLOOKUP(F220,'Planilha de Cadastro - Previsão'!$A$2:$N$1100,5,FALSE()))," ")</f>
        <v xml:space="preserve"> </v>
      </c>
      <c r="K220" s="36"/>
      <c r="L220" s="34" t="str">
        <f t="shared" si="16"/>
        <v/>
      </c>
      <c r="M220" s="35" t="str">
        <f t="shared" si="17"/>
        <v/>
      </c>
      <c r="N220" s="39"/>
      <c r="O220" s="36"/>
    </row>
    <row r="221" spans="1:15" x14ac:dyDescent="0.25">
      <c r="A221">
        <f>COUNTIF($C$2:C221,C221)</f>
        <v>220</v>
      </c>
      <c r="B221" s="1" t="str">
        <f t="shared" si="14"/>
        <v>220</v>
      </c>
      <c r="C221" s="1" t="str">
        <f>IFERROR(VLOOKUP(D221,'Planilha de Cadastro - Previsão'!$A$2:$O$1000,15,FALSE()),"")</f>
        <v/>
      </c>
      <c r="D221" s="1">
        <v>220</v>
      </c>
      <c r="F221" s="32" t="str">
        <f t="shared" si="15"/>
        <v/>
      </c>
      <c r="G221" s="33" t="str">
        <f>IFERROR((VLOOKUP(F221,'Planilha de Cadastro - Previsão'!$A$2:$N$1100,2,FALSE()))," ")</f>
        <v xml:space="preserve"> </v>
      </c>
      <c r="H221" s="32" t="str">
        <f>IFERROR((VLOOKUP(F221,'Planilha de Cadastro - Previsão'!$A$2:$N$1100,3,FALSE()))," ")</f>
        <v xml:space="preserve"> </v>
      </c>
      <c r="I221" s="34" t="str">
        <f>IFERROR((VLOOKUP(F221,'Planilha de Cadastro - Previsão'!$A$2:$N$1100,4,FALSE()))," ")</f>
        <v xml:space="preserve"> </v>
      </c>
      <c r="J221" s="34" t="str">
        <f>IFERROR((VLOOKUP(F221,'Planilha de Cadastro - Previsão'!$A$2:$N$1100,5,FALSE()))," ")</f>
        <v xml:space="preserve"> </v>
      </c>
      <c r="K221" s="36"/>
      <c r="L221" s="34" t="str">
        <f t="shared" si="16"/>
        <v/>
      </c>
      <c r="M221" s="35" t="str">
        <f t="shared" si="17"/>
        <v/>
      </c>
      <c r="N221" s="39"/>
      <c r="O221" s="36"/>
    </row>
    <row r="222" spans="1:15" x14ac:dyDescent="0.25">
      <c r="A222">
        <f>COUNTIF($C$2:C222,C222)</f>
        <v>221</v>
      </c>
      <c r="B222" s="1" t="str">
        <f t="shared" si="14"/>
        <v>221</v>
      </c>
      <c r="C222" s="1" t="str">
        <f>IFERROR(VLOOKUP(D222,'Planilha de Cadastro - Previsão'!$A$2:$O$1000,15,FALSE()),"")</f>
        <v/>
      </c>
      <c r="D222" s="1">
        <v>221</v>
      </c>
      <c r="F222" s="32" t="str">
        <f t="shared" si="15"/>
        <v/>
      </c>
      <c r="G222" s="33" t="str">
        <f>IFERROR((VLOOKUP(F222,'Planilha de Cadastro - Previsão'!$A$2:$N$1100,2,FALSE()))," ")</f>
        <v xml:space="preserve"> </v>
      </c>
      <c r="H222" s="32" t="str">
        <f>IFERROR((VLOOKUP(F222,'Planilha de Cadastro - Previsão'!$A$2:$N$1100,3,FALSE()))," ")</f>
        <v xml:space="preserve"> </v>
      </c>
      <c r="I222" s="34" t="str">
        <f>IFERROR((VLOOKUP(F222,'Planilha de Cadastro - Previsão'!$A$2:$N$1100,4,FALSE()))," ")</f>
        <v xml:space="preserve"> </v>
      </c>
      <c r="J222" s="34" t="str">
        <f>IFERROR((VLOOKUP(F222,'Planilha de Cadastro - Previsão'!$A$2:$N$1100,5,FALSE()))," ")</f>
        <v xml:space="preserve"> </v>
      </c>
      <c r="K222" s="36"/>
      <c r="L222" s="34" t="str">
        <f t="shared" si="16"/>
        <v/>
      </c>
      <c r="M222" s="35" t="str">
        <f t="shared" si="17"/>
        <v/>
      </c>
      <c r="N222" s="39"/>
      <c r="O222" s="36"/>
    </row>
    <row r="223" spans="1:15" x14ac:dyDescent="0.25">
      <c r="A223">
        <f>COUNTIF($C$2:C223,C223)</f>
        <v>222</v>
      </c>
      <c r="B223" s="1" t="str">
        <f t="shared" si="14"/>
        <v>222</v>
      </c>
      <c r="C223" s="1" t="str">
        <f>IFERROR(VLOOKUP(D223,'Planilha de Cadastro - Previsão'!$A$2:$O$1000,15,FALSE()),"")</f>
        <v/>
      </c>
      <c r="D223" s="1">
        <v>222</v>
      </c>
      <c r="F223" s="32" t="str">
        <f t="shared" si="15"/>
        <v/>
      </c>
      <c r="G223" s="33" t="str">
        <f>IFERROR((VLOOKUP(F223,'Planilha de Cadastro - Previsão'!$A$2:$N$1100,2,FALSE()))," ")</f>
        <v xml:space="preserve"> </v>
      </c>
      <c r="H223" s="32" t="str">
        <f>IFERROR((VLOOKUP(F223,'Planilha de Cadastro - Previsão'!$A$2:$N$1100,3,FALSE()))," ")</f>
        <v xml:space="preserve"> </v>
      </c>
      <c r="I223" s="34" t="str">
        <f>IFERROR((VLOOKUP(F223,'Planilha de Cadastro - Previsão'!$A$2:$N$1100,4,FALSE()))," ")</f>
        <v xml:space="preserve"> </v>
      </c>
      <c r="J223" s="34" t="str">
        <f>IFERROR((VLOOKUP(F223,'Planilha de Cadastro - Previsão'!$A$2:$N$1100,5,FALSE()))," ")</f>
        <v xml:space="preserve"> </v>
      </c>
      <c r="K223" s="36"/>
      <c r="L223" s="34" t="str">
        <f t="shared" si="16"/>
        <v/>
      </c>
      <c r="M223" s="35" t="str">
        <f t="shared" si="17"/>
        <v/>
      </c>
      <c r="N223" s="39"/>
      <c r="O223" s="36"/>
    </row>
    <row r="224" spans="1:15" x14ac:dyDescent="0.25">
      <c r="A224">
        <f>COUNTIF($C$2:C224,C224)</f>
        <v>223</v>
      </c>
      <c r="B224" s="1" t="str">
        <f t="shared" si="14"/>
        <v>223</v>
      </c>
      <c r="C224" s="1" t="str">
        <f>IFERROR(VLOOKUP(D224,'Planilha de Cadastro - Previsão'!$A$2:$O$1000,15,FALSE()),"")</f>
        <v/>
      </c>
      <c r="D224" s="1">
        <v>223</v>
      </c>
      <c r="F224" s="32" t="str">
        <f t="shared" si="15"/>
        <v/>
      </c>
      <c r="G224" s="33" t="str">
        <f>IFERROR((VLOOKUP(F224,'Planilha de Cadastro - Previsão'!$A$2:$N$1100,2,FALSE()))," ")</f>
        <v xml:space="preserve"> </v>
      </c>
      <c r="H224" s="32" t="str">
        <f>IFERROR((VLOOKUP(F224,'Planilha de Cadastro - Previsão'!$A$2:$N$1100,3,FALSE()))," ")</f>
        <v xml:space="preserve"> </v>
      </c>
      <c r="I224" s="34" t="str">
        <f>IFERROR((VLOOKUP(F224,'Planilha de Cadastro - Previsão'!$A$2:$N$1100,4,FALSE()))," ")</f>
        <v xml:space="preserve"> </v>
      </c>
      <c r="J224" s="34" t="str">
        <f>IFERROR((VLOOKUP(F224,'Planilha de Cadastro - Previsão'!$A$2:$N$1100,5,FALSE()))," ")</f>
        <v xml:space="preserve"> </v>
      </c>
      <c r="K224" s="36"/>
      <c r="L224" s="34" t="str">
        <f t="shared" si="16"/>
        <v/>
      </c>
      <c r="M224" s="35" t="str">
        <f t="shared" si="17"/>
        <v/>
      </c>
      <c r="N224" s="39"/>
      <c r="O224" s="36"/>
    </row>
    <row r="225" spans="1:15" x14ac:dyDescent="0.25">
      <c r="A225">
        <f>COUNTIF($C$2:C225,C225)</f>
        <v>224</v>
      </c>
      <c r="B225" s="1" t="str">
        <f t="shared" si="14"/>
        <v>224</v>
      </c>
      <c r="C225" s="1" t="str">
        <f>IFERROR(VLOOKUP(D225,'Planilha de Cadastro - Previsão'!$A$2:$O$1000,15,FALSE()),"")</f>
        <v/>
      </c>
      <c r="D225" s="1">
        <v>224</v>
      </c>
      <c r="F225" s="32" t="str">
        <f t="shared" si="15"/>
        <v/>
      </c>
      <c r="G225" s="33" t="str">
        <f>IFERROR((VLOOKUP(F225,'Planilha de Cadastro - Previsão'!$A$2:$N$1100,2,FALSE()))," ")</f>
        <v xml:space="preserve"> </v>
      </c>
      <c r="H225" s="32" t="str">
        <f>IFERROR((VLOOKUP(F225,'Planilha de Cadastro - Previsão'!$A$2:$N$1100,3,FALSE()))," ")</f>
        <v xml:space="preserve"> </v>
      </c>
      <c r="I225" s="34" t="str">
        <f>IFERROR((VLOOKUP(F225,'Planilha de Cadastro - Previsão'!$A$2:$N$1100,4,FALSE()))," ")</f>
        <v xml:space="preserve"> </v>
      </c>
      <c r="J225" s="34" t="str">
        <f>IFERROR((VLOOKUP(F225,'Planilha de Cadastro - Previsão'!$A$2:$N$1100,5,FALSE()))," ")</f>
        <v xml:space="preserve"> </v>
      </c>
      <c r="K225" s="36"/>
      <c r="L225" s="34" t="str">
        <f t="shared" si="16"/>
        <v/>
      </c>
      <c r="M225" s="35" t="str">
        <f t="shared" si="17"/>
        <v/>
      </c>
      <c r="N225" s="39"/>
      <c r="O225" s="36"/>
    </row>
    <row r="226" spans="1:15" x14ac:dyDescent="0.25">
      <c r="A226">
        <f>COUNTIF($C$2:C226,C226)</f>
        <v>225</v>
      </c>
      <c r="B226" s="1" t="str">
        <f t="shared" si="14"/>
        <v>225</v>
      </c>
      <c r="C226" s="1" t="str">
        <f>IFERROR(VLOOKUP(D226,'Planilha de Cadastro - Previsão'!$A$2:$O$1000,15,FALSE()),"")</f>
        <v/>
      </c>
      <c r="D226" s="1">
        <v>225</v>
      </c>
      <c r="F226" s="32" t="str">
        <f t="shared" si="15"/>
        <v/>
      </c>
      <c r="G226" s="33" t="str">
        <f>IFERROR((VLOOKUP(F226,'Planilha de Cadastro - Previsão'!$A$2:$N$1100,2,FALSE()))," ")</f>
        <v xml:space="preserve"> </v>
      </c>
      <c r="H226" s="32" t="str">
        <f>IFERROR((VLOOKUP(F226,'Planilha de Cadastro - Previsão'!$A$2:$N$1100,3,FALSE()))," ")</f>
        <v xml:space="preserve"> </v>
      </c>
      <c r="I226" s="34" t="str">
        <f>IFERROR((VLOOKUP(F226,'Planilha de Cadastro - Previsão'!$A$2:$N$1100,4,FALSE()))," ")</f>
        <v xml:space="preserve"> </v>
      </c>
      <c r="J226" s="34" t="str">
        <f>IFERROR((VLOOKUP(F226,'Planilha de Cadastro - Previsão'!$A$2:$N$1100,5,FALSE()))," ")</f>
        <v xml:space="preserve"> </v>
      </c>
      <c r="K226" s="36"/>
      <c r="L226" s="34" t="str">
        <f t="shared" si="16"/>
        <v/>
      </c>
      <c r="M226" s="35" t="str">
        <f t="shared" si="17"/>
        <v/>
      </c>
      <c r="N226" s="39"/>
      <c r="O226" s="36"/>
    </row>
    <row r="227" spans="1:15" x14ac:dyDescent="0.25">
      <c r="A227">
        <f>COUNTIF($C$2:C227,C227)</f>
        <v>226</v>
      </c>
      <c r="B227" s="1" t="str">
        <f t="shared" si="14"/>
        <v>226</v>
      </c>
      <c r="C227" s="1" t="str">
        <f>IFERROR(VLOOKUP(D227,'Planilha de Cadastro - Previsão'!$A$2:$O$1000,15,FALSE()),"")</f>
        <v/>
      </c>
      <c r="D227" s="1">
        <v>226</v>
      </c>
      <c r="F227" s="32" t="str">
        <f t="shared" si="15"/>
        <v/>
      </c>
      <c r="G227" s="33" t="str">
        <f>IFERROR((VLOOKUP(F227,'Planilha de Cadastro - Previsão'!$A$2:$N$1100,2,FALSE()))," ")</f>
        <v xml:space="preserve"> </v>
      </c>
      <c r="H227" s="32" t="str">
        <f>IFERROR((VLOOKUP(F227,'Planilha de Cadastro - Previsão'!$A$2:$N$1100,3,FALSE()))," ")</f>
        <v xml:space="preserve"> </v>
      </c>
      <c r="I227" s="34" t="str">
        <f>IFERROR((VLOOKUP(F227,'Planilha de Cadastro - Previsão'!$A$2:$N$1100,4,FALSE()))," ")</f>
        <v xml:space="preserve"> </v>
      </c>
      <c r="J227" s="34" t="str">
        <f>IFERROR((VLOOKUP(F227,'Planilha de Cadastro - Previsão'!$A$2:$N$1100,5,FALSE()))," ")</f>
        <v xml:space="preserve"> </v>
      </c>
      <c r="K227" s="36"/>
      <c r="L227" s="34" t="str">
        <f t="shared" si="16"/>
        <v/>
      </c>
      <c r="M227" s="35" t="str">
        <f t="shared" si="17"/>
        <v/>
      </c>
      <c r="N227" s="39"/>
      <c r="O227" s="36"/>
    </row>
    <row r="228" spans="1:15" x14ac:dyDescent="0.25">
      <c r="A228">
        <f>COUNTIF($C$2:C228,C228)</f>
        <v>227</v>
      </c>
      <c r="B228" s="1" t="str">
        <f t="shared" si="14"/>
        <v>227</v>
      </c>
      <c r="C228" s="1" t="str">
        <f>IFERROR(VLOOKUP(D228,'Planilha de Cadastro - Previsão'!$A$2:$O$1000,15,FALSE()),"")</f>
        <v/>
      </c>
      <c r="D228" s="1">
        <v>227</v>
      </c>
      <c r="F228" s="32" t="str">
        <f t="shared" si="15"/>
        <v/>
      </c>
      <c r="G228" s="33" t="str">
        <f>IFERROR((VLOOKUP(F228,'Planilha de Cadastro - Previsão'!$A$2:$N$1100,2,FALSE()))," ")</f>
        <v xml:space="preserve"> </v>
      </c>
      <c r="H228" s="32" t="str">
        <f>IFERROR((VLOOKUP(F228,'Planilha de Cadastro - Previsão'!$A$2:$N$1100,3,FALSE()))," ")</f>
        <v xml:space="preserve"> </v>
      </c>
      <c r="I228" s="34" t="str">
        <f>IFERROR((VLOOKUP(F228,'Planilha de Cadastro - Previsão'!$A$2:$N$1100,4,FALSE()))," ")</f>
        <v xml:space="preserve"> </v>
      </c>
      <c r="J228" s="34" t="str">
        <f>IFERROR((VLOOKUP(F228,'Planilha de Cadastro - Previsão'!$A$2:$N$1100,5,FALSE()))," ")</f>
        <v xml:space="preserve"> </v>
      </c>
      <c r="K228" s="36"/>
      <c r="L228" s="34" t="str">
        <f t="shared" si="16"/>
        <v/>
      </c>
      <c r="M228" s="35" t="str">
        <f t="shared" si="17"/>
        <v/>
      </c>
      <c r="N228" s="39"/>
      <c r="O228" s="36"/>
    </row>
    <row r="229" spans="1:15" x14ac:dyDescent="0.25">
      <c r="A229">
        <f>COUNTIF($C$2:C229,C229)</f>
        <v>228</v>
      </c>
      <c r="B229" s="1" t="str">
        <f t="shared" si="14"/>
        <v>228</v>
      </c>
      <c r="C229" s="1" t="str">
        <f>IFERROR(VLOOKUP(D229,'Planilha de Cadastro - Previsão'!$A$2:$O$1000,15,FALSE()),"")</f>
        <v/>
      </c>
      <c r="D229" s="1">
        <v>228</v>
      </c>
      <c r="F229" s="32" t="str">
        <f t="shared" si="15"/>
        <v/>
      </c>
      <c r="G229" s="33" t="str">
        <f>IFERROR((VLOOKUP(F229,'Planilha de Cadastro - Previsão'!$A$2:$N$1100,2,FALSE()))," ")</f>
        <v xml:space="preserve"> </v>
      </c>
      <c r="H229" s="32" t="str">
        <f>IFERROR((VLOOKUP(F229,'Planilha de Cadastro - Previsão'!$A$2:$N$1100,3,FALSE()))," ")</f>
        <v xml:space="preserve"> </v>
      </c>
      <c r="I229" s="34" t="str">
        <f>IFERROR((VLOOKUP(F229,'Planilha de Cadastro - Previsão'!$A$2:$N$1100,4,FALSE()))," ")</f>
        <v xml:space="preserve"> </v>
      </c>
      <c r="J229" s="34" t="str">
        <f>IFERROR((VLOOKUP(F229,'Planilha de Cadastro - Previsão'!$A$2:$N$1100,5,FALSE()))," ")</f>
        <v xml:space="preserve"> </v>
      </c>
      <c r="K229" s="36"/>
      <c r="L229" s="34" t="str">
        <f t="shared" si="16"/>
        <v/>
      </c>
      <c r="M229" s="35" t="str">
        <f t="shared" si="17"/>
        <v/>
      </c>
      <c r="N229" s="39"/>
      <c r="O229" s="36"/>
    </row>
    <row r="230" spans="1:15" x14ac:dyDescent="0.25">
      <c r="A230">
        <f>COUNTIF($C$2:C230,C230)</f>
        <v>229</v>
      </c>
      <c r="B230" s="1" t="str">
        <f t="shared" si="14"/>
        <v>229</v>
      </c>
      <c r="C230" s="1" t="str">
        <f>IFERROR(VLOOKUP(D230,'Planilha de Cadastro - Previsão'!$A$2:$O$1000,15,FALSE()),"")</f>
        <v/>
      </c>
      <c r="D230" s="1">
        <v>229</v>
      </c>
      <c r="F230" s="32" t="str">
        <f t="shared" si="15"/>
        <v/>
      </c>
      <c r="G230" s="33" t="str">
        <f>IFERROR((VLOOKUP(F230,'Planilha de Cadastro - Previsão'!$A$2:$N$1100,2,FALSE()))," ")</f>
        <v xml:space="preserve"> </v>
      </c>
      <c r="H230" s="32" t="str">
        <f>IFERROR((VLOOKUP(F230,'Planilha de Cadastro - Previsão'!$A$2:$N$1100,3,FALSE()))," ")</f>
        <v xml:space="preserve"> </v>
      </c>
      <c r="I230" s="34" t="str">
        <f>IFERROR((VLOOKUP(F230,'Planilha de Cadastro - Previsão'!$A$2:$N$1100,4,FALSE()))," ")</f>
        <v xml:space="preserve"> </v>
      </c>
      <c r="J230" s="34" t="str">
        <f>IFERROR((VLOOKUP(F230,'Planilha de Cadastro - Previsão'!$A$2:$N$1100,5,FALSE()))," ")</f>
        <v xml:space="preserve"> </v>
      </c>
      <c r="K230" s="36"/>
      <c r="L230" s="34" t="str">
        <f t="shared" si="16"/>
        <v/>
      </c>
      <c r="M230" s="35" t="str">
        <f t="shared" si="17"/>
        <v/>
      </c>
      <c r="N230" s="39"/>
      <c r="O230" s="36"/>
    </row>
    <row r="231" spans="1:15" x14ac:dyDescent="0.25">
      <c r="A231">
        <f>COUNTIF($C$2:C231,C231)</f>
        <v>230</v>
      </c>
      <c r="B231" s="1" t="str">
        <f t="shared" si="14"/>
        <v>230</v>
      </c>
      <c r="C231" s="1" t="str">
        <f>IFERROR(VLOOKUP(D231,'Planilha de Cadastro - Previsão'!$A$2:$O$1000,15,FALSE()),"")</f>
        <v/>
      </c>
      <c r="D231" s="1">
        <v>230</v>
      </c>
      <c r="F231" s="32" t="str">
        <f t="shared" si="15"/>
        <v/>
      </c>
      <c r="G231" s="33" t="str">
        <f>IFERROR((VLOOKUP(F231,'Planilha de Cadastro - Previsão'!$A$2:$N$1100,2,FALSE()))," ")</f>
        <v xml:space="preserve"> </v>
      </c>
      <c r="H231" s="32" t="str">
        <f>IFERROR((VLOOKUP(F231,'Planilha de Cadastro - Previsão'!$A$2:$N$1100,3,FALSE()))," ")</f>
        <v xml:space="preserve"> </v>
      </c>
      <c r="I231" s="34" t="str">
        <f>IFERROR((VLOOKUP(F231,'Planilha de Cadastro - Previsão'!$A$2:$N$1100,4,FALSE()))," ")</f>
        <v xml:space="preserve"> </v>
      </c>
      <c r="J231" s="34" t="str">
        <f>IFERROR((VLOOKUP(F231,'Planilha de Cadastro - Previsão'!$A$2:$N$1100,5,FALSE()))," ")</f>
        <v xml:space="preserve"> </v>
      </c>
      <c r="K231" s="36"/>
      <c r="L231" s="34" t="str">
        <f t="shared" si="16"/>
        <v/>
      </c>
      <c r="M231" s="35" t="str">
        <f t="shared" si="17"/>
        <v/>
      </c>
      <c r="N231" s="39"/>
      <c r="O231" s="36"/>
    </row>
    <row r="232" spans="1:15" x14ac:dyDescent="0.25">
      <c r="A232">
        <f>COUNTIF($C$2:C232,C232)</f>
        <v>231</v>
      </c>
      <c r="B232" s="1" t="str">
        <f t="shared" si="14"/>
        <v>231</v>
      </c>
      <c r="C232" s="1" t="str">
        <f>IFERROR(VLOOKUP(D232,'Planilha de Cadastro - Previsão'!$A$2:$O$1000,15,FALSE()),"")</f>
        <v/>
      </c>
      <c r="D232" s="1">
        <v>231</v>
      </c>
      <c r="F232" s="32" t="str">
        <f t="shared" si="15"/>
        <v/>
      </c>
      <c r="G232" s="33" t="str">
        <f>IFERROR((VLOOKUP(F232,'Planilha de Cadastro - Previsão'!$A$2:$N$1100,2,FALSE()))," ")</f>
        <v xml:space="preserve"> </v>
      </c>
      <c r="H232" s="32" t="str">
        <f>IFERROR((VLOOKUP(F232,'Planilha de Cadastro - Previsão'!$A$2:$N$1100,3,FALSE()))," ")</f>
        <v xml:space="preserve"> </v>
      </c>
      <c r="I232" s="34" t="str">
        <f>IFERROR((VLOOKUP(F232,'Planilha de Cadastro - Previsão'!$A$2:$N$1100,4,FALSE()))," ")</f>
        <v xml:space="preserve"> </v>
      </c>
      <c r="J232" s="34" t="str">
        <f>IFERROR((VLOOKUP(F232,'Planilha de Cadastro - Previsão'!$A$2:$N$1100,5,FALSE()))," ")</f>
        <v xml:space="preserve"> </v>
      </c>
      <c r="K232" s="36"/>
      <c r="L232" s="34" t="str">
        <f t="shared" si="16"/>
        <v/>
      </c>
      <c r="M232" s="35" t="str">
        <f t="shared" si="17"/>
        <v/>
      </c>
      <c r="N232" s="39"/>
      <c r="O232" s="36"/>
    </row>
    <row r="233" spans="1:15" x14ac:dyDescent="0.25">
      <c r="A233">
        <f>COUNTIF($C$2:C233,C233)</f>
        <v>232</v>
      </c>
      <c r="B233" s="1" t="str">
        <f t="shared" si="14"/>
        <v>232</v>
      </c>
      <c r="C233" s="1" t="str">
        <f>IFERROR(VLOOKUP(D233,'Planilha de Cadastro - Previsão'!$A$2:$O$1000,15,FALSE()),"")</f>
        <v/>
      </c>
      <c r="D233" s="1">
        <v>232</v>
      </c>
      <c r="F233" s="32" t="str">
        <f t="shared" si="15"/>
        <v/>
      </c>
      <c r="G233" s="33" t="str">
        <f>IFERROR((VLOOKUP(F233,'Planilha de Cadastro - Previsão'!$A$2:$N$1100,2,FALSE()))," ")</f>
        <v xml:space="preserve"> </v>
      </c>
      <c r="H233" s="32" t="str">
        <f>IFERROR((VLOOKUP(F233,'Planilha de Cadastro - Previsão'!$A$2:$N$1100,3,FALSE()))," ")</f>
        <v xml:space="preserve"> </v>
      </c>
      <c r="I233" s="34" t="str">
        <f>IFERROR((VLOOKUP(F233,'Planilha de Cadastro - Previsão'!$A$2:$N$1100,4,FALSE()))," ")</f>
        <v xml:space="preserve"> </v>
      </c>
      <c r="J233" s="34" t="str">
        <f>IFERROR((VLOOKUP(F233,'Planilha de Cadastro - Previsão'!$A$2:$N$1100,5,FALSE()))," ")</f>
        <v xml:space="preserve"> </v>
      </c>
      <c r="K233" s="36"/>
      <c r="L233" s="34" t="str">
        <f t="shared" si="16"/>
        <v/>
      </c>
      <c r="M233" s="35" t="str">
        <f t="shared" si="17"/>
        <v/>
      </c>
      <c r="N233" s="39"/>
      <c r="O233" s="36"/>
    </row>
    <row r="234" spans="1:15" x14ac:dyDescent="0.25">
      <c r="A234">
        <f>COUNTIF($C$2:C234,C234)</f>
        <v>233</v>
      </c>
      <c r="B234" s="1" t="str">
        <f t="shared" si="14"/>
        <v>233</v>
      </c>
      <c r="C234" s="1" t="str">
        <f>IFERROR(VLOOKUP(D234,'Planilha de Cadastro - Previsão'!$A$2:$O$1000,15,FALSE()),"")</f>
        <v/>
      </c>
      <c r="D234" s="1">
        <v>233</v>
      </c>
      <c r="F234" s="32" t="str">
        <f t="shared" si="15"/>
        <v/>
      </c>
      <c r="G234" s="33" t="str">
        <f>IFERROR((VLOOKUP(F234,'Planilha de Cadastro - Previsão'!$A$2:$N$1100,2,FALSE()))," ")</f>
        <v xml:space="preserve"> </v>
      </c>
      <c r="H234" s="32" t="str">
        <f>IFERROR((VLOOKUP(F234,'Planilha de Cadastro - Previsão'!$A$2:$N$1100,3,FALSE()))," ")</f>
        <v xml:space="preserve"> </v>
      </c>
      <c r="I234" s="34" t="str">
        <f>IFERROR((VLOOKUP(F234,'Planilha de Cadastro - Previsão'!$A$2:$N$1100,4,FALSE()))," ")</f>
        <v xml:space="preserve"> </v>
      </c>
      <c r="J234" s="34" t="str">
        <f>IFERROR((VLOOKUP(F234,'Planilha de Cadastro - Previsão'!$A$2:$N$1100,5,FALSE()))," ")</f>
        <v xml:space="preserve"> </v>
      </c>
      <c r="K234" s="36"/>
      <c r="L234" s="34" t="str">
        <f t="shared" si="16"/>
        <v/>
      </c>
      <c r="M234" s="35" t="str">
        <f t="shared" si="17"/>
        <v/>
      </c>
      <c r="N234" s="39"/>
      <c r="O234" s="36"/>
    </row>
    <row r="235" spans="1:15" x14ac:dyDescent="0.25">
      <c r="A235">
        <f>COUNTIF($C$2:C235,C235)</f>
        <v>234</v>
      </c>
      <c r="B235" s="1" t="str">
        <f t="shared" si="14"/>
        <v>234</v>
      </c>
      <c r="C235" s="1" t="str">
        <f>IFERROR(VLOOKUP(D235,'Planilha de Cadastro - Previsão'!$A$2:$O$1000,15,FALSE()),"")</f>
        <v/>
      </c>
      <c r="D235" s="1">
        <v>234</v>
      </c>
      <c r="F235" s="32" t="str">
        <f t="shared" si="15"/>
        <v/>
      </c>
      <c r="G235" s="33" t="str">
        <f>IFERROR((VLOOKUP(F235,'Planilha de Cadastro - Previsão'!$A$2:$N$1100,2,FALSE()))," ")</f>
        <v xml:space="preserve"> </v>
      </c>
      <c r="H235" s="32" t="str">
        <f>IFERROR((VLOOKUP(F235,'Planilha de Cadastro - Previsão'!$A$2:$N$1100,3,FALSE()))," ")</f>
        <v xml:space="preserve"> </v>
      </c>
      <c r="I235" s="34" t="str">
        <f>IFERROR((VLOOKUP(F235,'Planilha de Cadastro - Previsão'!$A$2:$N$1100,4,FALSE()))," ")</f>
        <v xml:space="preserve"> </v>
      </c>
      <c r="J235" s="34" t="str">
        <f>IFERROR((VLOOKUP(F235,'Planilha de Cadastro - Previsão'!$A$2:$N$1100,5,FALSE()))," ")</f>
        <v xml:space="preserve"> </v>
      </c>
      <c r="K235" s="36"/>
      <c r="L235" s="34" t="str">
        <f t="shared" si="16"/>
        <v/>
      </c>
      <c r="M235" s="35" t="str">
        <f t="shared" si="17"/>
        <v/>
      </c>
      <c r="N235" s="39"/>
      <c r="O235" s="36"/>
    </row>
    <row r="236" spans="1:15" x14ac:dyDescent="0.25">
      <c r="A236">
        <f>COUNTIF($C$2:C236,C236)</f>
        <v>235</v>
      </c>
      <c r="B236" s="1" t="str">
        <f t="shared" si="14"/>
        <v>235</v>
      </c>
      <c r="C236" s="1" t="str">
        <f>IFERROR(VLOOKUP(D236,'Planilha de Cadastro - Previsão'!$A$2:$O$1000,15,FALSE()),"")</f>
        <v/>
      </c>
      <c r="D236" s="1">
        <v>235</v>
      </c>
      <c r="F236" s="32" t="str">
        <f t="shared" si="15"/>
        <v/>
      </c>
      <c r="G236" s="33" t="str">
        <f>IFERROR((VLOOKUP(F236,'Planilha de Cadastro - Previsão'!$A$2:$N$1100,2,FALSE()))," ")</f>
        <v xml:space="preserve"> </v>
      </c>
      <c r="H236" s="32" t="str">
        <f>IFERROR((VLOOKUP(F236,'Planilha de Cadastro - Previsão'!$A$2:$N$1100,3,FALSE()))," ")</f>
        <v xml:space="preserve"> </v>
      </c>
      <c r="I236" s="34" t="str">
        <f>IFERROR((VLOOKUP(F236,'Planilha de Cadastro - Previsão'!$A$2:$N$1100,4,FALSE()))," ")</f>
        <v xml:space="preserve"> </v>
      </c>
      <c r="J236" s="34" t="str">
        <f>IFERROR((VLOOKUP(F236,'Planilha de Cadastro - Previsão'!$A$2:$N$1100,5,FALSE()))," ")</f>
        <v xml:space="preserve"> </v>
      </c>
      <c r="K236" s="36"/>
      <c r="L236" s="34" t="str">
        <f t="shared" si="16"/>
        <v/>
      </c>
      <c r="M236" s="35" t="str">
        <f t="shared" si="17"/>
        <v/>
      </c>
      <c r="N236" s="39"/>
      <c r="O236" s="36"/>
    </row>
    <row r="237" spans="1:15" x14ac:dyDescent="0.25">
      <c r="A237">
        <f>COUNTIF($C$2:C237,C237)</f>
        <v>236</v>
      </c>
      <c r="B237" s="1" t="str">
        <f t="shared" si="14"/>
        <v>236</v>
      </c>
      <c r="C237" s="1" t="str">
        <f>IFERROR(VLOOKUP(D237,'Planilha de Cadastro - Previsão'!$A$2:$O$1000,15,FALSE()),"")</f>
        <v/>
      </c>
      <c r="D237" s="1">
        <v>236</v>
      </c>
      <c r="F237" s="32" t="str">
        <f t="shared" si="15"/>
        <v/>
      </c>
      <c r="G237" s="33" t="str">
        <f>IFERROR((VLOOKUP(F237,'Planilha de Cadastro - Previsão'!$A$2:$N$1100,2,FALSE()))," ")</f>
        <v xml:space="preserve"> </v>
      </c>
      <c r="H237" s="32" t="str">
        <f>IFERROR((VLOOKUP(F237,'Planilha de Cadastro - Previsão'!$A$2:$N$1100,3,FALSE()))," ")</f>
        <v xml:space="preserve"> </v>
      </c>
      <c r="I237" s="34" t="str">
        <f>IFERROR((VLOOKUP(F237,'Planilha de Cadastro - Previsão'!$A$2:$N$1100,4,FALSE()))," ")</f>
        <v xml:space="preserve"> </v>
      </c>
      <c r="J237" s="34" t="str">
        <f>IFERROR((VLOOKUP(F237,'Planilha de Cadastro - Previsão'!$A$2:$N$1100,5,FALSE()))," ")</f>
        <v xml:space="preserve"> </v>
      </c>
      <c r="K237" s="36"/>
      <c r="L237" s="34" t="str">
        <f t="shared" si="16"/>
        <v/>
      </c>
      <c r="M237" s="35" t="str">
        <f t="shared" si="17"/>
        <v/>
      </c>
      <c r="N237" s="39"/>
      <c r="O237" s="36"/>
    </row>
    <row r="238" spans="1:15" x14ac:dyDescent="0.25">
      <c r="A238">
        <f>COUNTIF($C$2:C238,C238)</f>
        <v>237</v>
      </c>
      <c r="B238" s="1" t="str">
        <f t="shared" si="14"/>
        <v>237</v>
      </c>
      <c r="C238" s="1" t="str">
        <f>IFERROR(VLOOKUP(D238,'Planilha de Cadastro - Previsão'!$A$2:$O$1000,15,FALSE()),"")</f>
        <v/>
      </c>
      <c r="D238" s="1">
        <v>237</v>
      </c>
      <c r="F238" s="32" t="str">
        <f t="shared" si="15"/>
        <v/>
      </c>
      <c r="G238" s="33" t="str">
        <f>IFERROR((VLOOKUP(F238,'Planilha de Cadastro - Previsão'!$A$2:$N$1100,2,FALSE()))," ")</f>
        <v xml:space="preserve"> </v>
      </c>
      <c r="H238" s="32" t="str">
        <f>IFERROR((VLOOKUP(F238,'Planilha de Cadastro - Previsão'!$A$2:$N$1100,3,FALSE()))," ")</f>
        <v xml:space="preserve"> </v>
      </c>
      <c r="I238" s="34" t="str">
        <f>IFERROR((VLOOKUP(F238,'Planilha de Cadastro - Previsão'!$A$2:$N$1100,4,FALSE()))," ")</f>
        <v xml:space="preserve"> </v>
      </c>
      <c r="J238" s="34" t="str">
        <f>IFERROR((VLOOKUP(F238,'Planilha de Cadastro - Previsão'!$A$2:$N$1100,5,FALSE()))," ")</f>
        <v xml:space="preserve"> </v>
      </c>
      <c r="K238" s="36"/>
      <c r="L238" s="34" t="str">
        <f t="shared" si="16"/>
        <v/>
      </c>
      <c r="M238" s="35" t="str">
        <f t="shared" si="17"/>
        <v/>
      </c>
      <c r="N238" s="39"/>
      <c r="O238" s="36"/>
    </row>
    <row r="239" spans="1:15" x14ac:dyDescent="0.25">
      <c r="A239">
        <f>COUNTIF($C$2:C239,C239)</f>
        <v>238</v>
      </c>
      <c r="B239" s="1" t="str">
        <f t="shared" si="14"/>
        <v>238</v>
      </c>
      <c r="C239" s="1" t="str">
        <f>IFERROR(VLOOKUP(D239,'Planilha de Cadastro - Previsão'!$A$2:$O$1000,15,FALSE()),"")</f>
        <v/>
      </c>
      <c r="D239" s="1">
        <v>238</v>
      </c>
      <c r="F239" s="32" t="str">
        <f t="shared" si="15"/>
        <v/>
      </c>
      <c r="G239" s="33" t="str">
        <f>IFERROR((VLOOKUP(F239,'Planilha de Cadastro - Previsão'!$A$2:$N$1100,2,FALSE()))," ")</f>
        <v xml:space="preserve"> </v>
      </c>
      <c r="H239" s="32" t="str">
        <f>IFERROR((VLOOKUP(F239,'Planilha de Cadastro - Previsão'!$A$2:$N$1100,3,FALSE()))," ")</f>
        <v xml:space="preserve"> </v>
      </c>
      <c r="I239" s="34" t="str">
        <f>IFERROR((VLOOKUP(F239,'Planilha de Cadastro - Previsão'!$A$2:$N$1100,4,FALSE()))," ")</f>
        <v xml:space="preserve"> </v>
      </c>
      <c r="J239" s="34" t="str">
        <f>IFERROR((VLOOKUP(F239,'Planilha de Cadastro - Previsão'!$A$2:$N$1100,5,FALSE()))," ")</f>
        <v xml:space="preserve"> </v>
      </c>
      <c r="K239" s="36"/>
      <c r="L239" s="34" t="str">
        <f t="shared" si="16"/>
        <v/>
      </c>
      <c r="M239" s="35" t="str">
        <f t="shared" si="17"/>
        <v/>
      </c>
      <c r="N239" s="39"/>
      <c r="O239" s="36"/>
    </row>
    <row r="240" spans="1:15" x14ac:dyDescent="0.25">
      <c r="A240">
        <f>COUNTIF($C$2:C240,C240)</f>
        <v>239</v>
      </c>
      <c r="B240" s="1" t="str">
        <f t="shared" si="14"/>
        <v>239</v>
      </c>
      <c r="C240" s="1" t="str">
        <f>IFERROR(VLOOKUP(D240,'Planilha de Cadastro - Previsão'!$A$2:$O$1000,15,FALSE()),"")</f>
        <v/>
      </c>
      <c r="D240" s="1">
        <v>239</v>
      </c>
      <c r="F240" s="32" t="str">
        <f t="shared" si="15"/>
        <v/>
      </c>
      <c r="G240" s="33" t="str">
        <f>IFERROR((VLOOKUP(F240,'Planilha de Cadastro - Previsão'!$A$2:$N$1100,2,FALSE()))," ")</f>
        <v xml:space="preserve"> </v>
      </c>
      <c r="H240" s="32" t="str">
        <f>IFERROR((VLOOKUP(F240,'Planilha de Cadastro - Previsão'!$A$2:$N$1100,3,FALSE()))," ")</f>
        <v xml:space="preserve"> </v>
      </c>
      <c r="I240" s="34" t="str">
        <f>IFERROR((VLOOKUP(F240,'Planilha de Cadastro - Previsão'!$A$2:$N$1100,4,FALSE()))," ")</f>
        <v xml:space="preserve"> </v>
      </c>
      <c r="J240" s="34" t="str">
        <f>IFERROR((VLOOKUP(F240,'Planilha de Cadastro - Previsão'!$A$2:$N$1100,5,FALSE()))," ")</f>
        <v xml:space="preserve"> </v>
      </c>
      <c r="K240" s="36"/>
      <c r="L240" s="34" t="str">
        <f t="shared" si="16"/>
        <v/>
      </c>
      <c r="M240" s="35" t="str">
        <f t="shared" si="17"/>
        <v/>
      </c>
      <c r="N240" s="39"/>
      <c r="O240" s="36"/>
    </row>
    <row r="241" spans="1:15" x14ac:dyDescent="0.25">
      <c r="A241">
        <f>COUNTIF($C$2:C241,C241)</f>
        <v>240</v>
      </c>
      <c r="B241" s="1" t="str">
        <f t="shared" si="14"/>
        <v>240</v>
      </c>
      <c r="C241" s="1" t="str">
        <f>IFERROR(VLOOKUP(D241,'Planilha de Cadastro - Previsão'!$A$2:$O$1000,15,FALSE()),"")</f>
        <v/>
      </c>
      <c r="D241" s="1">
        <v>240</v>
      </c>
      <c r="F241" s="32" t="str">
        <f t="shared" si="15"/>
        <v/>
      </c>
      <c r="G241" s="33" t="str">
        <f>IFERROR((VLOOKUP(F241,'Planilha de Cadastro - Previsão'!$A$2:$N$1100,2,FALSE()))," ")</f>
        <v xml:space="preserve"> </v>
      </c>
      <c r="H241" s="32" t="str">
        <f>IFERROR((VLOOKUP(F241,'Planilha de Cadastro - Previsão'!$A$2:$N$1100,3,FALSE()))," ")</f>
        <v xml:space="preserve"> </v>
      </c>
      <c r="I241" s="34" t="str">
        <f>IFERROR((VLOOKUP(F241,'Planilha de Cadastro - Previsão'!$A$2:$N$1100,4,FALSE()))," ")</f>
        <v xml:space="preserve"> </v>
      </c>
      <c r="J241" s="34" t="str">
        <f>IFERROR((VLOOKUP(F241,'Planilha de Cadastro - Previsão'!$A$2:$N$1100,5,FALSE()))," ")</f>
        <v xml:space="preserve"> </v>
      </c>
      <c r="K241" s="36"/>
      <c r="L241" s="34" t="str">
        <f t="shared" si="16"/>
        <v/>
      </c>
      <c r="M241" s="35" t="str">
        <f t="shared" si="17"/>
        <v/>
      </c>
      <c r="N241" s="39"/>
      <c r="O241" s="36"/>
    </row>
    <row r="242" spans="1:15" x14ac:dyDescent="0.25">
      <c r="A242">
        <f>COUNTIF($C$2:C242,C242)</f>
        <v>241</v>
      </c>
      <c r="B242" s="1" t="str">
        <f t="shared" si="14"/>
        <v>241</v>
      </c>
      <c r="C242" s="1" t="str">
        <f>IFERROR(VLOOKUP(D242,'Planilha de Cadastro - Previsão'!$A$2:$O$1000,15,FALSE()),"")</f>
        <v/>
      </c>
      <c r="D242" s="1">
        <v>241</v>
      </c>
      <c r="F242" s="32" t="str">
        <f t="shared" si="15"/>
        <v/>
      </c>
      <c r="G242" s="33" t="str">
        <f>IFERROR((VLOOKUP(F242,'Planilha de Cadastro - Previsão'!$A$2:$N$1100,2,FALSE()))," ")</f>
        <v xml:space="preserve"> </v>
      </c>
      <c r="H242" s="32" t="str">
        <f>IFERROR((VLOOKUP(F242,'Planilha de Cadastro - Previsão'!$A$2:$N$1100,3,FALSE()))," ")</f>
        <v xml:space="preserve"> </v>
      </c>
      <c r="I242" s="34" t="str">
        <f>IFERROR((VLOOKUP(F242,'Planilha de Cadastro - Previsão'!$A$2:$N$1100,4,FALSE()))," ")</f>
        <v xml:space="preserve"> </v>
      </c>
      <c r="J242" s="34" t="str">
        <f>IFERROR((VLOOKUP(F242,'Planilha de Cadastro - Previsão'!$A$2:$N$1100,5,FALSE()))," ")</f>
        <v xml:space="preserve"> </v>
      </c>
      <c r="K242" s="36"/>
      <c r="L242" s="34" t="str">
        <f t="shared" si="16"/>
        <v/>
      </c>
      <c r="M242" s="35" t="str">
        <f t="shared" si="17"/>
        <v/>
      </c>
      <c r="N242" s="39"/>
      <c r="O242" s="36"/>
    </row>
    <row r="243" spans="1:15" x14ac:dyDescent="0.25">
      <c r="A243">
        <f>COUNTIF($C$2:C243,C243)</f>
        <v>242</v>
      </c>
      <c r="B243" s="1" t="str">
        <f t="shared" si="14"/>
        <v>242</v>
      </c>
      <c r="C243" s="1" t="str">
        <f>IFERROR(VLOOKUP(D243,'Planilha de Cadastro - Previsão'!$A$2:$O$1000,15,FALSE()),"")</f>
        <v/>
      </c>
      <c r="D243" s="1">
        <v>242</v>
      </c>
      <c r="F243" s="32" t="str">
        <f t="shared" si="15"/>
        <v/>
      </c>
      <c r="G243" s="33" t="str">
        <f>IFERROR((VLOOKUP(F243,'Planilha de Cadastro - Previsão'!$A$2:$N$1100,2,FALSE()))," ")</f>
        <v xml:space="preserve"> </v>
      </c>
      <c r="H243" s="32" t="str">
        <f>IFERROR((VLOOKUP(F243,'Planilha de Cadastro - Previsão'!$A$2:$N$1100,3,FALSE()))," ")</f>
        <v xml:space="preserve"> </v>
      </c>
      <c r="I243" s="34" t="str">
        <f>IFERROR((VLOOKUP(F243,'Planilha de Cadastro - Previsão'!$A$2:$N$1100,4,FALSE()))," ")</f>
        <v xml:space="preserve"> </v>
      </c>
      <c r="J243" s="34" t="str">
        <f>IFERROR((VLOOKUP(F243,'Planilha de Cadastro - Previsão'!$A$2:$N$1100,5,FALSE()))," ")</f>
        <v xml:space="preserve"> </v>
      </c>
      <c r="K243" s="36"/>
      <c r="L243" s="34" t="str">
        <f t="shared" si="16"/>
        <v/>
      </c>
      <c r="M243" s="35" t="str">
        <f t="shared" si="17"/>
        <v/>
      </c>
      <c r="N243" s="39"/>
      <c r="O243" s="36"/>
    </row>
    <row r="244" spans="1:15" x14ac:dyDescent="0.25">
      <c r="A244">
        <f>COUNTIF($C$2:C244,C244)</f>
        <v>243</v>
      </c>
      <c r="B244" s="1" t="str">
        <f t="shared" si="14"/>
        <v>243</v>
      </c>
      <c r="C244" s="1" t="str">
        <f>IFERROR(VLOOKUP(D244,'Planilha de Cadastro - Previsão'!$A$2:$O$1000,15,FALSE()),"")</f>
        <v/>
      </c>
      <c r="D244" s="1">
        <v>243</v>
      </c>
      <c r="F244" s="32" t="str">
        <f t="shared" si="15"/>
        <v/>
      </c>
      <c r="G244" s="33" t="str">
        <f>IFERROR((VLOOKUP(F244,'Planilha de Cadastro - Previsão'!$A$2:$N$1100,2,FALSE()))," ")</f>
        <v xml:space="preserve"> </v>
      </c>
      <c r="H244" s="32" t="str">
        <f>IFERROR((VLOOKUP(F244,'Planilha de Cadastro - Previsão'!$A$2:$N$1100,3,FALSE()))," ")</f>
        <v xml:space="preserve"> </v>
      </c>
      <c r="I244" s="34" t="str">
        <f>IFERROR((VLOOKUP(F244,'Planilha de Cadastro - Previsão'!$A$2:$N$1100,4,FALSE()))," ")</f>
        <v xml:space="preserve"> </v>
      </c>
      <c r="J244" s="34" t="str">
        <f>IFERROR((VLOOKUP(F244,'Planilha de Cadastro - Previsão'!$A$2:$N$1100,5,FALSE()))," ")</f>
        <v xml:space="preserve"> </v>
      </c>
      <c r="K244" s="36"/>
      <c r="L244" s="34" t="str">
        <f t="shared" si="16"/>
        <v/>
      </c>
      <c r="M244" s="35" t="str">
        <f t="shared" si="17"/>
        <v/>
      </c>
      <c r="N244" s="39"/>
      <c r="O244" s="36"/>
    </row>
    <row r="245" spans="1:15" x14ac:dyDescent="0.25">
      <c r="A245">
        <f>COUNTIF($C$2:C245,C245)</f>
        <v>244</v>
      </c>
      <c r="B245" s="1" t="str">
        <f t="shared" si="14"/>
        <v>244</v>
      </c>
      <c r="C245" s="1" t="str">
        <f>IFERROR(VLOOKUP(D245,'Planilha de Cadastro - Previsão'!$A$2:$O$1000,15,FALSE()),"")</f>
        <v/>
      </c>
      <c r="D245" s="1">
        <v>244</v>
      </c>
      <c r="F245" s="32" t="str">
        <f t="shared" si="15"/>
        <v/>
      </c>
      <c r="G245" s="33" t="str">
        <f>IFERROR((VLOOKUP(F245,'Planilha de Cadastro - Previsão'!$A$2:$N$1100,2,FALSE()))," ")</f>
        <v xml:space="preserve"> </v>
      </c>
      <c r="H245" s="32" t="str">
        <f>IFERROR((VLOOKUP(F245,'Planilha de Cadastro - Previsão'!$A$2:$N$1100,3,FALSE()))," ")</f>
        <v xml:space="preserve"> </v>
      </c>
      <c r="I245" s="34" t="str">
        <f>IFERROR((VLOOKUP(F245,'Planilha de Cadastro - Previsão'!$A$2:$N$1100,4,FALSE()))," ")</f>
        <v xml:space="preserve"> </v>
      </c>
      <c r="J245" s="34" t="str">
        <f>IFERROR((VLOOKUP(F245,'Planilha de Cadastro - Previsão'!$A$2:$N$1100,5,FALSE()))," ")</f>
        <v xml:space="preserve"> </v>
      </c>
      <c r="K245" s="36"/>
      <c r="L245" s="34" t="str">
        <f t="shared" si="16"/>
        <v/>
      </c>
      <c r="M245" s="35" t="str">
        <f t="shared" si="17"/>
        <v/>
      </c>
      <c r="N245" s="39"/>
      <c r="O245" s="36"/>
    </row>
    <row r="246" spans="1:15" x14ac:dyDescent="0.25">
      <c r="A246">
        <f>COUNTIF($C$2:C246,C246)</f>
        <v>245</v>
      </c>
      <c r="B246" s="1" t="str">
        <f t="shared" si="14"/>
        <v>245</v>
      </c>
      <c r="C246" s="1" t="str">
        <f>IFERROR(VLOOKUP(D246,'Planilha de Cadastro - Previsão'!$A$2:$O$1000,15,FALSE()),"")</f>
        <v/>
      </c>
      <c r="D246" s="1">
        <v>245</v>
      </c>
      <c r="F246" s="32" t="str">
        <f t="shared" si="15"/>
        <v/>
      </c>
      <c r="G246" s="33" t="str">
        <f>IFERROR((VLOOKUP(F246,'Planilha de Cadastro - Previsão'!$A$2:$N$1100,2,FALSE()))," ")</f>
        <v xml:space="preserve"> </v>
      </c>
      <c r="H246" s="32" t="str">
        <f>IFERROR((VLOOKUP(F246,'Planilha de Cadastro - Previsão'!$A$2:$N$1100,3,FALSE()))," ")</f>
        <v xml:space="preserve"> </v>
      </c>
      <c r="I246" s="34" t="str">
        <f>IFERROR((VLOOKUP(F246,'Planilha de Cadastro - Previsão'!$A$2:$N$1100,4,FALSE()))," ")</f>
        <v xml:space="preserve"> </v>
      </c>
      <c r="J246" s="34" t="str">
        <f>IFERROR((VLOOKUP(F246,'Planilha de Cadastro - Previsão'!$A$2:$N$1100,5,FALSE()))," ")</f>
        <v xml:space="preserve"> </v>
      </c>
      <c r="K246" s="36"/>
      <c r="L246" s="34" t="str">
        <f t="shared" si="16"/>
        <v/>
      </c>
      <c r="M246" s="35" t="str">
        <f t="shared" si="17"/>
        <v/>
      </c>
      <c r="N246" s="39"/>
      <c r="O246" s="36"/>
    </row>
    <row r="247" spans="1:15" x14ac:dyDescent="0.25">
      <c r="A247">
        <f>COUNTIF($C$2:C247,C247)</f>
        <v>246</v>
      </c>
      <c r="B247" s="1" t="str">
        <f t="shared" si="14"/>
        <v>246</v>
      </c>
      <c r="C247" s="1" t="str">
        <f>IFERROR(VLOOKUP(D247,'Planilha de Cadastro - Previsão'!$A$2:$O$1000,15,FALSE()),"")</f>
        <v/>
      </c>
      <c r="D247" s="1">
        <v>246</v>
      </c>
      <c r="F247" s="32" t="str">
        <f t="shared" si="15"/>
        <v/>
      </c>
      <c r="G247" s="33" t="str">
        <f>IFERROR((VLOOKUP(F247,'Planilha de Cadastro - Previsão'!$A$2:$N$1100,2,FALSE()))," ")</f>
        <v xml:space="preserve"> </v>
      </c>
      <c r="H247" s="32" t="str">
        <f>IFERROR((VLOOKUP(F247,'Planilha de Cadastro - Previsão'!$A$2:$N$1100,3,FALSE()))," ")</f>
        <v xml:space="preserve"> </v>
      </c>
      <c r="I247" s="34" t="str">
        <f>IFERROR((VLOOKUP(F247,'Planilha de Cadastro - Previsão'!$A$2:$N$1100,4,FALSE()))," ")</f>
        <v xml:space="preserve"> </v>
      </c>
      <c r="J247" s="34" t="str">
        <f>IFERROR((VLOOKUP(F247,'Planilha de Cadastro - Previsão'!$A$2:$N$1100,5,FALSE()))," ")</f>
        <v xml:space="preserve"> </v>
      </c>
      <c r="K247" s="36"/>
      <c r="L247" s="34" t="str">
        <f t="shared" si="16"/>
        <v/>
      </c>
      <c r="M247" s="35" t="str">
        <f t="shared" si="17"/>
        <v/>
      </c>
      <c r="N247" s="39"/>
      <c r="O247" s="36"/>
    </row>
    <row r="248" spans="1:15" x14ac:dyDescent="0.25">
      <c r="A248">
        <f>COUNTIF($C$2:C248,C248)</f>
        <v>247</v>
      </c>
      <c r="B248" s="1" t="str">
        <f t="shared" si="14"/>
        <v>247</v>
      </c>
      <c r="C248" s="1" t="str">
        <f>IFERROR(VLOOKUP(D248,'Planilha de Cadastro - Previsão'!$A$2:$O$1000,15,FALSE()),"")</f>
        <v/>
      </c>
      <c r="D248" s="1">
        <v>247</v>
      </c>
      <c r="F248" s="32" t="str">
        <f t="shared" si="15"/>
        <v/>
      </c>
      <c r="G248" s="33" t="str">
        <f>IFERROR((VLOOKUP(F248,'Planilha de Cadastro - Previsão'!$A$2:$N$1100,2,FALSE()))," ")</f>
        <v xml:space="preserve"> </v>
      </c>
      <c r="H248" s="32" t="str">
        <f>IFERROR((VLOOKUP(F248,'Planilha de Cadastro - Previsão'!$A$2:$N$1100,3,FALSE()))," ")</f>
        <v xml:space="preserve"> </v>
      </c>
      <c r="I248" s="34" t="str">
        <f>IFERROR((VLOOKUP(F248,'Planilha de Cadastro - Previsão'!$A$2:$N$1100,4,FALSE()))," ")</f>
        <v xml:space="preserve"> </v>
      </c>
      <c r="J248" s="34" t="str">
        <f>IFERROR((VLOOKUP(F248,'Planilha de Cadastro - Previsão'!$A$2:$N$1100,5,FALSE()))," ")</f>
        <v xml:space="preserve"> </v>
      </c>
      <c r="K248" s="36"/>
      <c r="L248" s="34" t="str">
        <f t="shared" si="16"/>
        <v/>
      </c>
      <c r="M248" s="35" t="str">
        <f t="shared" si="17"/>
        <v/>
      </c>
      <c r="N248" s="39"/>
      <c r="O248" s="36"/>
    </row>
    <row r="249" spans="1:15" x14ac:dyDescent="0.25">
      <c r="A249">
        <f>COUNTIF($C$2:C249,C249)</f>
        <v>248</v>
      </c>
      <c r="B249" s="1" t="str">
        <f t="shared" si="14"/>
        <v>248</v>
      </c>
      <c r="C249" s="1" t="str">
        <f>IFERROR(VLOOKUP(D249,'Planilha de Cadastro - Previsão'!$A$2:$O$1000,15,FALSE()),"")</f>
        <v/>
      </c>
      <c r="D249" s="1">
        <v>248</v>
      </c>
      <c r="F249" s="32" t="str">
        <f t="shared" si="15"/>
        <v/>
      </c>
      <c r="G249" s="33" t="str">
        <f>IFERROR((VLOOKUP(F249,'Planilha de Cadastro - Previsão'!$A$2:$N$1100,2,FALSE()))," ")</f>
        <v xml:space="preserve"> </v>
      </c>
      <c r="H249" s="32" t="str">
        <f>IFERROR((VLOOKUP(F249,'Planilha de Cadastro - Previsão'!$A$2:$N$1100,3,FALSE()))," ")</f>
        <v xml:space="preserve"> </v>
      </c>
      <c r="I249" s="34" t="str">
        <f>IFERROR((VLOOKUP(F249,'Planilha de Cadastro - Previsão'!$A$2:$N$1100,4,FALSE()))," ")</f>
        <v xml:space="preserve"> </v>
      </c>
      <c r="J249" s="34" t="str">
        <f>IFERROR((VLOOKUP(F249,'Planilha de Cadastro - Previsão'!$A$2:$N$1100,5,FALSE()))," ")</f>
        <v xml:space="preserve"> </v>
      </c>
      <c r="K249" s="36"/>
      <c r="L249" s="34" t="str">
        <f t="shared" si="16"/>
        <v/>
      </c>
      <c r="M249" s="35" t="str">
        <f t="shared" si="17"/>
        <v/>
      </c>
      <c r="N249" s="39"/>
      <c r="O249" s="36"/>
    </row>
    <row r="250" spans="1:15" x14ac:dyDescent="0.25">
      <c r="A250">
        <f>COUNTIF($C$2:C250,C250)</f>
        <v>249</v>
      </c>
      <c r="B250" s="1" t="str">
        <f t="shared" si="14"/>
        <v>249</v>
      </c>
      <c r="C250" s="1" t="str">
        <f>IFERROR(VLOOKUP(D250,'Planilha de Cadastro - Previsão'!$A$2:$O$1000,15,FALSE()),"")</f>
        <v/>
      </c>
      <c r="D250" s="1">
        <v>249</v>
      </c>
      <c r="F250" s="32" t="str">
        <f t="shared" si="15"/>
        <v/>
      </c>
      <c r="G250" s="33" t="str">
        <f>IFERROR((VLOOKUP(F250,'Planilha de Cadastro - Previsão'!$A$2:$N$1100,2,FALSE()))," ")</f>
        <v xml:space="preserve"> </v>
      </c>
      <c r="H250" s="32" t="str">
        <f>IFERROR((VLOOKUP(F250,'Planilha de Cadastro - Previsão'!$A$2:$N$1100,3,FALSE()))," ")</f>
        <v xml:space="preserve"> </v>
      </c>
      <c r="I250" s="34" t="str">
        <f>IFERROR((VLOOKUP(F250,'Planilha de Cadastro - Previsão'!$A$2:$N$1100,4,FALSE()))," ")</f>
        <v xml:space="preserve"> </v>
      </c>
      <c r="J250" s="34" t="str">
        <f>IFERROR((VLOOKUP(F250,'Planilha de Cadastro - Previsão'!$A$2:$N$1100,5,FALSE()))," ")</f>
        <v xml:space="preserve"> </v>
      </c>
      <c r="K250" s="36"/>
      <c r="L250" s="34" t="str">
        <f t="shared" si="16"/>
        <v/>
      </c>
      <c r="M250" s="35" t="str">
        <f t="shared" si="17"/>
        <v/>
      </c>
      <c r="N250" s="39"/>
      <c r="O250" s="36"/>
    </row>
    <row r="251" spans="1:15" x14ac:dyDescent="0.25">
      <c r="A251">
        <f>COUNTIF($C$2:C251,C251)</f>
        <v>250</v>
      </c>
      <c r="B251" s="1" t="str">
        <f t="shared" si="14"/>
        <v>250</v>
      </c>
      <c r="C251" s="1" t="str">
        <f>IFERROR(VLOOKUP(D251,'Planilha de Cadastro - Previsão'!$A$2:$O$1000,15,FALSE()),"")</f>
        <v/>
      </c>
      <c r="D251" s="1">
        <v>250</v>
      </c>
      <c r="F251" s="32" t="str">
        <f t="shared" si="15"/>
        <v/>
      </c>
      <c r="G251" s="33" t="str">
        <f>IFERROR((VLOOKUP(F251,'Planilha de Cadastro - Previsão'!$A$2:$N$1100,2,FALSE()))," ")</f>
        <v xml:space="preserve"> </v>
      </c>
      <c r="H251" s="32" t="str">
        <f>IFERROR((VLOOKUP(F251,'Planilha de Cadastro - Previsão'!$A$2:$N$1100,3,FALSE()))," ")</f>
        <v xml:space="preserve"> </v>
      </c>
      <c r="I251" s="34" t="str">
        <f>IFERROR((VLOOKUP(F251,'Planilha de Cadastro - Previsão'!$A$2:$N$1100,4,FALSE()))," ")</f>
        <v xml:space="preserve"> </v>
      </c>
      <c r="J251" s="34" t="str">
        <f>IFERROR((VLOOKUP(F251,'Planilha de Cadastro - Previsão'!$A$2:$N$1100,5,FALSE()))," ")</f>
        <v xml:space="preserve"> </v>
      </c>
      <c r="K251" s="36"/>
      <c r="L251" s="34" t="str">
        <f t="shared" si="16"/>
        <v/>
      </c>
      <c r="M251" s="35" t="str">
        <f t="shared" si="17"/>
        <v/>
      </c>
      <c r="N251" s="39"/>
      <c r="O251" s="36"/>
    </row>
    <row r="252" spans="1:15" x14ac:dyDescent="0.25">
      <c r="A252">
        <f>COUNTIF($C$2:C252,C252)</f>
        <v>251</v>
      </c>
      <c r="B252" s="1" t="str">
        <f t="shared" si="14"/>
        <v>251</v>
      </c>
      <c r="C252" s="1" t="str">
        <f>IFERROR(VLOOKUP(D252,'Planilha de Cadastro - Previsão'!$A$2:$O$1000,15,FALSE()),"")</f>
        <v/>
      </c>
      <c r="D252" s="1">
        <v>251</v>
      </c>
      <c r="F252" s="32" t="str">
        <f t="shared" si="15"/>
        <v/>
      </c>
      <c r="G252" s="33" t="str">
        <f>IFERROR((VLOOKUP(F252,'Planilha de Cadastro - Previsão'!$A$2:$N$1100,2,FALSE()))," ")</f>
        <v xml:space="preserve"> </v>
      </c>
      <c r="H252" s="32" t="str">
        <f>IFERROR((VLOOKUP(F252,'Planilha de Cadastro - Previsão'!$A$2:$N$1100,3,FALSE()))," ")</f>
        <v xml:space="preserve"> </v>
      </c>
      <c r="I252" s="34" t="str">
        <f>IFERROR((VLOOKUP(F252,'Planilha de Cadastro - Previsão'!$A$2:$N$1100,4,FALSE()))," ")</f>
        <v xml:space="preserve"> </v>
      </c>
      <c r="J252" s="34" t="str">
        <f>IFERROR((VLOOKUP(F252,'Planilha de Cadastro - Previsão'!$A$2:$N$1100,5,FALSE()))," ")</f>
        <v xml:space="preserve"> </v>
      </c>
      <c r="K252" s="36"/>
      <c r="L252" s="34" t="str">
        <f t="shared" si="16"/>
        <v/>
      </c>
      <c r="M252" s="35" t="str">
        <f t="shared" si="17"/>
        <v/>
      </c>
      <c r="N252" s="39"/>
      <c r="O252" s="36"/>
    </row>
    <row r="253" spans="1:15" x14ac:dyDescent="0.25">
      <c r="A253">
        <f>COUNTIF($C$2:C253,C253)</f>
        <v>252</v>
      </c>
      <c r="B253" s="1" t="str">
        <f t="shared" si="14"/>
        <v>252</v>
      </c>
      <c r="C253" s="1" t="str">
        <f>IFERROR(VLOOKUP(D253,'Planilha de Cadastro - Previsão'!$A$2:$O$1000,15,FALSE()),"")</f>
        <v/>
      </c>
      <c r="D253" s="1">
        <v>252</v>
      </c>
      <c r="F253" s="32" t="str">
        <f t="shared" si="15"/>
        <v/>
      </c>
      <c r="G253" s="33" t="str">
        <f>IFERROR((VLOOKUP(F253,'Planilha de Cadastro - Previsão'!$A$2:$N$1100,2,FALSE()))," ")</f>
        <v xml:space="preserve"> </v>
      </c>
      <c r="H253" s="32" t="str">
        <f>IFERROR((VLOOKUP(F253,'Planilha de Cadastro - Previsão'!$A$2:$N$1100,3,FALSE()))," ")</f>
        <v xml:space="preserve"> </v>
      </c>
      <c r="I253" s="34" t="str">
        <f>IFERROR((VLOOKUP(F253,'Planilha de Cadastro - Previsão'!$A$2:$N$1100,4,FALSE()))," ")</f>
        <v xml:space="preserve"> </v>
      </c>
      <c r="J253" s="34" t="str">
        <f>IFERROR((VLOOKUP(F253,'Planilha de Cadastro - Previsão'!$A$2:$N$1100,5,FALSE()))," ")</f>
        <v xml:space="preserve"> </v>
      </c>
      <c r="K253" s="36"/>
      <c r="L253" s="34" t="str">
        <f t="shared" si="16"/>
        <v/>
      </c>
      <c r="M253" s="35" t="str">
        <f t="shared" si="17"/>
        <v/>
      </c>
      <c r="N253" s="39"/>
      <c r="O253" s="36"/>
    </row>
    <row r="254" spans="1:15" x14ac:dyDescent="0.25">
      <c r="A254">
        <f>COUNTIF($C$2:C254,C254)</f>
        <v>253</v>
      </c>
      <c r="B254" s="1" t="str">
        <f t="shared" si="14"/>
        <v>253</v>
      </c>
      <c r="C254" s="1" t="str">
        <f>IFERROR(VLOOKUP(D254,'Planilha de Cadastro - Previsão'!$A$2:$O$1000,15,FALSE()),"")</f>
        <v/>
      </c>
      <c r="D254" s="1">
        <v>253</v>
      </c>
      <c r="F254" s="32" t="str">
        <f t="shared" si="15"/>
        <v/>
      </c>
      <c r="G254" s="33" t="str">
        <f>IFERROR((VLOOKUP(F254,'Planilha de Cadastro - Previsão'!$A$2:$N$1100,2,FALSE()))," ")</f>
        <v xml:space="preserve"> </v>
      </c>
      <c r="H254" s="32" t="str">
        <f>IFERROR((VLOOKUP(F254,'Planilha de Cadastro - Previsão'!$A$2:$N$1100,3,FALSE()))," ")</f>
        <v xml:space="preserve"> </v>
      </c>
      <c r="I254" s="34" t="str">
        <f>IFERROR((VLOOKUP(F254,'Planilha de Cadastro - Previsão'!$A$2:$N$1100,4,FALSE()))," ")</f>
        <v xml:space="preserve"> </v>
      </c>
      <c r="J254" s="34" t="str">
        <f>IFERROR((VLOOKUP(F254,'Planilha de Cadastro - Previsão'!$A$2:$N$1100,5,FALSE()))," ")</f>
        <v xml:space="preserve"> </v>
      </c>
      <c r="K254" s="36"/>
      <c r="L254" s="34" t="str">
        <f t="shared" si="16"/>
        <v/>
      </c>
      <c r="M254" s="35" t="str">
        <f t="shared" si="17"/>
        <v/>
      </c>
      <c r="N254" s="39"/>
      <c r="O254" s="36"/>
    </row>
    <row r="255" spans="1:15" x14ac:dyDescent="0.25">
      <c r="A255">
        <f>COUNTIF($C$2:C255,C255)</f>
        <v>254</v>
      </c>
      <c r="B255" s="1" t="str">
        <f t="shared" si="14"/>
        <v>254</v>
      </c>
      <c r="C255" s="1" t="str">
        <f>IFERROR(VLOOKUP(D255,'Planilha de Cadastro - Previsão'!$A$2:$O$1000,15,FALSE()),"")</f>
        <v/>
      </c>
      <c r="D255" s="1">
        <v>254</v>
      </c>
      <c r="F255" s="32" t="str">
        <f t="shared" si="15"/>
        <v/>
      </c>
      <c r="G255" s="33" t="str">
        <f>IFERROR((VLOOKUP(F255,'Planilha de Cadastro - Previsão'!$A$2:$N$1100,2,FALSE()))," ")</f>
        <v xml:space="preserve"> </v>
      </c>
      <c r="H255" s="32" t="str">
        <f>IFERROR((VLOOKUP(F255,'Planilha de Cadastro - Previsão'!$A$2:$N$1100,3,FALSE()))," ")</f>
        <v xml:space="preserve"> </v>
      </c>
      <c r="I255" s="34" t="str">
        <f>IFERROR((VLOOKUP(F255,'Planilha de Cadastro - Previsão'!$A$2:$N$1100,4,FALSE()))," ")</f>
        <v xml:space="preserve"> </v>
      </c>
      <c r="J255" s="34" t="str">
        <f>IFERROR((VLOOKUP(F255,'Planilha de Cadastro - Previsão'!$A$2:$N$1100,5,FALSE()))," ")</f>
        <v xml:space="preserve"> </v>
      </c>
      <c r="K255" s="36"/>
      <c r="L255" s="34" t="str">
        <f t="shared" si="16"/>
        <v/>
      </c>
      <c r="M255" s="35" t="str">
        <f t="shared" si="17"/>
        <v/>
      </c>
      <c r="N255" s="39"/>
      <c r="O255" s="36"/>
    </row>
    <row r="256" spans="1:15" x14ac:dyDescent="0.25">
      <c r="A256">
        <f>COUNTIF($C$2:C256,C256)</f>
        <v>255</v>
      </c>
      <c r="B256" s="1" t="str">
        <f t="shared" si="14"/>
        <v>255</v>
      </c>
      <c r="C256" s="1" t="str">
        <f>IFERROR(VLOOKUP(D256,'Planilha de Cadastro - Previsão'!$A$2:$O$1000,15,FALSE()),"")</f>
        <v/>
      </c>
      <c r="D256" s="1">
        <v>255</v>
      </c>
      <c r="F256" s="32" t="str">
        <f t="shared" si="15"/>
        <v/>
      </c>
      <c r="G256" s="33" t="str">
        <f>IFERROR((VLOOKUP(F256,'Planilha de Cadastro - Previsão'!$A$2:$N$1100,2,FALSE()))," ")</f>
        <v xml:space="preserve"> </v>
      </c>
      <c r="H256" s="32" t="str">
        <f>IFERROR((VLOOKUP(F256,'Planilha de Cadastro - Previsão'!$A$2:$N$1100,3,FALSE()))," ")</f>
        <v xml:space="preserve"> </v>
      </c>
      <c r="I256" s="34" t="str">
        <f>IFERROR((VLOOKUP(F256,'Planilha de Cadastro - Previsão'!$A$2:$N$1100,4,FALSE()))," ")</f>
        <v xml:space="preserve"> </v>
      </c>
      <c r="J256" s="34" t="str">
        <f>IFERROR((VLOOKUP(F256,'Planilha de Cadastro - Previsão'!$A$2:$N$1100,5,FALSE()))," ")</f>
        <v xml:space="preserve"> </v>
      </c>
      <c r="K256" s="36"/>
      <c r="L256" s="34" t="str">
        <f t="shared" si="16"/>
        <v/>
      </c>
      <c r="M256" s="35" t="str">
        <f t="shared" si="17"/>
        <v/>
      </c>
      <c r="N256" s="39"/>
      <c r="O256" s="36"/>
    </row>
    <row r="257" spans="1:15" x14ac:dyDescent="0.25">
      <c r="A257">
        <f>COUNTIF($C$2:C257,C257)</f>
        <v>256</v>
      </c>
      <c r="B257" s="1" t="str">
        <f t="shared" si="14"/>
        <v>256</v>
      </c>
      <c r="C257" s="1" t="str">
        <f>IFERROR(VLOOKUP(D257,'Planilha de Cadastro - Previsão'!$A$2:$O$1000,15,FALSE()),"")</f>
        <v/>
      </c>
      <c r="D257" s="1">
        <v>256</v>
      </c>
      <c r="F257" s="32" t="str">
        <f t="shared" si="15"/>
        <v/>
      </c>
      <c r="G257" s="33" t="str">
        <f>IFERROR((VLOOKUP(F257,'Planilha de Cadastro - Previsão'!$A$2:$N$1100,2,FALSE()))," ")</f>
        <v xml:space="preserve"> </v>
      </c>
      <c r="H257" s="32" t="str">
        <f>IFERROR((VLOOKUP(F257,'Planilha de Cadastro - Previsão'!$A$2:$N$1100,3,FALSE()))," ")</f>
        <v xml:space="preserve"> </v>
      </c>
      <c r="I257" s="34" t="str">
        <f>IFERROR((VLOOKUP(F257,'Planilha de Cadastro - Previsão'!$A$2:$N$1100,4,FALSE()))," ")</f>
        <v xml:space="preserve"> </v>
      </c>
      <c r="J257" s="34" t="str">
        <f>IFERROR((VLOOKUP(F257,'Planilha de Cadastro - Previsão'!$A$2:$N$1100,5,FALSE()))," ")</f>
        <v xml:space="preserve"> </v>
      </c>
      <c r="K257" s="36"/>
      <c r="L257" s="34" t="str">
        <f t="shared" si="16"/>
        <v/>
      </c>
      <c r="M257" s="35" t="str">
        <f t="shared" si="17"/>
        <v/>
      </c>
      <c r="N257" s="39"/>
      <c r="O257" s="36"/>
    </row>
    <row r="258" spans="1:15" x14ac:dyDescent="0.25">
      <c r="A258">
        <f>COUNTIF($C$2:C258,C258)</f>
        <v>257</v>
      </c>
      <c r="B258" s="1" t="str">
        <f t="shared" si="14"/>
        <v>257</v>
      </c>
      <c r="C258" s="1" t="str">
        <f>IFERROR(VLOOKUP(D258,'Planilha de Cadastro - Previsão'!$A$2:$O$1000,15,FALSE()),"")</f>
        <v/>
      </c>
      <c r="D258" s="1">
        <v>257</v>
      </c>
      <c r="F258" s="32" t="str">
        <f t="shared" si="15"/>
        <v/>
      </c>
      <c r="G258" s="33" t="str">
        <f>IFERROR((VLOOKUP(F258,'Planilha de Cadastro - Previsão'!$A$2:$N$1100,2,FALSE()))," ")</f>
        <v xml:space="preserve"> </v>
      </c>
      <c r="H258" s="32" t="str">
        <f>IFERROR((VLOOKUP(F258,'Planilha de Cadastro - Previsão'!$A$2:$N$1100,3,FALSE()))," ")</f>
        <v xml:space="preserve"> </v>
      </c>
      <c r="I258" s="34" t="str">
        <f>IFERROR((VLOOKUP(F258,'Planilha de Cadastro - Previsão'!$A$2:$N$1100,4,FALSE()))," ")</f>
        <v xml:space="preserve"> </v>
      </c>
      <c r="J258" s="34" t="str">
        <f>IFERROR((VLOOKUP(F258,'Planilha de Cadastro - Previsão'!$A$2:$N$1100,5,FALSE()))," ")</f>
        <v xml:space="preserve"> </v>
      </c>
      <c r="K258" s="36"/>
      <c r="L258" s="34" t="str">
        <f t="shared" si="16"/>
        <v/>
      </c>
      <c r="M258" s="35" t="str">
        <f t="shared" si="17"/>
        <v/>
      </c>
      <c r="N258" s="39"/>
      <c r="O258" s="36"/>
    </row>
    <row r="259" spans="1:15" x14ac:dyDescent="0.25">
      <c r="A259">
        <f>COUNTIF($C$2:C259,C259)</f>
        <v>258</v>
      </c>
      <c r="B259" s="1" t="str">
        <f t="shared" ref="B259:B322" si="18">IFERROR(CONCATENATE(C259,A259),"")</f>
        <v>258</v>
      </c>
      <c r="C259" s="1" t="str">
        <f>IFERROR(VLOOKUP(D259,'Planilha de Cadastro - Previsão'!$A$2:$O$1000,15,FALSE()),"")</f>
        <v/>
      </c>
      <c r="D259" s="1">
        <v>258</v>
      </c>
      <c r="F259" s="32" t="str">
        <f t="shared" ref="F259:F322" si="19">IFERROR((VLOOKUP(CONCATENATE("Sim",D259),$B$2:$D$1000,3,FALSE())),"")</f>
        <v/>
      </c>
      <c r="G259" s="33" t="str">
        <f>IFERROR((VLOOKUP(F259,'Planilha de Cadastro - Previsão'!$A$2:$N$1100,2,FALSE()))," ")</f>
        <v xml:space="preserve"> </v>
      </c>
      <c r="H259" s="32" t="str">
        <f>IFERROR((VLOOKUP(F259,'Planilha de Cadastro - Previsão'!$A$2:$N$1100,3,FALSE()))," ")</f>
        <v xml:space="preserve"> </v>
      </c>
      <c r="I259" s="34" t="str">
        <f>IFERROR((VLOOKUP(F259,'Planilha de Cadastro - Previsão'!$A$2:$N$1100,4,FALSE()))," ")</f>
        <v xml:space="preserve"> </v>
      </c>
      <c r="J259" s="34" t="str">
        <f>IFERROR((VLOOKUP(F259,'Planilha de Cadastro - Previsão'!$A$2:$N$1100,5,FALSE()))," ")</f>
        <v xml:space="preserve"> </v>
      </c>
      <c r="K259" s="36"/>
      <c r="L259" s="34" t="str">
        <f t="shared" ref="L259:L322" si="20">IF(K259&gt;0,(K259*H259)-(I259*H259)-(K259*H259*4%),"")</f>
        <v/>
      </c>
      <c r="M259" s="35" t="str">
        <f t="shared" ref="M259:M322" si="21">IFERROR(L259/(K259*H259),"")</f>
        <v/>
      </c>
      <c r="N259" s="39"/>
      <c r="O259" s="36"/>
    </row>
    <row r="260" spans="1:15" x14ac:dyDescent="0.25">
      <c r="A260">
        <f>COUNTIF($C$2:C260,C260)</f>
        <v>259</v>
      </c>
      <c r="B260" s="1" t="str">
        <f t="shared" si="18"/>
        <v>259</v>
      </c>
      <c r="C260" s="1" t="str">
        <f>IFERROR(VLOOKUP(D260,'Planilha de Cadastro - Previsão'!$A$2:$O$1000,15,FALSE()),"")</f>
        <v/>
      </c>
      <c r="D260" s="1">
        <v>259</v>
      </c>
      <c r="F260" s="32" t="str">
        <f t="shared" si="19"/>
        <v/>
      </c>
      <c r="G260" s="33" t="str">
        <f>IFERROR((VLOOKUP(F260,'Planilha de Cadastro - Previsão'!$A$2:$N$1100,2,FALSE()))," ")</f>
        <v xml:space="preserve"> </v>
      </c>
      <c r="H260" s="32" t="str">
        <f>IFERROR((VLOOKUP(F260,'Planilha de Cadastro - Previsão'!$A$2:$N$1100,3,FALSE()))," ")</f>
        <v xml:space="preserve"> </v>
      </c>
      <c r="I260" s="34" t="str">
        <f>IFERROR((VLOOKUP(F260,'Planilha de Cadastro - Previsão'!$A$2:$N$1100,4,FALSE()))," ")</f>
        <v xml:space="preserve"> </v>
      </c>
      <c r="J260" s="34" t="str">
        <f>IFERROR((VLOOKUP(F260,'Planilha de Cadastro - Previsão'!$A$2:$N$1100,5,FALSE()))," ")</f>
        <v xml:space="preserve"> </v>
      </c>
      <c r="K260" s="36"/>
      <c r="L260" s="34" t="str">
        <f t="shared" si="20"/>
        <v/>
      </c>
      <c r="M260" s="35" t="str">
        <f t="shared" si="21"/>
        <v/>
      </c>
      <c r="N260" s="39"/>
      <c r="O260" s="36"/>
    </row>
    <row r="261" spans="1:15" x14ac:dyDescent="0.25">
      <c r="A261">
        <f>COUNTIF($C$2:C261,C261)</f>
        <v>260</v>
      </c>
      <c r="B261" s="1" t="str">
        <f t="shared" si="18"/>
        <v>260</v>
      </c>
      <c r="C261" s="1" t="str">
        <f>IFERROR(VLOOKUP(D261,'Planilha de Cadastro - Previsão'!$A$2:$O$1000,15,FALSE()),"")</f>
        <v/>
      </c>
      <c r="D261" s="1">
        <v>260</v>
      </c>
      <c r="F261" s="32" t="str">
        <f t="shared" si="19"/>
        <v/>
      </c>
      <c r="G261" s="33" t="str">
        <f>IFERROR((VLOOKUP(F261,'Planilha de Cadastro - Previsão'!$A$2:$N$1100,2,FALSE()))," ")</f>
        <v xml:space="preserve"> </v>
      </c>
      <c r="H261" s="32" t="str">
        <f>IFERROR((VLOOKUP(F261,'Planilha de Cadastro - Previsão'!$A$2:$N$1100,3,FALSE()))," ")</f>
        <v xml:space="preserve"> </v>
      </c>
      <c r="I261" s="34" t="str">
        <f>IFERROR((VLOOKUP(F261,'Planilha de Cadastro - Previsão'!$A$2:$N$1100,4,FALSE()))," ")</f>
        <v xml:space="preserve"> </v>
      </c>
      <c r="J261" s="34" t="str">
        <f>IFERROR((VLOOKUP(F261,'Planilha de Cadastro - Previsão'!$A$2:$N$1100,5,FALSE()))," ")</f>
        <v xml:space="preserve"> </v>
      </c>
      <c r="K261" s="36"/>
      <c r="L261" s="34" t="str">
        <f t="shared" si="20"/>
        <v/>
      </c>
      <c r="M261" s="35" t="str">
        <f t="shared" si="21"/>
        <v/>
      </c>
      <c r="N261" s="39"/>
      <c r="O261" s="36"/>
    </row>
    <row r="262" spans="1:15" x14ac:dyDescent="0.25">
      <c r="A262">
        <f>COUNTIF($C$2:C262,C262)</f>
        <v>261</v>
      </c>
      <c r="B262" s="1" t="str">
        <f t="shared" si="18"/>
        <v>261</v>
      </c>
      <c r="C262" s="1" t="str">
        <f>IFERROR(VLOOKUP(D262,'Planilha de Cadastro - Previsão'!$A$2:$O$1000,15,FALSE()),"")</f>
        <v/>
      </c>
      <c r="D262" s="1">
        <v>261</v>
      </c>
      <c r="F262" s="32" t="str">
        <f t="shared" si="19"/>
        <v/>
      </c>
      <c r="G262" s="33" t="str">
        <f>IFERROR((VLOOKUP(F262,'Planilha de Cadastro - Previsão'!$A$2:$N$1100,2,FALSE()))," ")</f>
        <v xml:space="preserve"> </v>
      </c>
      <c r="H262" s="32" t="str">
        <f>IFERROR((VLOOKUP(F262,'Planilha de Cadastro - Previsão'!$A$2:$N$1100,3,FALSE()))," ")</f>
        <v xml:space="preserve"> </v>
      </c>
      <c r="I262" s="34" t="str">
        <f>IFERROR((VLOOKUP(F262,'Planilha de Cadastro - Previsão'!$A$2:$N$1100,4,FALSE()))," ")</f>
        <v xml:space="preserve"> </v>
      </c>
      <c r="J262" s="34" t="str">
        <f>IFERROR((VLOOKUP(F262,'Planilha de Cadastro - Previsão'!$A$2:$N$1100,5,FALSE()))," ")</f>
        <v xml:space="preserve"> </v>
      </c>
      <c r="K262" s="36"/>
      <c r="L262" s="34" t="str">
        <f t="shared" si="20"/>
        <v/>
      </c>
      <c r="M262" s="35" t="str">
        <f t="shared" si="21"/>
        <v/>
      </c>
      <c r="N262" s="39"/>
      <c r="O262" s="36"/>
    </row>
    <row r="263" spans="1:15" x14ac:dyDescent="0.25">
      <c r="A263">
        <f>COUNTIF($C$2:C263,C263)</f>
        <v>262</v>
      </c>
      <c r="B263" s="1" t="str">
        <f t="shared" si="18"/>
        <v>262</v>
      </c>
      <c r="C263" s="1" t="str">
        <f>IFERROR(VLOOKUP(D263,'Planilha de Cadastro - Previsão'!$A$2:$O$1000,15,FALSE()),"")</f>
        <v/>
      </c>
      <c r="D263" s="1">
        <v>262</v>
      </c>
      <c r="F263" s="32" t="str">
        <f t="shared" si="19"/>
        <v/>
      </c>
      <c r="G263" s="33" t="str">
        <f>IFERROR((VLOOKUP(F263,'Planilha de Cadastro - Previsão'!$A$2:$N$1100,2,FALSE()))," ")</f>
        <v xml:space="preserve"> </v>
      </c>
      <c r="H263" s="32" t="str">
        <f>IFERROR((VLOOKUP(F263,'Planilha de Cadastro - Previsão'!$A$2:$N$1100,3,FALSE()))," ")</f>
        <v xml:space="preserve"> </v>
      </c>
      <c r="I263" s="34" t="str">
        <f>IFERROR((VLOOKUP(F263,'Planilha de Cadastro - Previsão'!$A$2:$N$1100,4,FALSE()))," ")</f>
        <v xml:space="preserve"> </v>
      </c>
      <c r="J263" s="34" t="str">
        <f>IFERROR((VLOOKUP(F263,'Planilha de Cadastro - Previsão'!$A$2:$N$1100,5,FALSE()))," ")</f>
        <v xml:space="preserve"> </v>
      </c>
      <c r="K263" s="36"/>
      <c r="L263" s="34" t="str">
        <f t="shared" si="20"/>
        <v/>
      </c>
      <c r="M263" s="35" t="str">
        <f t="shared" si="21"/>
        <v/>
      </c>
      <c r="N263" s="39"/>
      <c r="O263" s="36"/>
    </row>
    <row r="264" spans="1:15" x14ac:dyDescent="0.25">
      <c r="A264">
        <f>COUNTIF($C$2:C264,C264)</f>
        <v>263</v>
      </c>
      <c r="B264" s="1" t="str">
        <f t="shared" si="18"/>
        <v>263</v>
      </c>
      <c r="C264" s="1" t="str">
        <f>IFERROR(VLOOKUP(D264,'Planilha de Cadastro - Previsão'!$A$2:$O$1000,15,FALSE()),"")</f>
        <v/>
      </c>
      <c r="D264" s="1">
        <v>263</v>
      </c>
      <c r="F264" s="32" t="str">
        <f t="shared" si="19"/>
        <v/>
      </c>
      <c r="G264" s="33" t="str">
        <f>IFERROR((VLOOKUP(F264,'Planilha de Cadastro - Previsão'!$A$2:$N$1100,2,FALSE()))," ")</f>
        <v xml:space="preserve"> </v>
      </c>
      <c r="H264" s="32" t="str">
        <f>IFERROR((VLOOKUP(F264,'Planilha de Cadastro - Previsão'!$A$2:$N$1100,3,FALSE()))," ")</f>
        <v xml:space="preserve"> </v>
      </c>
      <c r="I264" s="34" t="str">
        <f>IFERROR((VLOOKUP(F264,'Planilha de Cadastro - Previsão'!$A$2:$N$1100,4,FALSE()))," ")</f>
        <v xml:space="preserve"> </v>
      </c>
      <c r="J264" s="34" t="str">
        <f>IFERROR((VLOOKUP(F264,'Planilha de Cadastro - Previsão'!$A$2:$N$1100,5,FALSE()))," ")</f>
        <v xml:space="preserve"> </v>
      </c>
      <c r="K264" s="36"/>
      <c r="L264" s="34" t="str">
        <f t="shared" si="20"/>
        <v/>
      </c>
      <c r="M264" s="35" t="str">
        <f t="shared" si="21"/>
        <v/>
      </c>
      <c r="N264" s="39"/>
      <c r="O264" s="36"/>
    </row>
    <row r="265" spans="1:15" x14ac:dyDescent="0.25">
      <c r="A265">
        <f>COUNTIF($C$2:C265,C265)</f>
        <v>264</v>
      </c>
      <c r="B265" s="1" t="str">
        <f t="shared" si="18"/>
        <v>264</v>
      </c>
      <c r="C265" s="1" t="str">
        <f>IFERROR(VLOOKUP(D265,'Planilha de Cadastro - Previsão'!$A$2:$O$1000,15,FALSE()),"")</f>
        <v/>
      </c>
      <c r="D265" s="1">
        <v>264</v>
      </c>
      <c r="F265" s="32" t="str">
        <f t="shared" si="19"/>
        <v/>
      </c>
      <c r="G265" s="33" t="str">
        <f>IFERROR((VLOOKUP(F265,'Planilha de Cadastro - Previsão'!$A$2:$N$1100,2,FALSE()))," ")</f>
        <v xml:space="preserve"> </v>
      </c>
      <c r="H265" s="32" t="str">
        <f>IFERROR((VLOOKUP(F265,'Planilha de Cadastro - Previsão'!$A$2:$N$1100,3,FALSE()))," ")</f>
        <v xml:space="preserve"> </v>
      </c>
      <c r="I265" s="34" t="str">
        <f>IFERROR((VLOOKUP(F265,'Planilha de Cadastro - Previsão'!$A$2:$N$1100,4,FALSE()))," ")</f>
        <v xml:space="preserve"> </v>
      </c>
      <c r="J265" s="34" t="str">
        <f>IFERROR((VLOOKUP(F265,'Planilha de Cadastro - Previsão'!$A$2:$N$1100,5,FALSE()))," ")</f>
        <v xml:space="preserve"> </v>
      </c>
      <c r="K265" s="36"/>
      <c r="L265" s="34" t="str">
        <f t="shared" si="20"/>
        <v/>
      </c>
      <c r="M265" s="35" t="str">
        <f t="shared" si="21"/>
        <v/>
      </c>
      <c r="N265" s="39"/>
      <c r="O265" s="36"/>
    </row>
    <row r="266" spans="1:15" x14ac:dyDescent="0.25">
      <c r="A266">
        <f>COUNTIF($C$2:C266,C266)</f>
        <v>265</v>
      </c>
      <c r="B266" s="1" t="str">
        <f t="shared" si="18"/>
        <v>265</v>
      </c>
      <c r="C266" s="1" t="str">
        <f>IFERROR(VLOOKUP(D266,'Planilha de Cadastro - Previsão'!$A$2:$O$1000,15,FALSE()),"")</f>
        <v/>
      </c>
      <c r="D266" s="1">
        <v>265</v>
      </c>
      <c r="F266" s="32" t="str">
        <f t="shared" si="19"/>
        <v/>
      </c>
      <c r="G266" s="33" t="str">
        <f>IFERROR((VLOOKUP(F266,'Planilha de Cadastro - Previsão'!$A$2:$N$1100,2,FALSE()))," ")</f>
        <v xml:space="preserve"> </v>
      </c>
      <c r="H266" s="32" t="str">
        <f>IFERROR((VLOOKUP(F266,'Planilha de Cadastro - Previsão'!$A$2:$N$1100,3,FALSE()))," ")</f>
        <v xml:space="preserve"> </v>
      </c>
      <c r="I266" s="34" t="str">
        <f>IFERROR((VLOOKUP(F266,'Planilha de Cadastro - Previsão'!$A$2:$N$1100,4,FALSE()))," ")</f>
        <v xml:space="preserve"> </v>
      </c>
      <c r="J266" s="34" t="str">
        <f>IFERROR((VLOOKUP(F266,'Planilha de Cadastro - Previsão'!$A$2:$N$1100,5,FALSE()))," ")</f>
        <v xml:space="preserve"> </v>
      </c>
      <c r="K266" s="36"/>
      <c r="L266" s="34" t="str">
        <f t="shared" si="20"/>
        <v/>
      </c>
      <c r="M266" s="35" t="str">
        <f t="shared" si="21"/>
        <v/>
      </c>
      <c r="N266" s="39"/>
      <c r="O266" s="36"/>
    </row>
    <row r="267" spans="1:15" x14ac:dyDescent="0.25">
      <c r="A267">
        <f>COUNTIF($C$2:C267,C267)</f>
        <v>266</v>
      </c>
      <c r="B267" s="1" t="str">
        <f t="shared" si="18"/>
        <v>266</v>
      </c>
      <c r="C267" s="1" t="str">
        <f>IFERROR(VLOOKUP(D267,'Planilha de Cadastro - Previsão'!$A$2:$O$1000,15,FALSE()),"")</f>
        <v/>
      </c>
      <c r="D267" s="1">
        <v>266</v>
      </c>
      <c r="F267" s="32" t="str">
        <f t="shared" si="19"/>
        <v/>
      </c>
      <c r="G267" s="33" t="str">
        <f>IFERROR((VLOOKUP(F267,'Planilha de Cadastro - Previsão'!$A$2:$N$1100,2,FALSE()))," ")</f>
        <v xml:space="preserve"> </v>
      </c>
      <c r="H267" s="32" t="str">
        <f>IFERROR((VLOOKUP(F267,'Planilha de Cadastro - Previsão'!$A$2:$N$1100,3,FALSE()))," ")</f>
        <v xml:space="preserve"> </v>
      </c>
      <c r="I267" s="34" t="str">
        <f>IFERROR((VLOOKUP(F267,'Planilha de Cadastro - Previsão'!$A$2:$N$1100,4,FALSE()))," ")</f>
        <v xml:space="preserve"> </v>
      </c>
      <c r="J267" s="34" t="str">
        <f>IFERROR((VLOOKUP(F267,'Planilha de Cadastro - Previsão'!$A$2:$N$1100,5,FALSE()))," ")</f>
        <v xml:space="preserve"> </v>
      </c>
      <c r="K267" s="36"/>
      <c r="L267" s="34" t="str">
        <f t="shared" si="20"/>
        <v/>
      </c>
      <c r="M267" s="35" t="str">
        <f t="shared" si="21"/>
        <v/>
      </c>
      <c r="N267" s="39"/>
      <c r="O267" s="36"/>
    </row>
    <row r="268" spans="1:15" x14ac:dyDescent="0.25">
      <c r="A268">
        <f>COUNTIF($C$2:C268,C268)</f>
        <v>267</v>
      </c>
      <c r="B268" s="1" t="str">
        <f t="shared" si="18"/>
        <v>267</v>
      </c>
      <c r="C268" s="1" t="str">
        <f>IFERROR(VLOOKUP(D268,'Planilha de Cadastro - Previsão'!$A$2:$O$1000,15,FALSE()),"")</f>
        <v/>
      </c>
      <c r="D268" s="1">
        <v>267</v>
      </c>
      <c r="F268" s="32" t="str">
        <f t="shared" si="19"/>
        <v/>
      </c>
      <c r="G268" s="33" t="str">
        <f>IFERROR((VLOOKUP(F268,'Planilha de Cadastro - Previsão'!$A$2:$N$1100,2,FALSE()))," ")</f>
        <v xml:space="preserve"> </v>
      </c>
      <c r="H268" s="32" t="str">
        <f>IFERROR((VLOOKUP(F268,'Planilha de Cadastro - Previsão'!$A$2:$N$1100,3,FALSE()))," ")</f>
        <v xml:space="preserve"> </v>
      </c>
      <c r="I268" s="34" t="str">
        <f>IFERROR((VLOOKUP(F268,'Planilha de Cadastro - Previsão'!$A$2:$N$1100,4,FALSE()))," ")</f>
        <v xml:space="preserve"> </v>
      </c>
      <c r="J268" s="34" t="str">
        <f>IFERROR((VLOOKUP(F268,'Planilha de Cadastro - Previsão'!$A$2:$N$1100,5,FALSE()))," ")</f>
        <v xml:space="preserve"> </v>
      </c>
      <c r="K268" s="36"/>
      <c r="L268" s="34" t="str">
        <f t="shared" si="20"/>
        <v/>
      </c>
      <c r="M268" s="35" t="str">
        <f t="shared" si="21"/>
        <v/>
      </c>
      <c r="N268" s="39"/>
      <c r="O268" s="36"/>
    </row>
    <row r="269" spans="1:15" x14ac:dyDescent="0.25">
      <c r="A269">
        <f>COUNTIF($C$2:C269,C269)</f>
        <v>268</v>
      </c>
      <c r="B269" s="1" t="str">
        <f t="shared" si="18"/>
        <v>268</v>
      </c>
      <c r="C269" s="1" t="str">
        <f>IFERROR(VLOOKUP(D269,'Planilha de Cadastro - Previsão'!$A$2:$O$1000,15,FALSE()),"")</f>
        <v/>
      </c>
      <c r="D269" s="1">
        <v>268</v>
      </c>
      <c r="F269" s="32" t="str">
        <f t="shared" si="19"/>
        <v/>
      </c>
      <c r="G269" s="33" t="str">
        <f>IFERROR((VLOOKUP(F269,'Planilha de Cadastro - Previsão'!$A$2:$N$1100,2,FALSE()))," ")</f>
        <v xml:space="preserve"> </v>
      </c>
      <c r="H269" s="32" t="str">
        <f>IFERROR((VLOOKUP(F269,'Planilha de Cadastro - Previsão'!$A$2:$N$1100,3,FALSE()))," ")</f>
        <v xml:space="preserve"> </v>
      </c>
      <c r="I269" s="34" t="str">
        <f>IFERROR((VLOOKUP(F269,'Planilha de Cadastro - Previsão'!$A$2:$N$1100,4,FALSE()))," ")</f>
        <v xml:space="preserve"> </v>
      </c>
      <c r="J269" s="34" t="str">
        <f>IFERROR((VLOOKUP(F269,'Planilha de Cadastro - Previsão'!$A$2:$N$1100,5,FALSE()))," ")</f>
        <v xml:space="preserve"> </v>
      </c>
      <c r="K269" s="36"/>
      <c r="L269" s="34" t="str">
        <f t="shared" si="20"/>
        <v/>
      </c>
      <c r="M269" s="35" t="str">
        <f t="shared" si="21"/>
        <v/>
      </c>
      <c r="N269" s="39"/>
      <c r="O269" s="36"/>
    </row>
    <row r="270" spans="1:15" x14ac:dyDescent="0.25">
      <c r="A270">
        <f>COUNTIF($C$2:C270,C270)</f>
        <v>269</v>
      </c>
      <c r="B270" s="1" t="str">
        <f t="shared" si="18"/>
        <v>269</v>
      </c>
      <c r="C270" s="1" t="str">
        <f>IFERROR(VLOOKUP(D270,'Planilha de Cadastro - Previsão'!$A$2:$O$1000,15,FALSE()),"")</f>
        <v/>
      </c>
      <c r="D270" s="1">
        <v>269</v>
      </c>
      <c r="F270" s="32" t="str">
        <f t="shared" si="19"/>
        <v/>
      </c>
      <c r="G270" s="33" t="str">
        <f>IFERROR((VLOOKUP(F270,'Planilha de Cadastro - Previsão'!$A$2:$N$1100,2,FALSE()))," ")</f>
        <v xml:space="preserve"> </v>
      </c>
      <c r="H270" s="32" t="str">
        <f>IFERROR((VLOOKUP(F270,'Planilha de Cadastro - Previsão'!$A$2:$N$1100,3,FALSE()))," ")</f>
        <v xml:space="preserve"> </v>
      </c>
      <c r="I270" s="34" t="str">
        <f>IFERROR((VLOOKUP(F270,'Planilha de Cadastro - Previsão'!$A$2:$N$1100,4,FALSE()))," ")</f>
        <v xml:space="preserve"> </v>
      </c>
      <c r="J270" s="34" t="str">
        <f>IFERROR((VLOOKUP(F270,'Planilha de Cadastro - Previsão'!$A$2:$N$1100,5,FALSE()))," ")</f>
        <v xml:space="preserve"> </v>
      </c>
      <c r="K270" s="36"/>
      <c r="L270" s="34" t="str">
        <f t="shared" si="20"/>
        <v/>
      </c>
      <c r="M270" s="35" t="str">
        <f t="shared" si="21"/>
        <v/>
      </c>
      <c r="N270" s="39"/>
      <c r="O270" s="36"/>
    </row>
    <row r="271" spans="1:15" x14ac:dyDescent="0.25">
      <c r="A271">
        <f>COUNTIF($C$2:C271,C271)</f>
        <v>270</v>
      </c>
      <c r="B271" s="1" t="str">
        <f t="shared" si="18"/>
        <v>270</v>
      </c>
      <c r="C271" s="1" t="str">
        <f>IFERROR(VLOOKUP(D271,'Planilha de Cadastro - Previsão'!$A$2:$O$1000,15,FALSE()),"")</f>
        <v/>
      </c>
      <c r="D271" s="1">
        <v>270</v>
      </c>
      <c r="F271" s="32" t="str">
        <f t="shared" si="19"/>
        <v/>
      </c>
      <c r="G271" s="33" t="str">
        <f>IFERROR((VLOOKUP(F271,'Planilha de Cadastro - Previsão'!$A$2:$N$1100,2,FALSE()))," ")</f>
        <v xml:space="preserve"> </v>
      </c>
      <c r="H271" s="32" t="str">
        <f>IFERROR((VLOOKUP(F271,'Planilha de Cadastro - Previsão'!$A$2:$N$1100,3,FALSE()))," ")</f>
        <v xml:space="preserve"> </v>
      </c>
      <c r="I271" s="34" t="str">
        <f>IFERROR((VLOOKUP(F271,'Planilha de Cadastro - Previsão'!$A$2:$N$1100,4,FALSE()))," ")</f>
        <v xml:space="preserve"> </v>
      </c>
      <c r="J271" s="34" t="str">
        <f>IFERROR((VLOOKUP(F271,'Planilha de Cadastro - Previsão'!$A$2:$N$1100,5,FALSE()))," ")</f>
        <v xml:space="preserve"> </v>
      </c>
      <c r="K271" s="36"/>
      <c r="L271" s="34" t="str">
        <f t="shared" si="20"/>
        <v/>
      </c>
      <c r="M271" s="35" t="str">
        <f t="shared" si="21"/>
        <v/>
      </c>
      <c r="N271" s="39"/>
      <c r="O271" s="36"/>
    </row>
    <row r="272" spans="1:15" x14ac:dyDescent="0.25">
      <c r="A272">
        <f>COUNTIF($C$2:C272,C272)</f>
        <v>271</v>
      </c>
      <c r="B272" s="1" t="str">
        <f t="shared" si="18"/>
        <v>271</v>
      </c>
      <c r="C272" s="1" t="str">
        <f>IFERROR(VLOOKUP(D272,'Planilha de Cadastro - Previsão'!$A$2:$O$1000,15,FALSE()),"")</f>
        <v/>
      </c>
      <c r="D272" s="1">
        <v>271</v>
      </c>
      <c r="F272" s="32" t="str">
        <f t="shared" si="19"/>
        <v/>
      </c>
      <c r="G272" s="33" t="str">
        <f>IFERROR((VLOOKUP(F272,'Planilha de Cadastro - Previsão'!$A$2:$N$1100,2,FALSE()))," ")</f>
        <v xml:space="preserve"> </v>
      </c>
      <c r="H272" s="32" t="str">
        <f>IFERROR((VLOOKUP(F272,'Planilha de Cadastro - Previsão'!$A$2:$N$1100,3,FALSE()))," ")</f>
        <v xml:space="preserve"> </v>
      </c>
      <c r="I272" s="34" t="str">
        <f>IFERROR((VLOOKUP(F272,'Planilha de Cadastro - Previsão'!$A$2:$N$1100,4,FALSE()))," ")</f>
        <v xml:space="preserve"> </v>
      </c>
      <c r="J272" s="34" t="str">
        <f>IFERROR((VLOOKUP(F272,'Planilha de Cadastro - Previsão'!$A$2:$N$1100,5,FALSE()))," ")</f>
        <v xml:space="preserve"> </v>
      </c>
      <c r="K272" s="36"/>
      <c r="L272" s="34" t="str">
        <f t="shared" si="20"/>
        <v/>
      </c>
      <c r="M272" s="35" t="str">
        <f t="shared" si="21"/>
        <v/>
      </c>
      <c r="N272" s="39"/>
      <c r="O272" s="36"/>
    </row>
    <row r="273" spans="1:15" x14ac:dyDescent="0.25">
      <c r="A273">
        <f>COUNTIF($C$2:C273,C273)</f>
        <v>272</v>
      </c>
      <c r="B273" s="1" t="str">
        <f t="shared" si="18"/>
        <v>272</v>
      </c>
      <c r="C273" s="1" t="str">
        <f>IFERROR(VLOOKUP(D273,'Planilha de Cadastro - Previsão'!$A$2:$O$1000,15,FALSE()),"")</f>
        <v/>
      </c>
      <c r="D273" s="1">
        <v>272</v>
      </c>
      <c r="F273" s="32" t="str">
        <f t="shared" si="19"/>
        <v/>
      </c>
      <c r="G273" s="33" t="str">
        <f>IFERROR((VLOOKUP(F273,'Planilha de Cadastro - Previsão'!$A$2:$N$1100,2,FALSE()))," ")</f>
        <v xml:space="preserve"> </v>
      </c>
      <c r="H273" s="32" t="str">
        <f>IFERROR((VLOOKUP(F273,'Planilha de Cadastro - Previsão'!$A$2:$N$1100,3,FALSE()))," ")</f>
        <v xml:space="preserve"> </v>
      </c>
      <c r="I273" s="34" t="str">
        <f>IFERROR((VLOOKUP(F273,'Planilha de Cadastro - Previsão'!$A$2:$N$1100,4,FALSE()))," ")</f>
        <v xml:space="preserve"> </v>
      </c>
      <c r="J273" s="34" t="str">
        <f>IFERROR((VLOOKUP(F273,'Planilha de Cadastro - Previsão'!$A$2:$N$1100,5,FALSE()))," ")</f>
        <v xml:space="preserve"> </v>
      </c>
      <c r="K273" s="36"/>
      <c r="L273" s="34" t="str">
        <f t="shared" si="20"/>
        <v/>
      </c>
      <c r="M273" s="35" t="str">
        <f t="shared" si="21"/>
        <v/>
      </c>
      <c r="N273" s="39"/>
      <c r="O273" s="36"/>
    </row>
    <row r="274" spans="1:15" x14ac:dyDescent="0.25">
      <c r="A274">
        <f>COUNTIF($C$2:C274,C274)</f>
        <v>273</v>
      </c>
      <c r="B274" s="1" t="str">
        <f t="shared" si="18"/>
        <v>273</v>
      </c>
      <c r="C274" s="1" t="str">
        <f>IFERROR(VLOOKUP(D274,'Planilha de Cadastro - Previsão'!$A$2:$O$1000,15,FALSE()),"")</f>
        <v/>
      </c>
      <c r="D274" s="1">
        <v>273</v>
      </c>
      <c r="F274" s="32" t="str">
        <f t="shared" si="19"/>
        <v/>
      </c>
      <c r="G274" s="33" t="str">
        <f>IFERROR((VLOOKUP(F274,'Planilha de Cadastro - Previsão'!$A$2:$N$1100,2,FALSE()))," ")</f>
        <v xml:space="preserve"> </v>
      </c>
      <c r="H274" s="32" t="str">
        <f>IFERROR((VLOOKUP(F274,'Planilha de Cadastro - Previsão'!$A$2:$N$1100,3,FALSE()))," ")</f>
        <v xml:space="preserve"> </v>
      </c>
      <c r="I274" s="34" t="str">
        <f>IFERROR((VLOOKUP(F274,'Planilha de Cadastro - Previsão'!$A$2:$N$1100,4,FALSE()))," ")</f>
        <v xml:space="preserve"> </v>
      </c>
      <c r="J274" s="34" t="str">
        <f>IFERROR((VLOOKUP(F274,'Planilha de Cadastro - Previsão'!$A$2:$N$1100,5,FALSE()))," ")</f>
        <v xml:space="preserve"> </v>
      </c>
      <c r="K274" s="36"/>
      <c r="L274" s="34" t="str">
        <f t="shared" si="20"/>
        <v/>
      </c>
      <c r="M274" s="35" t="str">
        <f t="shared" si="21"/>
        <v/>
      </c>
      <c r="N274" s="39"/>
      <c r="O274" s="36"/>
    </row>
    <row r="275" spans="1:15" x14ac:dyDescent="0.25">
      <c r="A275">
        <f>COUNTIF($C$2:C275,C275)</f>
        <v>274</v>
      </c>
      <c r="B275" s="1" t="str">
        <f t="shared" si="18"/>
        <v>274</v>
      </c>
      <c r="C275" s="1" t="str">
        <f>IFERROR(VLOOKUP(D275,'Planilha de Cadastro - Previsão'!$A$2:$O$1000,15,FALSE()),"")</f>
        <v/>
      </c>
      <c r="D275" s="1">
        <v>274</v>
      </c>
      <c r="F275" s="32" t="str">
        <f t="shared" si="19"/>
        <v/>
      </c>
      <c r="G275" s="33" t="str">
        <f>IFERROR((VLOOKUP(F275,'Planilha de Cadastro - Previsão'!$A$2:$N$1100,2,FALSE()))," ")</f>
        <v xml:space="preserve"> </v>
      </c>
      <c r="H275" s="32" t="str">
        <f>IFERROR((VLOOKUP(F275,'Planilha de Cadastro - Previsão'!$A$2:$N$1100,3,FALSE()))," ")</f>
        <v xml:space="preserve"> </v>
      </c>
      <c r="I275" s="34" t="str">
        <f>IFERROR((VLOOKUP(F275,'Planilha de Cadastro - Previsão'!$A$2:$N$1100,4,FALSE()))," ")</f>
        <v xml:space="preserve"> </v>
      </c>
      <c r="J275" s="34" t="str">
        <f>IFERROR((VLOOKUP(F275,'Planilha de Cadastro - Previsão'!$A$2:$N$1100,5,FALSE()))," ")</f>
        <v xml:space="preserve"> </v>
      </c>
      <c r="K275" s="36"/>
      <c r="L275" s="34" t="str">
        <f t="shared" si="20"/>
        <v/>
      </c>
      <c r="M275" s="35" t="str">
        <f t="shared" si="21"/>
        <v/>
      </c>
      <c r="N275" s="39"/>
      <c r="O275" s="36"/>
    </row>
    <row r="276" spans="1:15" x14ac:dyDescent="0.25">
      <c r="A276">
        <f>COUNTIF($C$2:C276,C276)</f>
        <v>275</v>
      </c>
      <c r="B276" s="1" t="str">
        <f t="shared" si="18"/>
        <v>275</v>
      </c>
      <c r="C276" s="1" t="str">
        <f>IFERROR(VLOOKUP(D276,'Planilha de Cadastro - Previsão'!$A$2:$O$1000,15,FALSE()),"")</f>
        <v/>
      </c>
      <c r="D276" s="1">
        <v>275</v>
      </c>
      <c r="F276" s="32" t="str">
        <f t="shared" si="19"/>
        <v/>
      </c>
      <c r="G276" s="33" t="str">
        <f>IFERROR((VLOOKUP(F276,'Planilha de Cadastro - Previsão'!$A$2:$N$1100,2,FALSE()))," ")</f>
        <v xml:space="preserve"> </v>
      </c>
      <c r="H276" s="32" t="str">
        <f>IFERROR((VLOOKUP(F276,'Planilha de Cadastro - Previsão'!$A$2:$N$1100,3,FALSE()))," ")</f>
        <v xml:space="preserve"> </v>
      </c>
      <c r="I276" s="34" t="str">
        <f>IFERROR((VLOOKUP(F276,'Planilha de Cadastro - Previsão'!$A$2:$N$1100,4,FALSE()))," ")</f>
        <v xml:space="preserve"> </v>
      </c>
      <c r="J276" s="34" t="str">
        <f>IFERROR((VLOOKUP(F276,'Planilha de Cadastro - Previsão'!$A$2:$N$1100,5,FALSE()))," ")</f>
        <v xml:space="preserve"> </v>
      </c>
      <c r="K276" s="36"/>
      <c r="L276" s="34" t="str">
        <f t="shared" si="20"/>
        <v/>
      </c>
      <c r="M276" s="35" t="str">
        <f t="shared" si="21"/>
        <v/>
      </c>
      <c r="N276" s="39"/>
      <c r="O276" s="36"/>
    </row>
    <row r="277" spans="1:15" x14ac:dyDescent="0.25">
      <c r="A277">
        <f>COUNTIF($C$2:C277,C277)</f>
        <v>276</v>
      </c>
      <c r="B277" s="1" t="str">
        <f t="shared" si="18"/>
        <v>276</v>
      </c>
      <c r="C277" s="1" t="str">
        <f>IFERROR(VLOOKUP(D277,'Planilha de Cadastro - Previsão'!$A$2:$O$1000,15,FALSE()),"")</f>
        <v/>
      </c>
      <c r="D277" s="1">
        <v>276</v>
      </c>
      <c r="F277" s="32" t="str">
        <f t="shared" si="19"/>
        <v/>
      </c>
      <c r="G277" s="33" t="str">
        <f>IFERROR((VLOOKUP(F277,'Planilha de Cadastro - Previsão'!$A$2:$N$1100,2,FALSE()))," ")</f>
        <v xml:space="preserve"> </v>
      </c>
      <c r="H277" s="32" t="str">
        <f>IFERROR((VLOOKUP(F277,'Planilha de Cadastro - Previsão'!$A$2:$N$1100,3,FALSE()))," ")</f>
        <v xml:space="preserve"> </v>
      </c>
      <c r="I277" s="34" t="str">
        <f>IFERROR((VLOOKUP(F277,'Planilha de Cadastro - Previsão'!$A$2:$N$1100,4,FALSE()))," ")</f>
        <v xml:space="preserve"> </v>
      </c>
      <c r="J277" s="34" t="str">
        <f>IFERROR((VLOOKUP(F277,'Planilha de Cadastro - Previsão'!$A$2:$N$1100,5,FALSE()))," ")</f>
        <v xml:space="preserve"> </v>
      </c>
      <c r="K277" s="36"/>
      <c r="L277" s="34" t="str">
        <f t="shared" si="20"/>
        <v/>
      </c>
      <c r="M277" s="35" t="str">
        <f t="shared" si="21"/>
        <v/>
      </c>
      <c r="N277" s="39"/>
      <c r="O277" s="36"/>
    </row>
    <row r="278" spans="1:15" x14ac:dyDescent="0.25">
      <c r="A278">
        <f>COUNTIF($C$2:C278,C278)</f>
        <v>277</v>
      </c>
      <c r="B278" s="1" t="str">
        <f t="shared" si="18"/>
        <v>277</v>
      </c>
      <c r="C278" s="1" t="str">
        <f>IFERROR(VLOOKUP(D278,'Planilha de Cadastro - Previsão'!$A$2:$O$1000,15,FALSE()),"")</f>
        <v/>
      </c>
      <c r="D278" s="1">
        <v>277</v>
      </c>
      <c r="F278" s="32" t="str">
        <f t="shared" si="19"/>
        <v/>
      </c>
      <c r="G278" s="33" t="str">
        <f>IFERROR((VLOOKUP(F278,'Planilha de Cadastro - Previsão'!$A$2:$N$1100,2,FALSE()))," ")</f>
        <v xml:space="preserve"> </v>
      </c>
      <c r="H278" s="32" t="str">
        <f>IFERROR((VLOOKUP(F278,'Planilha de Cadastro - Previsão'!$A$2:$N$1100,3,FALSE()))," ")</f>
        <v xml:space="preserve"> </v>
      </c>
      <c r="I278" s="34" t="str">
        <f>IFERROR((VLOOKUP(F278,'Planilha de Cadastro - Previsão'!$A$2:$N$1100,4,FALSE()))," ")</f>
        <v xml:space="preserve"> </v>
      </c>
      <c r="J278" s="34" t="str">
        <f>IFERROR((VLOOKUP(F278,'Planilha de Cadastro - Previsão'!$A$2:$N$1100,5,FALSE()))," ")</f>
        <v xml:space="preserve"> </v>
      </c>
      <c r="K278" s="36"/>
      <c r="L278" s="34" t="str">
        <f t="shared" si="20"/>
        <v/>
      </c>
      <c r="M278" s="35" t="str">
        <f t="shared" si="21"/>
        <v/>
      </c>
      <c r="N278" s="39"/>
      <c r="O278" s="36"/>
    </row>
    <row r="279" spans="1:15" x14ac:dyDescent="0.25">
      <c r="A279">
        <f>COUNTIF($C$2:C279,C279)</f>
        <v>278</v>
      </c>
      <c r="B279" s="1" t="str">
        <f t="shared" si="18"/>
        <v>278</v>
      </c>
      <c r="C279" s="1" t="str">
        <f>IFERROR(VLOOKUP(D279,'Planilha de Cadastro - Previsão'!$A$2:$O$1000,15,FALSE()),"")</f>
        <v/>
      </c>
      <c r="D279" s="1">
        <v>278</v>
      </c>
      <c r="F279" s="32" t="str">
        <f t="shared" si="19"/>
        <v/>
      </c>
      <c r="G279" s="33" t="str">
        <f>IFERROR((VLOOKUP(F279,'Planilha de Cadastro - Previsão'!$A$2:$N$1100,2,FALSE()))," ")</f>
        <v xml:space="preserve"> </v>
      </c>
      <c r="H279" s="32" t="str">
        <f>IFERROR((VLOOKUP(F279,'Planilha de Cadastro - Previsão'!$A$2:$N$1100,3,FALSE()))," ")</f>
        <v xml:space="preserve"> </v>
      </c>
      <c r="I279" s="34" t="str">
        <f>IFERROR((VLOOKUP(F279,'Planilha de Cadastro - Previsão'!$A$2:$N$1100,4,FALSE()))," ")</f>
        <v xml:space="preserve"> </v>
      </c>
      <c r="J279" s="34" t="str">
        <f>IFERROR((VLOOKUP(F279,'Planilha de Cadastro - Previsão'!$A$2:$N$1100,5,FALSE()))," ")</f>
        <v xml:space="preserve"> </v>
      </c>
      <c r="K279" s="36"/>
      <c r="L279" s="34" t="str">
        <f t="shared" si="20"/>
        <v/>
      </c>
      <c r="M279" s="35" t="str">
        <f t="shared" si="21"/>
        <v/>
      </c>
      <c r="N279" s="39"/>
      <c r="O279" s="36"/>
    </row>
    <row r="280" spans="1:15" x14ac:dyDescent="0.25">
      <c r="A280">
        <f>COUNTIF($C$2:C280,C280)</f>
        <v>279</v>
      </c>
      <c r="B280" s="1" t="str">
        <f t="shared" si="18"/>
        <v>279</v>
      </c>
      <c r="C280" s="1" t="str">
        <f>IFERROR(VLOOKUP(D280,'Planilha de Cadastro - Previsão'!$A$2:$O$1000,15,FALSE()),"")</f>
        <v/>
      </c>
      <c r="D280" s="1">
        <v>279</v>
      </c>
      <c r="F280" s="32" t="str">
        <f t="shared" si="19"/>
        <v/>
      </c>
      <c r="G280" s="33" t="str">
        <f>IFERROR((VLOOKUP(F280,'Planilha de Cadastro - Previsão'!$A$2:$N$1100,2,FALSE()))," ")</f>
        <v xml:space="preserve"> </v>
      </c>
      <c r="H280" s="32" t="str">
        <f>IFERROR((VLOOKUP(F280,'Planilha de Cadastro - Previsão'!$A$2:$N$1100,3,FALSE()))," ")</f>
        <v xml:space="preserve"> </v>
      </c>
      <c r="I280" s="34" t="str">
        <f>IFERROR((VLOOKUP(F280,'Planilha de Cadastro - Previsão'!$A$2:$N$1100,4,FALSE()))," ")</f>
        <v xml:space="preserve"> </v>
      </c>
      <c r="J280" s="34" t="str">
        <f>IFERROR((VLOOKUP(F280,'Planilha de Cadastro - Previsão'!$A$2:$N$1100,5,FALSE()))," ")</f>
        <v xml:space="preserve"> </v>
      </c>
      <c r="K280" s="36"/>
      <c r="L280" s="34" t="str">
        <f t="shared" si="20"/>
        <v/>
      </c>
      <c r="M280" s="35" t="str">
        <f t="shared" si="21"/>
        <v/>
      </c>
      <c r="N280" s="39"/>
      <c r="O280" s="36"/>
    </row>
    <row r="281" spans="1:15" x14ac:dyDescent="0.25">
      <c r="A281">
        <f>COUNTIF($C$2:C281,C281)</f>
        <v>280</v>
      </c>
      <c r="B281" s="1" t="str">
        <f t="shared" si="18"/>
        <v>280</v>
      </c>
      <c r="C281" s="1" t="str">
        <f>IFERROR(VLOOKUP(D281,'Planilha de Cadastro - Previsão'!$A$2:$O$1000,15,FALSE()),"")</f>
        <v/>
      </c>
      <c r="D281" s="1">
        <v>280</v>
      </c>
      <c r="F281" s="32" t="str">
        <f t="shared" si="19"/>
        <v/>
      </c>
      <c r="G281" s="33" t="str">
        <f>IFERROR((VLOOKUP(F281,'Planilha de Cadastro - Previsão'!$A$2:$N$1100,2,FALSE()))," ")</f>
        <v xml:space="preserve"> </v>
      </c>
      <c r="H281" s="32" t="str">
        <f>IFERROR((VLOOKUP(F281,'Planilha de Cadastro - Previsão'!$A$2:$N$1100,3,FALSE()))," ")</f>
        <v xml:space="preserve"> </v>
      </c>
      <c r="I281" s="34" t="str">
        <f>IFERROR((VLOOKUP(F281,'Planilha de Cadastro - Previsão'!$A$2:$N$1100,4,FALSE()))," ")</f>
        <v xml:space="preserve"> </v>
      </c>
      <c r="J281" s="34" t="str">
        <f>IFERROR((VLOOKUP(F281,'Planilha de Cadastro - Previsão'!$A$2:$N$1100,5,FALSE()))," ")</f>
        <v xml:space="preserve"> </v>
      </c>
      <c r="K281" s="36"/>
      <c r="L281" s="34" t="str">
        <f t="shared" si="20"/>
        <v/>
      </c>
      <c r="M281" s="35" t="str">
        <f t="shared" si="21"/>
        <v/>
      </c>
      <c r="N281" s="39"/>
      <c r="O281" s="36"/>
    </row>
    <row r="282" spans="1:15" x14ac:dyDescent="0.25">
      <c r="A282">
        <f>COUNTIF($C$2:C282,C282)</f>
        <v>281</v>
      </c>
      <c r="B282" s="1" t="str">
        <f t="shared" si="18"/>
        <v>281</v>
      </c>
      <c r="C282" s="1" t="str">
        <f>IFERROR(VLOOKUP(D282,'Planilha de Cadastro - Previsão'!$A$2:$O$1000,15,FALSE()),"")</f>
        <v/>
      </c>
      <c r="D282" s="1">
        <v>281</v>
      </c>
      <c r="F282" s="32" t="str">
        <f t="shared" si="19"/>
        <v/>
      </c>
      <c r="G282" s="33" t="str">
        <f>IFERROR((VLOOKUP(F282,'Planilha de Cadastro - Previsão'!$A$2:$N$1100,2,FALSE()))," ")</f>
        <v xml:space="preserve"> </v>
      </c>
      <c r="H282" s="32" t="str">
        <f>IFERROR((VLOOKUP(F282,'Planilha de Cadastro - Previsão'!$A$2:$N$1100,3,FALSE()))," ")</f>
        <v xml:space="preserve"> </v>
      </c>
      <c r="I282" s="34" t="str">
        <f>IFERROR((VLOOKUP(F282,'Planilha de Cadastro - Previsão'!$A$2:$N$1100,4,FALSE()))," ")</f>
        <v xml:space="preserve"> </v>
      </c>
      <c r="J282" s="34" t="str">
        <f>IFERROR((VLOOKUP(F282,'Planilha de Cadastro - Previsão'!$A$2:$N$1100,5,FALSE()))," ")</f>
        <v xml:space="preserve"> </v>
      </c>
      <c r="K282" s="36"/>
      <c r="L282" s="34" t="str">
        <f t="shared" si="20"/>
        <v/>
      </c>
      <c r="M282" s="35" t="str">
        <f t="shared" si="21"/>
        <v/>
      </c>
      <c r="N282" s="39"/>
      <c r="O282" s="36"/>
    </row>
    <row r="283" spans="1:15" x14ac:dyDescent="0.25">
      <c r="A283">
        <f>COUNTIF($C$2:C283,C283)</f>
        <v>282</v>
      </c>
      <c r="B283" s="1" t="str">
        <f t="shared" si="18"/>
        <v>282</v>
      </c>
      <c r="C283" s="1" t="str">
        <f>IFERROR(VLOOKUP(D283,'Planilha de Cadastro - Previsão'!$A$2:$O$1000,15,FALSE()),"")</f>
        <v/>
      </c>
      <c r="D283" s="1">
        <v>282</v>
      </c>
      <c r="F283" s="32" t="str">
        <f t="shared" si="19"/>
        <v/>
      </c>
      <c r="G283" s="33" t="str">
        <f>IFERROR((VLOOKUP(F283,'Planilha de Cadastro - Previsão'!$A$2:$N$1100,2,FALSE()))," ")</f>
        <v xml:space="preserve"> </v>
      </c>
      <c r="H283" s="32" t="str">
        <f>IFERROR((VLOOKUP(F283,'Planilha de Cadastro - Previsão'!$A$2:$N$1100,3,FALSE()))," ")</f>
        <v xml:space="preserve"> </v>
      </c>
      <c r="I283" s="34" t="str">
        <f>IFERROR((VLOOKUP(F283,'Planilha de Cadastro - Previsão'!$A$2:$N$1100,4,FALSE()))," ")</f>
        <v xml:space="preserve"> </v>
      </c>
      <c r="J283" s="34" t="str">
        <f>IFERROR((VLOOKUP(F283,'Planilha de Cadastro - Previsão'!$A$2:$N$1100,5,FALSE()))," ")</f>
        <v xml:space="preserve"> </v>
      </c>
      <c r="K283" s="36"/>
      <c r="L283" s="34" t="str">
        <f t="shared" si="20"/>
        <v/>
      </c>
      <c r="M283" s="35" t="str">
        <f t="shared" si="21"/>
        <v/>
      </c>
      <c r="N283" s="39"/>
      <c r="O283" s="36"/>
    </row>
    <row r="284" spans="1:15" x14ac:dyDescent="0.25">
      <c r="A284">
        <f>COUNTIF($C$2:C284,C284)</f>
        <v>283</v>
      </c>
      <c r="B284" s="1" t="str">
        <f t="shared" si="18"/>
        <v>283</v>
      </c>
      <c r="C284" s="1" t="str">
        <f>IFERROR(VLOOKUP(D284,'Planilha de Cadastro - Previsão'!$A$2:$O$1000,15,FALSE()),"")</f>
        <v/>
      </c>
      <c r="D284" s="1">
        <v>283</v>
      </c>
      <c r="F284" s="32" t="str">
        <f t="shared" si="19"/>
        <v/>
      </c>
      <c r="G284" s="33" t="str">
        <f>IFERROR((VLOOKUP(F284,'Planilha de Cadastro - Previsão'!$A$2:$N$1100,2,FALSE()))," ")</f>
        <v xml:space="preserve"> </v>
      </c>
      <c r="H284" s="32" t="str">
        <f>IFERROR((VLOOKUP(F284,'Planilha de Cadastro - Previsão'!$A$2:$N$1100,3,FALSE()))," ")</f>
        <v xml:space="preserve"> </v>
      </c>
      <c r="I284" s="34" t="str">
        <f>IFERROR((VLOOKUP(F284,'Planilha de Cadastro - Previsão'!$A$2:$N$1100,4,FALSE()))," ")</f>
        <v xml:space="preserve"> </v>
      </c>
      <c r="J284" s="34" t="str">
        <f>IFERROR((VLOOKUP(F284,'Planilha de Cadastro - Previsão'!$A$2:$N$1100,5,FALSE()))," ")</f>
        <v xml:space="preserve"> </v>
      </c>
      <c r="K284" s="36"/>
      <c r="L284" s="34" t="str">
        <f t="shared" si="20"/>
        <v/>
      </c>
      <c r="M284" s="35" t="str">
        <f t="shared" si="21"/>
        <v/>
      </c>
      <c r="N284" s="39"/>
      <c r="O284" s="36"/>
    </row>
    <row r="285" spans="1:15" x14ac:dyDescent="0.25">
      <c r="A285">
        <f>COUNTIF($C$2:C285,C285)</f>
        <v>284</v>
      </c>
      <c r="B285" s="1" t="str">
        <f t="shared" si="18"/>
        <v>284</v>
      </c>
      <c r="C285" s="1" t="str">
        <f>IFERROR(VLOOKUP(D285,'Planilha de Cadastro - Previsão'!$A$2:$O$1000,15,FALSE()),"")</f>
        <v/>
      </c>
      <c r="D285" s="1">
        <v>284</v>
      </c>
      <c r="F285" s="32" t="str">
        <f t="shared" si="19"/>
        <v/>
      </c>
      <c r="G285" s="33" t="str">
        <f>IFERROR((VLOOKUP(F285,'Planilha de Cadastro - Previsão'!$A$2:$N$1100,2,FALSE()))," ")</f>
        <v xml:space="preserve"> </v>
      </c>
      <c r="H285" s="32" t="str">
        <f>IFERROR((VLOOKUP(F285,'Planilha de Cadastro - Previsão'!$A$2:$N$1100,3,FALSE()))," ")</f>
        <v xml:space="preserve"> </v>
      </c>
      <c r="I285" s="34" t="str">
        <f>IFERROR((VLOOKUP(F285,'Planilha de Cadastro - Previsão'!$A$2:$N$1100,4,FALSE()))," ")</f>
        <v xml:space="preserve"> </v>
      </c>
      <c r="J285" s="34" t="str">
        <f>IFERROR((VLOOKUP(F285,'Planilha de Cadastro - Previsão'!$A$2:$N$1100,5,FALSE()))," ")</f>
        <v xml:space="preserve"> </v>
      </c>
      <c r="K285" s="36"/>
      <c r="L285" s="34" t="str">
        <f t="shared" si="20"/>
        <v/>
      </c>
      <c r="M285" s="35" t="str">
        <f t="shared" si="21"/>
        <v/>
      </c>
      <c r="N285" s="39"/>
      <c r="O285" s="36"/>
    </row>
    <row r="286" spans="1:15" x14ac:dyDescent="0.25">
      <c r="A286">
        <f>COUNTIF($C$2:C286,C286)</f>
        <v>285</v>
      </c>
      <c r="B286" s="1" t="str">
        <f t="shared" si="18"/>
        <v>285</v>
      </c>
      <c r="C286" s="1" t="str">
        <f>IFERROR(VLOOKUP(D286,'Planilha de Cadastro - Previsão'!$A$2:$O$1000,15,FALSE()),"")</f>
        <v/>
      </c>
      <c r="D286" s="1">
        <v>285</v>
      </c>
      <c r="F286" s="32" t="str">
        <f t="shared" si="19"/>
        <v/>
      </c>
      <c r="G286" s="33" t="str">
        <f>IFERROR((VLOOKUP(F286,'Planilha de Cadastro - Previsão'!$A$2:$N$1100,2,FALSE()))," ")</f>
        <v xml:space="preserve"> </v>
      </c>
      <c r="H286" s="32" t="str">
        <f>IFERROR((VLOOKUP(F286,'Planilha de Cadastro - Previsão'!$A$2:$N$1100,3,FALSE()))," ")</f>
        <v xml:space="preserve"> </v>
      </c>
      <c r="I286" s="34" t="str">
        <f>IFERROR((VLOOKUP(F286,'Planilha de Cadastro - Previsão'!$A$2:$N$1100,4,FALSE()))," ")</f>
        <v xml:space="preserve"> </v>
      </c>
      <c r="J286" s="34" t="str">
        <f>IFERROR((VLOOKUP(F286,'Planilha de Cadastro - Previsão'!$A$2:$N$1100,5,FALSE()))," ")</f>
        <v xml:space="preserve"> </v>
      </c>
      <c r="K286" s="36"/>
      <c r="L286" s="34" t="str">
        <f t="shared" si="20"/>
        <v/>
      </c>
      <c r="M286" s="35" t="str">
        <f t="shared" si="21"/>
        <v/>
      </c>
      <c r="N286" s="39"/>
      <c r="O286" s="36"/>
    </row>
    <row r="287" spans="1:15" x14ac:dyDescent="0.25">
      <c r="A287">
        <f>COUNTIF($C$2:C287,C287)</f>
        <v>286</v>
      </c>
      <c r="B287" s="1" t="str">
        <f t="shared" si="18"/>
        <v>286</v>
      </c>
      <c r="C287" s="1" t="str">
        <f>IFERROR(VLOOKUP(D287,'Planilha de Cadastro - Previsão'!$A$2:$O$1000,15,FALSE()),"")</f>
        <v/>
      </c>
      <c r="D287" s="1">
        <v>286</v>
      </c>
      <c r="F287" s="32" t="str">
        <f t="shared" si="19"/>
        <v/>
      </c>
      <c r="G287" s="33" t="str">
        <f>IFERROR((VLOOKUP(F287,'Planilha de Cadastro - Previsão'!$A$2:$N$1100,2,FALSE()))," ")</f>
        <v xml:space="preserve"> </v>
      </c>
      <c r="H287" s="32" t="str">
        <f>IFERROR((VLOOKUP(F287,'Planilha de Cadastro - Previsão'!$A$2:$N$1100,3,FALSE()))," ")</f>
        <v xml:space="preserve"> </v>
      </c>
      <c r="I287" s="34" t="str">
        <f>IFERROR((VLOOKUP(F287,'Planilha de Cadastro - Previsão'!$A$2:$N$1100,4,FALSE()))," ")</f>
        <v xml:space="preserve"> </v>
      </c>
      <c r="J287" s="34" t="str">
        <f>IFERROR((VLOOKUP(F287,'Planilha de Cadastro - Previsão'!$A$2:$N$1100,5,FALSE()))," ")</f>
        <v xml:space="preserve"> </v>
      </c>
      <c r="K287" s="36"/>
      <c r="L287" s="34" t="str">
        <f t="shared" si="20"/>
        <v/>
      </c>
      <c r="M287" s="35" t="str">
        <f t="shared" si="21"/>
        <v/>
      </c>
      <c r="N287" s="39"/>
      <c r="O287" s="36"/>
    </row>
    <row r="288" spans="1:15" x14ac:dyDescent="0.25">
      <c r="A288">
        <f>COUNTIF($C$2:C288,C288)</f>
        <v>287</v>
      </c>
      <c r="B288" s="1" t="str">
        <f t="shared" si="18"/>
        <v>287</v>
      </c>
      <c r="C288" s="1" t="str">
        <f>IFERROR(VLOOKUP(D288,'Planilha de Cadastro - Previsão'!$A$2:$O$1000,15,FALSE()),"")</f>
        <v/>
      </c>
      <c r="D288" s="1">
        <v>287</v>
      </c>
      <c r="F288" s="32" t="str">
        <f t="shared" si="19"/>
        <v/>
      </c>
      <c r="G288" s="33" t="str">
        <f>IFERROR((VLOOKUP(F288,'Planilha de Cadastro - Previsão'!$A$2:$N$1100,2,FALSE()))," ")</f>
        <v xml:space="preserve"> </v>
      </c>
      <c r="H288" s="32" t="str">
        <f>IFERROR((VLOOKUP(F288,'Planilha de Cadastro - Previsão'!$A$2:$N$1100,3,FALSE()))," ")</f>
        <v xml:space="preserve"> </v>
      </c>
      <c r="I288" s="34" t="str">
        <f>IFERROR((VLOOKUP(F288,'Planilha de Cadastro - Previsão'!$A$2:$N$1100,4,FALSE()))," ")</f>
        <v xml:space="preserve"> </v>
      </c>
      <c r="J288" s="34" t="str">
        <f>IFERROR((VLOOKUP(F288,'Planilha de Cadastro - Previsão'!$A$2:$N$1100,5,FALSE()))," ")</f>
        <v xml:space="preserve"> </v>
      </c>
      <c r="K288" s="36"/>
      <c r="L288" s="34" t="str">
        <f t="shared" si="20"/>
        <v/>
      </c>
      <c r="M288" s="35" t="str">
        <f t="shared" si="21"/>
        <v/>
      </c>
      <c r="N288" s="39"/>
      <c r="O288" s="36"/>
    </row>
    <row r="289" spans="1:15" x14ac:dyDescent="0.25">
      <c r="A289">
        <f>COUNTIF($C$2:C289,C289)</f>
        <v>288</v>
      </c>
      <c r="B289" s="1" t="str">
        <f t="shared" si="18"/>
        <v>288</v>
      </c>
      <c r="C289" s="1" t="str">
        <f>IFERROR(VLOOKUP(D289,'Planilha de Cadastro - Previsão'!$A$2:$O$1000,15,FALSE()),"")</f>
        <v/>
      </c>
      <c r="D289" s="1">
        <v>288</v>
      </c>
      <c r="F289" s="32" t="str">
        <f t="shared" si="19"/>
        <v/>
      </c>
      <c r="G289" s="33" t="str">
        <f>IFERROR((VLOOKUP(F289,'Planilha de Cadastro - Previsão'!$A$2:$N$1100,2,FALSE()))," ")</f>
        <v xml:space="preserve"> </v>
      </c>
      <c r="H289" s="32" t="str">
        <f>IFERROR((VLOOKUP(F289,'Planilha de Cadastro - Previsão'!$A$2:$N$1100,3,FALSE()))," ")</f>
        <v xml:space="preserve"> </v>
      </c>
      <c r="I289" s="34" t="str">
        <f>IFERROR((VLOOKUP(F289,'Planilha de Cadastro - Previsão'!$A$2:$N$1100,4,FALSE()))," ")</f>
        <v xml:space="preserve"> </v>
      </c>
      <c r="J289" s="34" t="str">
        <f>IFERROR((VLOOKUP(F289,'Planilha de Cadastro - Previsão'!$A$2:$N$1100,5,FALSE()))," ")</f>
        <v xml:space="preserve"> </v>
      </c>
      <c r="K289" s="36"/>
      <c r="L289" s="34" t="str">
        <f t="shared" si="20"/>
        <v/>
      </c>
      <c r="M289" s="35" t="str">
        <f t="shared" si="21"/>
        <v/>
      </c>
      <c r="N289" s="39"/>
      <c r="O289" s="36"/>
    </row>
    <row r="290" spans="1:15" x14ac:dyDescent="0.25">
      <c r="A290">
        <f>COUNTIF($C$2:C290,C290)</f>
        <v>289</v>
      </c>
      <c r="B290" s="1" t="str">
        <f t="shared" si="18"/>
        <v>289</v>
      </c>
      <c r="C290" s="1" t="str">
        <f>IFERROR(VLOOKUP(D290,'Planilha de Cadastro - Previsão'!$A$2:$O$1000,15,FALSE()),"")</f>
        <v/>
      </c>
      <c r="D290" s="1">
        <v>289</v>
      </c>
      <c r="F290" s="32" t="str">
        <f t="shared" si="19"/>
        <v/>
      </c>
      <c r="G290" s="33" t="str">
        <f>IFERROR((VLOOKUP(F290,'Planilha de Cadastro - Previsão'!$A$2:$N$1100,2,FALSE()))," ")</f>
        <v xml:space="preserve"> </v>
      </c>
      <c r="H290" s="32" t="str">
        <f>IFERROR((VLOOKUP(F290,'Planilha de Cadastro - Previsão'!$A$2:$N$1100,3,FALSE()))," ")</f>
        <v xml:space="preserve"> </v>
      </c>
      <c r="I290" s="34" t="str">
        <f>IFERROR((VLOOKUP(F290,'Planilha de Cadastro - Previsão'!$A$2:$N$1100,4,FALSE()))," ")</f>
        <v xml:space="preserve"> </v>
      </c>
      <c r="J290" s="34" t="str">
        <f>IFERROR((VLOOKUP(F290,'Planilha de Cadastro - Previsão'!$A$2:$N$1100,5,FALSE()))," ")</f>
        <v xml:space="preserve"> </v>
      </c>
      <c r="K290" s="36"/>
      <c r="L290" s="34" t="str">
        <f t="shared" si="20"/>
        <v/>
      </c>
      <c r="M290" s="35" t="str">
        <f t="shared" si="21"/>
        <v/>
      </c>
      <c r="N290" s="39"/>
      <c r="O290" s="36"/>
    </row>
    <row r="291" spans="1:15" x14ac:dyDescent="0.25">
      <c r="A291">
        <f>COUNTIF($C$2:C291,C291)</f>
        <v>290</v>
      </c>
      <c r="B291" s="1" t="str">
        <f t="shared" si="18"/>
        <v>290</v>
      </c>
      <c r="C291" s="1" t="str">
        <f>IFERROR(VLOOKUP(D291,'Planilha de Cadastro - Previsão'!$A$2:$O$1000,15,FALSE()),"")</f>
        <v/>
      </c>
      <c r="D291" s="1">
        <v>290</v>
      </c>
      <c r="F291" s="32" t="str">
        <f t="shared" si="19"/>
        <v/>
      </c>
      <c r="G291" s="33" t="str">
        <f>IFERROR((VLOOKUP(F291,'Planilha de Cadastro - Previsão'!$A$2:$N$1100,2,FALSE()))," ")</f>
        <v xml:space="preserve"> </v>
      </c>
      <c r="H291" s="32" t="str">
        <f>IFERROR((VLOOKUP(F291,'Planilha de Cadastro - Previsão'!$A$2:$N$1100,3,FALSE()))," ")</f>
        <v xml:space="preserve"> </v>
      </c>
      <c r="I291" s="34" t="str">
        <f>IFERROR((VLOOKUP(F291,'Planilha de Cadastro - Previsão'!$A$2:$N$1100,4,FALSE()))," ")</f>
        <v xml:space="preserve"> </v>
      </c>
      <c r="J291" s="34" t="str">
        <f>IFERROR((VLOOKUP(F291,'Planilha de Cadastro - Previsão'!$A$2:$N$1100,5,FALSE()))," ")</f>
        <v xml:space="preserve"> </v>
      </c>
      <c r="K291" s="36"/>
      <c r="L291" s="34" t="str">
        <f t="shared" si="20"/>
        <v/>
      </c>
      <c r="M291" s="35" t="str">
        <f t="shared" si="21"/>
        <v/>
      </c>
      <c r="N291" s="39"/>
      <c r="O291" s="36"/>
    </row>
    <row r="292" spans="1:15" x14ac:dyDescent="0.25">
      <c r="A292">
        <f>COUNTIF($C$2:C292,C292)</f>
        <v>291</v>
      </c>
      <c r="B292" s="1" t="str">
        <f t="shared" si="18"/>
        <v>291</v>
      </c>
      <c r="C292" s="1" t="str">
        <f>IFERROR(VLOOKUP(D292,'Planilha de Cadastro - Previsão'!$A$2:$O$1000,15,FALSE()),"")</f>
        <v/>
      </c>
      <c r="D292" s="1">
        <v>291</v>
      </c>
      <c r="F292" s="32" t="str">
        <f t="shared" si="19"/>
        <v/>
      </c>
      <c r="G292" s="33" t="str">
        <f>IFERROR((VLOOKUP(F292,'Planilha de Cadastro - Previsão'!$A$2:$N$1100,2,FALSE()))," ")</f>
        <v xml:space="preserve"> </v>
      </c>
      <c r="H292" s="32" t="str">
        <f>IFERROR((VLOOKUP(F292,'Planilha de Cadastro - Previsão'!$A$2:$N$1100,3,FALSE()))," ")</f>
        <v xml:space="preserve"> </v>
      </c>
      <c r="I292" s="34" t="str">
        <f>IFERROR((VLOOKUP(F292,'Planilha de Cadastro - Previsão'!$A$2:$N$1100,4,FALSE()))," ")</f>
        <v xml:space="preserve"> </v>
      </c>
      <c r="J292" s="34" t="str">
        <f>IFERROR((VLOOKUP(F292,'Planilha de Cadastro - Previsão'!$A$2:$N$1100,5,FALSE()))," ")</f>
        <v xml:space="preserve"> </v>
      </c>
      <c r="K292" s="36"/>
      <c r="L292" s="34" t="str">
        <f t="shared" si="20"/>
        <v/>
      </c>
      <c r="M292" s="35" t="str">
        <f t="shared" si="21"/>
        <v/>
      </c>
      <c r="N292" s="39"/>
      <c r="O292" s="36"/>
    </row>
    <row r="293" spans="1:15" x14ac:dyDescent="0.25">
      <c r="A293">
        <f>COUNTIF($C$2:C293,C293)</f>
        <v>292</v>
      </c>
      <c r="B293" s="1" t="str">
        <f t="shared" si="18"/>
        <v>292</v>
      </c>
      <c r="C293" s="1" t="str">
        <f>IFERROR(VLOOKUP(D293,'Planilha de Cadastro - Previsão'!$A$2:$O$1000,15,FALSE()),"")</f>
        <v/>
      </c>
      <c r="D293" s="1">
        <v>292</v>
      </c>
      <c r="F293" s="32" t="str">
        <f t="shared" si="19"/>
        <v/>
      </c>
      <c r="G293" s="33" t="str">
        <f>IFERROR((VLOOKUP(F293,'Planilha de Cadastro - Previsão'!$A$2:$N$1100,2,FALSE()))," ")</f>
        <v xml:space="preserve"> </v>
      </c>
      <c r="H293" s="32" t="str">
        <f>IFERROR((VLOOKUP(F293,'Planilha de Cadastro - Previsão'!$A$2:$N$1100,3,FALSE()))," ")</f>
        <v xml:space="preserve"> </v>
      </c>
      <c r="I293" s="34" t="str">
        <f>IFERROR((VLOOKUP(F293,'Planilha de Cadastro - Previsão'!$A$2:$N$1100,4,FALSE()))," ")</f>
        <v xml:space="preserve"> </v>
      </c>
      <c r="J293" s="34" t="str">
        <f>IFERROR((VLOOKUP(F293,'Planilha de Cadastro - Previsão'!$A$2:$N$1100,5,FALSE()))," ")</f>
        <v xml:space="preserve"> </v>
      </c>
      <c r="K293" s="36"/>
      <c r="L293" s="34" t="str">
        <f t="shared" si="20"/>
        <v/>
      </c>
      <c r="M293" s="35" t="str">
        <f t="shared" si="21"/>
        <v/>
      </c>
      <c r="N293" s="39"/>
      <c r="O293" s="36"/>
    </row>
    <row r="294" spans="1:15" x14ac:dyDescent="0.25">
      <c r="A294">
        <f>COUNTIF($C$2:C294,C294)</f>
        <v>293</v>
      </c>
      <c r="B294" s="1" t="str">
        <f t="shared" si="18"/>
        <v>293</v>
      </c>
      <c r="C294" s="1" t="str">
        <f>IFERROR(VLOOKUP(D294,'Planilha de Cadastro - Previsão'!$A$2:$O$1000,15,FALSE()),"")</f>
        <v/>
      </c>
      <c r="D294" s="1">
        <v>293</v>
      </c>
      <c r="F294" s="32" t="str">
        <f t="shared" si="19"/>
        <v/>
      </c>
      <c r="G294" s="33" t="str">
        <f>IFERROR((VLOOKUP(F294,'Planilha de Cadastro - Previsão'!$A$2:$N$1100,2,FALSE()))," ")</f>
        <v xml:space="preserve"> </v>
      </c>
      <c r="H294" s="32" t="str">
        <f>IFERROR((VLOOKUP(F294,'Planilha de Cadastro - Previsão'!$A$2:$N$1100,3,FALSE()))," ")</f>
        <v xml:space="preserve"> </v>
      </c>
      <c r="I294" s="34" t="str">
        <f>IFERROR((VLOOKUP(F294,'Planilha de Cadastro - Previsão'!$A$2:$N$1100,4,FALSE()))," ")</f>
        <v xml:space="preserve"> </v>
      </c>
      <c r="J294" s="34" t="str">
        <f>IFERROR((VLOOKUP(F294,'Planilha de Cadastro - Previsão'!$A$2:$N$1100,5,FALSE()))," ")</f>
        <v xml:space="preserve"> </v>
      </c>
      <c r="K294" s="36"/>
      <c r="L294" s="34" t="str">
        <f t="shared" si="20"/>
        <v/>
      </c>
      <c r="M294" s="35" t="str">
        <f t="shared" si="21"/>
        <v/>
      </c>
      <c r="N294" s="39"/>
      <c r="O294" s="36"/>
    </row>
    <row r="295" spans="1:15" x14ac:dyDescent="0.25">
      <c r="A295">
        <f>COUNTIF($C$2:C295,C295)</f>
        <v>294</v>
      </c>
      <c r="B295" s="1" t="str">
        <f t="shared" si="18"/>
        <v>294</v>
      </c>
      <c r="C295" s="1" t="str">
        <f>IFERROR(VLOOKUP(D295,'Planilha de Cadastro - Previsão'!$A$2:$O$1000,15,FALSE()),"")</f>
        <v/>
      </c>
      <c r="D295" s="1">
        <v>294</v>
      </c>
      <c r="F295" s="32" t="str">
        <f t="shared" si="19"/>
        <v/>
      </c>
      <c r="G295" s="33" t="str">
        <f>IFERROR((VLOOKUP(F295,'Planilha de Cadastro - Previsão'!$A$2:$N$1100,2,FALSE()))," ")</f>
        <v xml:space="preserve"> </v>
      </c>
      <c r="H295" s="32" t="str">
        <f>IFERROR((VLOOKUP(F295,'Planilha de Cadastro - Previsão'!$A$2:$N$1100,3,FALSE()))," ")</f>
        <v xml:space="preserve"> </v>
      </c>
      <c r="I295" s="34" t="str">
        <f>IFERROR((VLOOKUP(F295,'Planilha de Cadastro - Previsão'!$A$2:$N$1100,4,FALSE()))," ")</f>
        <v xml:space="preserve"> </v>
      </c>
      <c r="J295" s="34" t="str">
        <f>IFERROR((VLOOKUP(F295,'Planilha de Cadastro - Previsão'!$A$2:$N$1100,5,FALSE()))," ")</f>
        <v xml:space="preserve"> </v>
      </c>
      <c r="K295" s="36"/>
      <c r="L295" s="34" t="str">
        <f t="shared" si="20"/>
        <v/>
      </c>
      <c r="M295" s="35" t="str">
        <f t="shared" si="21"/>
        <v/>
      </c>
      <c r="N295" s="39"/>
      <c r="O295" s="36"/>
    </row>
    <row r="296" spans="1:15" x14ac:dyDescent="0.25">
      <c r="A296">
        <f>COUNTIF($C$2:C296,C296)</f>
        <v>295</v>
      </c>
      <c r="B296" s="1" t="str">
        <f t="shared" si="18"/>
        <v>295</v>
      </c>
      <c r="C296" s="1" t="str">
        <f>IFERROR(VLOOKUP(D296,'Planilha de Cadastro - Previsão'!$A$2:$O$1000,15,FALSE()),"")</f>
        <v/>
      </c>
      <c r="D296" s="1">
        <v>295</v>
      </c>
      <c r="F296" s="32" t="str">
        <f t="shared" si="19"/>
        <v/>
      </c>
      <c r="G296" s="33" t="str">
        <f>IFERROR((VLOOKUP(F296,'Planilha de Cadastro - Previsão'!$A$2:$N$1100,2,FALSE()))," ")</f>
        <v xml:space="preserve"> </v>
      </c>
      <c r="H296" s="32" t="str">
        <f>IFERROR((VLOOKUP(F296,'Planilha de Cadastro - Previsão'!$A$2:$N$1100,3,FALSE()))," ")</f>
        <v xml:space="preserve"> </v>
      </c>
      <c r="I296" s="34" t="str">
        <f>IFERROR((VLOOKUP(F296,'Planilha de Cadastro - Previsão'!$A$2:$N$1100,4,FALSE()))," ")</f>
        <v xml:space="preserve"> </v>
      </c>
      <c r="J296" s="34" t="str">
        <f>IFERROR((VLOOKUP(F296,'Planilha de Cadastro - Previsão'!$A$2:$N$1100,5,FALSE()))," ")</f>
        <v xml:space="preserve"> </v>
      </c>
      <c r="K296" s="36"/>
      <c r="L296" s="34" t="str">
        <f t="shared" si="20"/>
        <v/>
      </c>
      <c r="M296" s="35" t="str">
        <f t="shared" si="21"/>
        <v/>
      </c>
      <c r="N296" s="39"/>
      <c r="O296" s="36"/>
    </row>
    <row r="297" spans="1:15" x14ac:dyDescent="0.25">
      <c r="A297">
        <f>COUNTIF($C$2:C297,C297)</f>
        <v>296</v>
      </c>
      <c r="B297" s="1" t="str">
        <f t="shared" si="18"/>
        <v>296</v>
      </c>
      <c r="C297" s="1" t="str">
        <f>IFERROR(VLOOKUP(D297,'Planilha de Cadastro - Previsão'!$A$2:$O$1000,15,FALSE()),"")</f>
        <v/>
      </c>
      <c r="D297" s="1">
        <v>296</v>
      </c>
      <c r="F297" s="32" t="str">
        <f t="shared" si="19"/>
        <v/>
      </c>
      <c r="G297" s="33" t="str">
        <f>IFERROR((VLOOKUP(F297,'Planilha de Cadastro - Previsão'!$A$2:$N$1100,2,FALSE()))," ")</f>
        <v xml:space="preserve"> </v>
      </c>
      <c r="H297" s="32" t="str">
        <f>IFERROR((VLOOKUP(F297,'Planilha de Cadastro - Previsão'!$A$2:$N$1100,3,FALSE()))," ")</f>
        <v xml:space="preserve"> </v>
      </c>
      <c r="I297" s="34" t="str">
        <f>IFERROR((VLOOKUP(F297,'Planilha de Cadastro - Previsão'!$A$2:$N$1100,4,FALSE()))," ")</f>
        <v xml:space="preserve"> </v>
      </c>
      <c r="J297" s="34" t="str">
        <f>IFERROR((VLOOKUP(F297,'Planilha de Cadastro - Previsão'!$A$2:$N$1100,5,FALSE()))," ")</f>
        <v xml:space="preserve"> </v>
      </c>
      <c r="K297" s="36"/>
      <c r="L297" s="34" t="str">
        <f t="shared" si="20"/>
        <v/>
      </c>
      <c r="M297" s="35" t="str">
        <f t="shared" si="21"/>
        <v/>
      </c>
      <c r="N297" s="39"/>
      <c r="O297" s="36"/>
    </row>
    <row r="298" spans="1:15" x14ac:dyDescent="0.25">
      <c r="A298">
        <f>COUNTIF($C$2:C298,C298)</f>
        <v>297</v>
      </c>
      <c r="B298" s="1" t="str">
        <f t="shared" si="18"/>
        <v>297</v>
      </c>
      <c r="C298" s="1" t="str">
        <f>IFERROR(VLOOKUP(D298,'Planilha de Cadastro - Previsão'!$A$2:$O$1000,15,FALSE()),"")</f>
        <v/>
      </c>
      <c r="D298" s="1">
        <v>297</v>
      </c>
      <c r="F298" s="32" t="str">
        <f t="shared" si="19"/>
        <v/>
      </c>
      <c r="G298" s="33" t="str">
        <f>IFERROR((VLOOKUP(F298,'Planilha de Cadastro - Previsão'!$A$2:$N$1100,2,FALSE()))," ")</f>
        <v xml:space="preserve"> </v>
      </c>
      <c r="H298" s="32" t="str">
        <f>IFERROR((VLOOKUP(F298,'Planilha de Cadastro - Previsão'!$A$2:$N$1100,3,FALSE()))," ")</f>
        <v xml:space="preserve"> </v>
      </c>
      <c r="I298" s="34" t="str">
        <f>IFERROR((VLOOKUP(F298,'Planilha de Cadastro - Previsão'!$A$2:$N$1100,4,FALSE()))," ")</f>
        <v xml:space="preserve"> </v>
      </c>
      <c r="J298" s="34" t="str">
        <f>IFERROR((VLOOKUP(F298,'Planilha de Cadastro - Previsão'!$A$2:$N$1100,5,FALSE()))," ")</f>
        <v xml:space="preserve"> </v>
      </c>
      <c r="K298" s="36"/>
      <c r="L298" s="34" t="str">
        <f t="shared" si="20"/>
        <v/>
      </c>
      <c r="M298" s="35" t="str">
        <f t="shared" si="21"/>
        <v/>
      </c>
      <c r="N298" s="39"/>
      <c r="O298" s="36"/>
    </row>
    <row r="299" spans="1:15" x14ac:dyDescent="0.25">
      <c r="A299">
        <f>COUNTIF($C$2:C299,C299)</f>
        <v>298</v>
      </c>
      <c r="B299" s="1" t="str">
        <f t="shared" si="18"/>
        <v>298</v>
      </c>
      <c r="C299" s="1" t="str">
        <f>IFERROR(VLOOKUP(D299,'Planilha de Cadastro - Previsão'!$A$2:$O$1000,15,FALSE()),"")</f>
        <v/>
      </c>
      <c r="D299" s="1">
        <v>298</v>
      </c>
      <c r="F299" s="32" t="str">
        <f t="shared" si="19"/>
        <v/>
      </c>
      <c r="G299" s="33" t="str">
        <f>IFERROR((VLOOKUP(F299,'Planilha de Cadastro - Previsão'!$A$2:$N$1100,2,FALSE()))," ")</f>
        <v xml:space="preserve"> </v>
      </c>
      <c r="H299" s="32" t="str">
        <f>IFERROR((VLOOKUP(F299,'Planilha de Cadastro - Previsão'!$A$2:$N$1100,3,FALSE()))," ")</f>
        <v xml:space="preserve"> </v>
      </c>
      <c r="I299" s="34" t="str">
        <f>IFERROR((VLOOKUP(F299,'Planilha de Cadastro - Previsão'!$A$2:$N$1100,4,FALSE()))," ")</f>
        <v xml:space="preserve"> </v>
      </c>
      <c r="J299" s="34" t="str">
        <f>IFERROR((VLOOKUP(F299,'Planilha de Cadastro - Previsão'!$A$2:$N$1100,5,FALSE()))," ")</f>
        <v xml:space="preserve"> </v>
      </c>
      <c r="K299" s="36"/>
      <c r="L299" s="34" t="str">
        <f t="shared" si="20"/>
        <v/>
      </c>
      <c r="M299" s="35" t="str">
        <f t="shared" si="21"/>
        <v/>
      </c>
      <c r="N299" s="39"/>
      <c r="O299" s="36"/>
    </row>
    <row r="300" spans="1:15" x14ac:dyDescent="0.25">
      <c r="A300">
        <f>COUNTIF($C$2:C300,C300)</f>
        <v>299</v>
      </c>
      <c r="B300" s="1" t="str">
        <f t="shared" si="18"/>
        <v>299</v>
      </c>
      <c r="C300" s="1" t="str">
        <f>IFERROR(VLOOKUP(D300,'Planilha de Cadastro - Previsão'!$A$2:$O$1000,15,FALSE()),"")</f>
        <v/>
      </c>
      <c r="D300" s="1">
        <v>299</v>
      </c>
      <c r="F300" s="32" t="str">
        <f t="shared" si="19"/>
        <v/>
      </c>
      <c r="G300" s="33" t="str">
        <f>IFERROR((VLOOKUP(F300,'Planilha de Cadastro - Previsão'!$A$2:$N$1100,2,FALSE()))," ")</f>
        <v xml:space="preserve"> </v>
      </c>
      <c r="H300" s="32" t="str">
        <f>IFERROR((VLOOKUP(F300,'Planilha de Cadastro - Previsão'!$A$2:$N$1100,3,FALSE()))," ")</f>
        <v xml:space="preserve"> </v>
      </c>
      <c r="I300" s="34" t="str">
        <f>IFERROR((VLOOKUP(F300,'Planilha de Cadastro - Previsão'!$A$2:$N$1100,4,FALSE()))," ")</f>
        <v xml:space="preserve"> </v>
      </c>
      <c r="J300" s="34" t="str">
        <f>IFERROR((VLOOKUP(F300,'Planilha de Cadastro - Previsão'!$A$2:$N$1100,5,FALSE()))," ")</f>
        <v xml:space="preserve"> </v>
      </c>
      <c r="K300" s="36"/>
      <c r="L300" s="34" t="str">
        <f t="shared" si="20"/>
        <v/>
      </c>
      <c r="M300" s="35" t="str">
        <f t="shared" si="21"/>
        <v/>
      </c>
      <c r="N300" s="39"/>
      <c r="O300" s="36"/>
    </row>
    <row r="301" spans="1:15" x14ac:dyDescent="0.25">
      <c r="A301">
        <f>COUNTIF($C$2:C301,C301)</f>
        <v>300</v>
      </c>
      <c r="B301" s="1" t="str">
        <f t="shared" si="18"/>
        <v>300</v>
      </c>
      <c r="C301" s="1" t="str">
        <f>IFERROR(VLOOKUP(D301,'Planilha de Cadastro - Previsão'!$A$2:$O$1000,15,FALSE()),"")</f>
        <v/>
      </c>
      <c r="D301" s="1">
        <v>300</v>
      </c>
      <c r="F301" s="32" t="str">
        <f t="shared" si="19"/>
        <v/>
      </c>
      <c r="G301" s="33" t="str">
        <f>IFERROR((VLOOKUP(F301,'Planilha de Cadastro - Previsão'!$A$2:$N$1100,2,FALSE()))," ")</f>
        <v xml:space="preserve"> </v>
      </c>
      <c r="H301" s="32" t="str">
        <f>IFERROR((VLOOKUP(F301,'Planilha de Cadastro - Previsão'!$A$2:$N$1100,3,FALSE()))," ")</f>
        <v xml:space="preserve"> </v>
      </c>
      <c r="I301" s="34" t="str">
        <f>IFERROR((VLOOKUP(F301,'Planilha de Cadastro - Previsão'!$A$2:$N$1100,4,FALSE()))," ")</f>
        <v xml:space="preserve"> </v>
      </c>
      <c r="J301" s="34" t="str">
        <f>IFERROR((VLOOKUP(F301,'Planilha de Cadastro - Previsão'!$A$2:$N$1100,5,FALSE()))," ")</f>
        <v xml:space="preserve"> </v>
      </c>
      <c r="K301" s="36"/>
      <c r="L301" s="34" t="str">
        <f t="shared" si="20"/>
        <v/>
      </c>
      <c r="M301" s="35" t="str">
        <f t="shared" si="21"/>
        <v/>
      </c>
      <c r="N301" s="39"/>
      <c r="O301" s="36"/>
    </row>
    <row r="302" spans="1:15" x14ac:dyDescent="0.25">
      <c r="A302">
        <f>COUNTIF($C$2:C302,C302)</f>
        <v>301</v>
      </c>
      <c r="B302" s="1" t="str">
        <f t="shared" si="18"/>
        <v>301</v>
      </c>
      <c r="C302" s="1" t="str">
        <f>IFERROR(VLOOKUP(D302,'Planilha de Cadastro - Previsão'!$A$2:$O$1000,15,FALSE()),"")</f>
        <v/>
      </c>
      <c r="D302" s="1">
        <v>301</v>
      </c>
      <c r="F302" s="32" t="str">
        <f t="shared" si="19"/>
        <v/>
      </c>
      <c r="G302" s="33" t="str">
        <f>IFERROR((VLOOKUP(F302,'Planilha de Cadastro - Previsão'!$A$2:$N$1100,2,FALSE()))," ")</f>
        <v xml:space="preserve"> </v>
      </c>
      <c r="H302" s="32" t="str">
        <f>IFERROR((VLOOKUP(F302,'Planilha de Cadastro - Previsão'!$A$2:$N$1100,3,FALSE()))," ")</f>
        <v xml:space="preserve"> </v>
      </c>
      <c r="I302" s="34" t="str">
        <f>IFERROR((VLOOKUP(F302,'Planilha de Cadastro - Previsão'!$A$2:$N$1100,4,FALSE()))," ")</f>
        <v xml:space="preserve"> </v>
      </c>
      <c r="J302" s="34" t="str">
        <f>IFERROR((VLOOKUP(F302,'Planilha de Cadastro - Previsão'!$A$2:$N$1100,5,FALSE()))," ")</f>
        <v xml:space="preserve"> </v>
      </c>
      <c r="K302" s="36"/>
      <c r="L302" s="34" t="str">
        <f t="shared" si="20"/>
        <v/>
      </c>
      <c r="M302" s="35" t="str">
        <f t="shared" si="21"/>
        <v/>
      </c>
      <c r="N302" s="39"/>
      <c r="O302" s="36"/>
    </row>
    <row r="303" spans="1:15" x14ac:dyDescent="0.25">
      <c r="A303">
        <f>COUNTIF($C$2:C303,C303)</f>
        <v>302</v>
      </c>
      <c r="B303" s="1" t="str">
        <f t="shared" si="18"/>
        <v>302</v>
      </c>
      <c r="C303" s="1" t="str">
        <f>IFERROR(VLOOKUP(D303,'Planilha de Cadastro - Previsão'!$A$2:$O$1000,15,FALSE()),"")</f>
        <v/>
      </c>
      <c r="D303" s="1">
        <v>302</v>
      </c>
      <c r="F303" s="32" t="str">
        <f t="shared" si="19"/>
        <v/>
      </c>
      <c r="G303" s="33" t="str">
        <f>IFERROR((VLOOKUP(F303,'Planilha de Cadastro - Previsão'!$A$2:$N$1100,2,FALSE()))," ")</f>
        <v xml:space="preserve"> </v>
      </c>
      <c r="H303" s="32" t="str">
        <f>IFERROR((VLOOKUP(F303,'Planilha de Cadastro - Previsão'!$A$2:$N$1100,3,FALSE()))," ")</f>
        <v xml:space="preserve"> </v>
      </c>
      <c r="I303" s="34" t="str">
        <f>IFERROR((VLOOKUP(F303,'Planilha de Cadastro - Previsão'!$A$2:$N$1100,4,FALSE()))," ")</f>
        <v xml:space="preserve"> </v>
      </c>
      <c r="J303" s="34" t="str">
        <f>IFERROR((VLOOKUP(F303,'Planilha de Cadastro - Previsão'!$A$2:$N$1100,5,FALSE()))," ")</f>
        <v xml:space="preserve"> </v>
      </c>
      <c r="K303" s="36"/>
      <c r="L303" s="34" t="str">
        <f t="shared" si="20"/>
        <v/>
      </c>
      <c r="M303" s="35" t="str">
        <f t="shared" si="21"/>
        <v/>
      </c>
      <c r="N303" s="39"/>
      <c r="O303" s="36"/>
    </row>
    <row r="304" spans="1:15" x14ac:dyDescent="0.25">
      <c r="A304">
        <f>COUNTIF($C$2:C304,C304)</f>
        <v>303</v>
      </c>
      <c r="B304" s="1" t="str">
        <f t="shared" si="18"/>
        <v>303</v>
      </c>
      <c r="C304" s="1" t="str">
        <f>IFERROR(VLOOKUP(D304,'Planilha de Cadastro - Previsão'!$A$2:$O$1000,15,FALSE()),"")</f>
        <v/>
      </c>
      <c r="D304" s="1">
        <v>303</v>
      </c>
      <c r="F304" s="32" t="str">
        <f t="shared" si="19"/>
        <v/>
      </c>
      <c r="G304" s="33" t="str">
        <f>IFERROR((VLOOKUP(F304,'Planilha de Cadastro - Previsão'!$A$2:$N$1100,2,FALSE()))," ")</f>
        <v xml:space="preserve"> </v>
      </c>
      <c r="H304" s="32" t="str">
        <f>IFERROR((VLOOKUP(F304,'Planilha de Cadastro - Previsão'!$A$2:$N$1100,3,FALSE()))," ")</f>
        <v xml:space="preserve"> </v>
      </c>
      <c r="I304" s="34" t="str">
        <f>IFERROR((VLOOKUP(F304,'Planilha de Cadastro - Previsão'!$A$2:$N$1100,4,FALSE()))," ")</f>
        <v xml:space="preserve"> </v>
      </c>
      <c r="J304" s="34" t="str">
        <f>IFERROR((VLOOKUP(F304,'Planilha de Cadastro - Previsão'!$A$2:$N$1100,5,FALSE()))," ")</f>
        <v xml:space="preserve"> </v>
      </c>
      <c r="K304" s="36"/>
      <c r="L304" s="34" t="str">
        <f t="shared" si="20"/>
        <v/>
      </c>
      <c r="M304" s="35" t="str">
        <f t="shared" si="21"/>
        <v/>
      </c>
      <c r="N304" s="39"/>
      <c r="O304" s="36"/>
    </row>
    <row r="305" spans="1:15" x14ac:dyDescent="0.25">
      <c r="A305">
        <f>COUNTIF($C$2:C305,C305)</f>
        <v>304</v>
      </c>
      <c r="B305" s="1" t="str">
        <f t="shared" si="18"/>
        <v>304</v>
      </c>
      <c r="C305" s="1" t="str">
        <f>IFERROR(VLOOKUP(D305,'Planilha de Cadastro - Previsão'!$A$2:$O$1000,15,FALSE()),"")</f>
        <v/>
      </c>
      <c r="D305" s="1">
        <v>304</v>
      </c>
      <c r="F305" s="32" t="str">
        <f t="shared" si="19"/>
        <v/>
      </c>
      <c r="G305" s="33" t="str">
        <f>IFERROR((VLOOKUP(F305,'Planilha de Cadastro - Previsão'!$A$2:$N$1100,2,FALSE()))," ")</f>
        <v xml:space="preserve"> </v>
      </c>
      <c r="H305" s="32" t="str">
        <f>IFERROR((VLOOKUP(F305,'Planilha de Cadastro - Previsão'!$A$2:$N$1100,3,FALSE()))," ")</f>
        <v xml:space="preserve"> </v>
      </c>
      <c r="I305" s="34" t="str">
        <f>IFERROR((VLOOKUP(F305,'Planilha de Cadastro - Previsão'!$A$2:$N$1100,4,FALSE()))," ")</f>
        <v xml:space="preserve"> </v>
      </c>
      <c r="J305" s="34" t="str">
        <f>IFERROR((VLOOKUP(F305,'Planilha de Cadastro - Previsão'!$A$2:$N$1100,5,FALSE()))," ")</f>
        <v xml:space="preserve"> </v>
      </c>
      <c r="K305" s="36"/>
      <c r="L305" s="34" t="str">
        <f t="shared" si="20"/>
        <v/>
      </c>
      <c r="M305" s="35" t="str">
        <f t="shared" si="21"/>
        <v/>
      </c>
      <c r="N305" s="39"/>
      <c r="O305" s="36"/>
    </row>
    <row r="306" spans="1:15" x14ac:dyDescent="0.25">
      <c r="A306">
        <f>COUNTIF($C$2:C306,C306)</f>
        <v>305</v>
      </c>
      <c r="B306" s="1" t="str">
        <f t="shared" si="18"/>
        <v>305</v>
      </c>
      <c r="C306" s="1" t="str">
        <f>IFERROR(VLOOKUP(D306,'Planilha de Cadastro - Previsão'!$A$2:$O$1000,15,FALSE()),"")</f>
        <v/>
      </c>
      <c r="D306" s="1">
        <v>305</v>
      </c>
      <c r="F306" s="32" t="str">
        <f t="shared" si="19"/>
        <v/>
      </c>
      <c r="G306" s="33" t="str">
        <f>IFERROR((VLOOKUP(F306,'Planilha de Cadastro - Previsão'!$A$2:$N$1100,2,FALSE()))," ")</f>
        <v xml:space="preserve"> </v>
      </c>
      <c r="H306" s="32" t="str">
        <f>IFERROR((VLOOKUP(F306,'Planilha de Cadastro - Previsão'!$A$2:$N$1100,3,FALSE()))," ")</f>
        <v xml:space="preserve"> </v>
      </c>
      <c r="I306" s="34" t="str">
        <f>IFERROR((VLOOKUP(F306,'Planilha de Cadastro - Previsão'!$A$2:$N$1100,4,FALSE()))," ")</f>
        <v xml:space="preserve"> </v>
      </c>
      <c r="J306" s="34" t="str">
        <f>IFERROR((VLOOKUP(F306,'Planilha de Cadastro - Previsão'!$A$2:$N$1100,5,FALSE()))," ")</f>
        <v xml:space="preserve"> </v>
      </c>
      <c r="K306" s="36"/>
      <c r="L306" s="34" t="str">
        <f t="shared" si="20"/>
        <v/>
      </c>
      <c r="M306" s="35" t="str">
        <f t="shared" si="21"/>
        <v/>
      </c>
      <c r="N306" s="39"/>
      <c r="O306" s="36"/>
    </row>
    <row r="307" spans="1:15" x14ac:dyDescent="0.25">
      <c r="A307">
        <f>COUNTIF($C$2:C307,C307)</f>
        <v>306</v>
      </c>
      <c r="B307" s="1" t="str">
        <f t="shared" si="18"/>
        <v>306</v>
      </c>
      <c r="C307" s="1" t="str">
        <f>IFERROR(VLOOKUP(D307,'Planilha de Cadastro - Previsão'!$A$2:$O$1000,15,FALSE()),"")</f>
        <v/>
      </c>
      <c r="D307" s="1">
        <v>306</v>
      </c>
      <c r="F307" s="32" t="str">
        <f t="shared" si="19"/>
        <v/>
      </c>
      <c r="G307" s="33" t="str">
        <f>IFERROR((VLOOKUP(F307,'Planilha de Cadastro - Previsão'!$A$2:$N$1100,2,FALSE()))," ")</f>
        <v xml:space="preserve"> </v>
      </c>
      <c r="H307" s="32" t="str">
        <f>IFERROR((VLOOKUP(F307,'Planilha de Cadastro - Previsão'!$A$2:$N$1100,3,FALSE()))," ")</f>
        <v xml:space="preserve"> </v>
      </c>
      <c r="I307" s="34" t="str">
        <f>IFERROR((VLOOKUP(F307,'Planilha de Cadastro - Previsão'!$A$2:$N$1100,4,FALSE()))," ")</f>
        <v xml:space="preserve"> </v>
      </c>
      <c r="J307" s="34" t="str">
        <f>IFERROR((VLOOKUP(F307,'Planilha de Cadastro - Previsão'!$A$2:$N$1100,5,FALSE()))," ")</f>
        <v xml:space="preserve"> </v>
      </c>
      <c r="K307" s="36"/>
      <c r="L307" s="34" t="str">
        <f t="shared" si="20"/>
        <v/>
      </c>
      <c r="M307" s="35" t="str">
        <f t="shared" si="21"/>
        <v/>
      </c>
      <c r="N307" s="39"/>
      <c r="O307" s="36"/>
    </row>
    <row r="308" spans="1:15" x14ac:dyDescent="0.25">
      <c r="A308">
        <f>COUNTIF($C$2:C308,C308)</f>
        <v>307</v>
      </c>
      <c r="B308" s="1" t="str">
        <f t="shared" si="18"/>
        <v>307</v>
      </c>
      <c r="C308" s="1" t="str">
        <f>IFERROR(VLOOKUP(D308,'Planilha de Cadastro - Previsão'!$A$2:$O$1000,15,FALSE()),"")</f>
        <v/>
      </c>
      <c r="D308" s="1">
        <v>307</v>
      </c>
      <c r="F308" s="32" t="str">
        <f t="shared" si="19"/>
        <v/>
      </c>
      <c r="G308" s="33" t="str">
        <f>IFERROR((VLOOKUP(F308,'Planilha de Cadastro - Previsão'!$A$2:$N$1100,2,FALSE()))," ")</f>
        <v xml:space="preserve"> </v>
      </c>
      <c r="H308" s="32" t="str">
        <f>IFERROR((VLOOKUP(F308,'Planilha de Cadastro - Previsão'!$A$2:$N$1100,3,FALSE()))," ")</f>
        <v xml:space="preserve"> </v>
      </c>
      <c r="I308" s="34" t="str">
        <f>IFERROR((VLOOKUP(F308,'Planilha de Cadastro - Previsão'!$A$2:$N$1100,4,FALSE()))," ")</f>
        <v xml:space="preserve"> </v>
      </c>
      <c r="J308" s="34" t="str">
        <f>IFERROR((VLOOKUP(F308,'Planilha de Cadastro - Previsão'!$A$2:$N$1100,5,FALSE()))," ")</f>
        <v xml:space="preserve"> </v>
      </c>
      <c r="K308" s="36"/>
      <c r="L308" s="34" t="str">
        <f t="shared" si="20"/>
        <v/>
      </c>
      <c r="M308" s="35" t="str">
        <f t="shared" si="21"/>
        <v/>
      </c>
      <c r="N308" s="39"/>
      <c r="O308" s="36"/>
    </row>
    <row r="309" spans="1:15" x14ac:dyDescent="0.25">
      <c r="A309">
        <f>COUNTIF($C$2:C309,C309)</f>
        <v>308</v>
      </c>
      <c r="B309" s="1" t="str">
        <f t="shared" si="18"/>
        <v>308</v>
      </c>
      <c r="C309" s="1" t="str">
        <f>IFERROR(VLOOKUP(D309,'Planilha de Cadastro - Previsão'!$A$2:$O$1000,15,FALSE()),"")</f>
        <v/>
      </c>
      <c r="D309" s="1">
        <v>308</v>
      </c>
      <c r="F309" s="32" t="str">
        <f t="shared" si="19"/>
        <v/>
      </c>
      <c r="G309" s="33" t="str">
        <f>IFERROR((VLOOKUP(F309,'Planilha de Cadastro - Previsão'!$A$2:$N$1100,2,FALSE()))," ")</f>
        <v xml:space="preserve"> </v>
      </c>
      <c r="H309" s="32" t="str">
        <f>IFERROR((VLOOKUP(F309,'Planilha de Cadastro - Previsão'!$A$2:$N$1100,3,FALSE()))," ")</f>
        <v xml:space="preserve"> </v>
      </c>
      <c r="I309" s="34" t="str">
        <f>IFERROR((VLOOKUP(F309,'Planilha de Cadastro - Previsão'!$A$2:$N$1100,4,FALSE()))," ")</f>
        <v xml:space="preserve"> </v>
      </c>
      <c r="J309" s="34" t="str">
        <f>IFERROR((VLOOKUP(F309,'Planilha de Cadastro - Previsão'!$A$2:$N$1100,5,FALSE()))," ")</f>
        <v xml:space="preserve"> </v>
      </c>
      <c r="K309" s="36"/>
      <c r="L309" s="34" t="str">
        <f t="shared" si="20"/>
        <v/>
      </c>
      <c r="M309" s="35" t="str">
        <f t="shared" si="21"/>
        <v/>
      </c>
      <c r="N309" s="39"/>
      <c r="O309" s="36"/>
    </row>
    <row r="310" spans="1:15" x14ac:dyDescent="0.25">
      <c r="A310">
        <f>COUNTIF($C$2:C310,C310)</f>
        <v>309</v>
      </c>
      <c r="B310" s="1" t="str">
        <f t="shared" si="18"/>
        <v>309</v>
      </c>
      <c r="C310" s="1" t="str">
        <f>IFERROR(VLOOKUP(D310,'Planilha de Cadastro - Previsão'!$A$2:$O$1000,15,FALSE()),"")</f>
        <v/>
      </c>
      <c r="D310" s="1">
        <v>309</v>
      </c>
      <c r="F310" s="32" t="str">
        <f t="shared" si="19"/>
        <v/>
      </c>
      <c r="G310" s="33" t="str">
        <f>IFERROR((VLOOKUP(F310,'Planilha de Cadastro - Previsão'!$A$2:$N$1100,2,FALSE()))," ")</f>
        <v xml:space="preserve"> </v>
      </c>
      <c r="H310" s="32" t="str">
        <f>IFERROR((VLOOKUP(F310,'Planilha de Cadastro - Previsão'!$A$2:$N$1100,3,FALSE()))," ")</f>
        <v xml:space="preserve"> </v>
      </c>
      <c r="I310" s="34" t="str">
        <f>IFERROR((VLOOKUP(F310,'Planilha de Cadastro - Previsão'!$A$2:$N$1100,4,FALSE()))," ")</f>
        <v xml:space="preserve"> </v>
      </c>
      <c r="J310" s="34" t="str">
        <f>IFERROR((VLOOKUP(F310,'Planilha de Cadastro - Previsão'!$A$2:$N$1100,5,FALSE()))," ")</f>
        <v xml:space="preserve"> </v>
      </c>
      <c r="K310" s="36"/>
      <c r="L310" s="34" t="str">
        <f t="shared" si="20"/>
        <v/>
      </c>
      <c r="M310" s="35" t="str">
        <f t="shared" si="21"/>
        <v/>
      </c>
      <c r="N310" s="39"/>
      <c r="O310" s="36"/>
    </row>
    <row r="311" spans="1:15" x14ac:dyDescent="0.25">
      <c r="A311">
        <f>COUNTIF($C$2:C311,C311)</f>
        <v>310</v>
      </c>
      <c r="B311" s="1" t="str">
        <f t="shared" si="18"/>
        <v>310</v>
      </c>
      <c r="C311" s="1" t="str">
        <f>IFERROR(VLOOKUP(D311,'Planilha de Cadastro - Previsão'!$A$2:$O$1000,15,FALSE()),"")</f>
        <v/>
      </c>
      <c r="D311" s="1">
        <v>310</v>
      </c>
      <c r="F311" s="32" t="str">
        <f t="shared" si="19"/>
        <v/>
      </c>
      <c r="G311" s="33" t="str">
        <f>IFERROR((VLOOKUP(F311,'Planilha de Cadastro - Previsão'!$A$2:$N$1100,2,FALSE()))," ")</f>
        <v xml:space="preserve"> </v>
      </c>
      <c r="H311" s="32" t="str">
        <f>IFERROR((VLOOKUP(F311,'Planilha de Cadastro - Previsão'!$A$2:$N$1100,3,FALSE()))," ")</f>
        <v xml:space="preserve"> </v>
      </c>
      <c r="I311" s="34" t="str">
        <f>IFERROR((VLOOKUP(F311,'Planilha de Cadastro - Previsão'!$A$2:$N$1100,4,FALSE()))," ")</f>
        <v xml:space="preserve"> </v>
      </c>
      <c r="J311" s="34" t="str">
        <f>IFERROR((VLOOKUP(F311,'Planilha de Cadastro - Previsão'!$A$2:$N$1100,5,FALSE()))," ")</f>
        <v xml:space="preserve"> </v>
      </c>
      <c r="K311" s="36"/>
      <c r="L311" s="34" t="str">
        <f t="shared" si="20"/>
        <v/>
      </c>
      <c r="M311" s="35" t="str">
        <f t="shared" si="21"/>
        <v/>
      </c>
      <c r="N311" s="39"/>
      <c r="O311" s="36"/>
    </row>
    <row r="312" spans="1:15" x14ac:dyDescent="0.25">
      <c r="A312">
        <f>COUNTIF($C$2:C312,C312)</f>
        <v>311</v>
      </c>
      <c r="B312" s="1" t="str">
        <f t="shared" si="18"/>
        <v>311</v>
      </c>
      <c r="C312" s="1" t="str">
        <f>IFERROR(VLOOKUP(D312,'Planilha de Cadastro - Previsão'!$A$2:$O$1000,15,FALSE()),"")</f>
        <v/>
      </c>
      <c r="D312" s="1">
        <v>311</v>
      </c>
      <c r="F312" s="32" t="str">
        <f t="shared" si="19"/>
        <v/>
      </c>
      <c r="G312" s="33" t="str">
        <f>IFERROR((VLOOKUP(F312,'Planilha de Cadastro - Previsão'!$A$2:$N$1100,2,FALSE()))," ")</f>
        <v xml:space="preserve"> </v>
      </c>
      <c r="H312" s="32" t="str">
        <f>IFERROR((VLOOKUP(F312,'Planilha de Cadastro - Previsão'!$A$2:$N$1100,3,FALSE()))," ")</f>
        <v xml:space="preserve"> </v>
      </c>
      <c r="I312" s="34" t="str">
        <f>IFERROR((VLOOKUP(F312,'Planilha de Cadastro - Previsão'!$A$2:$N$1100,4,FALSE()))," ")</f>
        <v xml:space="preserve"> </v>
      </c>
      <c r="J312" s="34" t="str">
        <f>IFERROR((VLOOKUP(F312,'Planilha de Cadastro - Previsão'!$A$2:$N$1100,5,FALSE()))," ")</f>
        <v xml:space="preserve"> </v>
      </c>
      <c r="K312" s="36"/>
      <c r="L312" s="34" t="str">
        <f t="shared" si="20"/>
        <v/>
      </c>
      <c r="M312" s="35" t="str">
        <f t="shared" si="21"/>
        <v/>
      </c>
      <c r="N312" s="39"/>
      <c r="O312" s="36"/>
    </row>
    <row r="313" spans="1:15" x14ac:dyDescent="0.25">
      <c r="A313">
        <f>COUNTIF($C$2:C313,C313)</f>
        <v>312</v>
      </c>
      <c r="B313" s="1" t="str">
        <f t="shared" si="18"/>
        <v>312</v>
      </c>
      <c r="C313" s="1" t="str">
        <f>IFERROR(VLOOKUP(D313,'Planilha de Cadastro - Previsão'!$A$2:$O$1000,15,FALSE()),"")</f>
        <v/>
      </c>
      <c r="D313" s="1">
        <v>312</v>
      </c>
      <c r="F313" s="32" t="str">
        <f t="shared" si="19"/>
        <v/>
      </c>
      <c r="G313" s="33" t="str">
        <f>IFERROR((VLOOKUP(F313,'Planilha de Cadastro - Previsão'!$A$2:$N$1100,2,FALSE()))," ")</f>
        <v xml:space="preserve"> </v>
      </c>
      <c r="H313" s="32" t="str">
        <f>IFERROR((VLOOKUP(F313,'Planilha de Cadastro - Previsão'!$A$2:$N$1100,3,FALSE()))," ")</f>
        <v xml:space="preserve"> </v>
      </c>
      <c r="I313" s="34" t="str">
        <f>IFERROR((VLOOKUP(F313,'Planilha de Cadastro - Previsão'!$A$2:$N$1100,4,FALSE()))," ")</f>
        <v xml:space="preserve"> </v>
      </c>
      <c r="J313" s="34" t="str">
        <f>IFERROR((VLOOKUP(F313,'Planilha de Cadastro - Previsão'!$A$2:$N$1100,5,FALSE()))," ")</f>
        <v xml:space="preserve"> </v>
      </c>
      <c r="K313" s="36"/>
      <c r="L313" s="34" t="str">
        <f t="shared" si="20"/>
        <v/>
      </c>
      <c r="M313" s="35" t="str">
        <f t="shared" si="21"/>
        <v/>
      </c>
      <c r="N313" s="39"/>
      <c r="O313" s="36"/>
    </row>
    <row r="314" spans="1:15" x14ac:dyDescent="0.25">
      <c r="A314">
        <f>COUNTIF($C$2:C314,C314)</f>
        <v>313</v>
      </c>
      <c r="B314" s="1" t="str">
        <f t="shared" si="18"/>
        <v>313</v>
      </c>
      <c r="C314" s="1" t="str">
        <f>IFERROR(VLOOKUP(D314,'Planilha de Cadastro - Previsão'!$A$2:$O$1000,15,FALSE()),"")</f>
        <v/>
      </c>
      <c r="D314" s="1">
        <v>313</v>
      </c>
      <c r="F314" s="32" t="str">
        <f t="shared" si="19"/>
        <v/>
      </c>
      <c r="G314" s="33" t="str">
        <f>IFERROR((VLOOKUP(F314,'Planilha de Cadastro - Previsão'!$A$2:$N$1100,2,FALSE()))," ")</f>
        <v xml:space="preserve"> </v>
      </c>
      <c r="H314" s="32" t="str">
        <f>IFERROR((VLOOKUP(F314,'Planilha de Cadastro - Previsão'!$A$2:$N$1100,3,FALSE()))," ")</f>
        <v xml:space="preserve"> </v>
      </c>
      <c r="I314" s="34" t="str">
        <f>IFERROR((VLOOKUP(F314,'Planilha de Cadastro - Previsão'!$A$2:$N$1100,4,FALSE()))," ")</f>
        <v xml:space="preserve"> </v>
      </c>
      <c r="J314" s="34" t="str">
        <f>IFERROR((VLOOKUP(F314,'Planilha de Cadastro - Previsão'!$A$2:$N$1100,5,FALSE()))," ")</f>
        <v xml:space="preserve"> </v>
      </c>
      <c r="K314" s="36"/>
      <c r="L314" s="34" t="str">
        <f t="shared" si="20"/>
        <v/>
      </c>
      <c r="M314" s="35" t="str">
        <f t="shared" si="21"/>
        <v/>
      </c>
      <c r="N314" s="39"/>
      <c r="O314" s="36"/>
    </row>
    <row r="315" spans="1:15" x14ac:dyDescent="0.25">
      <c r="A315">
        <f>COUNTIF($C$2:C315,C315)</f>
        <v>314</v>
      </c>
      <c r="B315" s="1" t="str">
        <f t="shared" si="18"/>
        <v>314</v>
      </c>
      <c r="C315" s="1" t="str">
        <f>IFERROR(VLOOKUP(D315,'Planilha de Cadastro - Previsão'!$A$2:$O$1000,15,FALSE()),"")</f>
        <v/>
      </c>
      <c r="D315" s="1">
        <v>314</v>
      </c>
      <c r="F315" s="32" t="str">
        <f t="shared" si="19"/>
        <v/>
      </c>
      <c r="G315" s="33" t="str">
        <f>IFERROR((VLOOKUP(F315,'Planilha de Cadastro - Previsão'!$A$2:$N$1100,2,FALSE()))," ")</f>
        <v xml:space="preserve"> </v>
      </c>
      <c r="H315" s="32" t="str">
        <f>IFERROR((VLOOKUP(F315,'Planilha de Cadastro - Previsão'!$A$2:$N$1100,3,FALSE()))," ")</f>
        <v xml:space="preserve"> </v>
      </c>
      <c r="I315" s="34" t="str">
        <f>IFERROR((VLOOKUP(F315,'Planilha de Cadastro - Previsão'!$A$2:$N$1100,4,FALSE()))," ")</f>
        <v xml:space="preserve"> </v>
      </c>
      <c r="J315" s="34" t="str">
        <f>IFERROR((VLOOKUP(F315,'Planilha de Cadastro - Previsão'!$A$2:$N$1100,5,FALSE()))," ")</f>
        <v xml:space="preserve"> </v>
      </c>
      <c r="K315" s="36"/>
      <c r="L315" s="34" t="str">
        <f t="shared" si="20"/>
        <v/>
      </c>
      <c r="M315" s="35" t="str">
        <f t="shared" si="21"/>
        <v/>
      </c>
      <c r="N315" s="39"/>
      <c r="O315" s="36"/>
    </row>
    <row r="316" spans="1:15" x14ac:dyDescent="0.25">
      <c r="A316">
        <f>COUNTIF($C$2:C316,C316)</f>
        <v>315</v>
      </c>
      <c r="B316" s="1" t="str">
        <f t="shared" si="18"/>
        <v>315</v>
      </c>
      <c r="C316" s="1" t="str">
        <f>IFERROR(VLOOKUP(D316,'Planilha de Cadastro - Previsão'!$A$2:$O$1000,15,FALSE()),"")</f>
        <v/>
      </c>
      <c r="D316" s="1">
        <v>315</v>
      </c>
      <c r="F316" s="32" t="str">
        <f t="shared" si="19"/>
        <v/>
      </c>
      <c r="G316" s="33" t="str">
        <f>IFERROR((VLOOKUP(F316,'Planilha de Cadastro - Previsão'!$A$2:$N$1100,2,FALSE()))," ")</f>
        <v xml:space="preserve"> </v>
      </c>
      <c r="H316" s="32" t="str">
        <f>IFERROR((VLOOKUP(F316,'Planilha de Cadastro - Previsão'!$A$2:$N$1100,3,FALSE()))," ")</f>
        <v xml:space="preserve"> </v>
      </c>
      <c r="I316" s="34" t="str">
        <f>IFERROR((VLOOKUP(F316,'Planilha de Cadastro - Previsão'!$A$2:$N$1100,4,FALSE()))," ")</f>
        <v xml:space="preserve"> </v>
      </c>
      <c r="J316" s="34" t="str">
        <f>IFERROR((VLOOKUP(F316,'Planilha de Cadastro - Previsão'!$A$2:$N$1100,5,FALSE()))," ")</f>
        <v xml:space="preserve"> </v>
      </c>
      <c r="K316" s="36"/>
      <c r="L316" s="34" t="str">
        <f t="shared" si="20"/>
        <v/>
      </c>
      <c r="M316" s="35" t="str">
        <f t="shared" si="21"/>
        <v/>
      </c>
      <c r="N316" s="39"/>
      <c r="O316" s="36"/>
    </row>
    <row r="317" spans="1:15" x14ac:dyDescent="0.25">
      <c r="A317">
        <f>COUNTIF($C$2:C317,C317)</f>
        <v>316</v>
      </c>
      <c r="B317" s="1" t="str">
        <f t="shared" si="18"/>
        <v>316</v>
      </c>
      <c r="C317" s="1" t="str">
        <f>IFERROR(VLOOKUP(D317,'Planilha de Cadastro - Previsão'!$A$2:$O$1000,15,FALSE()),"")</f>
        <v/>
      </c>
      <c r="D317" s="1">
        <v>316</v>
      </c>
      <c r="F317" s="32" t="str">
        <f t="shared" si="19"/>
        <v/>
      </c>
      <c r="G317" s="33" t="str">
        <f>IFERROR((VLOOKUP(F317,'Planilha de Cadastro - Previsão'!$A$2:$N$1100,2,FALSE()))," ")</f>
        <v xml:space="preserve"> </v>
      </c>
      <c r="H317" s="32" t="str">
        <f>IFERROR((VLOOKUP(F317,'Planilha de Cadastro - Previsão'!$A$2:$N$1100,3,FALSE()))," ")</f>
        <v xml:space="preserve"> </v>
      </c>
      <c r="I317" s="34" t="str">
        <f>IFERROR((VLOOKUP(F317,'Planilha de Cadastro - Previsão'!$A$2:$N$1100,4,FALSE()))," ")</f>
        <v xml:space="preserve"> </v>
      </c>
      <c r="J317" s="34" t="str">
        <f>IFERROR((VLOOKUP(F317,'Planilha de Cadastro - Previsão'!$A$2:$N$1100,5,FALSE()))," ")</f>
        <v xml:space="preserve"> </v>
      </c>
      <c r="K317" s="36"/>
      <c r="L317" s="34" t="str">
        <f t="shared" si="20"/>
        <v/>
      </c>
      <c r="M317" s="35" t="str">
        <f t="shared" si="21"/>
        <v/>
      </c>
      <c r="N317" s="39"/>
      <c r="O317" s="36"/>
    </row>
    <row r="318" spans="1:15" x14ac:dyDescent="0.25">
      <c r="A318">
        <f>COUNTIF($C$2:C318,C318)</f>
        <v>317</v>
      </c>
      <c r="B318" s="1" t="str">
        <f t="shared" si="18"/>
        <v>317</v>
      </c>
      <c r="C318" s="1" t="str">
        <f>IFERROR(VLOOKUP(D318,'Planilha de Cadastro - Previsão'!$A$2:$O$1000,15,FALSE()),"")</f>
        <v/>
      </c>
      <c r="D318" s="1">
        <v>317</v>
      </c>
      <c r="F318" s="32" t="str">
        <f t="shared" si="19"/>
        <v/>
      </c>
      <c r="G318" s="33" t="str">
        <f>IFERROR((VLOOKUP(F318,'Planilha de Cadastro - Previsão'!$A$2:$N$1100,2,FALSE()))," ")</f>
        <v xml:space="preserve"> </v>
      </c>
      <c r="H318" s="32" t="str">
        <f>IFERROR((VLOOKUP(F318,'Planilha de Cadastro - Previsão'!$A$2:$N$1100,3,FALSE()))," ")</f>
        <v xml:space="preserve"> </v>
      </c>
      <c r="I318" s="34" t="str">
        <f>IFERROR((VLOOKUP(F318,'Planilha de Cadastro - Previsão'!$A$2:$N$1100,4,FALSE()))," ")</f>
        <v xml:space="preserve"> </v>
      </c>
      <c r="J318" s="34" t="str">
        <f>IFERROR((VLOOKUP(F318,'Planilha de Cadastro - Previsão'!$A$2:$N$1100,5,FALSE()))," ")</f>
        <v xml:space="preserve"> </v>
      </c>
      <c r="K318" s="36"/>
      <c r="L318" s="34" t="str">
        <f t="shared" si="20"/>
        <v/>
      </c>
      <c r="M318" s="35" t="str">
        <f t="shared" si="21"/>
        <v/>
      </c>
      <c r="N318" s="39"/>
      <c r="O318" s="36"/>
    </row>
    <row r="319" spans="1:15" x14ac:dyDescent="0.25">
      <c r="A319">
        <f>COUNTIF($C$2:C319,C319)</f>
        <v>318</v>
      </c>
      <c r="B319" s="1" t="str">
        <f t="shared" si="18"/>
        <v>318</v>
      </c>
      <c r="C319" s="1" t="str">
        <f>IFERROR(VLOOKUP(D319,'Planilha de Cadastro - Previsão'!$A$2:$O$1000,15,FALSE()),"")</f>
        <v/>
      </c>
      <c r="D319" s="1">
        <v>318</v>
      </c>
      <c r="F319" s="32" t="str">
        <f t="shared" si="19"/>
        <v/>
      </c>
      <c r="G319" s="33" t="str">
        <f>IFERROR((VLOOKUP(F319,'Planilha de Cadastro - Previsão'!$A$2:$N$1100,2,FALSE()))," ")</f>
        <v xml:space="preserve"> </v>
      </c>
      <c r="H319" s="32" t="str">
        <f>IFERROR((VLOOKUP(F319,'Planilha de Cadastro - Previsão'!$A$2:$N$1100,3,FALSE()))," ")</f>
        <v xml:space="preserve"> </v>
      </c>
      <c r="I319" s="34" t="str">
        <f>IFERROR((VLOOKUP(F319,'Planilha de Cadastro - Previsão'!$A$2:$N$1100,4,FALSE()))," ")</f>
        <v xml:space="preserve"> </v>
      </c>
      <c r="J319" s="34" t="str">
        <f>IFERROR((VLOOKUP(F319,'Planilha de Cadastro - Previsão'!$A$2:$N$1100,5,FALSE()))," ")</f>
        <v xml:space="preserve"> </v>
      </c>
      <c r="K319" s="36"/>
      <c r="L319" s="34" t="str">
        <f t="shared" si="20"/>
        <v/>
      </c>
      <c r="M319" s="35" t="str">
        <f t="shared" si="21"/>
        <v/>
      </c>
      <c r="N319" s="39"/>
      <c r="O319" s="36"/>
    </row>
    <row r="320" spans="1:15" x14ac:dyDescent="0.25">
      <c r="A320">
        <f>COUNTIF($C$2:C320,C320)</f>
        <v>319</v>
      </c>
      <c r="B320" s="1" t="str">
        <f t="shared" si="18"/>
        <v>319</v>
      </c>
      <c r="C320" s="1" t="str">
        <f>IFERROR(VLOOKUP(D320,'Planilha de Cadastro - Previsão'!$A$2:$O$1000,15,FALSE()),"")</f>
        <v/>
      </c>
      <c r="D320" s="1">
        <v>319</v>
      </c>
      <c r="F320" s="32" t="str">
        <f t="shared" si="19"/>
        <v/>
      </c>
      <c r="G320" s="33" t="str">
        <f>IFERROR((VLOOKUP(F320,'Planilha de Cadastro - Previsão'!$A$2:$N$1100,2,FALSE()))," ")</f>
        <v xml:space="preserve"> </v>
      </c>
      <c r="H320" s="32" t="str">
        <f>IFERROR((VLOOKUP(F320,'Planilha de Cadastro - Previsão'!$A$2:$N$1100,3,FALSE()))," ")</f>
        <v xml:space="preserve"> </v>
      </c>
      <c r="I320" s="34" t="str">
        <f>IFERROR((VLOOKUP(F320,'Planilha de Cadastro - Previsão'!$A$2:$N$1100,4,FALSE()))," ")</f>
        <v xml:space="preserve"> </v>
      </c>
      <c r="J320" s="34" t="str">
        <f>IFERROR((VLOOKUP(F320,'Planilha de Cadastro - Previsão'!$A$2:$N$1100,5,FALSE()))," ")</f>
        <v xml:space="preserve"> </v>
      </c>
      <c r="K320" s="36"/>
      <c r="L320" s="34" t="str">
        <f t="shared" si="20"/>
        <v/>
      </c>
      <c r="M320" s="35" t="str">
        <f t="shared" si="21"/>
        <v/>
      </c>
      <c r="N320" s="39"/>
      <c r="O320" s="36"/>
    </row>
    <row r="321" spans="1:15" x14ac:dyDescent="0.25">
      <c r="A321">
        <f>COUNTIF($C$2:C321,C321)</f>
        <v>320</v>
      </c>
      <c r="B321" s="1" t="str">
        <f t="shared" si="18"/>
        <v>320</v>
      </c>
      <c r="C321" s="1" t="str">
        <f>IFERROR(VLOOKUP(D321,'Planilha de Cadastro - Previsão'!$A$2:$O$1000,15,FALSE()),"")</f>
        <v/>
      </c>
      <c r="D321" s="1">
        <v>320</v>
      </c>
      <c r="F321" s="32" t="str">
        <f t="shared" si="19"/>
        <v/>
      </c>
      <c r="G321" s="33" t="str">
        <f>IFERROR((VLOOKUP(F321,'Planilha de Cadastro - Previsão'!$A$2:$N$1100,2,FALSE()))," ")</f>
        <v xml:space="preserve"> </v>
      </c>
      <c r="H321" s="32" t="str">
        <f>IFERROR((VLOOKUP(F321,'Planilha de Cadastro - Previsão'!$A$2:$N$1100,3,FALSE()))," ")</f>
        <v xml:space="preserve"> </v>
      </c>
      <c r="I321" s="34" t="str">
        <f>IFERROR((VLOOKUP(F321,'Planilha de Cadastro - Previsão'!$A$2:$N$1100,4,FALSE()))," ")</f>
        <v xml:space="preserve"> </v>
      </c>
      <c r="J321" s="34" t="str">
        <f>IFERROR((VLOOKUP(F321,'Planilha de Cadastro - Previsão'!$A$2:$N$1100,5,FALSE()))," ")</f>
        <v xml:space="preserve"> </v>
      </c>
      <c r="K321" s="36"/>
      <c r="L321" s="34" t="str">
        <f t="shared" si="20"/>
        <v/>
      </c>
      <c r="M321" s="35" t="str">
        <f t="shared" si="21"/>
        <v/>
      </c>
      <c r="N321" s="39"/>
      <c r="O321" s="36"/>
    </row>
    <row r="322" spans="1:15" x14ac:dyDescent="0.25">
      <c r="A322">
        <f>COUNTIF($C$2:C322,C322)</f>
        <v>321</v>
      </c>
      <c r="B322" s="1" t="str">
        <f t="shared" si="18"/>
        <v>321</v>
      </c>
      <c r="C322" s="1" t="str">
        <f>IFERROR(VLOOKUP(D322,'Planilha de Cadastro - Previsão'!$A$2:$O$1000,15,FALSE()),"")</f>
        <v/>
      </c>
      <c r="D322" s="1">
        <v>321</v>
      </c>
      <c r="F322" s="32" t="str">
        <f t="shared" si="19"/>
        <v/>
      </c>
      <c r="G322" s="33" t="str">
        <f>IFERROR((VLOOKUP(F322,'Planilha de Cadastro - Previsão'!$A$2:$N$1100,2,FALSE()))," ")</f>
        <v xml:space="preserve"> </v>
      </c>
      <c r="H322" s="32" t="str">
        <f>IFERROR((VLOOKUP(F322,'Planilha de Cadastro - Previsão'!$A$2:$N$1100,3,FALSE()))," ")</f>
        <v xml:space="preserve"> </v>
      </c>
      <c r="I322" s="34" t="str">
        <f>IFERROR((VLOOKUP(F322,'Planilha de Cadastro - Previsão'!$A$2:$N$1100,4,FALSE()))," ")</f>
        <v xml:space="preserve"> </v>
      </c>
      <c r="J322" s="34" t="str">
        <f>IFERROR((VLOOKUP(F322,'Planilha de Cadastro - Previsão'!$A$2:$N$1100,5,FALSE()))," ")</f>
        <v xml:space="preserve"> </v>
      </c>
      <c r="K322" s="36"/>
      <c r="L322" s="34" t="str">
        <f t="shared" si="20"/>
        <v/>
      </c>
      <c r="M322" s="35" t="str">
        <f t="shared" si="21"/>
        <v/>
      </c>
      <c r="N322" s="39"/>
      <c r="O322" s="36"/>
    </row>
    <row r="323" spans="1:15" x14ac:dyDescent="0.25">
      <c r="A323">
        <f>COUNTIF($C$2:C323,C323)</f>
        <v>322</v>
      </c>
      <c r="B323" s="1" t="str">
        <f t="shared" ref="B323:B386" si="22">IFERROR(CONCATENATE(C323,A323),"")</f>
        <v>322</v>
      </c>
      <c r="C323" s="1" t="str">
        <f>IFERROR(VLOOKUP(D323,'Planilha de Cadastro - Previsão'!$A$2:$O$1000,15,FALSE()),"")</f>
        <v/>
      </c>
      <c r="D323" s="1">
        <v>322</v>
      </c>
      <c r="F323" s="32" t="str">
        <f t="shared" ref="F323:F386" si="23">IFERROR((VLOOKUP(CONCATENATE("Sim",D323),$B$2:$D$1000,3,FALSE())),"")</f>
        <v/>
      </c>
      <c r="G323" s="33" t="str">
        <f>IFERROR((VLOOKUP(F323,'Planilha de Cadastro - Previsão'!$A$2:$N$1100,2,FALSE()))," ")</f>
        <v xml:space="preserve"> </v>
      </c>
      <c r="H323" s="32" t="str">
        <f>IFERROR((VLOOKUP(F323,'Planilha de Cadastro - Previsão'!$A$2:$N$1100,3,FALSE()))," ")</f>
        <v xml:space="preserve"> </v>
      </c>
      <c r="I323" s="34" t="str">
        <f>IFERROR((VLOOKUP(F323,'Planilha de Cadastro - Previsão'!$A$2:$N$1100,4,FALSE()))," ")</f>
        <v xml:space="preserve"> </v>
      </c>
      <c r="J323" s="34" t="str">
        <f>IFERROR((VLOOKUP(F323,'Planilha de Cadastro - Previsão'!$A$2:$N$1100,5,FALSE()))," ")</f>
        <v xml:space="preserve"> </v>
      </c>
      <c r="K323" s="36"/>
      <c r="L323" s="34" t="str">
        <f t="shared" ref="L323:L386" si="24">IF(K323&gt;0,(K323*H323)-(I323*H323)-(K323*H323*4%),"")</f>
        <v/>
      </c>
      <c r="M323" s="35" t="str">
        <f t="shared" ref="M323:M386" si="25">IFERROR(L323/(K323*H323),"")</f>
        <v/>
      </c>
      <c r="N323" s="39"/>
      <c r="O323" s="36"/>
    </row>
    <row r="324" spans="1:15" x14ac:dyDescent="0.25">
      <c r="A324">
        <f>COUNTIF($C$2:C324,C324)</f>
        <v>323</v>
      </c>
      <c r="B324" s="1" t="str">
        <f t="shared" si="22"/>
        <v>323</v>
      </c>
      <c r="C324" s="1" t="str">
        <f>IFERROR(VLOOKUP(D324,'Planilha de Cadastro - Previsão'!$A$2:$O$1000,15,FALSE()),"")</f>
        <v/>
      </c>
      <c r="D324" s="1">
        <v>323</v>
      </c>
      <c r="F324" s="32" t="str">
        <f t="shared" si="23"/>
        <v/>
      </c>
      <c r="G324" s="33" t="str">
        <f>IFERROR((VLOOKUP(F324,'Planilha de Cadastro - Previsão'!$A$2:$N$1100,2,FALSE()))," ")</f>
        <v xml:space="preserve"> </v>
      </c>
      <c r="H324" s="32" t="str">
        <f>IFERROR((VLOOKUP(F324,'Planilha de Cadastro - Previsão'!$A$2:$N$1100,3,FALSE()))," ")</f>
        <v xml:space="preserve"> </v>
      </c>
      <c r="I324" s="34" t="str">
        <f>IFERROR((VLOOKUP(F324,'Planilha de Cadastro - Previsão'!$A$2:$N$1100,4,FALSE()))," ")</f>
        <v xml:space="preserve"> </v>
      </c>
      <c r="J324" s="34" t="str">
        <f>IFERROR((VLOOKUP(F324,'Planilha de Cadastro - Previsão'!$A$2:$N$1100,5,FALSE()))," ")</f>
        <v xml:space="preserve"> </v>
      </c>
      <c r="K324" s="36"/>
      <c r="L324" s="34" t="str">
        <f t="shared" si="24"/>
        <v/>
      </c>
      <c r="M324" s="35" t="str">
        <f t="shared" si="25"/>
        <v/>
      </c>
      <c r="N324" s="39"/>
      <c r="O324" s="36"/>
    </row>
    <row r="325" spans="1:15" x14ac:dyDescent="0.25">
      <c r="A325">
        <f>COUNTIF($C$2:C325,C325)</f>
        <v>324</v>
      </c>
      <c r="B325" s="1" t="str">
        <f t="shared" si="22"/>
        <v>324</v>
      </c>
      <c r="C325" s="1" t="str">
        <f>IFERROR(VLOOKUP(D325,'Planilha de Cadastro - Previsão'!$A$2:$O$1000,15,FALSE()),"")</f>
        <v/>
      </c>
      <c r="D325" s="1">
        <v>324</v>
      </c>
      <c r="F325" s="32" t="str">
        <f t="shared" si="23"/>
        <v/>
      </c>
      <c r="G325" s="33" t="str">
        <f>IFERROR((VLOOKUP(F325,'Planilha de Cadastro - Previsão'!$A$2:$N$1100,2,FALSE()))," ")</f>
        <v xml:space="preserve"> </v>
      </c>
      <c r="H325" s="32" t="str">
        <f>IFERROR((VLOOKUP(F325,'Planilha de Cadastro - Previsão'!$A$2:$N$1100,3,FALSE()))," ")</f>
        <v xml:space="preserve"> </v>
      </c>
      <c r="I325" s="34" t="str">
        <f>IFERROR((VLOOKUP(F325,'Planilha de Cadastro - Previsão'!$A$2:$N$1100,4,FALSE()))," ")</f>
        <v xml:space="preserve"> </v>
      </c>
      <c r="J325" s="34" t="str">
        <f>IFERROR((VLOOKUP(F325,'Planilha de Cadastro - Previsão'!$A$2:$N$1100,5,FALSE()))," ")</f>
        <v xml:space="preserve"> </v>
      </c>
      <c r="K325" s="36"/>
      <c r="L325" s="34" t="str">
        <f t="shared" si="24"/>
        <v/>
      </c>
      <c r="M325" s="35" t="str">
        <f t="shared" si="25"/>
        <v/>
      </c>
      <c r="N325" s="39"/>
      <c r="O325" s="36"/>
    </row>
    <row r="326" spans="1:15" x14ac:dyDescent="0.25">
      <c r="A326">
        <f>COUNTIF($C$2:C326,C326)</f>
        <v>325</v>
      </c>
      <c r="B326" s="1" t="str">
        <f t="shared" si="22"/>
        <v>325</v>
      </c>
      <c r="C326" s="1" t="str">
        <f>IFERROR(VLOOKUP(D326,'Planilha de Cadastro - Previsão'!$A$2:$O$1000,15,FALSE()),"")</f>
        <v/>
      </c>
      <c r="D326" s="1">
        <v>325</v>
      </c>
      <c r="F326" s="32" t="str">
        <f t="shared" si="23"/>
        <v/>
      </c>
      <c r="G326" s="33" t="str">
        <f>IFERROR((VLOOKUP(F326,'Planilha de Cadastro - Previsão'!$A$2:$N$1100,2,FALSE()))," ")</f>
        <v xml:space="preserve"> </v>
      </c>
      <c r="H326" s="32" t="str">
        <f>IFERROR((VLOOKUP(F326,'Planilha de Cadastro - Previsão'!$A$2:$N$1100,3,FALSE()))," ")</f>
        <v xml:space="preserve"> </v>
      </c>
      <c r="I326" s="34" t="str">
        <f>IFERROR((VLOOKUP(F326,'Planilha de Cadastro - Previsão'!$A$2:$N$1100,4,FALSE()))," ")</f>
        <v xml:space="preserve"> </v>
      </c>
      <c r="J326" s="34" t="str">
        <f>IFERROR((VLOOKUP(F326,'Planilha de Cadastro - Previsão'!$A$2:$N$1100,5,FALSE()))," ")</f>
        <v xml:space="preserve"> </v>
      </c>
      <c r="K326" s="36"/>
      <c r="L326" s="34" t="str">
        <f t="shared" si="24"/>
        <v/>
      </c>
      <c r="M326" s="35" t="str">
        <f t="shared" si="25"/>
        <v/>
      </c>
      <c r="N326" s="39"/>
      <c r="O326" s="36"/>
    </row>
    <row r="327" spans="1:15" x14ac:dyDescent="0.25">
      <c r="A327">
        <f>COUNTIF($C$2:C327,C327)</f>
        <v>326</v>
      </c>
      <c r="B327" s="1" t="str">
        <f t="shared" si="22"/>
        <v>326</v>
      </c>
      <c r="C327" s="1" t="str">
        <f>IFERROR(VLOOKUP(D327,'Planilha de Cadastro - Previsão'!$A$2:$O$1000,15,FALSE()),"")</f>
        <v/>
      </c>
      <c r="D327" s="1">
        <v>326</v>
      </c>
      <c r="F327" s="32" t="str">
        <f t="shared" si="23"/>
        <v/>
      </c>
      <c r="G327" s="33" t="str">
        <f>IFERROR((VLOOKUP(F327,'Planilha de Cadastro - Previsão'!$A$2:$N$1100,2,FALSE()))," ")</f>
        <v xml:space="preserve"> </v>
      </c>
      <c r="H327" s="32" t="str">
        <f>IFERROR((VLOOKUP(F327,'Planilha de Cadastro - Previsão'!$A$2:$N$1100,3,FALSE()))," ")</f>
        <v xml:space="preserve"> </v>
      </c>
      <c r="I327" s="34" t="str">
        <f>IFERROR((VLOOKUP(F327,'Planilha de Cadastro - Previsão'!$A$2:$N$1100,4,FALSE()))," ")</f>
        <v xml:space="preserve"> </v>
      </c>
      <c r="J327" s="34" t="str">
        <f>IFERROR((VLOOKUP(F327,'Planilha de Cadastro - Previsão'!$A$2:$N$1100,5,FALSE()))," ")</f>
        <v xml:space="preserve"> </v>
      </c>
      <c r="K327" s="36"/>
      <c r="L327" s="34" t="str">
        <f t="shared" si="24"/>
        <v/>
      </c>
      <c r="M327" s="35" t="str">
        <f t="shared" si="25"/>
        <v/>
      </c>
      <c r="N327" s="39"/>
      <c r="O327" s="36"/>
    </row>
    <row r="328" spans="1:15" x14ac:dyDescent="0.25">
      <c r="A328">
        <f>COUNTIF($C$2:C328,C328)</f>
        <v>327</v>
      </c>
      <c r="B328" s="1" t="str">
        <f t="shared" si="22"/>
        <v>327</v>
      </c>
      <c r="C328" s="1" t="str">
        <f>IFERROR(VLOOKUP(D328,'Planilha de Cadastro - Previsão'!$A$2:$O$1000,15,FALSE()),"")</f>
        <v/>
      </c>
      <c r="D328" s="1">
        <v>327</v>
      </c>
      <c r="F328" s="32" t="str">
        <f t="shared" si="23"/>
        <v/>
      </c>
      <c r="G328" s="33" t="str">
        <f>IFERROR((VLOOKUP(F328,'Planilha de Cadastro - Previsão'!$A$2:$N$1100,2,FALSE()))," ")</f>
        <v xml:space="preserve"> </v>
      </c>
      <c r="H328" s="32" t="str">
        <f>IFERROR((VLOOKUP(F328,'Planilha de Cadastro - Previsão'!$A$2:$N$1100,3,FALSE()))," ")</f>
        <v xml:space="preserve"> </v>
      </c>
      <c r="I328" s="34" t="str">
        <f>IFERROR((VLOOKUP(F328,'Planilha de Cadastro - Previsão'!$A$2:$N$1100,4,FALSE()))," ")</f>
        <v xml:space="preserve"> </v>
      </c>
      <c r="J328" s="34" t="str">
        <f>IFERROR((VLOOKUP(F328,'Planilha de Cadastro - Previsão'!$A$2:$N$1100,5,FALSE()))," ")</f>
        <v xml:space="preserve"> </v>
      </c>
      <c r="K328" s="36"/>
      <c r="L328" s="34" t="str">
        <f t="shared" si="24"/>
        <v/>
      </c>
      <c r="M328" s="35" t="str">
        <f t="shared" si="25"/>
        <v/>
      </c>
      <c r="N328" s="39"/>
      <c r="O328" s="36"/>
    </row>
    <row r="329" spans="1:15" x14ac:dyDescent="0.25">
      <c r="A329">
        <f>COUNTIF($C$2:C329,C329)</f>
        <v>328</v>
      </c>
      <c r="B329" s="1" t="str">
        <f t="shared" si="22"/>
        <v>328</v>
      </c>
      <c r="C329" s="1" t="str">
        <f>IFERROR(VLOOKUP(D329,'Planilha de Cadastro - Previsão'!$A$2:$O$1000,15,FALSE()),"")</f>
        <v/>
      </c>
      <c r="D329" s="1">
        <v>328</v>
      </c>
      <c r="F329" s="32" t="str">
        <f t="shared" si="23"/>
        <v/>
      </c>
      <c r="G329" s="33" t="str">
        <f>IFERROR((VLOOKUP(F329,'Planilha de Cadastro - Previsão'!$A$2:$N$1100,2,FALSE()))," ")</f>
        <v xml:space="preserve"> </v>
      </c>
      <c r="H329" s="32" t="str">
        <f>IFERROR((VLOOKUP(F329,'Planilha de Cadastro - Previsão'!$A$2:$N$1100,3,FALSE()))," ")</f>
        <v xml:space="preserve"> </v>
      </c>
      <c r="I329" s="34" t="str">
        <f>IFERROR((VLOOKUP(F329,'Planilha de Cadastro - Previsão'!$A$2:$N$1100,4,FALSE()))," ")</f>
        <v xml:space="preserve"> </v>
      </c>
      <c r="J329" s="34" t="str">
        <f>IFERROR((VLOOKUP(F329,'Planilha de Cadastro - Previsão'!$A$2:$N$1100,5,FALSE()))," ")</f>
        <v xml:space="preserve"> </v>
      </c>
      <c r="K329" s="36"/>
      <c r="L329" s="34" t="str">
        <f t="shared" si="24"/>
        <v/>
      </c>
      <c r="M329" s="35" t="str">
        <f t="shared" si="25"/>
        <v/>
      </c>
      <c r="N329" s="39"/>
      <c r="O329" s="36"/>
    </row>
    <row r="330" spans="1:15" x14ac:dyDescent="0.25">
      <c r="A330">
        <f>COUNTIF($C$2:C330,C330)</f>
        <v>329</v>
      </c>
      <c r="B330" s="1" t="str">
        <f t="shared" si="22"/>
        <v>329</v>
      </c>
      <c r="C330" s="1" t="str">
        <f>IFERROR(VLOOKUP(D330,'Planilha de Cadastro - Previsão'!$A$2:$O$1000,15,FALSE()),"")</f>
        <v/>
      </c>
      <c r="D330" s="1">
        <v>329</v>
      </c>
      <c r="F330" s="32" t="str">
        <f t="shared" si="23"/>
        <v/>
      </c>
      <c r="G330" s="33" t="str">
        <f>IFERROR((VLOOKUP(F330,'Planilha de Cadastro - Previsão'!$A$2:$N$1100,2,FALSE()))," ")</f>
        <v xml:space="preserve"> </v>
      </c>
      <c r="H330" s="32" t="str">
        <f>IFERROR((VLOOKUP(F330,'Planilha de Cadastro - Previsão'!$A$2:$N$1100,3,FALSE()))," ")</f>
        <v xml:space="preserve"> </v>
      </c>
      <c r="I330" s="34" t="str">
        <f>IFERROR((VLOOKUP(F330,'Planilha de Cadastro - Previsão'!$A$2:$N$1100,4,FALSE()))," ")</f>
        <v xml:space="preserve"> </v>
      </c>
      <c r="J330" s="34" t="str">
        <f>IFERROR((VLOOKUP(F330,'Planilha de Cadastro - Previsão'!$A$2:$N$1100,5,FALSE()))," ")</f>
        <v xml:space="preserve"> </v>
      </c>
      <c r="K330" s="36"/>
      <c r="L330" s="34" t="str">
        <f t="shared" si="24"/>
        <v/>
      </c>
      <c r="M330" s="35" t="str">
        <f t="shared" si="25"/>
        <v/>
      </c>
      <c r="N330" s="39"/>
      <c r="O330" s="36"/>
    </row>
    <row r="331" spans="1:15" x14ac:dyDescent="0.25">
      <c r="A331">
        <f>COUNTIF($C$2:C331,C331)</f>
        <v>330</v>
      </c>
      <c r="B331" s="1" t="str">
        <f t="shared" si="22"/>
        <v>330</v>
      </c>
      <c r="C331" s="1" t="str">
        <f>IFERROR(VLOOKUP(D331,'Planilha de Cadastro - Previsão'!$A$2:$O$1000,15,FALSE()),"")</f>
        <v/>
      </c>
      <c r="D331" s="1">
        <v>330</v>
      </c>
      <c r="F331" s="32" t="str">
        <f t="shared" si="23"/>
        <v/>
      </c>
      <c r="G331" s="33" t="str">
        <f>IFERROR((VLOOKUP(F331,'Planilha de Cadastro - Previsão'!$A$2:$N$1100,2,FALSE()))," ")</f>
        <v xml:space="preserve"> </v>
      </c>
      <c r="H331" s="32" t="str">
        <f>IFERROR((VLOOKUP(F331,'Planilha de Cadastro - Previsão'!$A$2:$N$1100,3,FALSE()))," ")</f>
        <v xml:space="preserve"> </v>
      </c>
      <c r="I331" s="34" t="str">
        <f>IFERROR((VLOOKUP(F331,'Planilha de Cadastro - Previsão'!$A$2:$N$1100,4,FALSE()))," ")</f>
        <v xml:space="preserve"> </v>
      </c>
      <c r="J331" s="34" t="str">
        <f>IFERROR((VLOOKUP(F331,'Planilha de Cadastro - Previsão'!$A$2:$N$1100,5,FALSE()))," ")</f>
        <v xml:space="preserve"> </v>
      </c>
      <c r="K331" s="36"/>
      <c r="L331" s="34" t="str">
        <f t="shared" si="24"/>
        <v/>
      </c>
      <c r="M331" s="35" t="str">
        <f t="shared" si="25"/>
        <v/>
      </c>
      <c r="N331" s="39"/>
      <c r="O331" s="36"/>
    </row>
    <row r="332" spans="1:15" x14ac:dyDescent="0.25">
      <c r="A332">
        <f>COUNTIF($C$2:C332,C332)</f>
        <v>331</v>
      </c>
      <c r="B332" s="1" t="str">
        <f t="shared" si="22"/>
        <v>331</v>
      </c>
      <c r="C332" s="1" t="str">
        <f>IFERROR(VLOOKUP(D332,'Planilha de Cadastro - Previsão'!$A$2:$O$1000,15,FALSE()),"")</f>
        <v/>
      </c>
      <c r="D332" s="1">
        <v>331</v>
      </c>
      <c r="F332" s="32" t="str">
        <f t="shared" si="23"/>
        <v/>
      </c>
      <c r="G332" s="33" t="str">
        <f>IFERROR((VLOOKUP(F332,'Planilha de Cadastro - Previsão'!$A$2:$N$1100,2,FALSE()))," ")</f>
        <v xml:space="preserve"> </v>
      </c>
      <c r="H332" s="32" t="str">
        <f>IFERROR((VLOOKUP(F332,'Planilha de Cadastro - Previsão'!$A$2:$N$1100,3,FALSE()))," ")</f>
        <v xml:space="preserve"> </v>
      </c>
      <c r="I332" s="34" t="str">
        <f>IFERROR((VLOOKUP(F332,'Planilha de Cadastro - Previsão'!$A$2:$N$1100,4,FALSE()))," ")</f>
        <v xml:space="preserve"> </v>
      </c>
      <c r="J332" s="34" t="str">
        <f>IFERROR((VLOOKUP(F332,'Planilha de Cadastro - Previsão'!$A$2:$N$1100,5,FALSE()))," ")</f>
        <v xml:space="preserve"> </v>
      </c>
      <c r="K332" s="36"/>
      <c r="L332" s="34" t="str">
        <f t="shared" si="24"/>
        <v/>
      </c>
      <c r="M332" s="35" t="str">
        <f t="shared" si="25"/>
        <v/>
      </c>
      <c r="N332" s="39"/>
      <c r="O332" s="36"/>
    </row>
    <row r="333" spans="1:15" x14ac:dyDescent="0.25">
      <c r="A333">
        <f>COUNTIF($C$2:C333,C333)</f>
        <v>332</v>
      </c>
      <c r="B333" s="1" t="str">
        <f t="shared" si="22"/>
        <v>332</v>
      </c>
      <c r="C333" s="1" t="str">
        <f>IFERROR(VLOOKUP(D333,'Planilha de Cadastro - Previsão'!$A$2:$O$1000,15,FALSE()),"")</f>
        <v/>
      </c>
      <c r="D333" s="1">
        <v>332</v>
      </c>
      <c r="F333" s="32" t="str">
        <f t="shared" si="23"/>
        <v/>
      </c>
      <c r="G333" s="33" t="str">
        <f>IFERROR((VLOOKUP(F333,'Planilha de Cadastro - Previsão'!$A$2:$N$1100,2,FALSE()))," ")</f>
        <v xml:space="preserve"> </v>
      </c>
      <c r="H333" s="32" t="str">
        <f>IFERROR((VLOOKUP(F333,'Planilha de Cadastro - Previsão'!$A$2:$N$1100,3,FALSE()))," ")</f>
        <v xml:space="preserve"> </v>
      </c>
      <c r="I333" s="34" t="str">
        <f>IFERROR((VLOOKUP(F333,'Planilha de Cadastro - Previsão'!$A$2:$N$1100,4,FALSE()))," ")</f>
        <v xml:space="preserve"> </v>
      </c>
      <c r="J333" s="34" t="str">
        <f>IFERROR((VLOOKUP(F333,'Planilha de Cadastro - Previsão'!$A$2:$N$1100,5,FALSE()))," ")</f>
        <v xml:space="preserve"> </v>
      </c>
      <c r="K333" s="36"/>
      <c r="L333" s="34" t="str">
        <f t="shared" si="24"/>
        <v/>
      </c>
      <c r="M333" s="35" t="str">
        <f t="shared" si="25"/>
        <v/>
      </c>
      <c r="N333" s="39"/>
      <c r="O333" s="36"/>
    </row>
    <row r="334" spans="1:15" x14ac:dyDescent="0.25">
      <c r="A334">
        <f>COUNTIF($C$2:C334,C334)</f>
        <v>333</v>
      </c>
      <c r="B334" s="1" t="str">
        <f t="shared" si="22"/>
        <v>333</v>
      </c>
      <c r="C334" s="1" t="str">
        <f>IFERROR(VLOOKUP(D334,'Planilha de Cadastro - Previsão'!$A$2:$O$1000,15,FALSE()),"")</f>
        <v/>
      </c>
      <c r="D334" s="1">
        <v>333</v>
      </c>
      <c r="F334" s="32" t="str">
        <f t="shared" si="23"/>
        <v/>
      </c>
      <c r="G334" s="33" t="str">
        <f>IFERROR((VLOOKUP(F334,'Planilha de Cadastro - Previsão'!$A$2:$N$1100,2,FALSE()))," ")</f>
        <v xml:space="preserve"> </v>
      </c>
      <c r="H334" s="32" t="str">
        <f>IFERROR((VLOOKUP(F334,'Planilha de Cadastro - Previsão'!$A$2:$N$1100,3,FALSE()))," ")</f>
        <v xml:space="preserve"> </v>
      </c>
      <c r="I334" s="34" t="str">
        <f>IFERROR((VLOOKUP(F334,'Planilha de Cadastro - Previsão'!$A$2:$N$1100,4,FALSE()))," ")</f>
        <v xml:space="preserve"> </v>
      </c>
      <c r="J334" s="34" t="str">
        <f>IFERROR((VLOOKUP(F334,'Planilha de Cadastro - Previsão'!$A$2:$N$1100,5,FALSE()))," ")</f>
        <v xml:space="preserve"> </v>
      </c>
      <c r="K334" s="36"/>
      <c r="L334" s="34" t="str">
        <f t="shared" si="24"/>
        <v/>
      </c>
      <c r="M334" s="35" t="str">
        <f t="shared" si="25"/>
        <v/>
      </c>
      <c r="N334" s="39"/>
      <c r="O334" s="36"/>
    </row>
    <row r="335" spans="1:15" x14ac:dyDescent="0.25">
      <c r="A335">
        <f>COUNTIF($C$2:C335,C335)</f>
        <v>334</v>
      </c>
      <c r="B335" s="1" t="str">
        <f t="shared" si="22"/>
        <v>334</v>
      </c>
      <c r="C335" s="1" t="str">
        <f>IFERROR(VLOOKUP(D335,'Planilha de Cadastro - Previsão'!$A$2:$O$1000,15,FALSE()),"")</f>
        <v/>
      </c>
      <c r="D335" s="1">
        <v>334</v>
      </c>
      <c r="F335" s="32" t="str">
        <f t="shared" si="23"/>
        <v/>
      </c>
      <c r="G335" s="33" t="str">
        <f>IFERROR((VLOOKUP(F335,'Planilha de Cadastro - Previsão'!$A$2:$N$1100,2,FALSE()))," ")</f>
        <v xml:space="preserve"> </v>
      </c>
      <c r="H335" s="32" t="str">
        <f>IFERROR((VLOOKUP(F335,'Planilha de Cadastro - Previsão'!$A$2:$N$1100,3,FALSE()))," ")</f>
        <v xml:space="preserve"> </v>
      </c>
      <c r="I335" s="34" t="str">
        <f>IFERROR((VLOOKUP(F335,'Planilha de Cadastro - Previsão'!$A$2:$N$1100,4,FALSE()))," ")</f>
        <v xml:space="preserve"> </v>
      </c>
      <c r="J335" s="34" t="str">
        <f>IFERROR((VLOOKUP(F335,'Planilha de Cadastro - Previsão'!$A$2:$N$1100,5,FALSE()))," ")</f>
        <v xml:space="preserve"> </v>
      </c>
      <c r="K335" s="36"/>
      <c r="L335" s="34" t="str">
        <f t="shared" si="24"/>
        <v/>
      </c>
      <c r="M335" s="35" t="str">
        <f t="shared" si="25"/>
        <v/>
      </c>
      <c r="N335" s="39"/>
      <c r="O335" s="36"/>
    </row>
    <row r="336" spans="1:15" x14ac:dyDescent="0.25">
      <c r="A336">
        <f>COUNTIF($C$2:C336,C336)</f>
        <v>335</v>
      </c>
      <c r="B336" s="1" t="str">
        <f t="shared" si="22"/>
        <v>335</v>
      </c>
      <c r="C336" s="1" t="str">
        <f>IFERROR(VLOOKUP(D336,'Planilha de Cadastro - Previsão'!$A$2:$O$1000,15,FALSE()),"")</f>
        <v/>
      </c>
      <c r="D336" s="1">
        <v>335</v>
      </c>
      <c r="F336" s="32" t="str">
        <f t="shared" si="23"/>
        <v/>
      </c>
      <c r="G336" s="33" t="str">
        <f>IFERROR((VLOOKUP(F336,'Planilha de Cadastro - Previsão'!$A$2:$N$1100,2,FALSE()))," ")</f>
        <v xml:space="preserve"> </v>
      </c>
      <c r="H336" s="32" t="str">
        <f>IFERROR((VLOOKUP(F336,'Planilha de Cadastro - Previsão'!$A$2:$N$1100,3,FALSE()))," ")</f>
        <v xml:space="preserve"> </v>
      </c>
      <c r="I336" s="34" t="str">
        <f>IFERROR((VLOOKUP(F336,'Planilha de Cadastro - Previsão'!$A$2:$N$1100,4,FALSE()))," ")</f>
        <v xml:space="preserve"> </v>
      </c>
      <c r="J336" s="34" t="str">
        <f>IFERROR((VLOOKUP(F336,'Planilha de Cadastro - Previsão'!$A$2:$N$1100,5,FALSE()))," ")</f>
        <v xml:space="preserve"> </v>
      </c>
      <c r="K336" s="36"/>
      <c r="L336" s="34" t="str">
        <f t="shared" si="24"/>
        <v/>
      </c>
      <c r="M336" s="35" t="str">
        <f t="shared" si="25"/>
        <v/>
      </c>
      <c r="N336" s="39"/>
      <c r="O336" s="36"/>
    </row>
    <row r="337" spans="1:15" x14ac:dyDescent="0.25">
      <c r="A337">
        <f>COUNTIF($C$2:C337,C337)</f>
        <v>336</v>
      </c>
      <c r="B337" s="1" t="str">
        <f t="shared" si="22"/>
        <v>336</v>
      </c>
      <c r="C337" s="1" t="str">
        <f>IFERROR(VLOOKUP(D337,'Planilha de Cadastro - Previsão'!$A$2:$O$1000,15,FALSE()),"")</f>
        <v/>
      </c>
      <c r="D337" s="1">
        <v>336</v>
      </c>
      <c r="F337" s="32" t="str">
        <f t="shared" si="23"/>
        <v/>
      </c>
      <c r="G337" s="33" t="str">
        <f>IFERROR((VLOOKUP(F337,'Planilha de Cadastro - Previsão'!$A$2:$N$1100,2,FALSE()))," ")</f>
        <v xml:space="preserve"> </v>
      </c>
      <c r="H337" s="32" t="str">
        <f>IFERROR((VLOOKUP(F337,'Planilha de Cadastro - Previsão'!$A$2:$N$1100,3,FALSE()))," ")</f>
        <v xml:space="preserve"> </v>
      </c>
      <c r="I337" s="34" t="str">
        <f>IFERROR((VLOOKUP(F337,'Planilha de Cadastro - Previsão'!$A$2:$N$1100,4,FALSE()))," ")</f>
        <v xml:space="preserve"> </v>
      </c>
      <c r="J337" s="34" t="str">
        <f>IFERROR((VLOOKUP(F337,'Planilha de Cadastro - Previsão'!$A$2:$N$1100,5,FALSE()))," ")</f>
        <v xml:space="preserve"> </v>
      </c>
      <c r="K337" s="36"/>
      <c r="L337" s="34" t="str">
        <f t="shared" si="24"/>
        <v/>
      </c>
      <c r="M337" s="35" t="str">
        <f t="shared" si="25"/>
        <v/>
      </c>
      <c r="N337" s="39"/>
      <c r="O337" s="36"/>
    </row>
    <row r="338" spans="1:15" x14ac:dyDescent="0.25">
      <c r="A338">
        <f>COUNTIF($C$2:C338,C338)</f>
        <v>337</v>
      </c>
      <c r="B338" s="1" t="str">
        <f t="shared" si="22"/>
        <v>337</v>
      </c>
      <c r="C338" s="1" t="str">
        <f>IFERROR(VLOOKUP(D338,'Planilha de Cadastro - Previsão'!$A$2:$O$1000,15,FALSE()),"")</f>
        <v/>
      </c>
      <c r="D338" s="1">
        <v>337</v>
      </c>
      <c r="F338" s="32" t="str">
        <f t="shared" si="23"/>
        <v/>
      </c>
      <c r="G338" s="33" t="str">
        <f>IFERROR((VLOOKUP(F338,'Planilha de Cadastro - Previsão'!$A$2:$N$1100,2,FALSE()))," ")</f>
        <v xml:space="preserve"> </v>
      </c>
      <c r="H338" s="32" t="str">
        <f>IFERROR((VLOOKUP(F338,'Planilha de Cadastro - Previsão'!$A$2:$N$1100,3,FALSE()))," ")</f>
        <v xml:space="preserve"> </v>
      </c>
      <c r="I338" s="34" t="str">
        <f>IFERROR((VLOOKUP(F338,'Planilha de Cadastro - Previsão'!$A$2:$N$1100,4,FALSE()))," ")</f>
        <v xml:space="preserve"> </v>
      </c>
      <c r="J338" s="34" t="str">
        <f>IFERROR((VLOOKUP(F338,'Planilha de Cadastro - Previsão'!$A$2:$N$1100,5,FALSE()))," ")</f>
        <v xml:space="preserve"> </v>
      </c>
      <c r="K338" s="36"/>
      <c r="L338" s="34" t="str">
        <f t="shared" si="24"/>
        <v/>
      </c>
      <c r="M338" s="35" t="str">
        <f t="shared" si="25"/>
        <v/>
      </c>
      <c r="N338" s="39"/>
      <c r="O338" s="36"/>
    </row>
    <row r="339" spans="1:15" x14ac:dyDescent="0.25">
      <c r="A339">
        <f>COUNTIF($C$2:C339,C339)</f>
        <v>338</v>
      </c>
      <c r="B339" s="1" t="str">
        <f t="shared" si="22"/>
        <v>338</v>
      </c>
      <c r="C339" s="1" t="str">
        <f>IFERROR(VLOOKUP(D339,'Planilha de Cadastro - Previsão'!$A$2:$O$1000,15,FALSE()),"")</f>
        <v/>
      </c>
      <c r="D339" s="1">
        <v>338</v>
      </c>
      <c r="F339" s="32" t="str">
        <f t="shared" si="23"/>
        <v/>
      </c>
      <c r="G339" s="33" t="str">
        <f>IFERROR((VLOOKUP(F339,'Planilha de Cadastro - Previsão'!$A$2:$N$1100,2,FALSE()))," ")</f>
        <v xml:space="preserve"> </v>
      </c>
      <c r="H339" s="32" t="str">
        <f>IFERROR((VLOOKUP(F339,'Planilha de Cadastro - Previsão'!$A$2:$N$1100,3,FALSE()))," ")</f>
        <v xml:space="preserve"> </v>
      </c>
      <c r="I339" s="34" t="str">
        <f>IFERROR((VLOOKUP(F339,'Planilha de Cadastro - Previsão'!$A$2:$N$1100,4,FALSE()))," ")</f>
        <v xml:space="preserve"> </v>
      </c>
      <c r="J339" s="34" t="str">
        <f>IFERROR((VLOOKUP(F339,'Planilha de Cadastro - Previsão'!$A$2:$N$1100,5,FALSE()))," ")</f>
        <v xml:space="preserve"> </v>
      </c>
      <c r="K339" s="36"/>
      <c r="L339" s="34" t="str">
        <f t="shared" si="24"/>
        <v/>
      </c>
      <c r="M339" s="35" t="str">
        <f t="shared" si="25"/>
        <v/>
      </c>
      <c r="N339" s="39"/>
      <c r="O339" s="36"/>
    </row>
    <row r="340" spans="1:15" x14ac:dyDescent="0.25">
      <c r="A340">
        <f>COUNTIF($C$2:C340,C340)</f>
        <v>339</v>
      </c>
      <c r="B340" s="1" t="str">
        <f t="shared" si="22"/>
        <v>339</v>
      </c>
      <c r="C340" s="1" t="str">
        <f>IFERROR(VLOOKUP(D340,'Planilha de Cadastro - Previsão'!$A$2:$O$1000,15,FALSE()),"")</f>
        <v/>
      </c>
      <c r="D340" s="1">
        <v>339</v>
      </c>
      <c r="F340" s="32" t="str">
        <f t="shared" si="23"/>
        <v/>
      </c>
      <c r="G340" s="33" t="str">
        <f>IFERROR((VLOOKUP(F340,'Planilha de Cadastro - Previsão'!$A$2:$N$1100,2,FALSE()))," ")</f>
        <v xml:space="preserve"> </v>
      </c>
      <c r="H340" s="32" t="str">
        <f>IFERROR((VLOOKUP(F340,'Planilha de Cadastro - Previsão'!$A$2:$N$1100,3,FALSE()))," ")</f>
        <v xml:space="preserve"> </v>
      </c>
      <c r="I340" s="34" t="str">
        <f>IFERROR((VLOOKUP(F340,'Planilha de Cadastro - Previsão'!$A$2:$N$1100,4,FALSE()))," ")</f>
        <v xml:space="preserve"> </v>
      </c>
      <c r="J340" s="34" t="str">
        <f>IFERROR((VLOOKUP(F340,'Planilha de Cadastro - Previsão'!$A$2:$N$1100,5,FALSE()))," ")</f>
        <v xml:space="preserve"> </v>
      </c>
      <c r="K340" s="36"/>
      <c r="L340" s="34" t="str">
        <f t="shared" si="24"/>
        <v/>
      </c>
      <c r="M340" s="35" t="str">
        <f t="shared" si="25"/>
        <v/>
      </c>
      <c r="N340" s="39"/>
      <c r="O340" s="36"/>
    </row>
    <row r="341" spans="1:15" x14ac:dyDescent="0.25">
      <c r="A341">
        <f>COUNTIF($C$2:C341,C341)</f>
        <v>340</v>
      </c>
      <c r="B341" s="1" t="str">
        <f t="shared" si="22"/>
        <v>340</v>
      </c>
      <c r="C341" s="1" t="str">
        <f>IFERROR(VLOOKUP(D341,'Planilha de Cadastro - Previsão'!$A$2:$O$1000,15,FALSE()),"")</f>
        <v/>
      </c>
      <c r="D341" s="1">
        <v>340</v>
      </c>
      <c r="F341" s="32" t="str">
        <f t="shared" si="23"/>
        <v/>
      </c>
      <c r="G341" s="33" t="str">
        <f>IFERROR((VLOOKUP(F341,'Planilha de Cadastro - Previsão'!$A$2:$N$1100,2,FALSE()))," ")</f>
        <v xml:space="preserve"> </v>
      </c>
      <c r="H341" s="32" t="str">
        <f>IFERROR((VLOOKUP(F341,'Planilha de Cadastro - Previsão'!$A$2:$N$1100,3,FALSE()))," ")</f>
        <v xml:space="preserve"> </v>
      </c>
      <c r="I341" s="34" t="str">
        <f>IFERROR((VLOOKUP(F341,'Planilha de Cadastro - Previsão'!$A$2:$N$1100,4,FALSE()))," ")</f>
        <v xml:space="preserve"> </v>
      </c>
      <c r="J341" s="34" t="str">
        <f>IFERROR((VLOOKUP(F341,'Planilha de Cadastro - Previsão'!$A$2:$N$1100,5,FALSE()))," ")</f>
        <v xml:space="preserve"> </v>
      </c>
      <c r="K341" s="36"/>
      <c r="L341" s="34" t="str">
        <f t="shared" si="24"/>
        <v/>
      </c>
      <c r="M341" s="35" t="str">
        <f t="shared" si="25"/>
        <v/>
      </c>
      <c r="N341" s="39"/>
      <c r="O341" s="36"/>
    </row>
    <row r="342" spans="1:15" x14ac:dyDescent="0.25">
      <c r="A342">
        <f>COUNTIF($C$2:C342,C342)</f>
        <v>341</v>
      </c>
      <c r="B342" s="1" t="str">
        <f t="shared" si="22"/>
        <v>341</v>
      </c>
      <c r="C342" s="1" t="str">
        <f>IFERROR(VLOOKUP(D342,'Planilha de Cadastro - Previsão'!$A$2:$O$1000,15,FALSE()),"")</f>
        <v/>
      </c>
      <c r="D342" s="1">
        <v>341</v>
      </c>
      <c r="F342" s="32" t="str">
        <f t="shared" si="23"/>
        <v/>
      </c>
      <c r="G342" s="33" t="str">
        <f>IFERROR((VLOOKUP(F342,'Planilha de Cadastro - Previsão'!$A$2:$N$1100,2,FALSE()))," ")</f>
        <v xml:space="preserve"> </v>
      </c>
      <c r="H342" s="32" t="str">
        <f>IFERROR((VLOOKUP(F342,'Planilha de Cadastro - Previsão'!$A$2:$N$1100,3,FALSE()))," ")</f>
        <v xml:space="preserve"> </v>
      </c>
      <c r="I342" s="34" t="str">
        <f>IFERROR((VLOOKUP(F342,'Planilha de Cadastro - Previsão'!$A$2:$N$1100,4,FALSE()))," ")</f>
        <v xml:space="preserve"> </v>
      </c>
      <c r="J342" s="34" t="str">
        <f>IFERROR((VLOOKUP(F342,'Planilha de Cadastro - Previsão'!$A$2:$N$1100,5,FALSE()))," ")</f>
        <v xml:space="preserve"> </v>
      </c>
      <c r="K342" s="36"/>
      <c r="L342" s="34" t="str">
        <f t="shared" si="24"/>
        <v/>
      </c>
      <c r="M342" s="35" t="str">
        <f t="shared" si="25"/>
        <v/>
      </c>
      <c r="N342" s="39"/>
      <c r="O342" s="36"/>
    </row>
    <row r="343" spans="1:15" x14ac:dyDescent="0.25">
      <c r="A343">
        <f>COUNTIF($C$2:C343,C343)</f>
        <v>342</v>
      </c>
      <c r="B343" s="1" t="str">
        <f t="shared" si="22"/>
        <v>342</v>
      </c>
      <c r="C343" s="1" t="str">
        <f>IFERROR(VLOOKUP(D343,'Planilha de Cadastro - Previsão'!$A$2:$O$1000,15,FALSE()),"")</f>
        <v/>
      </c>
      <c r="D343" s="1">
        <v>342</v>
      </c>
      <c r="F343" s="32" t="str">
        <f t="shared" si="23"/>
        <v/>
      </c>
      <c r="G343" s="33" t="str">
        <f>IFERROR((VLOOKUP(F343,'Planilha de Cadastro - Previsão'!$A$2:$N$1100,2,FALSE()))," ")</f>
        <v xml:space="preserve"> </v>
      </c>
      <c r="H343" s="32" t="str">
        <f>IFERROR((VLOOKUP(F343,'Planilha de Cadastro - Previsão'!$A$2:$N$1100,3,FALSE()))," ")</f>
        <v xml:space="preserve"> </v>
      </c>
      <c r="I343" s="34" t="str">
        <f>IFERROR((VLOOKUP(F343,'Planilha de Cadastro - Previsão'!$A$2:$N$1100,4,FALSE()))," ")</f>
        <v xml:space="preserve"> </v>
      </c>
      <c r="J343" s="34" t="str">
        <f>IFERROR((VLOOKUP(F343,'Planilha de Cadastro - Previsão'!$A$2:$N$1100,5,FALSE()))," ")</f>
        <v xml:space="preserve"> </v>
      </c>
      <c r="K343" s="36"/>
      <c r="L343" s="34" t="str">
        <f t="shared" si="24"/>
        <v/>
      </c>
      <c r="M343" s="35" t="str">
        <f t="shared" si="25"/>
        <v/>
      </c>
      <c r="N343" s="39"/>
      <c r="O343" s="36"/>
    </row>
    <row r="344" spans="1:15" x14ac:dyDescent="0.25">
      <c r="A344">
        <f>COUNTIF($C$2:C344,C344)</f>
        <v>343</v>
      </c>
      <c r="B344" s="1" t="str">
        <f t="shared" si="22"/>
        <v>343</v>
      </c>
      <c r="C344" s="1" t="str">
        <f>IFERROR(VLOOKUP(D344,'Planilha de Cadastro - Previsão'!$A$2:$O$1000,15,FALSE()),"")</f>
        <v/>
      </c>
      <c r="D344" s="1">
        <v>343</v>
      </c>
      <c r="F344" s="32" t="str">
        <f t="shared" si="23"/>
        <v/>
      </c>
      <c r="G344" s="33" t="str">
        <f>IFERROR((VLOOKUP(F344,'Planilha de Cadastro - Previsão'!$A$2:$N$1100,2,FALSE()))," ")</f>
        <v xml:space="preserve"> </v>
      </c>
      <c r="H344" s="32" t="str">
        <f>IFERROR((VLOOKUP(F344,'Planilha de Cadastro - Previsão'!$A$2:$N$1100,3,FALSE()))," ")</f>
        <v xml:space="preserve"> </v>
      </c>
      <c r="I344" s="34" t="str">
        <f>IFERROR((VLOOKUP(F344,'Planilha de Cadastro - Previsão'!$A$2:$N$1100,4,FALSE()))," ")</f>
        <v xml:space="preserve"> </v>
      </c>
      <c r="J344" s="34" t="str">
        <f>IFERROR((VLOOKUP(F344,'Planilha de Cadastro - Previsão'!$A$2:$N$1100,5,FALSE()))," ")</f>
        <v xml:space="preserve"> </v>
      </c>
      <c r="K344" s="36"/>
      <c r="L344" s="34" t="str">
        <f t="shared" si="24"/>
        <v/>
      </c>
      <c r="M344" s="35" t="str">
        <f t="shared" si="25"/>
        <v/>
      </c>
      <c r="N344" s="39"/>
      <c r="O344" s="36"/>
    </row>
    <row r="345" spans="1:15" x14ac:dyDescent="0.25">
      <c r="A345">
        <f>COUNTIF($C$2:C345,C345)</f>
        <v>344</v>
      </c>
      <c r="B345" s="1" t="str">
        <f t="shared" si="22"/>
        <v>344</v>
      </c>
      <c r="C345" s="1" t="str">
        <f>IFERROR(VLOOKUP(D345,'Planilha de Cadastro - Previsão'!$A$2:$O$1000,15,FALSE()),"")</f>
        <v/>
      </c>
      <c r="D345" s="1">
        <v>344</v>
      </c>
      <c r="F345" s="32" t="str">
        <f t="shared" si="23"/>
        <v/>
      </c>
      <c r="G345" s="33" t="str">
        <f>IFERROR((VLOOKUP(F345,'Planilha de Cadastro - Previsão'!$A$2:$N$1100,2,FALSE()))," ")</f>
        <v xml:space="preserve"> </v>
      </c>
      <c r="H345" s="32" t="str">
        <f>IFERROR((VLOOKUP(F345,'Planilha de Cadastro - Previsão'!$A$2:$N$1100,3,FALSE()))," ")</f>
        <v xml:space="preserve"> </v>
      </c>
      <c r="I345" s="34" t="str">
        <f>IFERROR((VLOOKUP(F345,'Planilha de Cadastro - Previsão'!$A$2:$N$1100,4,FALSE()))," ")</f>
        <v xml:space="preserve"> </v>
      </c>
      <c r="J345" s="34" t="str">
        <f>IFERROR((VLOOKUP(F345,'Planilha de Cadastro - Previsão'!$A$2:$N$1100,5,FALSE()))," ")</f>
        <v xml:space="preserve"> </v>
      </c>
      <c r="K345" s="36"/>
      <c r="L345" s="34" t="str">
        <f t="shared" si="24"/>
        <v/>
      </c>
      <c r="M345" s="35" t="str">
        <f t="shared" si="25"/>
        <v/>
      </c>
      <c r="N345" s="39"/>
      <c r="O345" s="36"/>
    </row>
    <row r="346" spans="1:15" x14ac:dyDescent="0.25">
      <c r="A346">
        <f>COUNTIF($C$2:C346,C346)</f>
        <v>345</v>
      </c>
      <c r="B346" s="1" t="str">
        <f t="shared" si="22"/>
        <v>345</v>
      </c>
      <c r="C346" s="1" t="str">
        <f>IFERROR(VLOOKUP(D346,'Planilha de Cadastro - Previsão'!$A$2:$O$1000,15,FALSE()),"")</f>
        <v/>
      </c>
      <c r="D346" s="1">
        <v>345</v>
      </c>
      <c r="F346" s="32" t="str">
        <f t="shared" si="23"/>
        <v/>
      </c>
      <c r="G346" s="33" t="str">
        <f>IFERROR((VLOOKUP(F346,'Planilha de Cadastro - Previsão'!$A$2:$N$1100,2,FALSE()))," ")</f>
        <v xml:space="preserve"> </v>
      </c>
      <c r="H346" s="32" t="str">
        <f>IFERROR((VLOOKUP(F346,'Planilha de Cadastro - Previsão'!$A$2:$N$1100,3,FALSE()))," ")</f>
        <v xml:space="preserve"> </v>
      </c>
      <c r="I346" s="34" t="str">
        <f>IFERROR((VLOOKUP(F346,'Planilha de Cadastro - Previsão'!$A$2:$N$1100,4,FALSE()))," ")</f>
        <v xml:space="preserve"> </v>
      </c>
      <c r="J346" s="34" t="str">
        <f>IFERROR((VLOOKUP(F346,'Planilha de Cadastro - Previsão'!$A$2:$N$1100,5,FALSE()))," ")</f>
        <v xml:space="preserve"> </v>
      </c>
      <c r="K346" s="36"/>
      <c r="L346" s="34" t="str">
        <f t="shared" si="24"/>
        <v/>
      </c>
      <c r="M346" s="35" t="str">
        <f t="shared" si="25"/>
        <v/>
      </c>
      <c r="N346" s="39"/>
      <c r="O346" s="36"/>
    </row>
    <row r="347" spans="1:15" x14ac:dyDescent="0.25">
      <c r="A347">
        <f>COUNTIF($C$2:C347,C347)</f>
        <v>346</v>
      </c>
      <c r="B347" s="1" t="str">
        <f t="shared" si="22"/>
        <v>346</v>
      </c>
      <c r="C347" s="1" t="str">
        <f>IFERROR(VLOOKUP(D347,'Planilha de Cadastro - Previsão'!$A$2:$O$1000,15,FALSE()),"")</f>
        <v/>
      </c>
      <c r="D347" s="1">
        <v>346</v>
      </c>
      <c r="F347" s="32" t="str">
        <f t="shared" si="23"/>
        <v/>
      </c>
      <c r="G347" s="33" t="str">
        <f>IFERROR((VLOOKUP(F347,'Planilha de Cadastro - Previsão'!$A$2:$N$1100,2,FALSE()))," ")</f>
        <v xml:space="preserve"> </v>
      </c>
      <c r="H347" s="32" t="str">
        <f>IFERROR((VLOOKUP(F347,'Planilha de Cadastro - Previsão'!$A$2:$N$1100,3,FALSE()))," ")</f>
        <v xml:space="preserve"> </v>
      </c>
      <c r="I347" s="34" t="str">
        <f>IFERROR((VLOOKUP(F347,'Planilha de Cadastro - Previsão'!$A$2:$N$1100,4,FALSE()))," ")</f>
        <v xml:space="preserve"> </v>
      </c>
      <c r="J347" s="34" t="str">
        <f>IFERROR((VLOOKUP(F347,'Planilha de Cadastro - Previsão'!$A$2:$N$1100,5,FALSE()))," ")</f>
        <v xml:space="preserve"> </v>
      </c>
      <c r="K347" s="36"/>
      <c r="L347" s="34" t="str">
        <f t="shared" si="24"/>
        <v/>
      </c>
      <c r="M347" s="35" t="str">
        <f t="shared" si="25"/>
        <v/>
      </c>
      <c r="N347" s="39"/>
      <c r="O347" s="36"/>
    </row>
    <row r="348" spans="1:15" x14ac:dyDescent="0.25">
      <c r="A348">
        <f>COUNTIF($C$2:C348,C348)</f>
        <v>347</v>
      </c>
      <c r="B348" s="1" t="str">
        <f t="shared" si="22"/>
        <v>347</v>
      </c>
      <c r="C348" s="1" t="str">
        <f>IFERROR(VLOOKUP(D348,'Planilha de Cadastro - Previsão'!$A$2:$O$1000,15,FALSE()),"")</f>
        <v/>
      </c>
      <c r="D348" s="1">
        <v>347</v>
      </c>
      <c r="F348" s="32" t="str">
        <f t="shared" si="23"/>
        <v/>
      </c>
      <c r="G348" s="33" t="str">
        <f>IFERROR((VLOOKUP(F348,'Planilha de Cadastro - Previsão'!$A$2:$N$1100,2,FALSE()))," ")</f>
        <v xml:space="preserve"> </v>
      </c>
      <c r="H348" s="32" t="str">
        <f>IFERROR((VLOOKUP(F348,'Planilha de Cadastro - Previsão'!$A$2:$N$1100,3,FALSE()))," ")</f>
        <v xml:space="preserve"> </v>
      </c>
      <c r="I348" s="34" t="str">
        <f>IFERROR((VLOOKUP(F348,'Planilha de Cadastro - Previsão'!$A$2:$N$1100,4,FALSE()))," ")</f>
        <v xml:space="preserve"> </v>
      </c>
      <c r="J348" s="34" t="str">
        <f>IFERROR((VLOOKUP(F348,'Planilha de Cadastro - Previsão'!$A$2:$N$1100,5,FALSE()))," ")</f>
        <v xml:space="preserve"> </v>
      </c>
      <c r="K348" s="36"/>
      <c r="L348" s="34" t="str">
        <f t="shared" si="24"/>
        <v/>
      </c>
      <c r="M348" s="35" t="str">
        <f t="shared" si="25"/>
        <v/>
      </c>
      <c r="N348" s="39"/>
      <c r="O348" s="36"/>
    </row>
    <row r="349" spans="1:15" x14ac:dyDescent="0.25">
      <c r="A349">
        <f>COUNTIF($C$2:C349,C349)</f>
        <v>348</v>
      </c>
      <c r="B349" s="1" t="str">
        <f t="shared" si="22"/>
        <v>348</v>
      </c>
      <c r="C349" s="1" t="str">
        <f>IFERROR(VLOOKUP(D349,'Planilha de Cadastro - Previsão'!$A$2:$O$1000,15,FALSE()),"")</f>
        <v/>
      </c>
      <c r="D349" s="1">
        <v>348</v>
      </c>
      <c r="F349" s="32" t="str">
        <f t="shared" si="23"/>
        <v/>
      </c>
      <c r="G349" s="33" t="str">
        <f>IFERROR((VLOOKUP(F349,'Planilha de Cadastro - Previsão'!$A$2:$N$1100,2,FALSE()))," ")</f>
        <v xml:space="preserve"> </v>
      </c>
      <c r="H349" s="32" t="str">
        <f>IFERROR((VLOOKUP(F349,'Planilha de Cadastro - Previsão'!$A$2:$N$1100,3,FALSE()))," ")</f>
        <v xml:space="preserve"> </v>
      </c>
      <c r="I349" s="34" t="str">
        <f>IFERROR((VLOOKUP(F349,'Planilha de Cadastro - Previsão'!$A$2:$N$1100,4,FALSE()))," ")</f>
        <v xml:space="preserve"> </v>
      </c>
      <c r="J349" s="34" t="str">
        <f>IFERROR((VLOOKUP(F349,'Planilha de Cadastro - Previsão'!$A$2:$N$1100,5,FALSE()))," ")</f>
        <v xml:space="preserve"> </v>
      </c>
      <c r="K349" s="36"/>
      <c r="L349" s="34" t="str">
        <f t="shared" si="24"/>
        <v/>
      </c>
      <c r="M349" s="35" t="str">
        <f t="shared" si="25"/>
        <v/>
      </c>
      <c r="N349" s="39"/>
      <c r="O349" s="36"/>
    </row>
    <row r="350" spans="1:15" x14ac:dyDescent="0.25">
      <c r="A350">
        <f>COUNTIF($C$2:C350,C350)</f>
        <v>349</v>
      </c>
      <c r="B350" s="1" t="str">
        <f t="shared" si="22"/>
        <v>349</v>
      </c>
      <c r="C350" s="1" t="str">
        <f>IFERROR(VLOOKUP(D350,'Planilha de Cadastro - Previsão'!$A$2:$O$1000,15,FALSE()),"")</f>
        <v/>
      </c>
      <c r="D350" s="1">
        <v>349</v>
      </c>
      <c r="F350" s="32" t="str">
        <f t="shared" si="23"/>
        <v/>
      </c>
      <c r="G350" s="33" t="str">
        <f>IFERROR((VLOOKUP(F350,'Planilha de Cadastro - Previsão'!$A$2:$N$1100,2,FALSE()))," ")</f>
        <v xml:space="preserve"> </v>
      </c>
      <c r="H350" s="32" t="str">
        <f>IFERROR((VLOOKUP(F350,'Planilha de Cadastro - Previsão'!$A$2:$N$1100,3,FALSE()))," ")</f>
        <v xml:space="preserve"> </v>
      </c>
      <c r="I350" s="34" t="str">
        <f>IFERROR((VLOOKUP(F350,'Planilha de Cadastro - Previsão'!$A$2:$N$1100,4,FALSE()))," ")</f>
        <v xml:space="preserve"> </v>
      </c>
      <c r="J350" s="34" t="str">
        <f>IFERROR((VLOOKUP(F350,'Planilha de Cadastro - Previsão'!$A$2:$N$1100,5,FALSE()))," ")</f>
        <v xml:space="preserve"> </v>
      </c>
      <c r="K350" s="36"/>
      <c r="L350" s="34" t="str">
        <f t="shared" si="24"/>
        <v/>
      </c>
      <c r="M350" s="35" t="str">
        <f t="shared" si="25"/>
        <v/>
      </c>
      <c r="N350" s="39"/>
      <c r="O350" s="36"/>
    </row>
    <row r="351" spans="1:15" x14ac:dyDescent="0.25">
      <c r="A351">
        <f>COUNTIF($C$2:C351,C351)</f>
        <v>350</v>
      </c>
      <c r="B351" s="1" t="str">
        <f t="shared" si="22"/>
        <v>350</v>
      </c>
      <c r="C351" s="1" t="str">
        <f>IFERROR(VLOOKUP(D351,'Planilha de Cadastro - Previsão'!$A$2:$O$1000,15,FALSE()),"")</f>
        <v/>
      </c>
      <c r="D351" s="1">
        <v>350</v>
      </c>
      <c r="F351" s="32" t="str">
        <f t="shared" si="23"/>
        <v/>
      </c>
      <c r="G351" s="33" t="str">
        <f>IFERROR((VLOOKUP(F351,'Planilha de Cadastro - Previsão'!$A$2:$N$1100,2,FALSE()))," ")</f>
        <v xml:space="preserve"> </v>
      </c>
      <c r="H351" s="32" t="str">
        <f>IFERROR((VLOOKUP(F351,'Planilha de Cadastro - Previsão'!$A$2:$N$1100,3,FALSE()))," ")</f>
        <v xml:space="preserve"> </v>
      </c>
      <c r="I351" s="34" t="str">
        <f>IFERROR((VLOOKUP(F351,'Planilha de Cadastro - Previsão'!$A$2:$N$1100,4,FALSE()))," ")</f>
        <v xml:space="preserve"> </v>
      </c>
      <c r="J351" s="34" t="str">
        <f>IFERROR((VLOOKUP(F351,'Planilha de Cadastro - Previsão'!$A$2:$N$1100,5,FALSE()))," ")</f>
        <v xml:space="preserve"> </v>
      </c>
      <c r="K351" s="36"/>
      <c r="L351" s="34" t="str">
        <f t="shared" si="24"/>
        <v/>
      </c>
      <c r="M351" s="35" t="str">
        <f t="shared" si="25"/>
        <v/>
      </c>
      <c r="N351" s="39"/>
      <c r="O351" s="36"/>
    </row>
    <row r="352" spans="1:15" x14ac:dyDescent="0.25">
      <c r="A352">
        <f>COUNTIF($C$2:C352,C352)</f>
        <v>351</v>
      </c>
      <c r="B352" s="1" t="str">
        <f t="shared" si="22"/>
        <v>351</v>
      </c>
      <c r="C352" s="1" t="str">
        <f>IFERROR(VLOOKUP(D352,'Planilha de Cadastro - Previsão'!$A$2:$O$1000,15,FALSE()),"")</f>
        <v/>
      </c>
      <c r="D352" s="1">
        <v>351</v>
      </c>
      <c r="F352" s="32" t="str">
        <f t="shared" si="23"/>
        <v/>
      </c>
      <c r="G352" s="33" t="str">
        <f>IFERROR((VLOOKUP(F352,'Planilha de Cadastro - Previsão'!$A$2:$N$1100,2,FALSE()))," ")</f>
        <v xml:space="preserve"> </v>
      </c>
      <c r="H352" s="32" t="str">
        <f>IFERROR((VLOOKUP(F352,'Planilha de Cadastro - Previsão'!$A$2:$N$1100,3,FALSE()))," ")</f>
        <v xml:space="preserve"> </v>
      </c>
      <c r="I352" s="34" t="str">
        <f>IFERROR((VLOOKUP(F352,'Planilha de Cadastro - Previsão'!$A$2:$N$1100,4,FALSE()))," ")</f>
        <v xml:space="preserve"> </v>
      </c>
      <c r="J352" s="34" t="str">
        <f>IFERROR((VLOOKUP(F352,'Planilha de Cadastro - Previsão'!$A$2:$N$1100,5,FALSE()))," ")</f>
        <v xml:space="preserve"> </v>
      </c>
      <c r="K352" s="36"/>
      <c r="L352" s="34" t="str">
        <f t="shared" si="24"/>
        <v/>
      </c>
      <c r="M352" s="35" t="str">
        <f t="shared" si="25"/>
        <v/>
      </c>
      <c r="N352" s="39"/>
      <c r="O352" s="36"/>
    </row>
    <row r="353" spans="1:15" x14ac:dyDescent="0.25">
      <c r="A353">
        <f>COUNTIF($C$2:C353,C353)</f>
        <v>352</v>
      </c>
      <c r="B353" s="1" t="str">
        <f t="shared" si="22"/>
        <v>352</v>
      </c>
      <c r="C353" s="1" t="str">
        <f>IFERROR(VLOOKUP(D353,'Planilha de Cadastro - Previsão'!$A$2:$O$1000,15,FALSE()),"")</f>
        <v/>
      </c>
      <c r="D353" s="1">
        <v>352</v>
      </c>
      <c r="F353" s="32" t="str">
        <f t="shared" si="23"/>
        <v/>
      </c>
      <c r="G353" s="33" t="str">
        <f>IFERROR((VLOOKUP(F353,'Planilha de Cadastro - Previsão'!$A$2:$N$1100,2,FALSE()))," ")</f>
        <v xml:space="preserve"> </v>
      </c>
      <c r="H353" s="32" t="str">
        <f>IFERROR((VLOOKUP(F353,'Planilha de Cadastro - Previsão'!$A$2:$N$1100,3,FALSE()))," ")</f>
        <v xml:space="preserve"> </v>
      </c>
      <c r="I353" s="34" t="str">
        <f>IFERROR((VLOOKUP(F353,'Planilha de Cadastro - Previsão'!$A$2:$N$1100,4,FALSE()))," ")</f>
        <v xml:space="preserve"> </v>
      </c>
      <c r="J353" s="34" t="str">
        <f>IFERROR((VLOOKUP(F353,'Planilha de Cadastro - Previsão'!$A$2:$N$1100,5,FALSE()))," ")</f>
        <v xml:space="preserve"> </v>
      </c>
      <c r="K353" s="36"/>
      <c r="L353" s="34" t="str">
        <f t="shared" si="24"/>
        <v/>
      </c>
      <c r="M353" s="35" t="str">
        <f t="shared" si="25"/>
        <v/>
      </c>
      <c r="N353" s="39"/>
      <c r="O353" s="36"/>
    </row>
    <row r="354" spans="1:15" x14ac:dyDescent="0.25">
      <c r="A354">
        <f>COUNTIF($C$2:C354,C354)</f>
        <v>353</v>
      </c>
      <c r="B354" s="1" t="str">
        <f t="shared" si="22"/>
        <v>353</v>
      </c>
      <c r="C354" s="1" t="str">
        <f>IFERROR(VLOOKUP(D354,'Planilha de Cadastro - Previsão'!$A$2:$O$1000,15,FALSE()),"")</f>
        <v/>
      </c>
      <c r="D354" s="1">
        <v>353</v>
      </c>
      <c r="F354" s="32" t="str">
        <f t="shared" si="23"/>
        <v/>
      </c>
      <c r="G354" s="33" t="str">
        <f>IFERROR((VLOOKUP(F354,'Planilha de Cadastro - Previsão'!$A$2:$N$1100,2,FALSE()))," ")</f>
        <v xml:space="preserve"> </v>
      </c>
      <c r="H354" s="32" t="str">
        <f>IFERROR((VLOOKUP(F354,'Planilha de Cadastro - Previsão'!$A$2:$N$1100,3,FALSE()))," ")</f>
        <v xml:space="preserve"> </v>
      </c>
      <c r="I354" s="34" t="str">
        <f>IFERROR((VLOOKUP(F354,'Planilha de Cadastro - Previsão'!$A$2:$N$1100,4,FALSE()))," ")</f>
        <v xml:space="preserve"> </v>
      </c>
      <c r="J354" s="34" t="str">
        <f>IFERROR((VLOOKUP(F354,'Planilha de Cadastro - Previsão'!$A$2:$N$1100,5,FALSE()))," ")</f>
        <v xml:space="preserve"> </v>
      </c>
      <c r="K354" s="36"/>
      <c r="L354" s="34" t="str">
        <f t="shared" si="24"/>
        <v/>
      </c>
      <c r="M354" s="35" t="str">
        <f t="shared" si="25"/>
        <v/>
      </c>
      <c r="N354" s="39"/>
      <c r="O354" s="36"/>
    </row>
    <row r="355" spans="1:15" x14ac:dyDescent="0.25">
      <c r="A355">
        <f>COUNTIF($C$2:C355,C355)</f>
        <v>354</v>
      </c>
      <c r="B355" s="1" t="str">
        <f t="shared" si="22"/>
        <v>354</v>
      </c>
      <c r="C355" s="1" t="str">
        <f>IFERROR(VLOOKUP(D355,'Planilha de Cadastro - Previsão'!$A$2:$O$1000,15,FALSE()),"")</f>
        <v/>
      </c>
      <c r="D355" s="1">
        <v>354</v>
      </c>
      <c r="F355" s="32" t="str">
        <f t="shared" si="23"/>
        <v/>
      </c>
      <c r="G355" s="33" t="str">
        <f>IFERROR((VLOOKUP(F355,'Planilha de Cadastro - Previsão'!$A$2:$N$1100,2,FALSE()))," ")</f>
        <v xml:space="preserve"> </v>
      </c>
      <c r="H355" s="32" t="str">
        <f>IFERROR((VLOOKUP(F355,'Planilha de Cadastro - Previsão'!$A$2:$N$1100,3,FALSE()))," ")</f>
        <v xml:space="preserve"> </v>
      </c>
      <c r="I355" s="34" t="str">
        <f>IFERROR((VLOOKUP(F355,'Planilha de Cadastro - Previsão'!$A$2:$N$1100,4,FALSE()))," ")</f>
        <v xml:space="preserve"> </v>
      </c>
      <c r="J355" s="34" t="str">
        <f>IFERROR((VLOOKUP(F355,'Planilha de Cadastro - Previsão'!$A$2:$N$1100,5,FALSE()))," ")</f>
        <v xml:space="preserve"> </v>
      </c>
      <c r="K355" s="36"/>
      <c r="L355" s="34" t="str">
        <f t="shared" si="24"/>
        <v/>
      </c>
      <c r="M355" s="35" t="str">
        <f t="shared" si="25"/>
        <v/>
      </c>
      <c r="N355" s="39"/>
      <c r="O355" s="36"/>
    </row>
    <row r="356" spans="1:15" x14ac:dyDescent="0.25">
      <c r="A356">
        <f>COUNTIF($C$2:C356,C356)</f>
        <v>355</v>
      </c>
      <c r="B356" s="1" t="str">
        <f t="shared" si="22"/>
        <v>355</v>
      </c>
      <c r="C356" s="1" t="str">
        <f>IFERROR(VLOOKUP(D356,'Planilha de Cadastro - Previsão'!$A$2:$O$1000,15,FALSE()),"")</f>
        <v/>
      </c>
      <c r="D356" s="1">
        <v>355</v>
      </c>
      <c r="F356" s="32" t="str">
        <f t="shared" si="23"/>
        <v/>
      </c>
      <c r="G356" s="33" t="str">
        <f>IFERROR((VLOOKUP(F356,'Planilha de Cadastro - Previsão'!$A$2:$N$1100,2,FALSE()))," ")</f>
        <v xml:space="preserve"> </v>
      </c>
      <c r="H356" s="32" t="str">
        <f>IFERROR((VLOOKUP(F356,'Planilha de Cadastro - Previsão'!$A$2:$N$1100,3,FALSE()))," ")</f>
        <v xml:space="preserve"> </v>
      </c>
      <c r="I356" s="34" t="str">
        <f>IFERROR((VLOOKUP(F356,'Planilha de Cadastro - Previsão'!$A$2:$N$1100,4,FALSE()))," ")</f>
        <v xml:space="preserve"> </v>
      </c>
      <c r="J356" s="34" t="str">
        <f>IFERROR((VLOOKUP(F356,'Planilha de Cadastro - Previsão'!$A$2:$N$1100,5,FALSE()))," ")</f>
        <v xml:space="preserve"> </v>
      </c>
      <c r="K356" s="36"/>
      <c r="L356" s="34" t="str">
        <f t="shared" si="24"/>
        <v/>
      </c>
      <c r="M356" s="35" t="str">
        <f t="shared" si="25"/>
        <v/>
      </c>
      <c r="N356" s="39"/>
      <c r="O356" s="36"/>
    </row>
    <row r="357" spans="1:15" x14ac:dyDescent="0.25">
      <c r="A357">
        <f>COUNTIF($C$2:C357,C357)</f>
        <v>356</v>
      </c>
      <c r="B357" s="1" t="str">
        <f t="shared" si="22"/>
        <v>356</v>
      </c>
      <c r="C357" s="1" t="str">
        <f>IFERROR(VLOOKUP(D357,'Planilha de Cadastro - Previsão'!$A$2:$O$1000,15,FALSE()),"")</f>
        <v/>
      </c>
      <c r="D357" s="1">
        <v>356</v>
      </c>
      <c r="F357" s="32" t="str">
        <f t="shared" si="23"/>
        <v/>
      </c>
      <c r="G357" s="33" t="str">
        <f>IFERROR((VLOOKUP(F357,'Planilha de Cadastro - Previsão'!$A$2:$N$1100,2,FALSE()))," ")</f>
        <v xml:space="preserve"> </v>
      </c>
      <c r="H357" s="32" t="str">
        <f>IFERROR((VLOOKUP(F357,'Planilha de Cadastro - Previsão'!$A$2:$N$1100,3,FALSE()))," ")</f>
        <v xml:space="preserve"> </v>
      </c>
      <c r="I357" s="34" t="str">
        <f>IFERROR((VLOOKUP(F357,'Planilha de Cadastro - Previsão'!$A$2:$N$1100,4,FALSE()))," ")</f>
        <v xml:space="preserve"> </v>
      </c>
      <c r="J357" s="34" t="str">
        <f>IFERROR((VLOOKUP(F357,'Planilha de Cadastro - Previsão'!$A$2:$N$1100,5,FALSE()))," ")</f>
        <v xml:space="preserve"> </v>
      </c>
      <c r="K357" s="36"/>
      <c r="L357" s="34" t="str">
        <f t="shared" si="24"/>
        <v/>
      </c>
      <c r="M357" s="35" t="str">
        <f t="shared" si="25"/>
        <v/>
      </c>
      <c r="N357" s="39"/>
      <c r="O357" s="36"/>
    </row>
    <row r="358" spans="1:15" x14ac:dyDescent="0.25">
      <c r="A358">
        <f>COUNTIF($C$2:C358,C358)</f>
        <v>357</v>
      </c>
      <c r="B358" s="1" t="str">
        <f t="shared" si="22"/>
        <v>357</v>
      </c>
      <c r="C358" s="1" t="str">
        <f>IFERROR(VLOOKUP(D358,'Planilha de Cadastro - Previsão'!$A$2:$O$1000,15,FALSE()),"")</f>
        <v/>
      </c>
      <c r="D358" s="1">
        <v>357</v>
      </c>
      <c r="F358" s="32" t="str">
        <f t="shared" si="23"/>
        <v/>
      </c>
      <c r="G358" s="33" t="str">
        <f>IFERROR((VLOOKUP(F358,'Planilha de Cadastro - Previsão'!$A$2:$N$1100,2,FALSE()))," ")</f>
        <v xml:space="preserve"> </v>
      </c>
      <c r="H358" s="32" t="str">
        <f>IFERROR((VLOOKUP(F358,'Planilha de Cadastro - Previsão'!$A$2:$N$1100,3,FALSE()))," ")</f>
        <v xml:space="preserve"> </v>
      </c>
      <c r="I358" s="34" t="str">
        <f>IFERROR((VLOOKUP(F358,'Planilha de Cadastro - Previsão'!$A$2:$N$1100,4,FALSE()))," ")</f>
        <v xml:space="preserve"> </v>
      </c>
      <c r="J358" s="34" t="str">
        <f>IFERROR((VLOOKUP(F358,'Planilha de Cadastro - Previsão'!$A$2:$N$1100,5,FALSE()))," ")</f>
        <v xml:space="preserve"> </v>
      </c>
      <c r="K358" s="36"/>
      <c r="L358" s="34" t="str">
        <f t="shared" si="24"/>
        <v/>
      </c>
      <c r="M358" s="35" t="str">
        <f t="shared" si="25"/>
        <v/>
      </c>
      <c r="N358" s="39"/>
      <c r="O358" s="36"/>
    </row>
    <row r="359" spans="1:15" x14ac:dyDescent="0.25">
      <c r="A359">
        <f>COUNTIF($C$2:C359,C359)</f>
        <v>358</v>
      </c>
      <c r="B359" s="1" t="str">
        <f t="shared" si="22"/>
        <v>358</v>
      </c>
      <c r="C359" s="1" t="str">
        <f>IFERROR(VLOOKUP(D359,'Planilha de Cadastro - Previsão'!$A$2:$O$1000,15,FALSE()),"")</f>
        <v/>
      </c>
      <c r="D359" s="1">
        <v>358</v>
      </c>
      <c r="F359" s="32" t="str">
        <f t="shared" si="23"/>
        <v/>
      </c>
      <c r="G359" s="33" t="str">
        <f>IFERROR((VLOOKUP(F359,'Planilha de Cadastro - Previsão'!$A$2:$N$1100,2,FALSE()))," ")</f>
        <v xml:space="preserve"> </v>
      </c>
      <c r="H359" s="32" t="str">
        <f>IFERROR((VLOOKUP(F359,'Planilha de Cadastro - Previsão'!$A$2:$N$1100,3,FALSE()))," ")</f>
        <v xml:space="preserve"> </v>
      </c>
      <c r="I359" s="34" t="str">
        <f>IFERROR((VLOOKUP(F359,'Planilha de Cadastro - Previsão'!$A$2:$N$1100,4,FALSE()))," ")</f>
        <v xml:space="preserve"> </v>
      </c>
      <c r="J359" s="34" t="str">
        <f>IFERROR((VLOOKUP(F359,'Planilha de Cadastro - Previsão'!$A$2:$N$1100,5,FALSE()))," ")</f>
        <v xml:space="preserve"> </v>
      </c>
      <c r="K359" s="36"/>
      <c r="L359" s="34" t="str">
        <f t="shared" si="24"/>
        <v/>
      </c>
      <c r="M359" s="35" t="str">
        <f t="shared" si="25"/>
        <v/>
      </c>
      <c r="N359" s="39"/>
      <c r="O359" s="36"/>
    </row>
    <row r="360" spans="1:15" x14ac:dyDescent="0.25">
      <c r="A360">
        <f>COUNTIF($C$2:C360,C360)</f>
        <v>359</v>
      </c>
      <c r="B360" s="1" t="str">
        <f t="shared" si="22"/>
        <v>359</v>
      </c>
      <c r="C360" s="1" t="str">
        <f>IFERROR(VLOOKUP(D360,'Planilha de Cadastro - Previsão'!$A$2:$O$1000,15,FALSE()),"")</f>
        <v/>
      </c>
      <c r="D360" s="1">
        <v>359</v>
      </c>
      <c r="F360" s="32" t="str">
        <f t="shared" si="23"/>
        <v/>
      </c>
      <c r="G360" s="33" t="str">
        <f>IFERROR((VLOOKUP(F360,'Planilha de Cadastro - Previsão'!$A$2:$N$1100,2,FALSE()))," ")</f>
        <v xml:space="preserve"> </v>
      </c>
      <c r="H360" s="32" t="str">
        <f>IFERROR((VLOOKUP(F360,'Planilha de Cadastro - Previsão'!$A$2:$N$1100,3,FALSE()))," ")</f>
        <v xml:space="preserve"> </v>
      </c>
      <c r="I360" s="34" t="str">
        <f>IFERROR((VLOOKUP(F360,'Planilha de Cadastro - Previsão'!$A$2:$N$1100,4,FALSE()))," ")</f>
        <v xml:space="preserve"> </v>
      </c>
      <c r="J360" s="34" t="str">
        <f>IFERROR((VLOOKUP(F360,'Planilha de Cadastro - Previsão'!$A$2:$N$1100,5,FALSE()))," ")</f>
        <v xml:space="preserve"> </v>
      </c>
      <c r="K360" s="36"/>
      <c r="L360" s="34" t="str">
        <f t="shared" si="24"/>
        <v/>
      </c>
      <c r="M360" s="35" t="str">
        <f t="shared" si="25"/>
        <v/>
      </c>
      <c r="N360" s="39"/>
      <c r="O360" s="36"/>
    </row>
    <row r="361" spans="1:15" x14ac:dyDescent="0.25">
      <c r="A361">
        <f>COUNTIF($C$2:C361,C361)</f>
        <v>360</v>
      </c>
      <c r="B361" s="1" t="str">
        <f t="shared" si="22"/>
        <v>360</v>
      </c>
      <c r="C361" s="1" t="str">
        <f>IFERROR(VLOOKUP(D361,'Planilha de Cadastro - Previsão'!$A$2:$O$1000,15,FALSE()),"")</f>
        <v/>
      </c>
      <c r="D361" s="1">
        <v>360</v>
      </c>
      <c r="F361" s="32" t="str">
        <f t="shared" si="23"/>
        <v/>
      </c>
      <c r="G361" s="33" t="str">
        <f>IFERROR((VLOOKUP(F361,'Planilha de Cadastro - Previsão'!$A$2:$N$1100,2,FALSE()))," ")</f>
        <v xml:space="preserve"> </v>
      </c>
      <c r="H361" s="32" t="str">
        <f>IFERROR((VLOOKUP(F361,'Planilha de Cadastro - Previsão'!$A$2:$N$1100,3,FALSE()))," ")</f>
        <v xml:space="preserve"> </v>
      </c>
      <c r="I361" s="34" t="str">
        <f>IFERROR((VLOOKUP(F361,'Planilha de Cadastro - Previsão'!$A$2:$N$1100,4,FALSE()))," ")</f>
        <v xml:space="preserve"> </v>
      </c>
      <c r="J361" s="34" t="str">
        <f>IFERROR((VLOOKUP(F361,'Planilha de Cadastro - Previsão'!$A$2:$N$1100,5,FALSE()))," ")</f>
        <v xml:space="preserve"> </v>
      </c>
      <c r="K361" s="36"/>
      <c r="L361" s="34" t="str">
        <f t="shared" si="24"/>
        <v/>
      </c>
      <c r="M361" s="35" t="str">
        <f t="shared" si="25"/>
        <v/>
      </c>
      <c r="N361" s="39"/>
      <c r="O361" s="36"/>
    </row>
    <row r="362" spans="1:15" x14ac:dyDescent="0.25">
      <c r="A362">
        <f>COUNTIF($C$2:C362,C362)</f>
        <v>361</v>
      </c>
      <c r="B362" s="1" t="str">
        <f t="shared" si="22"/>
        <v>361</v>
      </c>
      <c r="C362" s="1" t="str">
        <f>IFERROR(VLOOKUP(D362,'Planilha de Cadastro - Previsão'!$A$2:$O$1000,15,FALSE()),"")</f>
        <v/>
      </c>
      <c r="D362" s="1">
        <v>361</v>
      </c>
      <c r="F362" s="32" t="str">
        <f t="shared" si="23"/>
        <v/>
      </c>
      <c r="G362" s="33" t="str">
        <f>IFERROR((VLOOKUP(F362,'Planilha de Cadastro - Previsão'!$A$2:$N$1100,2,FALSE()))," ")</f>
        <v xml:space="preserve"> </v>
      </c>
      <c r="H362" s="32" t="str">
        <f>IFERROR((VLOOKUP(F362,'Planilha de Cadastro - Previsão'!$A$2:$N$1100,3,FALSE()))," ")</f>
        <v xml:space="preserve"> </v>
      </c>
      <c r="I362" s="34" t="str">
        <f>IFERROR((VLOOKUP(F362,'Planilha de Cadastro - Previsão'!$A$2:$N$1100,4,FALSE()))," ")</f>
        <v xml:space="preserve"> </v>
      </c>
      <c r="J362" s="34" t="str">
        <f>IFERROR((VLOOKUP(F362,'Planilha de Cadastro - Previsão'!$A$2:$N$1100,5,FALSE()))," ")</f>
        <v xml:space="preserve"> </v>
      </c>
      <c r="K362" s="36"/>
      <c r="L362" s="34" t="str">
        <f t="shared" si="24"/>
        <v/>
      </c>
      <c r="M362" s="35" t="str">
        <f t="shared" si="25"/>
        <v/>
      </c>
      <c r="N362" s="39"/>
      <c r="O362" s="36"/>
    </row>
    <row r="363" spans="1:15" x14ac:dyDescent="0.25">
      <c r="A363">
        <f>COUNTIF($C$2:C363,C363)</f>
        <v>362</v>
      </c>
      <c r="B363" s="1" t="str">
        <f t="shared" si="22"/>
        <v>362</v>
      </c>
      <c r="C363" s="1" t="str">
        <f>IFERROR(VLOOKUP(D363,'Planilha de Cadastro - Previsão'!$A$2:$O$1000,15,FALSE()),"")</f>
        <v/>
      </c>
      <c r="D363" s="1">
        <v>362</v>
      </c>
      <c r="F363" s="32" t="str">
        <f t="shared" si="23"/>
        <v/>
      </c>
      <c r="G363" s="33" t="str">
        <f>IFERROR((VLOOKUP(F363,'Planilha de Cadastro - Previsão'!$A$2:$N$1100,2,FALSE()))," ")</f>
        <v xml:space="preserve"> </v>
      </c>
      <c r="H363" s="32" t="str">
        <f>IFERROR((VLOOKUP(F363,'Planilha de Cadastro - Previsão'!$A$2:$N$1100,3,FALSE()))," ")</f>
        <v xml:space="preserve"> </v>
      </c>
      <c r="I363" s="34" t="str">
        <f>IFERROR((VLOOKUP(F363,'Planilha de Cadastro - Previsão'!$A$2:$N$1100,4,FALSE()))," ")</f>
        <v xml:space="preserve"> </v>
      </c>
      <c r="J363" s="34" t="str">
        <f>IFERROR((VLOOKUP(F363,'Planilha de Cadastro - Previsão'!$A$2:$N$1100,5,FALSE()))," ")</f>
        <v xml:space="preserve"> </v>
      </c>
      <c r="K363" s="36"/>
      <c r="L363" s="34" t="str">
        <f t="shared" si="24"/>
        <v/>
      </c>
      <c r="M363" s="35" t="str">
        <f t="shared" si="25"/>
        <v/>
      </c>
      <c r="N363" s="39"/>
      <c r="O363" s="36"/>
    </row>
    <row r="364" spans="1:15" x14ac:dyDescent="0.25">
      <c r="A364">
        <f>COUNTIF($C$2:C364,C364)</f>
        <v>363</v>
      </c>
      <c r="B364" s="1" t="str">
        <f t="shared" si="22"/>
        <v>363</v>
      </c>
      <c r="C364" s="1" t="str">
        <f>IFERROR(VLOOKUP(D364,'Planilha de Cadastro - Previsão'!$A$2:$O$1000,15,FALSE()),"")</f>
        <v/>
      </c>
      <c r="D364" s="1">
        <v>363</v>
      </c>
      <c r="F364" s="32" t="str">
        <f t="shared" si="23"/>
        <v/>
      </c>
      <c r="G364" s="33" t="str">
        <f>IFERROR((VLOOKUP(F364,'Planilha de Cadastro - Previsão'!$A$2:$N$1100,2,FALSE()))," ")</f>
        <v xml:space="preserve"> </v>
      </c>
      <c r="H364" s="32" t="str">
        <f>IFERROR((VLOOKUP(F364,'Planilha de Cadastro - Previsão'!$A$2:$N$1100,3,FALSE()))," ")</f>
        <v xml:space="preserve"> </v>
      </c>
      <c r="I364" s="34" t="str">
        <f>IFERROR((VLOOKUP(F364,'Planilha de Cadastro - Previsão'!$A$2:$N$1100,4,FALSE()))," ")</f>
        <v xml:space="preserve"> </v>
      </c>
      <c r="J364" s="34" t="str">
        <f>IFERROR((VLOOKUP(F364,'Planilha de Cadastro - Previsão'!$A$2:$N$1100,5,FALSE()))," ")</f>
        <v xml:space="preserve"> </v>
      </c>
      <c r="K364" s="36"/>
      <c r="L364" s="34" t="str">
        <f t="shared" si="24"/>
        <v/>
      </c>
      <c r="M364" s="35" t="str">
        <f t="shared" si="25"/>
        <v/>
      </c>
      <c r="N364" s="39"/>
      <c r="O364" s="36"/>
    </row>
    <row r="365" spans="1:15" x14ac:dyDescent="0.25">
      <c r="A365">
        <f>COUNTIF($C$2:C365,C365)</f>
        <v>364</v>
      </c>
      <c r="B365" s="1" t="str">
        <f t="shared" si="22"/>
        <v>364</v>
      </c>
      <c r="C365" s="1" t="str">
        <f>IFERROR(VLOOKUP(D365,'Planilha de Cadastro - Previsão'!$A$2:$O$1000,15,FALSE()),"")</f>
        <v/>
      </c>
      <c r="D365" s="1">
        <v>364</v>
      </c>
      <c r="F365" s="32" t="str">
        <f t="shared" si="23"/>
        <v/>
      </c>
      <c r="G365" s="33" t="str">
        <f>IFERROR((VLOOKUP(F365,'Planilha de Cadastro - Previsão'!$A$2:$N$1100,2,FALSE()))," ")</f>
        <v xml:space="preserve"> </v>
      </c>
      <c r="H365" s="32" t="str">
        <f>IFERROR((VLOOKUP(F365,'Planilha de Cadastro - Previsão'!$A$2:$N$1100,3,FALSE()))," ")</f>
        <v xml:space="preserve"> </v>
      </c>
      <c r="I365" s="34" t="str">
        <f>IFERROR((VLOOKUP(F365,'Planilha de Cadastro - Previsão'!$A$2:$N$1100,4,FALSE()))," ")</f>
        <v xml:space="preserve"> </v>
      </c>
      <c r="J365" s="34" t="str">
        <f>IFERROR((VLOOKUP(F365,'Planilha de Cadastro - Previsão'!$A$2:$N$1100,5,FALSE()))," ")</f>
        <v xml:space="preserve"> </v>
      </c>
      <c r="K365" s="36"/>
      <c r="L365" s="34" t="str">
        <f t="shared" si="24"/>
        <v/>
      </c>
      <c r="M365" s="35" t="str">
        <f t="shared" si="25"/>
        <v/>
      </c>
      <c r="N365" s="39"/>
      <c r="O365" s="36"/>
    </row>
    <row r="366" spans="1:15" x14ac:dyDescent="0.25">
      <c r="A366">
        <f>COUNTIF($C$2:C366,C366)</f>
        <v>365</v>
      </c>
      <c r="B366" s="1" t="str">
        <f t="shared" si="22"/>
        <v>365</v>
      </c>
      <c r="C366" s="1" t="str">
        <f>IFERROR(VLOOKUP(D366,'Planilha de Cadastro - Previsão'!$A$2:$O$1000,15,FALSE()),"")</f>
        <v/>
      </c>
      <c r="D366" s="1">
        <v>365</v>
      </c>
      <c r="F366" s="32" t="str">
        <f t="shared" si="23"/>
        <v/>
      </c>
      <c r="G366" s="33" t="str">
        <f>IFERROR((VLOOKUP(F366,'Planilha de Cadastro - Previsão'!$A$2:$N$1100,2,FALSE()))," ")</f>
        <v xml:space="preserve"> </v>
      </c>
      <c r="H366" s="32" t="str">
        <f>IFERROR((VLOOKUP(F366,'Planilha de Cadastro - Previsão'!$A$2:$N$1100,3,FALSE()))," ")</f>
        <v xml:space="preserve"> </v>
      </c>
      <c r="I366" s="34" t="str">
        <f>IFERROR((VLOOKUP(F366,'Planilha de Cadastro - Previsão'!$A$2:$N$1100,4,FALSE()))," ")</f>
        <v xml:space="preserve"> </v>
      </c>
      <c r="J366" s="34" t="str">
        <f>IFERROR((VLOOKUP(F366,'Planilha de Cadastro - Previsão'!$A$2:$N$1100,5,FALSE()))," ")</f>
        <v xml:space="preserve"> </v>
      </c>
      <c r="K366" s="36"/>
      <c r="L366" s="34" t="str">
        <f t="shared" si="24"/>
        <v/>
      </c>
      <c r="M366" s="35" t="str">
        <f t="shared" si="25"/>
        <v/>
      </c>
      <c r="N366" s="39"/>
      <c r="O366" s="36"/>
    </row>
    <row r="367" spans="1:15" x14ac:dyDescent="0.25">
      <c r="A367">
        <f>COUNTIF($C$2:C367,C367)</f>
        <v>366</v>
      </c>
      <c r="B367" s="1" t="str">
        <f t="shared" si="22"/>
        <v>366</v>
      </c>
      <c r="C367" s="1" t="str">
        <f>IFERROR(VLOOKUP(D367,'Planilha de Cadastro - Previsão'!$A$2:$O$1000,15,FALSE()),"")</f>
        <v/>
      </c>
      <c r="D367" s="1">
        <v>366</v>
      </c>
      <c r="F367" s="32" t="str">
        <f t="shared" si="23"/>
        <v/>
      </c>
      <c r="G367" s="33" t="str">
        <f>IFERROR((VLOOKUP(F367,'Planilha de Cadastro - Previsão'!$A$2:$N$1100,2,FALSE()))," ")</f>
        <v xml:space="preserve"> </v>
      </c>
      <c r="H367" s="32" t="str">
        <f>IFERROR((VLOOKUP(F367,'Planilha de Cadastro - Previsão'!$A$2:$N$1100,3,FALSE()))," ")</f>
        <v xml:space="preserve"> </v>
      </c>
      <c r="I367" s="34" t="str">
        <f>IFERROR((VLOOKUP(F367,'Planilha de Cadastro - Previsão'!$A$2:$N$1100,4,FALSE()))," ")</f>
        <v xml:space="preserve"> </v>
      </c>
      <c r="J367" s="34" t="str">
        <f>IFERROR((VLOOKUP(F367,'Planilha de Cadastro - Previsão'!$A$2:$N$1100,5,FALSE()))," ")</f>
        <v xml:space="preserve"> </v>
      </c>
      <c r="K367" s="36"/>
      <c r="L367" s="34" t="str">
        <f t="shared" si="24"/>
        <v/>
      </c>
      <c r="M367" s="35" t="str">
        <f t="shared" si="25"/>
        <v/>
      </c>
      <c r="N367" s="39"/>
      <c r="O367" s="36"/>
    </row>
    <row r="368" spans="1:15" x14ac:dyDescent="0.25">
      <c r="A368">
        <f>COUNTIF($C$2:C368,C368)</f>
        <v>367</v>
      </c>
      <c r="B368" s="1" t="str">
        <f t="shared" si="22"/>
        <v>367</v>
      </c>
      <c r="C368" s="1" t="str">
        <f>IFERROR(VLOOKUP(D368,'Planilha de Cadastro - Previsão'!$A$2:$O$1000,15,FALSE()),"")</f>
        <v/>
      </c>
      <c r="D368" s="1">
        <v>367</v>
      </c>
      <c r="F368" s="32" t="str">
        <f t="shared" si="23"/>
        <v/>
      </c>
      <c r="G368" s="33" t="str">
        <f>IFERROR((VLOOKUP(F368,'Planilha de Cadastro - Previsão'!$A$2:$N$1100,2,FALSE()))," ")</f>
        <v xml:space="preserve"> </v>
      </c>
      <c r="H368" s="32" t="str">
        <f>IFERROR((VLOOKUP(F368,'Planilha de Cadastro - Previsão'!$A$2:$N$1100,3,FALSE()))," ")</f>
        <v xml:space="preserve"> </v>
      </c>
      <c r="I368" s="34" t="str">
        <f>IFERROR((VLOOKUP(F368,'Planilha de Cadastro - Previsão'!$A$2:$N$1100,4,FALSE()))," ")</f>
        <v xml:space="preserve"> </v>
      </c>
      <c r="J368" s="34" t="str">
        <f>IFERROR((VLOOKUP(F368,'Planilha de Cadastro - Previsão'!$A$2:$N$1100,5,FALSE()))," ")</f>
        <v xml:space="preserve"> </v>
      </c>
      <c r="K368" s="36"/>
      <c r="L368" s="34" t="str">
        <f t="shared" si="24"/>
        <v/>
      </c>
      <c r="M368" s="35" t="str">
        <f t="shared" si="25"/>
        <v/>
      </c>
      <c r="N368" s="39"/>
      <c r="O368" s="36"/>
    </row>
    <row r="369" spans="1:15" x14ac:dyDescent="0.25">
      <c r="A369">
        <f>COUNTIF($C$2:C369,C369)</f>
        <v>368</v>
      </c>
      <c r="B369" s="1" t="str">
        <f t="shared" si="22"/>
        <v>368</v>
      </c>
      <c r="C369" s="1" t="str">
        <f>IFERROR(VLOOKUP(D369,'Planilha de Cadastro - Previsão'!$A$2:$O$1000,15,FALSE()),"")</f>
        <v/>
      </c>
      <c r="D369" s="1">
        <v>368</v>
      </c>
      <c r="F369" s="32" t="str">
        <f t="shared" si="23"/>
        <v/>
      </c>
      <c r="G369" s="33" t="str">
        <f>IFERROR((VLOOKUP(F369,'Planilha de Cadastro - Previsão'!$A$2:$N$1100,2,FALSE()))," ")</f>
        <v xml:space="preserve"> </v>
      </c>
      <c r="H369" s="32" t="str">
        <f>IFERROR((VLOOKUP(F369,'Planilha de Cadastro - Previsão'!$A$2:$N$1100,3,FALSE()))," ")</f>
        <v xml:space="preserve"> </v>
      </c>
      <c r="I369" s="34" t="str">
        <f>IFERROR((VLOOKUP(F369,'Planilha de Cadastro - Previsão'!$A$2:$N$1100,4,FALSE()))," ")</f>
        <v xml:space="preserve"> </v>
      </c>
      <c r="J369" s="34" t="str">
        <f>IFERROR((VLOOKUP(F369,'Planilha de Cadastro - Previsão'!$A$2:$N$1100,5,FALSE()))," ")</f>
        <v xml:space="preserve"> </v>
      </c>
      <c r="K369" s="36"/>
      <c r="L369" s="34" t="str">
        <f t="shared" si="24"/>
        <v/>
      </c>
      <c r="M369" s="35" t="str">
        <f t="shared" si="25"/>
        <v/>
      </c>
      <c r="N369" s="39"/>
      <c r="O369" s="36"/>
    </row>
    <row r="370" spans="1:15" x14ac:dyDescent="0.25">
      <c r="A370">
        <f>COUNTIF($C$2:C370,C370)</f>
        <v>369</v>
      </c>
      <c r="B370" s="1" t="str">
        <f t="shared" si="22"/>
        <v>369</v>
      </c>
      <c r="C370" s="1" t="str">
        <f>IFERROR(VLOOKUP(D370,'Planilha de Cadastro - Previsão'!$A$2:$O$1000,15,FALSE()),"")</f>
        <v/>
      </c>
      <c r="D370" s="1">
        <v>369</v>
      </c>
      <c r="F370" s="32" t="str">
        <f t="shared" si="23"/>
        <v/>
      </c>
      <c r="G370" s="33" t="str">
        <f>IFERROR((VLOOKUP(F370,'Planilha de Cadastro - Previsão'!$A$2:$N$1100,2,FALSE()))," ")</f>
        <v xml:space="preserve"> </v>
      </c>
      <c r="H370" s="32" t="str">
        <f>IFERROR((VLOOKUP(F370,'Planilha de Cadastro - Previsão'!$A$2:$N$1100,3,FALSE()))," ")</f>
        <v xml:space="preserve"> </v>
      </c>
      <c r="I370" s="34" t="str">
        <f>IFERROR((VLOOKUP(F370,'Planilha de Cadastro - Previsão'!$A$2:$N$1100,4,FALSE()))," ")</f>
        <v xml:space="preserve"> </v>
      </c>
      <c r="J370" s="34" t="str">
        <f>IFERROR((VLOOKUP(F370,'Planilha de Cadastro - Previsão'!$A$2:$N$1100,5,FALSE()))," ")</f>
        <v xml:space="preserve"> </v>
      </c>
      <c r="K370" s="36"/>
      <c r="L370" s="34" t="str">
        <f t="shared" si="24"/>
        <v/>
      </c>
      <c r="M370" s="35" t="str">
        <f t="shared" si="25"/>
        <v/>
      </c>
      <c r="N370" s="39"/>
      <c r="O370" s="36"/>
    </row>
    <row r="371" spans="1:15" x14ac:dyDescent="0.25">
      <c r="A371">
        <f>COUNTIF($C$2:C371,C371)</f>
        <v>370</v>
      </c>
      <c r="B371" s="1" t="str">
        <f t="shared" si="22"/>
        <v>370</v>
      </c>
      <c r="C371" s="1" t="str">
        <f>IFERROR(VLOOKUP(D371,'Planilha de Cadastro - Previsão'!$A$2:$O$1000,15,FALSE()),"")</f>
        <v/>
      </c>
      <c r="D371" s="1">
        <v>370</v>
      </c>
      <c r="F371" s="32" t="str">
        <f t="shared" si="23"/>
        <v/>
      </c>
      <c r="G371" s="33" t="str">
        <f>IFERROR((VLOOKUP(F371,'Planilha de Cadastro - Previsão'!$A$2:$N$1100,2,FALSE()))," ")</f>
        <v xml:space="preserve"> </v>
      </c>
      <c r="H371" s="32" t="str">
        <f>IFERROR((VLOOKUP(F371,'Planilha de Cadastro - Previsão'!$A$2:$N$1100,3,FALSE()))," ")</f>
        <v xml:space="preserve"> </v>
      </c>
      <c r="I371" s="34" t="str">
        <f>IFERROR((VLOOKUP(F371,'Planilha de Cadastro - Previsão'!$A$2:$N$1100,4,FALSE()))," ")</f>
        <v xml:space="preserve"> </v>
      </c>
      <c r="J371" s="34" t="str">
        <f>IFERROR((VLOOKUP(F371,'Planilha de Cadastro - Previsão'!$A$2:$N$1100,5,FALSE()))," ")</f>
        <v xml:space="preserve"> </v>
      </c>
      <c r="K371" s="36"/>
      <c r="L371" s="34" t="str">
        <f t="shared" si="24"/>
        <v/>
      </c>
      <c r="M371" s="35" t="str">
        <f t="shared" si="25"/>
        <v/>
      </c>
      <c r="N371" s="39"/>
      <c r="O371" s="36"/>
    </row>
    <row r="372" spans="1:15" x14ac:dyDescent="0.25">
      <c r="A372">
        <f>COUNTIF($C$2:C372,C372)</f>
        <v>371</v>
      </c>
      <c r="B372" s="1" t="str">
        <f t="shared" si="22"/>
        <v>371</v>
      </c>
      <c r="C372" s="1" t="str">
        <f>IFERROR(VLOOKUP(D372,'Planilha de Cadastro - Previsão'!$A$2:$O$1000,15,FALSE()),"")</f>
        <v/>
      </c>
      <c r="D372" s="1">
        <v>371</v>
      </c>
      <c r="F372" s="32" t="str">
        <f t="shared" si="23"/>
        <v/>
      </c>
      <c r="G372" s="33" t="str">
        <f>IFERROR((VLOOKUP(F372,'Planilha de Cadastro - Previsão'!$A$2:$N$1100,2,FALSE()))," ")</f>
        <v xml:space="preserve"> </v>
      </c>
      <c r="H372" s="32" t="str">
        <f>IFERROR((VLOOKUP(F372,'Planilha de Cadastro - Previsão'!$A$2:$N$1100,3,FALSE()))," ")</f>
        <v xml:space="preserve"> </v>
      </c>
      <c r="I372" s="34" t="str">
        <f>IFERROR((VLOOKUP(F372,'Planilha de Cadastro - Previsão'!$A$2:$N$1100,4,FALSE()))," ")</f>
        <v xml:space="preserve"> </v>
      </c>
      <c r="J372" s="34" t="str">
        <f>IFERROR((VLOOKUP(F372,'Planilha de Cadastro - Previsão'!$A$2:$N$1100,5,FALSE()))," ")</f>
        <v xml:space="preserve"> </v>
      </c>
      <c r="K372" s="36"/>
      <c r="L372" s="34" t="str">
        <f t="shared" si="24"/>
        <v/>
      </c>
      <c r="M372" s="35" t="str">
        <f t="shared" si="25"/>
        <v/>
      </c>
      <c r="N372" s="39"/>
      <c r="O372" s="36"/>
    </row>
    <row r="373" spans="1:15" x14ac:dyDescent="0.25">
      <c r="A373">
        <f>COUNTIF($C$2:C373,C373)</f>
        <v>372</v>
      </c>
      <c r="B373" s="1" t="str">
        <f t="shared" si="22"/>
        <v>372</v>
      </c>
      <c r="C373" s="1" t="str">
        <f>IFERROR(VLOOKUP(D373,'Planilha de Cadastro - Previsão'!$A$2:$O$1000,15,FALSE()),"")</f>
        <v/>
      </c>
      <c r="D373" s="1">
        <v>372</v>
      </c>
      <c r="F373" s="32" t="str">
        <f t="shared" si="23"/>
        <v/>
      </c>
      <c r="G373" s="33" t="str">
        <f>IFERROR((VLOOKUP(F373,'Planilha de Cadastro - Previsão'!$A$2:$N$1100,2,FALSE()))," ")</f>
        <v xml:space="preserve"> </v>
      </c>
      <c r="H373" s="32" t="str">
        <f>IFERROR((VLOOKUP(F373,'Planilha de Cadastro - Previsão'!$A$2:$N$1100,3,FALSE()))," ")</f>
        <v xml:space="preserve"> </v>
      </c>
      <c r="I373" s="34" t="str">
        <f>IFERROR((VLOOKUP(F373,'Planilha de Cadastro - Previsão'!$A$2:$N$1100,4,FALSE()))," ")</f>
        <v xml:space="preserve"> </v>
      </c>
      <c r="J373" s="34" t="str">
        <f>IFERROR((VLOOKUP(F373,'Planilha de Cadastro - Previsão'!$A$2:$N$1100,5,FALSE()))," ")</f>
        <v xml:space="preserve"> </v>
      </c>
      <c r="K373" s="36"/>
      <c r="L373" s="34" t="str">
        <f t="shared" si="24"/>
        <v/>
      </c>
      <c r="M373" s="35" t="str">
        <f t="shared" si="25"/>
        <v/>
      </c>
      <c r="N373" s="39"/>
      <c r="O373" s="36"/>
    </row>
    <row r="374" spans="1:15" x14ac:dyDescent="0.25">
      <c r="A374">
        <f>COUNTIF($C$2:C374,C374)</f>
        <v>373</v>
      </c>
      <c r="B374" s="1" t="str">
        <f t="shared" si="22"/>
        <v>373</v>
      </c>
      <c r="C374" s="1" t="str">
        <f>IFERROR(VLOOKUP(D374,'Planilha de Cadastro - Previsão'!$A$2:$O$1000,15,FALSE()),"")</f>
        <v/>
      </c>
      <c r="D374" s="1">
        <v>373</v>
      </c>
      <c r="F374" s="32" t="str">
        <f t="shared" si="23"/>
        <v/>
      </c>
      <c r="G374" s="33" t="str">
        <f>IFERROR((VLOOKUP(F374,'Planilha de Cadastro - Previsão'!$A$2:$N$1100,2,FALSE()))," ")</f>
        <v xml:space="preserve"> </v>
      </c>
      <c r="H374" s="32" t="str">
        <f>IFERROR((VLOOKUP(F374,'Planilha de Cadastro - Previsão'!$A$2:$N$1100,3,FALSE()))," ")</f>
        <v xml:space="preserve"> </v>
      </c>
      <c r="I374" s="34" t="str">
        <f>IFERROR((VLOOKUP(F374,'Planilha de Cadastro - Previsão'!$A$2:$N$1100,4,FALSE()))," ")</f>
        <v xml:space="preserve"> </v>
      </c>
      <c r="J374" s="34" t="str">
        <f>IFERROR((VLOOKUP(F374,'Planilha de Cadastro - Previsão'!$A$2:$N$1100,5,FALSE()))," ")</f>
        <v xml:space="preserve"> </v>
      </c>
      <c r="K374" s="36"/>
      <c r="L374" s="34" t="str">
        <f t="shared" si="24"/>
        <v/>
      </c>
      <c r="M374" s="35" t="str">
        <f t="shared" si="25"/>
        <v/>
      </c>
      <c r="N374" s="39"/>
      <c r="O374" s="36"/>
    </row>
    <row r="375" spans="1:15" x14ac:dyDescent="0.25">
      <c r="A375">
        <f>COUNTIF($C$2:C375,C375)</f>
        <v>374</v>
      </c>
      <c r="B375" s="1" t="str">
        <f t="shared" si="22"/>
        <v>374</v>
      </c>
      <c r="C375" s="1" t="str">
        <f>IFERROR(VLOOKUP(D375,'Planilha de Cadastro - Previsão'!$A$2:$O$1000,15,FALSE()),"")</f>
        <v/>
      </c>
      <c r="D375" s="1">
        <v>374</v>
      </c>
      <c r="F375" s="32" t="str">
        <f t="shared" si="23"/>
        <v/>
      </c>
      <c r="G375" s="33" t="str">
        <f>IFERROR((VLOOKUP(F375,'Planilha de Cadastro - Previsão'!$A$2:$N$1100,2,FALSE()))," ")</f>
        <v xml:space="preserve"> </v>
      </c>
      <c r="H375" s="32" t="str">
        <f>IFERROR((VLOOKUP(F375,'Planilha de Cadastro - Previsão'!$A$2:$N$1100,3,FALSE()))," ")</f>
        <v xml:space="preserve"> </v>
      </c>
      <c r="I375" s="34" t="str">
        <f>IFERROR((VLOOKUP(F375,'Planilha de Cadastro - Previsão'!$A$2:$N$1100,4,FALSE()))," ")</f>
        <v xml:space="preserve"> </v>
      </c>
      <c r="J375" s="34" t="str">
        <f>IFERROR((VLOOKUP(F375,'Planilha de Cadastro - Previsão'!$A$2:$N$1100,5,FALSE()))," ")</f>
        <v xml:space="preserve"> </v>
      </c>
      <c r="K375" s="36"/>
      <c r="L375" s="34" t="str">
        <f t="shared" si="24"/>
        <v/>
      </c>
      <c r="M375" s="35" t="str">
        <f t="shared" si="25"/>
        <v/>
      </c>
      <c r="N375" s="39"/>
      <c r="O375" s="36"/>
    </row>
    <row r="376" spans="1:15" x14ac:dyDescent="0.25">
      <c r="A376">
        <f>COUNTIF($C$2:C376,C376)</f>
        <v>375</v>
      </c>
      <c r="B376" s="1" t="str">
        <f t="shared" si="22"/>
        <v>375</v>
      </c>
      <c r="C376" s="1" t="str">
        <f>IFERROR(VLOOKUP(D376,'Planilha de Cadastro - Previsão'!$A$2:$O$1000,15,FALSE()),"")</f>
        <v/>
      </c>
      <c r="D376" s="1">
        <v>375</v>
      </c>
      <c r="F376" s="32" t="str">
        <f t="shared" si="23"/>
        <v/>
      </c>
      <c r="G376" s="33" t="str">
        <f>IFERROR((VLOOKUP(F376,'Planilha de Cadastro - Previsão'!$A$2:$N$1100,2,FALSE()))," ")</f>
        <v xml:space="preserve"> </v>
      </c>
      <c r="H376" s="32" t="str">
        <f>IFERROR((VLOOKUP(F376,'Planilha de Cadastro - Previsão'!$A$2:$N$1100,3,FALSE()))," ")</f>
        <v xml:space="preserve"> </v>
      </c>
      <c r="I376" s="34" t="str">
        <f>IFERROR((VLOOKUP(F376,'Planilha de Cadastro - Previsão'!$A$2:$N$1100,4,FALSE()))," ")</f>
        <v xml:space="preserve"> </v>
      </c>
      <c r="J376" s="34" t="str">
        <f>IFERROR((VLOOKUP(F376,'Planilha de Cadastro - Previsão'!$A$2:$N$1100,5,FALSE()))," ")</f>
        <v xml:space="preserve"> </v>
      </c>
      <c r="K376" s="36"/>
      <c r="L376" s="34" t="str">
        <f t="shared" si="24"/>
        <v/>
      </c>
      <c r="M376" s="35" t="str">
        <f t="shared" si="25"/>
        <v/>
      </c>
      <c r="N376" s="39"/>
      <c r="O376" s="36"/>
    </row>
    <row r="377" spans="1:15" x14ac:dyDescent="0.25">
      <c r="A377">
        <f>COUNTIF($C$2:C377,C377)</f>
        <v>376</v>
      </c>
      <c r="B377" s="1" t="str">
        <f t="shared" si="22"/>
        <v>376</v>
      </c>
      <c r="C377" s="1" t="str">
        <f>IFERROR(VLOOKUP(D377,'Planilha de Cadastro - Previsão'!$A$2:$O$1000,15,FALSE()),"")</f>
        <v/>
      </c>
      <c r="D377" s="1">
        <v>376</v>
      </c>
      <c r="F377" s="32" t="str">
        <f t="shared" si="23"/>
        <v/>
      </c>
      <c r="G377" s="33" t="str">
        <f>IFERROR((VLOOKUP(F377,'Planilha de Cadastro - Previsão'!$A$2:$N$1100,2,FALSE()))," ")</f>
        <v xml:space="preserve"> </v>
      </c>
      <c r="H377" s="32" t="str">
        <f>IFERROR((VLOOKUP(F377,'Planilha de Cadastro - Previsão'!$A$2:$N$1100,3,FALSE()))," ")</f>
        <v xml:space="preserve"> </v>
      </c>
      <c r="I377" s="34" t="str">
        <f>IFERROR((VLOOKUP(F377,'Planilha de Cadastro - Previsão'!$A$2:$N$1100,4,FALSE()))," ")</f>
        <v xml:space="preserve"> </v>
      </c>
      <c r="J377" s="34" t="str">
        <f>IFERROR((VLOOKUP(F377,'Planilha de Cadastro - Previsão'!$A$2:$N$1100,5,FALSE()))," ")</f>
        <v xml:space="preserve"> </v>
      </c>
      <c r="K377" s="36"/>
      <c r="L377" s="34" t="str">
        <f t="shared" si="24"/>
        <v/>
      </c>
      <c r="M377" s="35" t="str">
        <f t="shared" si="25"/>
        <v/>
      </c>
      <c r="N377" s="39"/>
      <c r="O377" s="36"/>
    </row>
    <row r="378" spans="1:15" x14ac:dyDescent="0.25">
      <c r="A378">
        <f>COUNTIF($C$2:C378,C378)</f>
        <v>377</v>
      </c>
      <c r="B378" s="1" t="str">
        <f t="shared" si="22"/>
        <v>377</v>
      </c>
      <c r="C378" s="1" t="str">
        <f>IFERROR(VLOOKUP(D378,'Planilha de Cadastro - Previsão'!$A$2:$O$1000,15,FALSE()),"")</f>
        <v/>
      </c>
      <c r="D378" s="1">
        <v>377</v>
      </c>
      <c r="F378" s="32" t="str">
        <f t="shared" si="23"/>
        <v/>
      </c>
      <c r="G378" s="33" t="str">
        <f>IFERROR((VLOOKUP(F378,'Planilha de Cadastro - Previsão'!$A$2:$N$1100,2,FALSE()))," ")</f>
        <v xml:space="preserve"> </v>
      </c>
      <c r="H378" s="32" t="str">
        <f>IFERROR((VLOOKUP(F378,'Planilha de Cadastro - Previsão'!$A$2:$N$1100,3,FALSE()))," ")</f>
        <v xml:space="preserve"> </v>
      </c>
      <c r="I378" s="34" t="str">
        <f>IFERROR((VLOOKUP(F378,'Planilha de Cadastro - Previsão'!$A$2:$N$1100,4,FALSE()))," ")</f>
        <v xml:space="preserve"> </v>
      </c>
      <c r="J378" s="34" t="str">
        <f>IFERROR((VLOOKUP(F378,'Planilha de Cadastro - Previsão'!$A$2:$N$1100,5,FALSE()))," ")</f>
        <v xml:space="preserve"> </v>
      </c>
      <c r="K378" s="36"/>
      <c r="L378" s="34" t="str">
        <f t="shared" si="24"/>
        <v/>
      </c>
      <c r="M378" s="35" t="str">
        <f t="shared" si="25"/>
        <v/>
      </c>
      <c r="N378" s="39"/>
      <c r="O378" s="36"/>
    </row>
    <row r="379" spans="1:15" x14ac:dyDescent="0.25">
      <c r="A379">
        <f>COUNTIF($C$2:C379,C379)</f>
        <v>378</v>
      </c>
      <c r="B379" s="1" t="str">
        <f t="shared" si="22"/>
        <v>378</v>
      </c>
      <c r="C379" s="1" t="str">
        <f>IFERROR(VLOOKUP(D379,'Planilha de Cadastro - Previsão'!$A$2:$O$1000,15,FALSE()),"")</f>
        <v/>
      </c>
      <c r="D379" s="1">
        <v>378</v>
      </c>
      <c r="F379" s="32" t="str">
        <f t="shared" si="23"/>
        <v/>
      </c>
      <c r="G379" s="33" t="str">
        <f>IFERROR((VLOOKUP(F379,'Planilha de Cadastro - Previsão'!$A$2:$N$1100,2,FALSE()))," ")</f>
        <v xml:space="preserve"> </v>
      </c>
      <c r="H379" s="32" t="str">
        <f>IFERROR((VLOOKUP(F379,'Planilha de Cadastro - Previsão'!$A$2:$N$1100,3,FALSE()))," ")</f>
        <v xml:space="preserve"> </v>
      </c>
      <c r="I379" s="34" t="str">
        <f>IFERROR((VLOOKUP(F379,'Planilha de Cadastro - Previsão'!$A$2:$N$1100,4,FALSE()))," ")</f>
        <v xml:space="preserve"> </v>
      </c>
      <c r="J379" s="34" t="str">
        <f>IFERROR((VLOOKUP(F379,'Planilha de Cadastro - Previsão'!$A$2:$N$1100,5,FALSE()))," ")</f>
        <v xml:space="preserve"> </v>
      </c>
      <c r="K379" s="36"/>
      <c r="L379" s="34" t="str">
        <f t="shared" si="24"/>
        <v/>
      </c>
      <c r="M379" s="35" t="str">
        <f t="shared" si="25"/>
        <v/>
      </c>
      <c r="N379" s="39"/>
      <c r="O379" s="36"/>
    </row>
    <row r="380" spans="1:15" x14ac:dyDescent="0.25">
      <c r="A380">
        <f>COUNTIF($C$2:C380,C380)</f>
        <v>379</v>
      </c>
      <c r="B380" s="1" t="str">
        <f t="shared" si="22"/>
        <v>379</v>
      </c>
      <c r="C380" s="1" t="str">
        <f>IFERROR(VLOOKUP(D380,'Planilha de Cadastro - Previsão'!$A$2:$O$1000,15,FALSE()),"")</f>
        <v/>
      </c>
      <c r="D380" s="1">
        <v>379</v>
      </c>
      <c r="F380" s="32" t="str">
        <f t="shared" si="23"/>
        <v/>
      </c>
      <c r="G380" s="33" t="str">
        <f>IFERROR((VLOOKUP(F380,'Planilha de Cadastro - Previsão'!$A$2:$N$1100,2,FALSE()))," ")</f>
        <v xml:space="preserve"> </v>
      </c>
      <c r="H380" s="32" t="str">
        <f>IFERROR((VLOOKUP(F380,'Planilha de Cadastro - Previsão'!$A$2:$N$1100,3,FALSE()))," ")</f>
        <v xml:space="preserve"> </v>
      </c>
      <c r="I380" s="34" t="str">
        <f>IFERROR((VLOOKUP(F380,'Planilha de Cadastro - Previsão'!$A$2:$N$1100,4,FALSE()))," ")</f>
        <v xml:space="preserve"> </v>
      </c>
      <c r="J380" s="34" t="str">
        <f>IFERROR((VLOOKUP(F380,'Planilha de Cadastro - Previsão'!$A$2:$N$1100,5,FALSE()))," ")</f>
        <v xml:space="preserve"> </v>
      </c>
      <c r="K380" s="36"/>
      <c r="L380" s="34" t="str">
        <f t="shared" si="24"/>
        <v/>
      </c>
      <c r="M380" s="35" t="str">
        <f t="shared" si="25"/>
        <v/>
      </c>
      <c r="N380" s="39"/>
      <c r="O380" s="36"/>
    </row>
    <row r="381" spans="1:15" x14ac:dyDescent="0.25">
      <c r="A381">
        <f>COUNTIF($C$2:C381,C381)</f>
        <v>380</v>
      </c>
      <c r="B381" s="1" t="str">
        <f t="shared" si="22"/>
        <v>380</v>
      </c>
      <c r="C381" s="1" t="str">
        <f>IFERROR(VLOOKUP(D381,'Planilha de Cadastro - Previsão'!$A$2:$O$1000,15,FALSE()),"")</f>
        <v/>
      </c>
      <c r="D381" s="1">
        <v>380</v>
      </c>
      <c r="F381" s="32" t="str">
        <f t="shared" si="23"/>
        <v/>
      </c>
      <c r="G381" s="33" t="str">
        <f>IFERROR((VLOOKUP(F381,'Planilha de Cadastro - Previsão'!$A$2:$N$1100,2,FALSE()))," ")</f>
        <v xml:space="preserve"> </v>
      </c>
      <c r="H381" s="32" t="str">
        <f>IFERROR((VLOOKUP(F381,'Planilha de Cadastro - Previsão'!$A$2:$N$1100,3,FALSE()))," ")</f>
        <v xml:space="preserve"> </v>
      </c>
      <c r="I381" s="34" t="str">
        <f>IFERROR((VLOOKUP(F381,'Planilha de Cadastro - Previsão'!$A$2:$N$1100,4,FALSE()))," ")</f>
        <v xml:space="preserve"> </v>
      </c>
      <c r="J381" s="34" t="str">
        <f>IFERROR((VLOOKUP(F381,'Planilha de Cadastro - Previsão'!$A$2:$N$1100,5,FALSE()))," ")</f>
        <v xml:space="preserve"> </v>
      </c>
      <c r="K381" s="36"/>
      <c r="L381" s="34" t="str">
        <f t="shared" si="24"/>
        <v/>
      </c>
      <c r="M381" s="35" t="str">
        <f t="shared" si="25"/>
        <v/>
      </c>
      <c r="N381" s="39"/>
      <c r="O381" s="36"/>
    </row>
    <row r="382" spans="1:15" x14ac:dyDescent="0.25">
      <c r="A382">
        <f>COUNTIF($C$2:C382,C382)</f>
        <v>381</v>
      </c>
      <c r="B382" s="1" t="str">
        <f t="shared" si="22"/>
        <v>381</v>
      </c>
      <c r="C382" s="1" t="str">
        <f>IFERROR(VLOOKUP(D382,'Planilha de Cadastro - Previsão'!$A$2:$O$1000,15,FALSE()),"")</f>
        <v/>
      </c>
      <c r="D382" s="1">
        <v>381</v>
      </c>
      <c r="F382" s="32" t="str">
        <f t="shared" si="23"/>
        <v/>
      </c>
      <c r="G382" s="33" t="str">
        <f>IFERROR((VLOOKUP(F382,'Planilha de Cadastro - Previsão'!$A$2:$N$1100,2,FALSE()))," ")</f>
        <v xml:space="preserve"> </v>
      </c>
      <c r="H382" s="32" t="str">
        <f>IFERROR((VLOOKUP(F382,'Planilha de Cadastro - Previsão'!$A$2:$N$1100,3,FALSE()))," ")</f>
        <v xml:space="preserve"> </v>
      </c>
      <c r="I382" s="34" t="str">
        <f>IFERROR((VLOOKUP(F382,'Planilha de Cadastro - Previsão'!$A$2:$N$1100,4,FALSE()))," ")</f>
        <v xml:space="preserve"> </v>
      </c>
      <c r="J382" s="34" t="str">
        <f>IFERROR((VLOOKUP(F382,'Planilha de Cadastro - Previsão'!$A$2:$N$1100,5,FALSE()))," ")</f>
        <v xml:space="preserve"> </v>
      </c>
      <c r="K382" s="36"/>
      <c r="L382" s="34" t="str">
        <f t="shared" si="24"/>
        <v/>
      </c>
      <c r="M382" s="35" t="str">
        <f t="shared" si="25"/>
        <v/>
      </c>
      <c r="N382" s="39"/>
      <c r="O382" s="36"/>
    </row>
    <row r="383" spans="1:15" x14ac:dyDescent="0.25">
      <c r="A383">
        <f>COUNTIF($C$2:C383,C383)</f>
        <v>382</v>
      </c>
      <c r="B383" s="1" t="str">
        <f t="shared" si="22"/>
        <v>382</v>
      </c>
      <c r="C383" s="1" t="str">
        <f>IFERROR(VLOOKUP(D383,'Planilha de Cadastro - Previsão'!$A$2:$O$1000,15,FALSE()),"")</f>
        <v/>
      </c>
      <c r="D383" s="1">
        <v>382</v>
      </c>
      <c r="F383" s="32" t="str">
        <f t="shared" si="23"/>
        <v/>
      </c>
      <c r="G383" s="33" t="str">
        <f>IFERROR((VLOOKUP(F383,'Planilha de Cadastro - Previsão'!$A$2:$N$1100,2,FALSE()))," ")</f>
        <v xml:space="preserve"> </v>
      </c>
      <c r="H383" s="32" t="str">
        <f>IFERROR((VLOOKUP(F383,'Planilha de Cadastro - Previsão'!$A$2:$N$1100,3,FALSE()))," ")</f>
        <v xml:space="preserve"> </v>
      </c>
      <c r="I383" s="34" t="str">
        <f>IFERROR((VLOOKUP(F383,'Planilha de Cadastro - Previsão'!$A$2:$N$1100,4,FALSE()))," ")</f>
        <v xml:space="preserve"> </v>
      </c>
      <c r="J383" s="34" t="str">
        <f>IFERROR((VLOOKUP(F383,'Planilha de Cadastro - Previsão'!$A$2:$N$1100,5,FALSE()))," ")</f>
        <v xml:space="preserve"> </v>
      </c>
      <c r="K383" s="36"/>
      <c r="L383" s="34" t="str">
        <f t="shared" si="24"/>
        <v/>
      </c>
      <c r="M383" s="35" t="str">
        <f t="shared" si="25"/>
        <v/>
      </c>
      <c r="N383" s="39"/>
      <c r="O383" s="36"/>
    </row>
    <row r="384" spans="1:15" x14ac:dyDescent="0.25">
      <c r="A384">
        <f>COUNTIF($C$2:C384,C384)</f>
        <v>383</v>
      </c>
      <c r="B384" s="1" t="str">
        <f t="shared" si="22"/>
        <v>383</v>
      </c>
      <c r="C384" s="1" t="str">
        <f>IFERROR(VLOOKUP(D384,'Planilha de Cadastro - Previsão'!$A$2:$O$1000,15,FALSE()),"")</f>
        <v/>
      </c>
      <c r="D384" s="1">
        <v>383</v>
      </c>
      <c r="F384" s="32" t="str">
        <f t="shared" si="23"/>
        <v/>
      </c>
      <c r="G384" s="33" t="str">
        <f>IFERROR((VLOOKUP(F384,'Planilha de Cadastro - Previsão'!$A$2:$N$1100,2,FALSE()))," ")</f>
        <v xml:space="preserve"> </v>
      </c>
      <c r="H384" s="32" t="str">
        <f>IFERROR((VLOOKUP(F384,'Planilha de Cadastro - Previsão'!$A$2:$N$1100,3,FALSE()))," ")</f>
        <v xml:space="preserve"> </v>
      </c>
      <c r="I384" s="34" t="str">
        <f>IFERROR((VLOOKUP(F384,'Planilha de Cadastro - Previsão'!$A$2:$N$1100,4,FALSE()))," ")</f>
        <v xml:space="preserve"> </v>
      </c>
      <c r="J384" s="34" t="str">
        <f>IFERROR((VLOOKUP(F384,'Planilha de Cadastro - Previsão'!$A$2:$N$1100,5,FALSE()))," ")</f>
        <v xml:space="preserve"> </v>
      </c>
      <c r="K384" s="36"/>
      <c r="L384" s="34" t="str">
        <f t="shared" si="24"/>
        <v/>
      </c>
      <c r="M384" s="35" t="str">
        <f t="shared" si="25"/>
        <v/>
      </c>
      <c r="N384" s="39"/>
      <c r="O384" s="36"/>
    </row>
    <row r="385" spans="1:15" x14ac:dyDescent="0.25">
      <c r="A385">
        <f>COUNTIF($C$2:C385,C385)</f>
        <v>384</v>
      </c>
      <c r="B385" s="1" t="str">
        <f t="shared" si="22"/>
        <v>384</v>
      </c>
      <c r="C385" s="1" t="str">
        <f>IFERROR(VLOOKUP(D385,'Planilha de Cadastro - Previsão'!$A$2:$O$1000,15,FALSE()),"")</f>
        <v/>
      </c>
      <c r="D385" s="1">
        <v>384</v>
      </c>
      <c r="F385" s="32" t="str">
        <f t="shared" si="23"/>
        <v/>
      </c>
      <c r="G385" s="33" t="str">
        <f>IFERROR((VLOOKUP(F385,'Planilha de Cadastro - Previsão'!$A$2:$N$1100,2,FALSE()))," ")</f>
        <v xml:space="preserve"> </v>
      </c>
      <c r="H385" s="32" t="str">
        <f>IFERROR((VLOOKUP(F385,'Planilha de Cadastro - Previsão'!$A$2:$N$1100,3,FALSE()))," ")</f>
        <v xml:space="preserve"> </v>
      </c>
      <c r="I385" s="34" t="str">
        <f>IFERROR((VLOOKUP(F385,'Planilha de Cadastro - Previsão'!$A$2:$N$1100,4,FALSE()))," ")</f>
        <v xml:space="preserve"> </v>
      </c>
      <c r="J385" s="34" t="str">
        <f>IFERROR((VLOOKUP(F385,'Planilha de Cadastro - Previsão'!$A$2:$N$1100,5,FALSE()))," ")</f>
        <v xml:space="preserve"> </v>
      </c>
      <c r="K385" s="36"/>
      <c r="L385" s="34" t="str">
        <f t="shared" si="24"/>
        <v/>
      </c>
      <c r="M385" s="35" t="str">
        <f t="shared" si="25"/>
        <v/>
      </c>
      <c r="N385" s="39"/>
      <c r="O385" s="36"/>
    </row>
    <row r="386" spans="1:15" x14ac:dyDescent="0.25">
      <c r="A386">
        <f>COUNTIF($C$2:C386,C386)</f>
        <v>385</v>
      </c>
      <c r="B386" s="1" t="str">
        <f t="shared" si="22"/>
        <v>385</v>
      </c>
      <c r="C386" s="1" t="str">
        <f>IFERROR(VLOOKUP(D386,'Planilha de Cadastro - Previsão'!$A$2:$O$1000,15,FALSE()),"")</f>
        <v/>
      </c>
      <c r="D386" s="1">
        <v>385</v>
      </c>
      <c r="F386" s="32" t="str">
        <f t="shared" si="23"/>
        <v/>
      </c>
      <c r="G386" s="33" t="str">
        <f>IFERROR((VLOOKUP(F386,'Planilha de Cadastro - Previsão'!$A$2:$N$1100,2,FALSE()))," ")</f>
        <v xml:space="preserve"> </v>
      </c>
      <c r="H386" s="32" t="str">
        <f>IFERROR((VLOOKUP(F386,'Planilha de Cadastro - Previsão'!$A$2:$N$1100,3,FALSE()))," ")</f>
        <v xml:space="preserve"> </v>
      </c>
      <c r="I386" s="34" t="str">
        <f>IFERROR((VLOOKUP(F386,'Planilha de Cadastro - Previsão'!$A$2:$N$1100,4,FALSE()))," ")</f>
        <v xml:space="preserve"> </v>
      </c>
      <c r="J386" s="34" t="str">
        <f>IFERROR((VLOOKUP(F386,'Planilha de Cadastro - Previsão'!$A$2:$N$1100,5,FALSE()))," ")</f>
        <v xml:space="preserve"> </v>
      </c>
      <c r="K386" s="36"/>
      <c r="L386" s="34" t="str">
        <f t="shared" si="24"/>
        <v/>
      </c>
      <c r="M386" s="35" t="str">
        <f t="shared" si="25"/>
        <v/>
      </c>
      <c r="N386" s="39"/>
      <c r="O386" s="36"/>
    </row>
    <row r="387" spans="1:15" x14ac:dyDescent="0.25">
      <c r="A387">
        <f>COUNTIF($C$2:C387,C387)</f>
        <v>386</v>
      </c>
      <c r="B387" s="1" t="str">
        <f t="shared" ref="B387:B450" si="26">IFERROR(CONCATENATE(C387,A387),"")</f>
        <v>386</v>
      </c>
      <c r="C387" s="1" t="str">
        <f>IFERROR(VLOOKUP(D387,'Planilha de Cadastro - Previsão'!$A$2:$O$1000,15,FALSE()),"")</f>
        <v/>
      </c>
      <c r="D387" s="1">
        <v>386</v>
      </c>
      <c r="F387" s="32" t="str">
        <f t="shared" ref="F387:F450" si="27">IFERROR((VLOOKUP(CONCATENATE("Sim",D387),$B$2:$D$1000,3,FALSE())),"")</f>
        <v/>
      </c>
      <c r="G387" s="33" t="str">
        <f>IFERROR((VLOOKUP(F387,'Planilha de Cadastro - Previsão'!$A$2:$N$1100,2,FALSE()))," ")</f>
        <v xml:space="preserve"> </v>
      </c>
      <c r="H387" s="32" t="str">
        <f>IFERROR((VLOOKUP(F387,'Planilha de Cadastro - Previsão'!$A$2:$N$1100,3,FALSE()))," ")</f>
        <v xml:space="preserve"> </v>
      </c>
      <c r="I387" s="34" t="str">
        <f>IFERROR((VLOOKUP(F387,'Planilha de Cadastro - Previsão'!$A$2:$N$1100,4,FALSE()))," ")</f>
        <v xml:space="preserve"> </v>
      </c>
      <c r="J387" s="34" t="str">
        <f>IFERROR((VLOOKUP(F387,'Planilha de Cadastro - Previsão'!$A$2:$N$1100,5,FALSE()))," ")</f>
        <v xml:space="preserve"> </v>
      </c>
      <c r="K387" s="36"/>
      <c r="L387" s="34" t="str">
        <f t="shared" ref="L387:L450" si="28">IF(K387&gt;0,(K387*H387)-(I387*H387)-(K387*H387*4%),"")</f>
        <v/>
      </c>
      <c r="M387" s="35" t="str">
        <f t="shared" ref="M387:M450" si="29">IFERROR(L387/(K387*H387),"")</f>
        <v/>
      </c>
      <c r="N387" s="39"/>
      <c r="O387" s="36"/>
    </row>
    <row r="388" spans="1:15" x14ac:dyDescent="0.25">
      <c r="A388">
        <f>COUNTIF($C$2:C388,C388)</f>
        <v>387</v>
      </c>
      <c r="B388" s="1" t="str">
        <f t="shared" si="26"/>
        <v>387</v>
      </c>
      <c r="C388" s="1" t="str">
        <f>IFERROR(VLOOKUP(D388,'Planilha de Cadastro - Previsão'!$A$2:$O$1000,15,FALSE()),"")</f>
        <v/>
      </c>
      <c r="D388" s="1">
        <v>387</v>
      </c>
      <c r="F388" s="32" t="str">
        <f t="shared" si="27"/>
        <v/>
      </c>
      <c r="G388" s="33" t="str">
        <f>IFERROR((VLOOKUP(F388,'Planilha de Cadastro - Previsão'!$A$2:$N$1100,2,FALSE()))," ")</f>
        <v xml:space="preserve"> </v>
      </c>
      <c r="H388" s="32" t="str">
        <f>IFERROR((VLOOKUP(F388,'Planilha de Cadastro - Previsão'!$A$2:$N$1100,3,FALSE()))," ")</f>
        <v xml:space="preserve"> </v>
      </c>
      <c r="I388" s="34" t="str">
        <f>IFERROR((VLOOKUP(F388,'Planilha de Cadastro - Previsão'!$A$2:$N$1100,4,FALSE()))," ")</f>
        <v xml:space="preserve"> </v>
      </c>
      <c r="J388" s="34" t="str">
        <f>IFERROR((VLOOKUP(F388,'Planilha de Cadastro - Previsão'!$A$2:$N$1100,5,FALSE()))," ")</f>
        <v xml:space="preserve"> </v>
      </c>
      <c r="K388" s="36"/>
      <c r="L388" s="34" t="str">
        <f t="shared" si="28"/>
        <v/>
      </c>
      <c r="M388" s="35" t="str">
        <f t="shared" si="29"/>
        <v/>
      </c>
      <c r="N388" s="39"/>
      <c r="O388" s="36"/>
    </row>
    <row r="389" spans="1:15" x14ac:dyDescent="0.25">
      <c r="A389">
        <f>COUNTIF($C$2:C389,C389)</f>
        <v>388</v>
      </c>
      <c r="B389" s="1" t="str">
        <f t="shared" si="26"/>
        <v>388</v>
      </c>
      <c r="C389" s="1" t="str">
        <f>IFERROR(VLOOKUP(D389,'Planilha de Cadastro - Previsão'!$A$2:$O$1000,15,FALSE()),"")</f>
        <v/>
      </c>
      <c r="D389" s="1">
        <v>388</v>
      </c>
      <c r="F389" s="32" t="str">
        <f t="shared" si="27"/>
        <v/>
      </c>
      <c r="G389" s="33" t="str">
        <f>IFERROR((VLOOKUP(F389,'Planilha de Cadastro - Previsão'!$A$2:$N$1100,2,FALSE()))," ")</f>
        <v xml:space="preserve"> </v>
      </c>
      <c r="H389" s="32" t="str">
        <f>IFERROR((VLOOKUP(F389,'Planilha de Cadastro - Previsão'!$A$2:$N$1100,3,FALSE()))," ")</f>
        <v xml:space="preserve"> </v>
      </c>
      <c r="I389" s="34" t="str">
        <f>IFERROR((VLOOKUP(F389,'Planilha de Cadastro - Previsão'!$A$2:$N$1100,4,FALSE()))," ")</f>
        <v xml:space="preserve"> </v>
      </c>
      <c r="J389" s="34" t="str">
        <f>IFERROR((VLOOKUP(F389,'Planilha de Cadastro - Previsão'!$A$2:$N$1100,5,FALSE()))," ")</f>
        <v xml:space="preserve"> </v>
      </c>
      <c r="K389" s="36"/>
      <c r="L389" s="34" t="str">
        <f t="shared" si="28"/>
        <v/>
      </c>
      <c r="M389" s="35" t="str">
        <f t="shared" si="29"/>
        <v/>
      </c>
      <c r="N389" s="39"/>
      <c r="O389" s="36"/>
    </row>
    <row r="390" spans="1:15" x14ac:dyDescent="0.25">
      <c r="A390">
        <f>COUNTIF($C$2:C390,C390)</f>
        <v>389</v>
      </c>
      <c r="B390" s="1" t="str">
        <f t="shared" si="26"/>
        <v>389</v>
      </c>
      <c r="C390" s="1" t="str">
        <f>IFERROR(VLOOKUP(D390,'Planilha de Cadastro - Previsão'!$A$2:$O$1000,15,FALSE()),"")</f>
        <v/>
      </c>
      <c r="D390" s="1">
        <v>389</v>
      </c>
      <c r="F390" s="32" t="str">
        <f t="shared" si="27"/>
        <v/>
      </c>
      <c r="G390" s="33" t="str">
        <f>IFERROR((VLOOKUP(F390,'Planilha de Cadastro - Previsão'!$A$2:$N$1100,2,FALSE()))," ")</f>
        <v xml:space="preserve"> </v>
      </c>
      <c r="H390" s="32" t="str">
        <f>IFERROR((VLOOKUP(F390,'Planilha de Cadastro - Previsão'!$A$2:$N$1100,3,FALSE()))," ")</f>
        <v xml:space="preserve"> </v>
      </c>
      <c r="I390" s="34" t="str">
        <f>IFERROR((VLOOKUP(F390,'Planilha de Cadastro - Previsão'!$A$2:$N$1100,4,FALSE()))," ")</f>
        <v xml:space="preserve"> </v>
      </c>
      <c r="J390" s="34" t="str">
        <f>IFERROR((VLOOKUP(F390,'Planilha de Cadastro - Previsão'!$A$2:$N$1100,5,FALSE()))," ")</f>
        <v xml:space="preserve"> </v>
      </c>
      <c r="K390" s="36"/>
      <c r="L390" s="34" t="str">
        <f t="shared" si="28"/>
        <v/>
      </c>
      <c r="M390" s="35" t="str">
        <f t="shared" si="29"/>
        <v/>
      </c>
      <c r="N390" s="39"/>
      <c r="O390" s="36"/>
    </row>
    <row r="391" spans="1:15" x14ac:dyDescent="0.25">
      <c r="A391">
        <f>COUNTIF($C$2:C391,C391)</f>
        <v>390</v>
      </c>
      <c r="B391" s="1" t="str">
        <f t="shared" si="26"/>
        <v>390</v>
      </c>
      <c r="C391" s="1" t="str">
        <f>IFERROR(VLOOKUP(D391,'Planilha de Cadastro - Previsão'!$A$2:$O$1000,15,FALSE()),"")</f>
        <v/>
      </c>
      <c r="D391" s="1">
        <v>390</v>
      </c>
      <c r="F391" s="32" t="str">
        <f t="shared" si="27"/>
        <v/>
      </c>
      <c r="G391" s="33" t="str">
        <f>IFERROR((VLOOKUP(F391,'Planilha de Cadastro - Previsão'!$A$2:$N$1100,2,FALSE()))," ")</f>
        <v xml:space="preserve"> </v>
      </c>
      <c r="H391" s="32" t="str">
        <f>IFERROR((VLOOKUP(F391,'Planilha de Cadastro - Previsão'!$A$2:$N$1100,3,FALSE()))," ")</f>
        <v xml:space="preserve"> </v>
      </c>
      <c r="I391" s="34" t="str">
        <f>IFERROR((VLOOKUP(F391,'Planilha de Cadastro - Previsão'!$A$2:$N$1100,4,FALSE()))," ")</f>
        <v xml:space="preserve"> </v>
      </c>
      <c r="J391" s="34" t="str">
        <f>IFERROR((VLOOKUP(F391,'Planilha de Cadastro - Previsão'!$A$2:$N$1100,5,FALSE()))," ")</f>
        <v xml:space="preserve"> </v>
      </c>
      <c r="K391" s="36"/>
      <c r="L391" s="34" t="str">
        <f t="shared" si="28"/>
        <v/>
      </c>
      <c r="M391" s="35" t="str">
        <f t="shared" si="29"/>
        <v/>
      </c>
      <c r="N391" s="39"/>
      <c r="O391" s="36"/>
    </row>
    <row r="392" spans="1:15" x14ac:dyDescent="0.25">
      <c r="A392">
        <f>COUNTIF($C$2:C392,C392)</f>
        <v>391</v>
      </c>
      <c r="B392" s="1" t="str">
        <f t="shared" si="26"/>
        <v>391</v>
      </c>
      <c r="C392" s="1" t="str">
        <f>IFERROR(VLOOKUP(D392,'Planilha de Cadastro - Previsão'!$A$2:$O$1000,15,FALSE()),"")</f>
        <v/>
      </c>
      <c r="D392" s="1">
        <v>391</v>
      </c>
      <c r="F392" s="32" t="str">
        <f t="shared" si="27"/>
        <v/>
      </c>
      <c r="G392" s="33" t="str">
        <f>IFERROR((VLOOKUP(F392,'Planilha de Cadastro - Previsão'!$A$2:$N$1100,2,FALSE()))," ")</f>
        <v xml:space="preserve"> </v>
      </c>
      <c r="H392" s="32" t="str">
        <f>IFERROR((VLOOKUP(F392,'Planilha de Cadastro - Previsão'!$A$2:$N$1100,3,FALSE()))," ")</f>
        <v xml:space="preserve"> </v>
      </c>
      <c r="I392" s="34" t="str">
        <f>IFERROR((VLOOKUP(F392,'Planilha de Cadastro - Previsão'!$A$2:$N$1100,4,FALSE()))," ")</f>
        <v xml:space="preserve"> </v>
      </c>
      <c r="J392" s="34" t="str">
        <f>IFERROR((VLOOKUP(F392,'Planilha de Cadastro - Previsão'!$A$2:$N$1100,5,FALSE()))," ")</f>
        <v xml:space="preserve"> </v>
      </c>
      <c r="K392" s="36"/>
      <c r="L392" s="34" t="str">
        <f t="shared" si="28"/>
        <v/>
      </c>
      <c r="M392" s="35" t="str">
        <f t="shared" si="29"/>
        <v/>
      </c>
      <c r="N392" s="39"/>
      <c r="O392" s="36"/>
    </row>
    <row r="393" spans="1:15" x14ac:dyDescent="0.25">
      <c r="A393">
        <f>COUNTIF($C$2:C393,C393)</f>
        <v>392</v>
      </c>
      <c r="B393" s="1" t="str">
        <f t="shared" si="26"/>
        <v>392</v>
      </c>
      <c r="C393" s="1" t="str">
        <f>IFERROR(VLOOKUP(D393,'Planilha de Cadastro - Previsão'!$A$2:$O$1000,15,FALSE()),"")</f>
        <v/>
      </c>
      <c r="D393" s="1">
        <v>392</v>
      </c>
      <c r="F393" s="32" t="str">
        <f t="shared" si="27"/>
        <v/>
      </c>
      <c r="G393" s="33" t="str">
        <f>IFERROR((VLOOKUP(F393,'Planilha de Cadastro - Previsão'!$A$2:$N$1100,2,FALSE()))," ")</f>
        <v xml:space="preserve"> </v>
      </c>
      <c r="H393" s="32" t="str">
        <f>IFERROR((VLOOKUP(F393,'Planilha de Cadastro - Previsão'!$A$2:$N$1100,3,FALSE()))," ")</f>
        <v xml:space="preserve"> </v>
      </c>
      <c r="I393" s="34" t="str">
        <f>IFERROR((VLOOKUP(F393,'Planilha de Cadastro - Previsão'!$A$2:$N$1100,4,FALSE()))," ")</f>
        <v xml:space="preserve"> </v>
      </c>
      <c r="J393" s="34" t="str">
        <f>IFERROR((VLOOKUP(F393,'Planilha de Cadastro - Previsão'!$A$2:$N$1100,5,FALSE()))," ")</f>
        <v xml:space="preserve"> </v>
      </c>
      <c r="K393" s="36"/>
      <c r="L393" s="34" t="str">
        <f t="shared" si="28"/>
        <v/>
      </c>
      <c r="M393" s="35" t="str">
        <f t="shared" si="29"/>
        <v/>
      </c>
      <c r="N393" s="39"/>
      <c r="O393" s="36"/>
    </row>
    <row r="394" spans="1:15" x14ac:dyDescent="0.25">
      <c r="A394">
        <f>COUNTIF($C$2:C394,C394)</f>
        <v>393</v>
      </c>
      <c r="B394" s="1" t="str">
        <f t="shared" si="26"/>
        <v>393</v>
      </c>
      <c r="C394" s="1" t="str">
        <f>IFERROR(VLOOKUP(D394,'Planilha de Cadastro - Previsão'!$A$2:$O$1000,15,FALSE()),"")</f>
        <v/>
      </c>
      <c r="D394" s="1">
        <v>393</v>
      </c>
      <c r="F394" s="32" t="str">
        <f t="shared" si="27"/>
        <v/>
      </c>
      <c r="G394" s="33" t="str">
        <f>IFERROR((VLOOKUP(F394,'Planilha de Cadastro - Previsão'!$A$2:$N$1100,2,FALSE()))," ")</f>
        <v xml:space="preserve"> </v>
      </c>
      <c r="H394" s="32" t="str">
        <f>IFERROR((VLOOKUP(F394,'Planilha de Cadastro - Previsão'!$A$2:$N$1100,3,FALSE()))," ")</f>
        <v xml:space="preserve"> </v>
      </c>
      <c r="I394" s="34" t="str">
        <f>IFERROR((VLOOKUP(F394,'Planilha de Cadastro - Previsão'!$A$2:$N$1100,4,FALSE()))," ")</f>
        <v xml:space="preserve"> </v>
      </c>
      <c r="J394" s="34" t="str">
        <f>IFERROR((VLOOKUP(F394,'Planilha de Cadastro - Previsão'!$A$2:$N$1100,5,FALSE()))," ")</f>
        <v xml:space="preserve"> </v>
      </c>
      <c r="K394" s="36"/>
      <c r="L394" s="34" t="str">
        <f t="shared" si="28"/>
        <v/>
      </c>
      <c r="M394" s="35" t="str">
        <f t="shared" si="29"/>
        <v/>
      </c>
      <c r="N394" s="39"/>
      <c r="O394" s="36"/>
    </row>
    <row r="395" spans="1:15" x14ac:dyDescent="0.25">
      <c r="A395">
        <f>COUNTIF($C$2:C395,C395)</f>
        <v>394</v>
      </c>
      <c r="B395" s="1" t="str">
        <f t="shared" si="26"/>
        <v>394</v>
      </c>
      <c r="C395" s="1" t="str">
        <f>IFERROR(VLOOKUP(D395,'Planilha de Cadastro - Previsão'!$A$2:$O$1000,15,FALSE()),"")</f>
        <v/>
      </c>
      <c r="D395" s="1">
        <v>394</v>
      </c>
      <c r="F395" s="32" t="str">
        <f t="shared" si="27"/>
        <v/>
      </c>
      <c r="G395" s="33" t="str">
        <f>IFERROR((VLOOKUP(F395,'Planilha de Cadastro - Previsão'!$A$2:$N$1100,2,FALSE()))," ")</f>
        <v xml:space="preserve"> </v>
      </c>
      <c r="H395" s="32" t="str">
        <f>IFERROR((VLOOKUP(F395,'Planilha de Cadastro - Previsão'!$A$2:$N$1100,3,FALSE()))," ")</f>
        <v xml:space="preserve"> </v>
      </c>
      <c r="I395" s="34" t="str">
        <f>IFERROR((VLOOKUP(F395,'Planilha de Cadastro - Previsão'!$A$2:$N$1100,4,FALSE()))," ")</f>
        <v xml:space="preserve"> </v>
      </c>
      <c r="J395" s="34" t="str">
        <f>IFERROR((VLOOKUP(F395,'Planilha de Cadastro - Previsão'!$A$2:$N$1100,5,FALSE()))," ")</f>
        <v xml:space="preserve"> </v>
      </c>
      <c r="K395" s="36"/>
      <c r="L395" s="34" t="str">
        <f t="shared" si="28"/>
        <v/>
      </c>
      <c r="M395" s="35" t="str">
        <f t="shared" si="29"/>
        <v/>
      </c>
      <c r="N395" s="39"/>
      <c r="O395" s="36"/>
    </row>
    <row r="396" spans="1:15" x14ac:dyDescent="0.25">
      <c r="A396">
        <f>COUNTIF($C$2:C396,C396)</f>
        <v>395</v>
      </c>
      <c r="B396" s="1" t="str">
        <f t="shared" si="26"/>
        <v>395</v>
      </c>
      <c r="C396" s="1" t="str">
        <f>IFERROR(VLOOKUP(D396,'Planilha de Cadastro - Previsão'!$A$2:$O$1000,15,FALSE()),"")</f>
        <v/>
      </c>
      <c r="D396" s="1">
        <v>395</v>
      </c>
      <c r="F396" s="32" t="str">
        <f t="shared" si="27"/>
        <v/>
      </c>
      <c r="G396" s="33" t="str">
        <f>IFERROR((VLOOKUP(F396,'Planilha de Cadastro - Previsão'!$A$2:$N$1100,2,FALSE()))," ")</f>
        <v xml:space="preserve"> </v>
      </c>
      <c r="H396" s="32" t="str">
        <f>IFERROR((VLOOKUP(F396,'Planilha de Cadastro - Previsão'!$A$2:$N$1100,3,FALSE()))," ")</f>
        <v xml:space="preserve"> </v>
      </c>
      <c r="I396" s="34" t="str">
        <f>IFERROR((VLOOKUP(F396,'Planilha de Cadastro - Previsão'!$A$2:$N$1100,4,FALSE()))," ")</f>
        <v xml:space="preserve"> </v>
      </c>
      <c r="J396" s="34" t="str">
        <f>IFERROR((VLOOKUP(F396,'Planilha de Cadastro - Previsão'!$A$2:$N$1100,5,FALSE()))," ")</f>
        <v xml:space="preserve"> </v>
      </c>
      <c r="K396" s="36"/>
      <c r="L396" s="34" t="str">
        <f t="shared" si="28"/>
        <v/>
      </c>
      <c r="M396" s="35" t="str">
        <f t="shared" si="29"/>
        <v/>
      </c>
      <c r="N396" s="39"/>
      <c r="O396" s="36"/>
    </row>
    <row r="397" spans="1:15" x14ac:dyDescent="0.25">
      <c r="A397">
        <f>COUNTIF($C$2:C397,C397)</f>
        <v>396</v>
      </c>
      <c r="B397" s="1" t="str">
        <f t="shared" si="26"/>
        <v>396</v>
      </c>
      <c r="C397" s="1" t="str">
        <f>IFERROR(VLOOKUP(D397,'Planilha de Cadastro - Previsão'!$A$2:$O$1000,15,FALSE()),"")</f>
        <v/>
      </c>
      <c r="D397" s="1">
        <v>396</v>
      </c>
      <c r="F397" s="32" t="str">
        <f t="shared" si="27"/>
        <v/>
      </c>
      <c r="G397" s="33" t="str">
        <f>IFERROR((VLOOKUP(F397,'Planilha de Cadastro - Previsão'!$A$2:$N$1100,2,FALSE()))," ")</f>
        <v xml:space="preserve"> </v>
      </c>
      <c r="H397" s="32" t="str">
        <f>IFERROR((VLOOKUP(F397,'Planilha de Cadastro - Previsão'!$A$2:$N$1100,3,FALSE()))," ")</f>
        <v xml:space="preserve"> </v>
      </c>
      <c r="I397" s="34" t="str">
        <f>IFERROR((VLOOKUP(F397,'Planilha de Cadastro - Previsão'!$A$2:$N$1100,4,FALSE()))," ")</f>
        <v xml:space="preserve"> </v>
      </c>
      <c r="J397" s="34" t="str">
        <f>IFERROR((VLOOKUP(F397,'Planilha de Cadastro - Previsão'!$A$2:$N$1100,5,FALSE()))," ")</f>
        <v xml:space="preserve"> </v>
      </c>
      <c r="K397" s="36"/>
      <c r="L397" s="34" t="str">
        <f t="shared" si="28"/>
        <v/>
      </c>
      <c r="M397" s="35" t="str">
        <f t="shared" si="29"/>
        <v/>
      </c>
      <c r="N397" s="39"/>
      <c r="O397" s="36"/>
    </row>
    <row r="398" spans="1:15" x14ac:dyDescent="0.25">
      <c r="A398">
        <f>COUNTIF($C$2:C398,C398)</f>
        <v>397</v>
      </c>
      <c r="B398" s="1" t="str">
        <f t="shared" si="26"/>
        <v>397</v>
      </c>
      <c r="C398" s="1" t="str">
        <f>IFERROR(VLOOKUP(D398,'Planilha de Cadastro - Previsão'!$A$2:$O$1000,15,FALSE()),"")</f>
        <v/>
      </c>
      <c r="D398" s="1">
        <v>397</v>
      </c>
      <c r="F398" s="32" t="str">
        <f t="shared" si="27"/>
        <v/>
      </c>
      <c r="G398" s="33" t="str">
        <f>IFERROR((VLOOKUP(F398,'Planilha de Cadastro - Previsão'!$A$2:$N$1100,2,FALSE()))," ")</f>
        <v xml:space="preserve"> </v>
      </c>
      <c r="H398" s="32" t="str">
        <f>IFERROR((VLOOKUP(F398,'Planilha de Cadastro - Previsão'!$A$2:$N$1100,3,FALSE()))," ")</f>
        <v xml:space="preserve"> </v>
      </c>
      <c r="I398" s="34" t="str">
        <f>IFERROR((VLOOKUP(F398,'Planilha de Cadastro - Previsão'!$A$2:$N$1100,4,FALSE()))," ")</f>
        <v xml:space="preserve"> </v>
      </c>
      <c r="J398" s="34" t="str">
        <f>IFERROR((VLOOKUP(F398,'Planilha de Cadastro - Previsão'!$A$2:$N$1100,5,FALSE()))," ")</f>
        <v xml:space="preserve"> </v>
      </c>
      <c r="K398" s="36"/>
      <c r="L398" s="34" t="str">
        <f t="shared" si="28"/>
        <v/>
      </c>
      <c r="M398" s="35" t="str">
        <f t="shared" si="29"/>
        <v/>
      </c>
      <c r="N398" s="39"/>
      <c r="O398" s="36"/>
    </row>
    <row r="399" spans="1:15" x14ac:dyDescent="0.25">
      <c r="A399">
        <f>COUNTIF($C$2:C399,C399)</f>
        <v>398</v>
      </c>
      <c r="B399" s="1" t="str">
        <f t="shared" si="26"/>
        <v>398</v>
      </c>
      <c r="C399" s="1" t="str">
        <f>IFERROR(VLOOKUP(D399,'Planilha de Cadastro - Previsão'!$A$2:$O$1000,15,FALSE()),"")</f>
        <v/>
      </c>
      <c r="D399" s="1">
        <v>398</v>
      </c>
      <c r="F399" s="32" t="str">
        <f t="shared" si="27"/>
        <v/>
      </c>
      <c r="G399" s="33" t="str">
        <f>IFERROR((VLOOKUP(F399,'Planilha de Cadastro - Previsão'!$A$2:$N$1100,2,FALSE()))," ")</f>
        <v xml:space="preserve"> </v>
      </c>
      <c r="H399" s="32" t="str">
        <f>IFERROR((VLOOKUP(F399,'Planilha de Cadastro - Previsão'!$A$2:$N$1100,3,FALSE()))," ")</f>
        <v xml:space="preserve"> </v>
      </c>
      <c r="I399" s="34" t="str">
        <f>IFERROR((VLOOKUP(F399,'Planilha de Cadastro - Previsão'!$A$2:$N$1100,4,FALSE()))," ")</f>
        <v xml:space="preserve"> </v>
      </c>
      <c r="J399" s="34" t="str">
        <f>IFERROR((VLOOKUP(F399,'Planilha de Cadastro - Previsão'!$A$2:$N$1100,5,FALSE()))," ")</f>
        <v xml:space="preserve"> </v>
      </c>
      <c r="K399" s="36"/>
      <c r="L399" s="34" t="str">
        <f t="shared" si="28"/>
        <v/>
      </c>
      <c r="M399" s="35" t="str">
        <f t="shared" si="29"/>
        <v/>
      </c>
      <c r="N399" s="39"/>
      <c r="O399" s="36"/>
    </row>
    <row r="400" spans="1:15" x14ac:dyDescent="0.25">
      <c r="A400">
        <f>COUNTIF($C$2:C400,C400)</f>
        <v>399</v>
      </c>
      <c r="B400" s="1" t="str">
        <f t="shared" si="26"/>
        <v>399</v>
      </c>
      <c r="C400" s="1" t="str">
        <f>IFERROR(VLOOKUP(D400,'Planilha de Cadastro - Previsão'!$A$2:$O$1000,15,FALSE()),"")</f>
        <v/>
      </c>
      <c r="D400" s="1">
        <v>399</v>
      </c>
      <c r="F400" s="32" t="str">
        <f t="shared" si="27"/>
        <v/>
      </c>
      <c r="G400" s="33" t="str">
        <f>IFERROR((VLOOKUP(F400,'Planilha de Cadastro - Previsão'!$A$2:$N$1100,2,FALSE()))," ")</f>
        <v xml:space="preserve"> </v>
      </c>
      <c r="H400" s="32" t="str">
        <f>IFERROR((VLOOKUP(F400,'Planilha de Cadastro - Previsão'!$A$2:$N$1100,3,FALSE()))," ")</f>
        <v xml:space="preserve"> </v>
      </c>
      <c r="I400" s="34" t="str">
        <f>IFERROR((VLOOKUP(F400,'Planilha de Cadastro - Previsão'!$A$2:$N$1100,4,FALSE()))," ")</f>
        <v xml:space="preserve"> </v>
      </c>
      <c r="J400" s="34" t="str">
        <f>IFERROR((VLOOKUP(F400,'Planilha de Cadastro - Previsão'!$A$2:$N$1100,5,FALSE()))," ")</f>
        <v xml:space="preserve"> </v>
      </c>
      <c r="K400" s="36"/>
      <c r="L400" s="34" t="str">
        <f t="shared" si="28"/>
        <v/>
      </c>
      <c r="M400" s="35" t="str">
        <f t="shared" si="29"/>
        <v/>
      </c>
      <c r="N400" s="39"/>
      <c r="O400" s="36"/>
    </row>
    <row r="401" spans="1:15" x14ac:dyDescent="0.25">
      <c r="A401">
        <f>COUNTIF($C$2:C401,C401)</f>
        <v>400</v>
      </c>
      <c r="B401" s="1" t="str">
        <f t="shared" si="26"/>
        <v>400</v>
      </c>
      <c r="C401" s="1" t="str">
        <f>IFERROR(VLOOKUP(D401,'Planilha de Cadastro - Previsão'!$A$2:$O$1000,15,FALSE()),"")</f>
        <v/>
      </c>
      <c r="D401" s="1">
        <v>400</v>
      </c>
      <c r="F401" s="32" t="str">
        <f t="shared" si="27"/>
        <v/>
      </c>
      <c r="G401" s="33" t="str">
        <f>IFERROR((VLOOKUP(F401,'Planilha de Cadastro - Previsão'!$A$2:$N$1100,2,FALSE()))," ")</f>
        <v xml:space="preserve"> </v>
      </c>
      <c r="H401" s="32" t="str">
        <f>IFERROR((VLOOKUP(F401,'Planilha de Cadastro - Previsão'!$A$2:$N$1100,3,FALSE()))," ")</f>
        <v xml:space="preserve"> </v>
      </c>
      <c r="I401" s="34" t="str">
        <f>IFERROR((VLOOKUP(F401,'Planilha de Cadastro - Previsão'!$A$2:$N$1100,4,FALSE()))," ")</f>
        <v xml:space="preserve"> </v>
      </c>
      <c r="J401" s="34" t="str">
        <f>IFERROR((VLOOKUP(F401,'Planilha de Cadastro - Previsão'!$A$2:$N$1100,5,FALSE()))," ")</f>
        <v xml:space="preserve"> </v>
      </c>
      <c r="K401" s="36"/>
      <c r="L401" s="34" t="str">
        <f t="shared" si="28"/>
        <v/>
      </c>
      <c r="M401" s="35" t="str">
        <f t="shared" si="29"/>
        <v/>
      </c>
      <c r="N401" s="39"/>
      <c r="O401" s="36"/>
    </row>
    <row r="402" spans="1:15" x14ac:dyDescent="0.25">
      <c r="A402">
        <f>COUNTIF($C$2:C402,C402)</f>
        <v>401</v>
      </c>
      <c r="B402" s="1" t="str">
        <f t="shared" si="26"/>
        <v>401</v>
      </c>
      <c r="C402" s="1" t="str">
        <f>IFERROR(VLOOKUP(D402,'Planilha de Cadastro - Previsão'!$A$2:$O$1000,15,FALSE()),"")</f>
        <v/>
      </c>
      <c r="D402" s="1">
        <v>401</v>
      </c>
      <c r="F402" s="32" t="str">
        <f t="shared" si="27"/>
        <v/>
      </c>
      <c r="G402" s="33" t="str">
        <f>IFERROR((VLOOKUP(F402,'Planilha de Cadastro - Previsão'!$A$2:$N$1100,2,FALSE()))," ")</f>
        <v xml:space="preserve"> </v>
      </c>
      <c r="H402" s="32" t="str">
        <f>IFERROR((VLOOKUP(F402,'Planilha de Cadastro - Previsão'!$A$2:$N$1100,3,FALSE()))," ")</f>
        <v xml:space="preserve"> </v>
      </c>
      <c r="I402" s="34" t="str">
        <f>IFERROR((VLOOKUP(F402,'Planilha de Cadastro - Previsão'!$A$2:$N$1100,4,FALSE()))," ")</f>
        <v xml:space="preserve"> </v>
      </c>
      <c r="J402" s="34" t="str">
        <f>IFERROR((VLOOKUP(F402,'Planilha de Cadastro - Previsão'!$A$2:$N$1100,5,FALSE()))," ")</f>
        <v xml:space="preserve"> </v>
      </c>
      <c r="K402" s="36"/>
      <c r="L402" s="34" t="str">
        <f t="shared" si="28"/>
        <v/>
      </c>
      <c r="M402" s="35" t="str">
        <f t="shared" si="29"/>
        <v/>
      </c>
      <c r="N402" s="39"/>
      <c r="O402" s="36"/>
    </row>
    <row r="403" spans="1:15" x14ac:dyDescent="0.25">
      <c r="A403">
        <f>COUNTIF($C$2:C403,C403)</f>
        <v>402</v>
      </c>
      <c r="B403" s="1" t="str">
        <f t="shared" si="26"/>
        <v>402</v>
      </c>
      <c r="C403" s="1" t="str">
        <f>IFERROR(VLOOKUP(D403,'Planilha de Cadastro - Previsão'!$A$2:$O$1000,15,FALSE()),"")</f>
        <v/>
      </c>
      <c r="D403" s="1">
        <v>402</v>
      </c>
      <c r="F403" s="32" t="str">
        <f t="shared" si="27"/>
        <v/>
      </c>
      <c r="G403" s="33" t="str">
        <f>IFERROR((VLOOKUP(F403,'Planilha de Cadastro - Previsão'!$A$2:$N$1100,2,FALSE()))," ")</f>
        <v xml:space="preserve"> </v>
      </c>
      <c r="H403" s="32" t="str">
        <f>IFERROR((VLOOKUP(F403,'Planilha de Cadastro - Previsão'!$A$2:$N$1100,3,FALSE()))," ")</f>
        <v xml:space="preserve"> </v>
      </c>
      <c r="I403" s="34" t="str">
        <f>IFERROR((VLOOKUP(F403,'Planilha de Cadastro - Previsão'!$A$2:$N$1100,4,FALSE()))," ")</f>
        <v xml:space="preserve"> </v>
      </c>
      <c r="J403" s="34" t="str">
        <f>IFERROR((VLOOKUP(F403,'Planilha de Cadastro - Previsão'!$A$2:$N$1100,5,FALSE()))," ")</f>
        <v xml:space="preserve"> </v>
      </c>
      <c r="K403" s="36"/>
      <c r="L403" s="34" t="str">
        <f t="shared" si="28"/>
        <v/>
      </c>
      <c r="M403" s="35" t="str">
        <f t="shared" si="29"/>
        <v/>
      </c>
      <c r="N403" s="39"/>
      <c r="O403" s="36"/>
    </row>
    <row r="404" spans="1:15" x14ac:dyDescent="0.25">
      <c r="A404">
        <f>COUNTIF($C$2:C404,C404)</f>
        <v>403</v>
      </c>
      <c r="B404" s="1" t="str">
        <f t="shared" si="26"/>
        <v>403</v>
      </c>
      <c r="C404" s="1" t="str">
        <f>IFERROR(VLOOKUP(D404,'Planilha de Cadastro - Previsão'!$A$2:$O$1000,15,FALSE()),"")</f>
        <v/>
      </c>
      <c r="D404" s="1">
        <v>403</v>
      </c>
      <c r="F404" s="32" t="str">
        <f t="shared" si="27"/>
        <v/>
      </c>
      <c r="G404" s="33" t="str">
        <f>IFERROR((VLOOKUP(F404,'Planilha de Cadastro - Previsão'!$A$2:$N$1100,2,FALSE()))," ")</f>
        <v xml:space="preserve"> </v>
      </c>
      <c r="H404" s="32" t="str">
        <f>IFERROR((VLOOKUP(F404,'Planilha de Cadastro - Previsão'!$A$2:$N$1100,3,FALSE()))," ")</f>
        <v xml:space="preserve"> </v>
      </c>
      <c r="I404" s="34" t="str">
        <f>IFERROR((VLOOKUP(F404,'Planilha de Cadastro - Previsão'!$A$2:$N$1100,4,FALSE()))," ")</f>
        <v xml:space="preserve"> </v>
      </c>
      <c r="J404" s="34" t="str">
        <f>IFERROR((VLOOKUP(F404,'Planilha de Cadastro - Previsão'!$A$2:$N$1100,5,FALSE()))," ")</f>
        <v xml:space="preserve"> </v>
      </c>
      <c r="K404" s="36"/>
      <c r="L404" s="34" t="str">
        <f t="shared" si="28"/>
        <v/>
      </c>
      <c r="M404" s="35" t="str">
        <f t="shared" si="29"/>
        <v/>
      </c>
      <c r="N404" s="39"/>
      <c r="O404" s="36"/>
    </row>
    <row r="405" spans="1:15" x14ac:dyDescent="0.25">
      <c r="A405">
        <f>COUNTIF($C$2:C405,C405)</f>
        <v>404</v>
      </c>
      <c r="B405" s="1" t="str">
        <f t="shared" si="26"/>
        <v>404</v>
      </c>
      <c r="C405" s="1" t="str">
        <f>IFERROR(VLOOKUP(D405,'Planilha de Cadastro - Previsão'!$A$2:$O$1000,15,FALSE()),"")</f>
        <v/>
      </c>
      <c r="D405" s="1">
        <v>404</v>
      </c>
      <c r="F405" s="32" t="str">
        <f t="shared" si="27"/>
        <v/>
      </c>
      <c r="G405" s="33" t="str">
        <f>IFERROR((VLOOKUP(F405,'Planilha de Cadastro - Previsão'!$A$2:$N$1100,2,FALSE()))," ")</f>
        <v xml:space="preserve"> </v>
      </c>
      <c r="H405" s="32" t="str">
        <f>IFERROR((VLOOKUP(F405,'Planilha de Cadastro - Previsão'!$A$2:$N$1100,3,FALSE()))," ")</f>
        <v xml:space="preserve"> </v>
      </c>
      <c r="I405" s="34" t="str">
        <f>IFERROR((VLOOKUP(F405,'Planilha de Cadastro - Previsão'!$A$2:$N$1100,4,FALSE()))," ")</f>
        <v xml:space="preserve"> </v>
      </c>
      <c r="J405" s="34" t="str">
        <f>IFERROR((VLOOKUP(F405,'Planilha de Cadastro - Previsão'!$A$2:$N$1100,5,FALSE()))," ")</f>
        <v xml:space="preserve"> </v>
      </c>
      <c r="K405" s="36"/>
      <c r="L405" s="34" t="str">
        <f t="shared" si="28"/>
        <v/>
      </c>
      <c r="M405" s="35" t="str">
        <f t="shared" si="29"/>
        <v/>
      </c>
      <c r="N405" s="39"/>
      <c r="O405" s="36"/>
    </row>
    <row r="406" spans="1:15" x14ac:dyDescent="0.25">
      <c r="A406">
        <f>COUNTIF($C$2:C406,C406)</f>
        <v>405</v>
      </c>
      <c r="B406" s="1" t="str">
        <f t="shared" si="26"/>
        <v>405</v>
      </c>
      <c r="C406" s="1" t="str">
        <f>IFERROR(VLOOKUP(D406,'Planilha de Cadastro - Previsão'!$A$2:$O$1000,15,FALSE()),"")</f>
        <v/>
      </c>
      <c r="D406" s="1">
        <v>405</v>
      </c>
      <c r="F406" s="32" t="str">
        <f t="shared" si="27"/>
        <v/>
      </c>
      <c r="G406" s="33" t="str">
        <f>IFERROR((VLOOKUP(F406,'Planilha de Cadastro - Previsão'!$A$2:$N$1100,2,FALSE()))," ")</f>
        <v xml:space="preserve"> </v>
      </c>
      <c r="H406" s="32" t="str">
        <f>IFERROR((VLOOKUP(F406,'Planilha de Cadastro - Previsão'!$A$2:$N$1100,3,FALSE()))," ")</f>
        <v xml:space="preserve"> </v>
      </c>
      <c r="I406" s="34" t="str">
        <f>IFERROR((VLOOKUP(F406,'Planilha de Cadastro - Previsão'!$A$2:$N$1100,4,FALSE()))," ")</f>
        <v xml:space="preserve"> </v>
      </c>
      <c r="J406" s="34" t="str">
        <f>IFERROR((VLOOKUP(F406,'Planilha de Cadastro - Previsão'!$A$2:$N$1100,5,FALSE()))," ")</f>
        <v xml:space="preserve"> </v>
      </c>
      <c r="K406" s="36"/>
      <c r="L406" s="34" t="str">
        <f t="shared" si="28"/>
        <v/>
      </c>
      <c r="M406" s="35" t="str">
        <f t="shared" si="29"/>
        <v/>
      </c>
      <c r="N406" s="39"/>
      <c r="O406" s="36"/>
    </row>
    <row r="407" spans="1:15" x14ac:dyDescent="0.25">
      <c r="A407">
        <f>COUNTIF($C$2:C407,C407)</f>
        <v>406</v>
      </c>
      <c r="B407" s="1" t="str">
        <f t="shared" si="26"/>
        <v>406</v>
      </c>
      <c r="C407" s="1" t="str">
        <f>IFERROR(VLOOKUP(D407,'Planilha de Cadastro - Previsão'!$A$2:$O$1000,15,FALSE()),"")</f>
        <v/>
      </c>
      <c r="D407" s="1">
        <v>406</v>
      </c>
      <c r="F407" s="32" t="str">
        <f t="shared" si="27"/>
        <v/>
      </c>
      <c r="G407" s="33" t="str">
        <f>IFERROR((VLOOKUP(F407,'Planilha de Cadastro - Previsão'!$A$2:$N$1100,2,FALSE()))," ")</f>
        <v xml:space="preserve"> </v>
      </c>
      <c r="H407" s="32" t="str">
        <f>IFERROR((VLOOKUP(F407,'Planilha de Cadastro - Previsão'!$A$2:$N$1100,3,FALSE()))," ")</f>
        <v xml:space="preserve"> </v>
      </c>
      <c r="I407" s="34" t="str">
        <f>IFERROR((VLOOKUP(F407,'Planilha de Cadastro - Previsão'!$A$2:$N$1100,4,FALSE()))," ")</f>
        <v xml:space="preserve"> </v>
      </c>
      <c r="J407" s="34" t="str">
        <f>IFERROR((VLOOKUP(F407,'Planilha de Cadastro - Previsão'!$A$2:$N$1100,5,FALSE()))," ")</f>
        <v xml:space="preserve"> </v>
      </c>
      <c r="K407" s="36"/>
      <c r="L407" s="34" t="str">
        <f t="shared" si="28"/>
        <v/>
      </c>
      <c r="M407" s="35" t="str">
        <f t="shared" si="29"/>
        <v/>
      </c>
      <c r="N407" s="39"/>
      <c r="O407" s="36"/>
    </row>
    <row r="408" spans="1:15" x14ac:dyDescent="0.25">
      <c r="A408">
        <f>COUNTIF($C$2:C408,C408)</f>
        <v>407</v>
      </c>
      <c r="B408" s="1" t="str">
        <f t="shared" si="26"/>
        <v>407</v>
      </c>
      <c r="C408" s="1" t="str">
        <f>IFERROR(VLOOKUP(D408,'Planilha de Cadastro - Previsão'!$A$2:$O$1000,15,FALSE()),"")</f>
        <v/>
      </c>
      <c r="D408" s="1">
        <v>407</v>
      </c>
      <c r="F408" s="32" t="str">
        <f t="shared" si="27"/>
        <v/>
      </c>
      <c r="G408" s="33" t="str">
        <f>IFERROR((VLOOKUP(F408,'Planilha de Cadastro - Previsão'!$A$2:$N$1100,2,FALSE()))," ")</f>
        <v xml:space="preserve"> </v>
      </c>
      <c r="H408" s="32" t="str">
        <f>IFERROR((VLOOKUP(F408,'Planilha de Cadastro - Previsão'!$A$2:$N$1100,3,FALSE()))," ")</f>
        <v xml:space="preserve"> </v>
      </c>
      <c r="I408" s="34" t="str">
        <f>IFERROR((VLOOKUP(F408,'Planilha de Cadastro - Previsão'!$A$2:$N$1100,4,FALSE()))," ")</f>
        <v xml:space="preserve"> </v>
      </c>
      <c r="J408" s="34" t="str">
        <f>IFERROR((VLOOKUP(F408,'Planilha de Cadastro - Previsão'!$A$2:$N$1100,5,FALSE()))," ")</f>
        <v xml:space="preserve"> </v>
      </c>
      <c r="K408" s="36"/>
      <c r="L408" s="34" t="str">
        <f t="shared" si="28"/>
        <v/>
      </c>
      <c r="M408" s="35" t="str">
        <f t="shared" si="29"/>
        <v/>
      </c>
      <c r="N408" s="39"/>
      <c r="O408" s="36"/>
    </row>
    <row r="409" spans="1:15" x14ac:dyDescent="0.25">
      <c r="A409">
        <f>COUNTIF($C$2:C409,C409)</f>
        <v>408</v>
      </c>
      <c r="B409" s="1" t="str">
        <f t="shared" si="26"/>
        <v>408</v>
      </c>
      <c r="C409" s="1" t="str">
        <f>IFERROR(VLOOKUP(D409,'Planilha de Cadastro - Previsão'!$A$2:$O$1000,15,FALSE()),"")</f>
        <v/>
      </c>
      <c r="D409" s="1">
        <v>408</v>
      </c>
      <c r="F409" s="32" t="str">
        <f t="shared" si="27"/>
        <v/>
      </c>
      <c r="G409" s="33" t="str">
        <f>IFERROR((VLOOKUP(F409,'Planilha de Cadastro - Previsão'!$A$2:$N$1100,2,FALSE()))," ")</f>
        <v xml:space="preserve"> </v>
      </c>
      <c r="H409" s="32" t="str">
        <f>IFERROR((VLOOKUP(F409,'Planilha de Cadastro - Previsão'!$A$2:$N$1100,3,FALSE()))," ")</f>
        <v xml:space="preserve"> </v>
      </c>
      <c r="I409" s="34" t="str">
        <f>IFERROR((VLOOKUP(F409,'Planilha de Cadastro - Previsão'!$A$2:$N$1100,4,FALSE()))," ")</f>
        <v xml:space="preserve"> </v>
      </c>
      <c r="J409" s="34" t="str">
        <f>IFERROR((VLOOKUP(F409,'Planilha de Cadastro - Previsão'!$A$2:$N$1100,5,FALSE()))," ")</f>
        <v xml:space="preserve"> </v>
      </c>
      <c r="K409" s="36"/>
      <c r="L409" s="34" t="str">
        <f t="shared" si="28"/>
        <v/>
      </c>
      <c r="M409" s="35" t="str">
        <f t="shared" si="29"/>
        <v/>
      </c>
      <c r="N409" s="39"/>
      <c r="O409" s="36"/>
    </row>
    <row r="410" spans="1:15" x14ac:dyDescent="0.25">
      <c r="A410">
        <f>COUNTIF($C$2:C410,C410)</f>
        <v>409</v>
      </c>
      <c r="B410" s="1" t="str">
        <f t="shared" si="26"/>
        <v>409</v>
      </c>
      <c r="C410" s="1" t="str">
        <f>IFERROR(VLOOKUP(D410,'Planilha de Cadastro - Previsão'!$A$2:$O$1000,15,FALSE()),"")</f>
        <v/>
      </c>
      <c r="D410" s="1">
        <v>409</v>
      </c>
      <c r="F410" s="32" t="str">
        <f t="shared" si="27"/>
        <v/>
      </c>
      <c r="G410" s="33" t="str">
        <f>IFERROR((VLOOKUP(F410,'Planilha de Cadastro - Previsão'!$A$2:$N$1100,2,FALSE()))," ")</f>
        <v xml:space="preserve"> </v>
      </c>
      <c r="H410" s="32" t="str">
        <f>IFERROR((VLOOKUP(F410,'Planilha de Cadastro - Previsão'!$A$2:$N$1100,3,FALSE()))," ")</f>
        <v xml:space="preserve"> </v>
      </c>
      <c r="I410" s="34" t="str">
        <f>IFERROR((VLOOKUP(F410,'Planilha de Cadastro - Previsão'!$A$2:$N$1100,4,FALSE()))," ")</f>
        <v xml:space="preserve"> </v>
      </c>
      <c r="J410" s="34" t="str">
        <f>IFERROR((VLOOKUP(F410,'Planilha de Cadastro - Previsão'!$A$2:$N$1100,5,FALSE()))," ")</f>
        <v xml:space="preserve"> </v>
      </c>
      <c r="K410" s="36"/>
      <c r="L410" s="34" t="str">
        <f t="shared" si="28"/>
        <v/>
      </c>
      <c r="M410" s="35" t="str">
        <f t="shared" si="29"/>
        <v/>
      </c>
      <c r="N410" s="39"/>
      <c r="O410" s="36"/>
    </row>
    <row r="411" spans="1:15" x14ac:dyDescent="0.25">
      <c r="A411">
        <f>COUNTIF($C$2:C411,C411)</f>
        <v>410</v>
      </c>
      <c r="B411" s="1" t="str">
        <f t="shared" si="26"/>
        <v>410</v>
      </c>
      <c r="C411" s="1" t="str">
        <f>IFERROR(VLOOKUP(D411,'Planilha de Cadastro - Previsão'!$A$2:$O$1000,15,FALSE()),"")</f>
        <v/>
      </c>
      <c r="D411" s="1">
        <v>410</v>
      </c>
      <c r="F411" s="32" t="str">
        <f t="shared" si="27"/>
        <v/>
      </c>
      <c r="G411" s="33" t="str">
        <f>IFERROR((VLOOKUP(F411,'Planilha de Cadastro - Previsão'!$A$2:$N$1100,2,FALSE()))," ")</f>
        <v xml:space="preserve"> </v>
      </c>
      <c r="H411" s="32" t="str">
        <f>IFERROR((VLOOKUP(F411,'Planilha de Cadastro - Previsão'!$A$2:$N$1100,3,FALSE()))," ")</f>
        <v xml:space="preserve"> </v>
      </c>
      <c r="I411" s="34" t="str">
        <f>IFERROR((VLOOKUP(F411,'Planilha de Cadastro - Previsão'!$A$2:$N$1100,4,FALSE()))," ")</f>
        <v xml:space="preserve"> </v>
      </c>
      <c r="J411" s="34" t="str">
        <f>IFERROR((VLOOKUP(F411,'Planilha de Cadastro - Previsão'!$A$2:$N$1100,5,FALSE()))," ")</f>
        <v xml:space="preserve"> </v>
      </c>
      <c r="K411" s="36"/>
      <c r="L411" s="34" t="str">
        <f t="shared" si="28"/>
        <v/>
      </c>
      <c r="M411" s="35" t="str">
        <f t="shared" si="29"/>
        <v/>
      </c>
      <c r="N411" s="39"/>
      <c r="O411" s="36"/>
    </row>
    <row r="412" spans="1:15" x14ac:dyDescent="0.25">
      <c r="A412">
        <f>COUNTIF($C$2:C412,C412)</f>
        <v>411</v>
      </c>
      <c r="B412" s="1" t="str">
        <f t="shared" si="26"/>
        <v>411</v>
      </c>
      <c r="C412" s="1" t="str">
        <f>IFERROR(VLOOKUP(D412,'Planilha de Cadastro - Previsão'!$A$2:$O$1000,15,FALSE()),"")</f>
        <v/>
      </c>
      <c r="D412" s="1">
        <v>411</v>
      </c>
      <c r="F412" s="32" t="str">
        <f t="shared" si="27"/>
        <v/>
      </c>
      <c r="G412" s="33" t="str">
        <f>IFERROR((VLOOKUP(F412,'Planilha de Cadastro - Previsão'!$A$2:$N$1100,2,FALSE()))," ")</f>
        <v xml:space="preserve"> </v>
      </c>
      <c r="H412" s="32" t="str">
        <f>IFERROR((VLOOKUP(F412,'Planilha de Cadastro - Previsão'!$A$2:$N$1100,3,FALSE()))," ")</f>
        <v xml:space="preserve"> </v>
      </c>
      <c r="I412" s="34" t="str">
        <f>IFERROR((VLOOKUP(F412,'Planilha de Cadastro - Previsão'!$A$2:$N$1100,4,FALSE()))," ")</f>
        <v xml:space="preserve"> </v>
      </c>
      <c r="J412" s="34" t="str">
        <f>IFERROR((VLOOKUP(F412,'Planilha de Cadastro - Previsão'!$A$2:$N$1100,5,FALSE()))," ")</f>
        <v xml:space="preserve"> </v>
      </c>
      <c r="K412" s="36"/>
      <c r="L412" s="34" t="str">
        <f t="shared" si="28"/>
        <v/>
      </c>
      <c r="M412" s="35" t="str">
        <f t="shared" si="29"/>
        <v/>
      </c>
      <c r="N412" s="39"/>
      <c r="O412" s="36"/>
    </row>
    <row r="413" spans="1:15" x14ac:dyDescent="0.25">
      <c r="A413">
        <f>COUNTIF($C$2:C413,C413)</f>
        <v>412</v>
      </c>
      <c r="B413" s="1" t="str">
        <f t="shared" si="26"/>
        <v>412</v>
      </c>
      <c r="C413" s="1" t="str">
        <f>IFERROR(VLOOKUP(D413,'Planilha de Cadastro - Previsão'!$A$2:$O$1000,15,FALSE()),"")</f>
        <v/>
      </c>
      <c r="D413" s="1">
        <v>412</v>
      </c>
      <c r="F413" s="32" t="str">
        <f t="shared" si="27"/>
        <v/>
      </c>
      <c r="G413" s="33" t="str">
        <f>IFERROR((VLOOKUP(F413,'Planilha de Cadastro - Previsão'!$A$2:$N$1100,2,FALSE()))," ")</f>
        <v xml:space="preserve"> </v>
      </c>
      <c r="H413" s="32" t="str">
        <f>IFERROR((VLOOKUP(F413,'Planilha de Cadastro - Previsão'!$A$2:$N$1100,3,FALSE()))," ")</f>
        <v xml:space="preserve"> </v>
      </c>
      <c r="I413" s="34" t="str">
        <f>IFERROR((VLOOKUP(F413,'Planilha de Cadastro - Previsão'!$A$2:$N$1100,4,FALSE()))," ")</f>
        <v xml:space="preserve"> </v>
      </c>
      <c r="J413" s="34" t="str">
        <f>IFERROR((VLOOKUP(F413,'Planilha de Cadastro - Previsão'!$A$2:$N$1100,5,FALSE()))," ")</f>
        <v xml:space="preserve"> </v>
      </c>
      <c r="K413" s="36"/>
      <c r="L413" s="34" t="str">
        <f t="shared" si="28"/>
        <v/>
      </c>
      <c r="M413" s="35" t="str">
        <f t="shared" si="29"/>
        <v/>
      </c>
      <c r="N413" s="39"/>
      <c r="O413" s="36"/>
    </row>
    <row r="414" spans="1:15" x14ac:dyDescent="0.25">
      <c r="A414">
        <f>COUNTIF($C$2:C414,C414)</f>
        <v>413</v>
      </c>
      <c r="B414" s="1" t="str">
        <f t="shared" si="26"/>
        <v>413</v>
      </c>
      <c r="C414" s="1" t="str">
        <f>IFERROR(VLOOKUP(D414,'Planilha de Cadastro - Previsão'!$A$2:$O$1000,15,FALSE()),"")</f>
        <v/>
      </c>
      <c r="D414" s="1">
        <v>413</v>
      </c>
      <c r="F414" s="32" t="str">
        <f t="shared" si="27"/>
        <v/>
      </c>
      <c r="G414" s="33" t="str">
        <f>IFERROR((VLOOKUP(F414,'Planilha de Cadastro - Previsão'!$A$2:$N$1100,2,FALSE()))," ")</f>
        <v xml:space="preserve"> </v>
      </c>
      <c r="H414" s="32" t="str">
        <f>IFERROR((VLOOKUP(F414,'Planilha de Cadastro - Previsão'!$A$2:$N$1100,3,FALSE()))," ")</f>
        <v xml:space="preserve"> </v>
      </c>
      <c r="I414" s="34" t="str">
        <f>IFERROR((VLOOKUP(F414,'Planilha de Cadastro - Previsão'!$A$2:$N$1100,4,FALSE()))," ")</f>
        <v xml:space="preserve"> </v>
      </c>
      <c r="J414" s="34" t="str">
        <f>IFERROR((VLOOKUP(F414,'Planilha de Cadastro - Previsão'!$A$2:$N$1100,5,FALSE()))," ")</f>
        <v xml:space="preserve"> </v>
      </c>
      <c r="K414" s="36"/>
      <c r="L414" s="34" t="str">
        <f t="shared" si="28"/>
        <v/>
      </c>
      <c r="M414" s="35" t="str">
        <f t="shared" si="29"/>
        <v/>
      </c>
      <c r="N414" s="39"/>
      <c r="O414" s="36"/>
    </row>
    <row r="415" spans="1:15" x14ac:dyDescent="0.25">
      <c r="A415">
        <f>COUNTIF($C$2:C415,C415)</f>
        <v>414</v>
      </c>
      <c r="B415" s="1" t="str">
        <f t="shared" si="26"/>
        <v>414</v>
      </c>
      <c r="C415" s="1" t="str">
        <f>IFERROR(VLOOKUP(D415,'Planilha de Cadastro - Previsão'!$A$2:$O$1000,15,FALSE()),"")</f>
        <v/>
      </c>
      <c r="D415" s="1">
        <v>414</v>
      </c>
      <c r="F415" s="32" t="str">
        <f t="shared" si="27"/>
        <v/>
      </c>
      <c r="G415" s="33" t="str">
        <f>IFERROR((VLOOKUP(F415,'Planilha de Cadastro - Previsão'!$A$2:$N$1100,2,FALSE()))," ")</f>
        <v xml:space="preserve"> </v>
      </c>
      <c r="H415" s="32" t="str">
        <f>IFERROR((VLOOKUP(F415,'Planilha de Cadastro - Previsão'!$A$2:$N$1100,3,FALSE()))," ")</f>
        <v xml:space="preserve"> </v>
      </c>
      <c r="I415" s="34" t="str">
        <f>IFERROR((VLOOKUP(F415,'Planilha de Cadastro - Previsão'!$A$2:$N$1100,4,FALSE()))," ")</f>
        <v xml:space="preserve"> </v>
      </c>
      <c r="J415" s="34" t="str">
        <f>IFERROR((VLOOKUP(F415,'Planilha de Cadastro - Previsão'!$A$2:$N$1100,5,FALSE()))," ")</f>
        <v xml:space="preserve"> </v>
      </c>
      <c r="K415" s="36"/>
      <c r="L415" s="34" t="str">
        <f t="shared" si="28"/>
        <v/>
      </c>
      <c r="M415" s="35" t="str">
        <f t="shared" si="29"/>
        <v/>
      </c>
      <c r="N415" s="39"/>
      <c r="O415" s="36"/>
    </row>
    <row r="416" spans="1:15" x14ac:dyDescent="0.25">
      <c r="A416">
        <f>COUNTIF($C$2:C416,C416)</f>
        <v>415</v>
      </c>
      <c r="B416" s="1" t="str">
        <f t="shared" si="26"/>
        <v>415</v>
      </c>
      <c r="C416" s="1" t="str">
        <f>IFERROR(VLOOKUP(D416,'Planilha de Cadastro - Previsão'!$A$2:$O$1000,15,FALSE()),"")</f>
        <v/>
      </c>
      <c r="D416" s="1">
        <v>415</v>
      </c>
      <c r="F416" s="32" t="str">
        <f t="shared" si="27"/>
        <v/>
      </c>
      <c r="G416" s="33" t="str">
        <f>IFERROR((VLOOKUP(F416,'Planilha de Cadastro - Previsão'!$A$2:$N$1100,2,FALSE()))," ")</f>
        <v xml:space="preserve"> </v>
      </c>
      <c r="H416" s="32" t="str">
        <f>IFERROR((VLOOKUP(F416,'Planilha de Cadastro - Previsão'!$A$2:$N$1100,3,FALSE()))," ")</f>
        <v xml:space="preserve"> </v>
      </c>
      <c r="I416" s="34" t="str">
        <f>IFERROR((VLOOKUP(F416,'Planilha de Cadastro - Previsão'!$A$2:$N$1100,4,FALSE()))," ")</f>
        <v xml:space="preserve"> </v>
      </c>
      <c r="J416" s="34" t="str">
        <f>IFERROR((VLOOKUP(F416,'Planilha de Cadastro - Previsão'!$A$2:$N$1100,5,FALSE()))," ")</f>
        <v xml:space="preserve"> </v>
      </c>
      <c r="K416" s="36"/>
      <c r="L416" s="34" t="str">
        <f t="shared" si="28"/>
        <v/>
      </c>
      <c r="M416" s="35" t="str">
        <f t="shared" si="29"/>
        <v/>
      </c>
      <c r="N416" s="39"/>
      <c r="O416" s="36"/>
    </row>
    <row r="417" spans="1:15" x14ac:dyDescent="0.25">
      <c r="A417">
        <f>COUNTIF($C$2:C417,C417)</f>
        <v>416</v>
      </c>
      <c r="B417" s="1" t="str">
        <f t="shared" si="26"/>
        <v>416</v>
      </c>
      <c r="C417" s="1" t="str">
        <f>IFERROR(VLOOKUP(D417,'Planilha de Cadastro - Previsão'!$A$2:$O$1000,15,FALSE()),"")</f>
        <v/>
      </c>
      <c r="D417" s="1">
        <v>416</v>
      </c>
      <c r="F417" s="32" t="str">
        <f t="shared" si="27"/>
        <v/>
      </c>
      <c r="G417" s="33" t="str">
        <f>IFERROR((VLOOKUP(F417,'Planilha de Cadastro - Previsão'!$A$2:$N$1100,2,FALSE()))," ")</f>
        <v xml:space="preserve"> </v>
      </c>
      <c r="H417" s="32" t="str">
        <f>IFERROR((VLOOKUP(F417,'Planilha de Cadastro - Previsão'!$A$2:$N$1100,3,FALSE()))," ")</f>
        <v xml:space="preserve"> </v>
      </c>
      <c r="I417" s="34" t="str">
        <f>IFERROR((VLOOKUP(F417,'Planilha de Cadastro - Previsão'!$A$2:$N$1100,4,FALSE()))," ")</f>
        <v xml:space="preserve"> </v>
      </c>
      <c r="J417" s="34" t="str">
        <f>IFERROR((VLOOKUP(F417,'Planilha de Cadastro - Previsão'!$A$2:$N$1100,5,FALSE()))," ")</f>
        <v xml:space="preserve"> </v>
      </c>
      <c r="K417" s="36"/>
      <c r="L417" s="34" t="str">
        <f t="shared" si="28"/>
        <v/>
      </c>
      <c r="M417" s="35" t="str">
        <f t="shared" si="29"/>
        <v/>
      </c>
      <c r="N417" s="39"/>
      <c r="O417" s="36"/>
    </row>
    <row r="418" spans="1:15" x14ac:dyDescent="0.25">
      <c r="A418">
        <f>COUNTIF($C$2:C418,C418)</f>
        <v>417</v>
      </c>
      <c r="B418" s="1" t="str">
        <f t="shared" si="26"/>
        <v>417</v>
      </c>
      <c r="C418" s="1" t="str">
        <f>IFERROR(VLOOKUP(D418,'Planilha de Cadastro - Previsão'!$A$2:$O$1000,15,FALSE()),"")</f>
        <v/>
      </c>
      <c r="D418" s="1">
        <v>417</v>
      </c>
      <c r="F418" s="32" t="str">
        <f t="shared" si="27"/>
        <v/>
      </c>
      <c r="G418" s="33" t="str">
        <f>IFERROR((VLOOKUP(F418,'Planilha de Cadastro - Previsão'!$A$2:$N$1100,2,FALSE()))," ")</f>
        <v xml:space="preserve"> </v>
      </c>
      <c r="H418" s="32" t="str">
        <f>IFERROR((VLOOKUP(F418,'Planilha de Cadastro - Previsão'!$A$2:$N$1100,3,FALSE()))," ")</f>
        <v xml:space="preserve"> </v>
      </c>
      <c r="I418" s="34" t="str">
        <f>IFERROR((VLOOKUP(F418,'Planilha de Cadastro - Previsão'!$A$2:$N$1100,4,FALSE()))," ")</f>
        <v xml:space="preserve"> </v>
      </c>
      <c r="J418" s="34" t="str">
        <f>IFERROR((VLOOKUP(F418,'Planilha de Cadastro - Previsão'!$A$2:$N$1100,5,FALSE()))," ")</f>
        <v xml:space="preserve"> </v>
      </c>
      <c r="K418" s="36"/>
      <c r="L418" s="34" t="str">
        <f t="shared" si="28"/>
        <v/>
      </c>
      <c r="M418" s="35" t="str">
        <f t="shared" si="29"/>
        <v/>
      </c>
      <c r="N418" s="39"/>
      <c r="O418" s="36"/>
    </row>
    <row r="419" spans="1:15" x14ac:dyDescent="0.25">
      <c r="A419">
        <f>COUNTIF($C$2:C419,C419)</f>
        <v>418</v>
      </c>
      <c r="B419" s="1" t="str">
        <f t="shared" si="26"/>
        <v>418</v>
      </c>
      <c r="C419" s="1" t="str">
        <f>IFERROR(VLOOKUP(D419,'Planilha de Cadastro - Previsão'!$A$2:$O$1000,15,FALSE()),"")</f>
        <v/>
      </c>
      <c r="D419" s="1">
        <v>418</v>
      </c>
      <c r="F419" s="32" t="str">
        <f t="shared" si="27"/>
        <v/>
      </c>
      <c r="G419" s="33" t="str">
        <f>IFERROR((VLOOKUP(F419,'Planilha de Cadastro - Previsão'!$A$2:$N$1100,2,FALSE()))," ")</f>
        <v xml:space="preserve"> </v>
      </c>
      <c r="H419" s="32" t="str">
        <f>IFERROR((VLOOKUP(F419,'Planilha de Cadastro - Previsão'!$A$2:$N$1100,3,FALSE()))," ")</f>
        <v xml:space="preserve"> </v>
      </c>
      <c r="I419" s="34" t="str">
        <f>IFERROR((VLOOKUP(F419,'Planilha de Cadastro - Previsão'!$A$2:$N$1100,4,FALSE()))," ")</f>
        <v xml:space="preserve"> </v>
      </c>
      <c r="J419" s="34" t="str">
        <f>IFERROR((VLOOKUP(F419,'Planilha de Cadastro - Previsão'!$A$2:$N$1100,5,FALSE()))," ")</f>
        <v xml:space="preserve"> </v>
      </c>
      <c r="K419" s="36"/>
      <c r="L419" s="34" t="str">
        <f t="shared" si="28"/>
        <v/>
      </c>
      <c r="M419" s="35" t="str">
        <f t="shared" si="29"/>
        <v/>
      </c>
      <c r="N419" s="39"/>
      <c r="O419" s="36"/>
    </row>
    <row r="420" spans="1:15" x14ac:dyDescent="0.25">
      <c r="A420">
        <f>COUNTIF($C$2:C420,C420)</f>
        <v>419</v>
      </c>
      <c r="B420" s="1" t="str">
        <f t="shared" si="26"/>
        <v>419</v>
      </c>
      <c r="C420" s="1" t="str">
        <f>IFERROR(VLOOKUP(D420,'Planilha de Cadastro - Previsão'!$A$2:$O$1000,15,FALSE()),"")</f>
        <v/>
      </c>
      <c r="D420" s="1">
        <v>419</v>
      </c>
      <c r="F420" s="32" t="str">
        <f t="shared" si="27"/>
        <v/>
      </c>
      <c r="G420" s="33" t="str">
        <f>IFERROR((VLOOKUP(F420,'Planilha de Cadastro - Previsão'!$A$2:$N$1100,2,FALSE()))," ")</f>
        <v xml:space="preserve"> </v>
      </c>
      <c r="H420" s="32" t="str">
        <f>IFERROR((VLOOKUP(F420,'Planilha de Cadastro - Previsão'!$A$2:$N$1100,3,FALSE()))," ")</f>
        <v xml:space="preserve"> </v>
      </c>
      <c r="I420" s="34" t="str">
        <f>IFERROR((VLOOKUP(F420,'Planilha de Cadastro - Previsão'!$A$2:$N$1100,4,FALSE()))," ")</f>
        <v xml:space="preserve"> </v>
      </c>
      <c r="J420" s="34" t="str">
        <f>IFERROR((VLOOKUP(F420,'Planilha de Cadastro - Previsão'!$A$2:$N$1100,5,FALSE()))," ")</f>
        <v xml:space="preserve"> </v>
      </c>
      <c r="K420" s="36"/>
      <c r="L420" s="34" t="str">
        <f t="shared" si="28"/>
        <v/>
      </c>
      <c r="M420" s="35" t="str">
        <f t="shared" si="29"/>
        <v/>
      </c>
      <c r="N420" s="39"/>
      <c r="O420" s="36"/>
    </row>
    <row r="421" spans="1:15" x14ac:dyDescent="0.25">
      <c r="A421">
        <f>COUNTIF($C$2:C421,C421)</f>
        <v>420</v>
      </c>
      <c r="B421" s="1" t="str">
        <f t="shared" si="26"/>
        <v>420</v>
      </c>
      <c r="C421" s="1" t="str">
        <f>IFERROR(VLOOKUP(D421,'Planilha de Cadastro - Previsão'!$A$2:$O$1000,15,FALSE()),"")</f>
        <v/>
      </c>
      <c r="D421" s="1">
        <v>420</v>
      </c>
      <c r="F421" s="32" t="str">
        <f t="shared" si="27"/>
        <v/>
      </c>
      <c r="G421" s="33" t="str">
        <f>IFERROR((VLOOKUP(F421,'Planilha de Cadastro - Previsão'!$A$2:$N$1100,2,FALSE()))," ")</f>
        <v xml:space="preserve"> </v>
      </c>
      <c r="H421" s="32" t="str">
        <f>IFERROR((VLOOKUP(F421,'Planilha de Cadastro - Previsão'!$A$2:$N$1100,3,FALSE()))," ")</f>
        <v xml:space="preserve"> </v>
      </c>
      <c r="I421" s="34" t="str">
        <f>IFERROR((VLOOKUP(F421,'Planilha de Cadastro - Previsão'!$A$2:$N$1100,4,FALSE()))," ")</f>
        <v xml:space="preserve"> </v>
      </c>
      <c r="J421" s="34" t="str">
        <f>IFERROR((VLOOKUP(F421,'Planilha de Cadastro - Previsão'!$A$2:$N$1100,5,FALSE()))," ")</f>
        <v xml:space="preserve"> </v>
      </c>
      <c r="K421" s="36"/>
      <c r="L421" s="34" t="str">
        <f t="shared" si="28"/>
        <v/>
      </c>
      <c r="M421" s="35" t="str">
        <f t="shared" si="29"/>
        <v/>
      </c>
      <c r="N421" s="39"/>
      <c r="O421" s="36"/>
    </row>
    <row r="422" spans="1:15" x14ac:dyDescent="0.25">
      <c r="A422">
        <f>COUNTIF($C$2:C422,C422)</f>
        <v>421</v>
      </c>
      <c r="B422" s="1" t="str">
        <f t="shared" si="26"/>
        <v>421</v>
      </c>
      <c r="C422" s="1" t="str">
        <f>IFERROR(VLOOKUP(D422,'Planilha de Cadastro - Previsão'!$A$2:$O$1000,15,FALSE()),"")</f>
        <v/>
      </c>
      <c r="D422" s="1">
        <v>421</v>
      </c>
      <c r="F422" s="32" t="str">
        <f t="shared" si="27"/>
        <v/>
      </c>
      <c r="G422" s="33" t="str">
        <f>IFERROR((VLOOKUP(F422,'Planilha de Cadastro - Previsão'!$A$2:$N$1100,2,FALSE()))," ")</f>
        <v xml:space="preserve"> </v>
      </c>
      <c r="H422" s="32" t="str">
        <f>IFERROR((VLOOKUP(F422,'Planilha de Cadastro - Previsão'!$A$2:$N$1100,3,FALSE()))," ")</f>
        <v xml:space="preserve"> </v>
      </c>
      <c r="I422" s="34" t="str">
        <f>IFERROR((VLOOKUP(F422,'Planilha de Cadastro - Previsão'!$A$2:$N$1100,4,FALSE()))," ")</f>
        <v xml:space="preserve"> </v>
      </c>
      <c r="J422" s="34" t="str">
        <f>IFERROR((VLOOKUP(F422,'Planilha de Cadastro - Previsão'!$A$2:$N$1100,5,FALSE()))," ")</f>
        <v xml:space="preserve"> </v>
      </c>
      <c r="K422" s="36"/>
      <c r="L422" s="34" t="str">
        <f t="shared" si="28"/>
        <v/>
      </c>
      <c r="M422" s="35" t="str">
        <f t="shared" si="29"/>
        <v/>
      </c>
      <c r="N422" s="39"/>
      <c r="O422" s="36"/>
    </row>
    <row r="423" spans="1:15" x14ac:dyDescent="0.25">
      <c r="A423">
        <f>COUNTIF($C$2:C423,C423)</f>
        <v>422</v>
      </c>
      <c r="B423" s="1" t="str">
        <f t="shared" si="26"/>
        <v>422</v>
      </c>
      <c r="C423" s="1" t="str">
        <f>IFERROR(VLOOKUP(D423,'Planilha de Cadastro - Previsão'!$A$2:$O$1000,15,FALSE()),"")</f>
        <v/>
      </c>
      <c r="D423" s="1">
        <v>422</v>
      </c>
      <c r="F423" s="32" t="str">
        <f t="shared" si="27"/>
        <v/>
      </c>
      <c r="G423" s="33" t="str">
        <f>IFERROR((VLOOKUP(F423,'Planilha de Cadastro - Previsão'!$A$2:$N$1100,2,FALSE()))," ")</f>
        <v xml:space="preserve"> </v>
      </c>
      <c r="H423" s="32" t="str">
        <f>IFERROR((VLOOKUP(F423,'Planilha de Cadastro - Previsão'!$A$2:$N$1100,3,FALSE()))," ")</f>
        <v xml:space="preserve"> </v>
      </c>
      <c r="I423" s="34" t="str">
        <f>IFERROR((VLOOKUP(F423,'Planilha de Cadastro - Previsão'!$A$2:$N$1100,4,FALSE()))," ")</f>
        <v xml:space="preserve"> </v>
      </c>
      <c r="J423" s="34" t="str">
        <f>IFERROR((VLOOKUP(F423,'Planilha de Cadastro - Previsão'!$A$2:$N$1100,5,FALSE()))," ")</f>
        <v xml:space="preserve"> </v>
      </c>
      <c r="K423" s="36"/>
      <c r="L423" s="34" t="str">
        <f t="shared" si="28"/>
        <v/>
      </c>
      <c r="M423" s="35" t="str">
        <f t="shared" si="29"/>
        <v/>
      </c>
      <c r="N423" s="39"/>
      <c r="O423" s="36"/>
    </row>
    <row r="424" spans="1:15" x14ac:dyDescent="0.25">
      <c r="A424">
        <f>COUNTIF($C$2:C424,C424)</f>
        <v>423</v>
      </c>
      <c r="B424" s="1" t="str">
        <f t="shared" si="26"/>
        <v>423</v>
      </c>
      <c r="C424" s="1" t="str">
        <f>IFERROR(VLOOKUP(D424,'Planilha de Cadastro - Previsão'!$A$2:$O$1000,15,FALSE()),"")</f>
        <v/>
      </c>
      <c r="D424" s="1">
        <v>423</v>
      </c>
      <c r="F424" s="32" t="str">
        <f t="shared" si="27"/>
        <v/>
      </c>
      <c r="G424" s="33" t="str">
        <f>IFERROR((VLOOKUP(F424,'Planilha de Cadastro - Previsão'!$A$2:$N$1100,2,FALSE()))," ")</f>
        <v xml:space="preserve"> </v>
      </c>
      <c r="H424" s="32" t="str">
        <f>IFERROR((VLOOKUP(F424,'Planilha de Cadastro - Previsão'!$A$2:$N$1100,3,FALSE()))," ")</f>
        <v xml:space="preserve"> </v>
      </c>
      <c r="I424" s="34" t="str">
        <f>IFERROR((VLOOKUP(F424,'Planilha de Cadastro - Previsão'!$A$2:$N$1100,4,FALSE()))," ")</f>
        <v xml:space="preserve"> </v>
      </c>
      <c r="J424" s="34" t="str">
        <f>IFERROR((VLOOKUP(F424,'Planilha de Cadastro - Previsão'!$A$2:$N$1100,5,FALSE()))," ")</f>
        <v xml:space="preserve"> </v>
      </c>
      <c r="K424" s="36"/>
      <c r="L424" s="34" t="str">
        <f t="shared" si="28"/>
        <v/>
      </c>
      <c r="M424" s="35" t="str">
        <f t="shared" si="29"/>
        <v/>
      </c>
      <c r="N424" s="39"/>
      <c r="O424" s="36"/>
    </row>
    <row r="425" spans="1:15" x14ac:dyDescent="0.25">
      <c r="A425">
        <f>COUNTIF($C$2:C425,C425)</f>
        <v>424</v>
      </c>
      <c r="B425" s="1" t="str">
        <f t="shared" si="26"/>
        <v>424</v>
      </c>
      <c r="C425" s="1" t="str">
        <f>IFERROR(VLOOKUP(D425,'Planilha de Cadastro - Previsão'!$A$2:$O$1000,15,FALSE()),"")</f>
        <v/>
      </c>
      <c r="D425" s="1">
        <v>424</v>
      </c>
      <c r="F425" s="32" t="str">
        <f t="shared" si="27"/>
        <v/>
      </c>
      <c r="G425" s="33" t="str">
        <f>IFERROR((VLOOKUP(F425,'Planilha de Cadastro - Previsão'!$A$2:$N$1100,2,FALSE()))," ")</f>
        <v xml:space="preserve"> </v>
      </c>
      <c r="H425" s="32" t="str">
        <f>IFERROR((VLOOKUP(F425,'Planilha de Cadastro - Previsão'!$A$2:$N$1100,3,FALSE()))," ")</f>
        <v xml:space="preserve"> </v>
      </c>
      <c r="I425" s="34" t="str">
        <f>IFERROR((VLOOKUP(F425,'Planilha de Cadastro - Previsão'!$A$2:$N$1100,4,FALSE()))," ")</f>
        <v xml:space="preserve"> </v>
      </c>
      <c r="J425" s="34" t="str">
        <f>IFERROR((VLOOKUP(F425,'Planilha de Cadastro - Previsão'!$A$2:$N$1100,5,FALSE()))," ")</f>
        <v xml:space="preserve"> </v>
      </c>
      <c r="K425" s="36"/>
      <c r="L425" s="34" t="str">
        <f t="shared" si="28"/>
        <v/>
      </c>
      <c r="M425" s="35" t="str">
        <f t="shared" si="29"/>
        <v/>
      </c>
      <c r="N425" s="39"/>
      <c r="O425" s="36"/>
    </row>
    <row r="426" spans="1:15" x14ac:dyDescent="0.25">
      <c r="A426">
        <f>COUNTIF($C$2:C426,C426)</f>
        <v>425</v>
      </c>
      <c r="B426" s="1" t="str">
        <f t="shared" si="26"/>
        <v>425</v>
      </c>
      <c r="C426" s="1" t="str">
        <f>IFERROR(VLOOKUP(D426,'Planilha de Cadastro - Previsão'!$A$2:$O$1000,15,FALSE()),"")</f>
        <v/>
      </c>
      <c r="D426" s="1">
        <v>425</v>
      </c>
      <c r="F426" s="32" t="str">
        <f t="shared" si="27"/>
        <v/>
      </c>
      <c r="G426" s="33" t="str">
        <f>IFERROR((VLOOKUP(F426,'Planilha de Cadastro - Previsão'!$A$2:$N$1100,2,FALSE()))," ")</f>
        <v xml:space="preserve"> </v>
      </c>
      <c r="H426" s="32" t="str">
        <f>IFERROR((VLOOKUP(F426,'Planilha de Cadastro - Previsão'!$A$2:$N$1100,3,FALSE()))," ")</f>
        <v xml:space="preserve"> </v>
      </c>
      <c r="I426" s="34" t="str">
        <f>IFERROR((VLOOKUP(F426,'Planilha de Cadastro - Previsão'!$A$2:$N$1100,4,FALSE()))," ")</f>
        <v xml:space="preserve"> </v>
      </c>
      <c r="J426" s="34" t="str">
        <f>IFERROR((VLOOKUP(F426,'Planilha de Cadastro - Previsão'!$A$2:$N$1100,5,FALSE()))," ")</f>
        <v xml:space="preserve"> </v>
      </c>
      <c r="K426" s="36"/>
      <c r="L426" s="34" t="str">
        <f t="shared" si="28"/>
        <v/>
      </c>
      <c r="M426" s="35" t="str">
        <f t="shared" si="29"/>
        <v/>
      </c>
      <c r="N426" s="39"/>
      <c r="O426" s="36"/>
    </row>
    <row r="427" spans="1:15" x14ac:dyDescent="0.25">
      <c r="A427">
        <f>COUNTIF($C$2:C427,C427)</f>
        <v>426</v>
      </c>
      <c r="B427" s="1" t="str">
        <f t="shared" si="26"/>
        <v>426</v>
      </c>
      <c r="C427" s="1" t="str">
        <f>IFERROR(VLOOKUP(D427,'Planilha de Cadastro - Previsão'!$A$2:$O$1000,15,FALSE()),"")</f>
        <v/>
      </c>
      <c r="D427" s="1">
        <v>426</v>
      </c>
      <c r="F427" s="32" t="str">
        <f t="shared" si="27"/>
        <v/>
      </c>
      <c r="G427" s="33" t="str">
        <f>IFERROR((VLOOKUP(F427,'Planilha de Cadastro - Previsão'!$A$2:$N$1100,2,FALSE()))," ")</f>
        <v xml:space="preserve"> </v>
      </c>
      <c r="H427" s="32" t="str">
        <f>IFERROR((VLOOKUP(F427,'Planilha de Cadastro - Previsão'!$A$2:$N$1100,3,FALSE()))," ")</f>
        <v xml:space="preserve"> </v>
      </c>
      <c r="I427" s="34" t="str">
        <f>IFERROR((VLOOKUP(F427,'Planilha de Cadastro - Previsão'!$A$2:$N$1100,4,FALSE()))," ")</f>
        <v xml:space="preserve"> </v>
      </c>
      <c r="J427" s="34" t="str">
        <f>IFERROR((VLOOKUP(F427,'Planilha de Cadastro - Previsão'!$A$2:$N$1100,5,FALSE()))," ")</f>
        <v xml:space="preserve"> </v>
      </c>
      <c r="K427" s="36"/>
      <c r="L427" s="34" t="str">
        <f t="shared" si="28"/>
        <v/>
      </c>
      <c r="M427" s="35" t="str">
        <f t="shared" si="29"/>
        <v/>
      </c>
      <c r="N427" s="39"/>
      <c r="O427" s="36"/>
    </row>
    <row r="428" spans="1:15" x14ac:dyDescent="0.25">
      <c r="A428">
        <f>COUNTIF($C$2:C428,C428)</f>
        <v>427</v>
      </c>
      <c r="B428" s="1" t="str">
        <f t="shared" si="26"/>
        <v>427</v>
      </c>
      <c r="C428" s="1" t="str">
        <f>IFERROR(VLOOKUP(D428,'Planilha de Cadastro - Previsão'!$A$2:$O$1000,15,FALSE()),"")</f>
        <v/>
      </c>
      <c r="D428" s="1">
        <v>427</v>
      </c>
      <c r="F428" s="32" t="str">
        <f t="shared" si="27"/>
        <v/>
      </c>
      <c r="G428" s="33" t="str">
        <f>IFERROR((VLOOKUP(F428,'Planilha de Cadastro - Previsão'!$A$2:$N$1100,2,FALSE()))," ")</f>
        <v xml:space="preserve"> </v>
      </c>
      <c r="H428" s="32" t="str">
        <f>IFERROR((VLOOKUP(F428,'Planilha de Cadastro - Previsão'!$A$2:$N$1100,3,FALSE()))," ")</f>
        <v xml:space="preserve"> </v>
      </c>
      <c r="I428" s="34" t="str">
        <f>IFERROR((VLOOKUP(F428,'Planilha de Cadastro - Previsão'!$A$2:$N$1100,4,FALSE()))," ")</f>
        <v xml:space="preserve"> </v>
      </c>
      <c r="J428" s="34" t="str">
        <f>IFERROR((VLOOKUP(F428,'Planilha de Cadastro - Previsão'!$A$2:$N$1100,5,FALSE()))," ")</f>
        <v xml:space="preserve"> </v>
      </c>
      <c r="K428" s="36"/>
      <c r="L428" s="34" t="str">
        <f t="shared" si="28"/>
        <v/>
      </c>
      <c r="M428" s="35" t="str">
        <f t="shared" si="29"/>
        <v/>
      </c>
      <c r="N428" s="39"/>
      <c r="O428" s="36"/>
    </row>
    <row r="429" spans="1:15" x14ac:dyDescent="0.25">
      <c r="A429">
        <f>COUNTIF($C$2:C429,C429)</f>
        <v>428</v>
      </c>
      <c r="B429" s="1" t="str">
        <f t="shared" si="26"/>
        <v>428</v>
      </c>
      <c r="C429" s="1" t="str">
        <f>IFERROR(VLOOKUP(D429,'Planilha de Cadastro - Previsão'!$A$2:$O$1000,15,FALSE()),"")</f>
        <v/>
      </c>
      <c r="D429" s="1">
        <v>428</v>
      </c>
      <c r="F429" s="32" t="str">
        <f t="shared" si="27"/>
        <v/>
      </c>
      <c r="G429" s="33" t="str">
        <f>IFERROR((VLOOKUP(F429,'Planilha de Cadastro - Previsão'!$A$2:$N$1100,2,FALSE()))," ")</f>
        <v xml:space="preserve"> </v>
      </c>
      <c r="H429" s="32" t="str">
        <f>IFERROR((VLOOKUP(F429,'Planilha de Cadastro - Previsão'!$A$2:$N$1100,3,FALSE()))," ")</f>
        <v xml:space="preserve"> </v>
      </c>
      <c r="I429" s="34" t="str">
        <f>IFERROR((VLOOKUP(F429,'Planilha de Cadastro - Previsão'!$A$2:$N$1100,4,FALSE()))," ")</f>
        <v xml:space="preserve"> </v>
      </c>
      <c r="J429" s="34" t="str">
        <f>IFERROR((VLOOKUP(F429,'Planilha de Cadastro - Previsão'!$A$2:$N$1100,5,FALSE()))," ")</f>
        <v xml:space="preserve"> </v>
      </c>
      <c r="K429" s="36"/>
      <c r="L429" s="34" t="str">
        <f t="shared" si="28"/>
        <v/>
      </c>
      <c r="M429" s="35" t="str">
        <f t="shared" si="29"/>
        <v/>
      </c>
      <c r="N429" s="39"/>
      <c r="O429" s="36"/>
    </row>
    <row r="430" spans="1:15" x14ac:dyDescent="0.25">
      <c r="A430">
        <f>COUNTIF($C$2:C430,C430)</f>
        <v>429</v>
      </c>
      <c r="B430" s="1" t="str">
        <f t="shared" si="26"/>
        <v>429</v>
      </c>
      <c r="C430" s="1" t="str">
        <f>IFERROR(VLOOKUP(D430,'Planilha de Cadastro - Previsão'!$A$2:$O$1000,15,FALSE()),"")</f>
        <v/>
      </c>
      <c r="D430" s="1">
        <v>429</v>
      </c>
      <c r="F430" s="32" t="str">
        <f t="shared" si="27"/>
        <v/>
      </c>
      <c r="G430" s="33" t="str">
        <f>IFERROR((VLOOKUP(F430,'Planilha de Cadastro - Previsão'!$A$2:$N$1100,2,FALSE()))," ")</f>
        <v xml:space="preserve"> </v>
      </c>
      <c r="H430" s="32" t="str">
        <f>IFERROR((VLOOKUP(F430,'Planilha de Cadastro - Previsão'!$A$2:$N$1100,3,FALSE()))," ")</f>
        <v xml:space="preserve"> </v>
      </c>
      <c r="I430" s="34" t="str">
        <f>IFERROR((VLOOKUP(F430,'Planilha de Cadastro - Previsão'!$A$2:$N$1100,4,FALSE()))," ")</f>
        <v xml:space="preserve"> </v>
      </c>
      <c r="J430" s="34" t="str">
        <f>IFERROR((VLOOKUP(F430,'Planilha de Cadastro - Previsão'!$A$2:$N$1100,5,FALSE()))," ")</f>
        <v xml:space="preserve"> </v>
      </c>
      <c r="K430" s="36"/>
      <c r="L430" s="34" t="str">
        <f t="shared" si="28"/>
        <v/>
      </c>
      <c r="M430" s="35" t="str">
        <f t="shared" si="29"/>
        <v/>
      </c>
      <c r="N430" s="39"/>
      <c r="O430" s="36"/>
    </row>
    <row r="431" spans="1:15" x14ac:dyDescent="0.25">
      <c r="A431">
        <f>COUNTIF($C$2:C431,C431)</f>
        <v>430</v>
      </c>
      <c r="B431" s="1" t="str">
        <f t="shared" si="26"/>
        <v>430</v>
      </c>
      <c r="C431" s="1" t="str">
        <f>IFERROR(VLOOKUP(D431,'Planilha de Cadastro - Previsão'!$A$2:$O$1000,15,FALSE()),"")</f>
        <v/>
      </c>
      <c r="D431" s="1">
        <v>430</v>
      </c>
      <c r="F431" s="32" t="str">
        <f t="shared" si="27"/>
        <v/>
      </c>
      <c r="G431" s="33" t="str">
        <f>IFERROR((VLOOKUP(F431,'Planilha de Cadastro - Previsão'!$A$2:$N$1100,2,FALSE()))," ")</f>
        <v xml:space="preserve"> </v>
      </c>
      <c r="H431" s="32" t="str">
        <f>IFERROR((VLOOKUP(F431,'Planilha de Cadastro - Previsão'!$A$2:$N$1100,3,FALSE()))," ")</f>
        <v xml:space="preserve"> </v>
      </c>
      <c r="I431" s="34" t="str">
        <f>IFERROR((VLOOKUP(F431,'Planilha de Cadastro - Previsão'!$A$2:$N$1100,4,FALSE()))," ")</f>
        <v xml:space="preserve"> </v>
      </c>
      <c r="J431" s="34" t="str">
        <f>IFERROR((VLOOKUP(F431,'Planilha de Cadastro - Previsão'!$A$2:$N$1100,5,FALSE()))," ")</f>
        <v xml:space="preserve"> </v>
      </c>
      <c r="K431" s="36"/>
      <c r="L431" s="34" t="str">
        <f t="shared" si="28"/>
        <v/>
      </c>
      <c r="M431" s="35" t="str">
        <f t="shared" si="29"/>
        <v/>
      </c>
      <c r="N431" s="39"/>
      <c r="O431" s="36"/>
    </row>
    <row r="432" spans="1:15" x14ac:dyDescent="0.25">
      <c r="A432">
        <f>COUNTIF($C$2:C432,C432)</f>
        <v>431</v>
      </c>
      <c r="B432" s="1" t="str">
        <f t="shared" si="26"/>
        <v>431</v>
      </c>
      <c r="C432" s="1" t="str">
        <f>IFERROR(VLOOKUP(D432,'Planilha de Cadastro - Previsão'!$A$2:$O$1000,15,FALSE()),"")</f>
        <v/>
      </c>
      <c r="D432" s="1">
        <v>431</v>
      </c>
      <c r="F432" s="32" t="str">
        <f t="shared" si="27"/>
        <v/>
      </c>
      <c r="G432" s="33" t="str">
        <f>IFERROR((VLOOKUP(F432,'Planilha de Cadastro - Previsão'!$A$2:$N$1100,2,FALSE()))," ")</f>
        <v xml:space="preserve"> </v>
      </c>
      <c r="H432" s="32" t="str">
        <f>IFERROR((VLOOKUP(F432,'Planilha de Cadastro - Previsão'!$A$2:$N$1100,3,FALSE()))," ")</f>
        <v xml:space="preserve"> </v>
      </c>
      <c r="I432" s="34" t="str">
        <f>IFERROR((VLOOKUP(F432,'Planilha de Cadastro - Previsão'!$A$2:$N$1100,4,FALSE()))," ")</f>
        <v xml:space="preserve"> </v>
      </c>
      <c r="J432" s="34" t="str">
        <f>IFERROR((VLOOKUP(F432,'Planilha de Cadastro - Previsão'!$A$2:$N$1100,5,FALSE()))," ")</f>
        <v xml:space="preserve"> </v>
      </c>
      <c r="K432" s="36"/>
      <c r="L432" s="34" t="str">
        <f t="shared" si="28"/>
        <v/>
      </c>
      <c r="M432" s="35" t="str">
        <f t="shared" si="29"/>
        <v/>
      </c>
      <c r="N432" s="39"/>
      <c r="O432" s="36"/>
    </row>
    <row r="433" spans="1:15" x14ac:dyDescent="0.25">
      <c r="A433">
        <f>COUNTIF($C$2:C433,C433)</f>
        <v>432</v>
      </c>
      <c r="B433" s="1" t="str">
        <f t="shared" si="26"/>
        <v>432</v>
      </c>
      <c r="C433" s="1" t="str">
        <f>IFERROR(VLOOKUP(D433,'Planilha de Cadastro - Previsão'!$A$2:$O$1000,15,FALSE()),"")</f>
        <v/>
      </c>
      <c r="D433" s="1">
        <v>432</v>
      </c>
      <c r="F433" s="32" t="str">
        <f t="shared" si="27"/>
        <v/>
      </c>
      <c r="G433" s="33" t="str">
        <f>IFERROR((VLOOKUP(F433,'Planilha de Cadastro - Previsão'!$A$2:$N$1100,2,FALSE()))," ")</f>
        <v xml:space="preserve"> </v>
      </c>
      <c r="H433" s="32" t="str">
        <f>IFERROR((VLOOKUP(F433,'Planilha de Cadastro - Previsão'!$A$2:$N$1100,3,FALSE()))," ")</f>
        <v xml:space="preserve"> </v>
      </c>
      <c r="I433" s="34" t="str">
        <f>IFERROR((VLOOKUP(F433,'Planilha de Cadastro - Previsão'!$A$2:$N$1100,4,FALSE()))," ")</f>
        <v xml:space="preserve"> </v>
      </c>
      <c r="J433" s="34" t="str">
        <f>IFERROR((VLOOKUP(F433,'Planilha de Cadastro - Previsão'!$A$2:$N$1100,5,FALSE()))," ")</f>
        <v xml:space="preserve"> </v>
      </c>
      <c r="K433" s="36"/>
      <c r="L433" s="34" t="str">
        <f t="shared" si="28"/>
        <v/>
      </c>
      <c r="M433" s="35" t="str">
        <f t="shared" si="29"/>
        <v/>
      </c>
      <c r="N433" s="39"/>
      <c r="O433" s="36"/>
    </row>
    <row r="434" spans="1:15" x14ac:dyDescent="0.25">
      <c r="A434">
        <f>COUNTIF($C$2:C434,C434)</f>
        <v>433</v>
      </c>
      <c r="B434" s="1" t="str">
        <f t="shared" si="26"/>
        <v>433</v>
      </c>
      <c r="C434" s="1" t="str">
        <f>IFERROR(VLOOKUP(D434,'Planilha de Cadastro - Previsão'!$A$2:$O$1000,15,FALSE()),"")</f>
        <v/>
      </c>
      <c r="D434" s="1">
        <v>433</v>
      </c>
      <c r="F434" s="32" t="str">
        <f t="shared" si="27"/>
        <v/>
      </c>
      <c r="G434" s="33" t="str">
        <f>IFERROR((VLOOKUP(F434,'Planilha de Cadastro - Previsão'!$A$2:$N$1100,2,FALSE()))," ")</f>
        <v xml:space="preserve"> </v>
      </c>
      <c r="H434" s="32" t="str">
        <f>IFERROR((VLOOKUP(F434,'Planilha de Cadastro - Previsão'!$A$2:$N$1100,3,FALSE()))," ")</f>
        <v xml:space="preserve"> </v>
      </c>
      <c r="I434" s="34" t="str">
        <f>IFERROR((VLOOKUP(F434,'Planilha de Cadastro - Previsão'!$A$2:$N$1100,4,FALSE()))," ")</f>
        <v xml:space="preserve"> </v>
      </c>
      <c r="J434" s="34" t="str">
        <f>IFERROR((VLOOKUP(F434,'Planilha de Cadastro - Previsão'!$A$2:$N$1100,5,FALSE()))," ")</f>
        <v xml:space="preserve"> </v>
      </c>
      <c r="K434" s="36"/>
      <c r="L434" s="34" t="str">
        <f t="shared" si="28"/>
        <v/>
      </c>
      <c r="M434" s="35" t="str">
        <f t="shared" si="29"/>
        <v/>
      </c>
      <c r="N434" s="39"/>
      <c r="O434" s="36"/>
    </row>
    <row r="435" spans="1:15" x14ac:dyDescent="0.25">
      <c r="A435">
        <f>COUNTIF($C$2:C435,C435)</f>
        <v>434</v>
      </c>
      <c r="B435" s="1" t="str">
        <f t="shared" si="26"/>
        <v>434</v>
      </c>
      <c r="C435" s="1" t="str">
        <f>IFERROR(VLOOKUP(D435,'Planilha de Cadastro - Previsão'!$A$2:$O$1000,15,FALSE()),"")</f>
        <v/>
      </c>
      <c r="D435" s="1">
        <v>434</v>
      </c>
      <c r="F435" s="32" t="str">
        <f t="shared" si="27"/>
        <v/>
      </c>
      <c r="G435" s="33" t="str">
        <f>IFERROR((VLOOKUP(F435,'Planilha de Cadastro - Previsão'!$A$2:$N$1100,2,FALSE()))," ")</f>
        <v xml:space="preserve"> </v>
      </c>
      <c r="H435" s="32" t="str">
        <f>IFERROR((VLOOKUP(F435,'Planilha de Cadastro - Previsão'!$A$2:$N$1100,3,FALSE()))," ")</f>
        <v xml:space="preserve"> </v>
      </c>
      <c r="I435" s="34" t="str">
        <f>IFERROR((VLOOKUP(F435,'Planilha de Cadastro - Previsão'!$A$2:$N$1100,4,FALSE()))," ")</f>
        <v xml:space="preserve"> </v>
      </c>
      <c r="J435" s="34" t="str">
        <f>IFERROR((VLOOKUP(F435,'Planilha de Cadastro - Previsão'!$A$2:$N$1100,5,FALSE()))," ")</f>
        <v xml:space="preserve"> </v>
      </c>
      <c r="K435" s="36"/>
      <c r="L435" s="34" t="str">
        <f t="shared" si="28"/>
        <v/>
      </c>
      <c r="M435" s="35" t="str">
        <f t="shared" si="29"/>
        <v/>
      </c>
      <c r="N435" s="39"/>
      <c r="O435" s="36"/>
    </row>
    <row r="436" spans="1:15" x14ac:dyDescent="0.25">
      <c r="A436">
        <f>COUNTIF($C$2:C436,C436)</f>
        <v>435</v>
      </c>
      <c r="B436" s="1" t="str">
        <f t="shared" si="26"/>
        <v>435</v>
      </c>
      <c r="C436" s="1" t="str">
        <f>IFERROR(VLOOKUP(D436,'Planilha de Cadastro - Previsão'!$A$2:$O$1000,15,FALSE()),"")</f>
        <v/>
      </c>
      <c r="D436" s="1">
        <v>435</v>
      </c>
      <c r="F436" s="32" t="str">
        <f t="shared" si="27"/>
        <v/>
      </c>
      <c r="G436" s="33" t="str">
        <f>IFERROR((VLOOKUP(F436,'Planilha de Cadastro - Previsão'!$A$2:$N$1100,2,FALSE()))," ")</f>
        <v xml:space="preserve"> </v>
      </c>
      <c r="H436" s="32" t="str">
        <f>IFERROR((VLOOKUP(F436,'Planilha de Cadastro - Previsão'!$A$2:$N$1100,3,FALSE()))," ")</f>
        <v xml:space="preserve"> </v>
      </c>
      <c r="I436" s="34" t="str">
        <f>IFERROR((VLOOKUP(F436,'Planilha de Cadastro - Previsão'!$A$2:$N$1100,4,FALSE()))," ")</f>
        <v xml:space="preserve"> </v>
      </c>
      <c r="J436" s="34" t="str">
        <f>IFERROR((VLOOKUP(F436,'Planilha de Cadastro - Previsão'!$A$2:$N$1100,5,FALSE()))," ")</f>
        <v xml:space="preserve"> </v>
      </c>
      <c r="K436" s="36"/>
      <c r="L436" s="34" t="str">
        <f t="shared" si="28"/>
        <v/>
      </c>
      <c r="M436" s="35" t="str">
        <f t="shared" si="29"/>
        <v/>
      </c>
      <c r="N436" s="39"/>
      <c r="O436" s="36"/>
    </row>
    <row r="437" spans="1:15" x14ac:dyDescent="0.25">
      <c r="A437">
        <f>COUNTIF($C$2:C437,C437)</f>
        <v>436</v>
      </c>
      <c r="B437" s="1" t="str">
        <f t="shared" si="26"/>
        <v>436</v>
      </c>
      <c r="C437" s="1" t="str">
        <f>IFERROR(VLOOKUP(D437,'Planilha de Cadastro - Previsão'!$A$2:$O$1000,15,FALSE()),"")</f>
        <v/>
      </c>
      <c r="D437" s="1">
        <v>436</v>
      </c>
      <c r="F437" s="32" t="str">
        <f t="shared" si="27"/>
        <v/>
      </c>
      <c r="G437" s="33" t="str">
        <f>IFERROR((VLOOKUP(F437,'Planilha de Cadastro - Previsão'!$A$2:$N$1100,2,FALSE()))," ")</f>
        <v xml:space="preserve"> </v>
      </c>
      <c r="H437" s="32" t="str">
        <f>IFERROR((VLOOKUP(F437,'Planilha de Cadastro - Previsão'!$A$2:$N$1100,3,FALSE()))," ")</f>
        <v xml:space="preserve"> </v>
      </c>
      <c r="I437" s="34" t="str">
        <f>IFERROR((VLOOKUP(F437,'Planilha de Cadastro - Previsão'!$A$2:$N$1100,4,FALSE()))," ")</f>
        <v xml:space="preserve"> </v>
      </c>
      <c r="J437" s="34" t="str">
        <f>IFERROR((VLOOKUP(F437,'Planilha de Cadastro - Previsão'!$A$2:$N$1100,5,FALSE()))," ")</f>
        <v xml:space="preserve"> </v>
      </c>
      <c r="K437" s="36"/>
      <c r="L437" s="34" t="str">
        <f t="shared" si="28"/>
        <v/>
      </c>
      <c r="M437" s="35" t="str">
        <f t="shared" si="29"/>
        <v/>
      </c>
      <c r="N437" s="39"/>
      <c r="O437" s="36"/>
    </row>
    <row r="438" spans="1:15" x14ac:dyDescent="0.25">
      <c r="A438">
        <f>COUNTIF($C$2:C438,C438)</f>
        <v>437</v>
      </c>
      <c r="B438" s="1" t="str">
        <f t="shared" si="26"/>
        <v>437</v>
      </c>
      <c r="C438" s="1" t="str">
        <f>IFERROR(VLOOKUP(D438,'Planilha de Cadastro - Previsão'!$A$2:$O$1000,15,FALSE()),"")</f>
        <v/>
      </c>
      <c r="D438" s="1">
        <v>437</v>
      </c>
      <c r="F438" s="32" t="str">
        <f t="shared" si="27"/>
        <v/>
      </c>
      <c r="G438" s="33" t="str">
        <f>IFERROR((VLOOKUP(F438,'Planilha de Cadastro - Previsão'!$A$2:$N$1100,2,FALSE()))," ")</f>
        <v xml:space="preserve"> </v>
      </c>
      <c r="H438" s="32" t="str">
        <f>IFERROR((VLOOKUP(F438,'Planilha de Cadastro - Previsão'!$A$2:$N$1100,3,FALSE()))," ")</f>
        <v xml:space="preserve"> </v>
      </c>
      <c r="I438" s="34" t="str">
        <f>IFERROR((VLOOKUP(F438,'Planilha de Cadastro - Previsão'!$A$2:$N$1100,4,FALSE()))," ")</f>
        <v xml:space="preserve"> </v>
      </c>
      <c r="J438" s="34" t="str">
        <f>IFERROR((VLOOKUP(F438,'Planilha de Cadastro - Previsão'!$A$2:$N$1100,5,FALSE()))," ")</f>
        <v xml:space="preserve"> </v>
      </c>
      <c r="K438" s="36"/>
      <c r="L438" s="34" t="str">
        <f t="shared" si="28"/>
        <v/>
      </c>
      <c r="M438" s="35" t="str">
        <f t="shared" si="29"/>
        <v/>
      </c>
      <c r="N438" s="39"/>
      <c r="O438" s="36"/>
    </row>
    <row r="439" spans="1:15" x14ac:dyDescent="0.25">
      <c r="A439">
        <f>COUNTIF($C$2:C439,C439)</f>
        <v>438</v>
      </c>
      <c r="B439" s="1" t="str">
        <f t="shared" si="26"/>
        <v>438</v>
      </c>
      <c r="C439" s="1" t="str">
        <f>IFERROR(VLOOKUP(D439,'Planilha de Cadastro - Previsão'!$A$2:$O$1000,15,FALSE()),"")</f>
        <v/>
      </c>
      <c r="D439" s="1">
        <v>438</v>
      </c>
      <c r="F439" s="32" t="str">
        <f t="shared" si="27"/>
        <v/>
      </c>
      <c r="G439" s="33" t="str">
        <f>IFERROR((VLOOKUP(F439,'Planilha de Cadastro - Previsão'!$A$2:$N$1100,2,FALSE()))," ")</f>
        <v xml:space="preserve"> </v>
      </c>
      <c r="H439" s="32" t="str">
        <f>IFERROR((VLOOKUP(F439,'Planilha de Cadastro - Previsão'!$A$2:$N$1100,3,FALSE()))," ")</f>
        <v xml:space="preserve"> </v>
      </c>
      <c r="I439" s="34" t="str">
        <f>IFERROR((VLOOKUP(F439,'Planilha de Cadastro - Previsão'!$A$2:$N$1100,4,FALSE()))," ")</f>
        <v xml:space="preserve"> </v>
      </c>
      <c r="J439" s="34" t="str">
        <f>IFERROR((VLOOKUP(F439,'Planilha de Cadastro - Previsão'!$A$2:$N$1100,5,FALSE()))," ")</f>
        <v xml:space="preserve"> </v>
      </c>
      <c r="K439" s="36"/>
      <c r="L439" s="34" t="str">
        <f t="shared" si="28"/>
        <v/>
      </c>
      <c r="M439" s="35" t="str">
        <f t="shared" si="29"/>
        <v/>
      </c>
      <c r="N439" s="39"/>
      <c r="O439" s="36"/>
    </row>
    <row r="440" spans="1:15" x14ac:dyDescent="0.25">
      <c r="A440">
        <f>COUNTIF($C$2:C440,C440)</f>
        <v>439</v>
      </c>
      <c r="B440" s="1" t="str">
        <f t="shared" si="26"/>
        <v>439</v>
      </c>
      <c r="C440" s="1" t="str">
        <f>IFERROR(VLOOKUP(D440,'Planilha de Cadastro - Previsão'!$A$2:$O$1000,15,FALSE()),"")</f>
        <v/>
      </c>
      <c r="D440" s="1">
        <v>439</v>
      </c>
      <c r="F440" s="32" t="str">
        <f t="shared" si="27"/>
        <v/>
      </c>
      <c r="G440" s="33" t="str">
        <f>IFERROR((VLOOKUP(F440,'Planilha de Cadastro - Previsão'!$A$2:$N$1100,2,FALSE()))," ")</f>
        <v xml:space="preserve"> </v>
      </c>
      <c r="H440" s="32" t="str">
        <f>IFERROR((VLOOKUP(F440,'Planilha de Cadastro - Previsão'!$A$2:$N$1100,3,FALSE()))," ")</f>
        <v xml:space="preserve"> </v>
      </c>
      <c r="I440" s="34" t="str">
        <f>IFERROR((VLOOKUP(F440,'Planilha de Cadastro - Previsão'!$A$2:$N$1100,4,FALSE()))," ")</f>
        <v xml:space="preserve"> </v>
      </c>
      <c r="J440" s="34" t="str">
        <f>IFERROR((VLOOKUP(F440,'Planilha de Cadastro - Previsão'!$A$2:$N$1100,5,FALSE()))," ")</f>
        <v xml:space="preserve"> </v>
      </c>
      <c r="K440" s="36"/>
      <c r="L440" s="34" t="str">
        <f t="shared" si="28"/>
        <v/>
      </c>
      <c r="M440" s="35" t="str">
        <f t="shared" si="29"/>
        <v/>
      </c>
      <c r="N440" s="39"/>
      <c r="O440" s="36"/>
    </row>
    <row r="441" spans="1:15" x14ac:dyDescent="0.25">
      <c r="A441">
        <f>COUNTIF($C$2:C441,C441)</f>
        <v>440</v>
      </c>
      <c r="B441" s="1" t="str">
        <f t="shared" si="26"/>
        <v>440</v>
      </c>
      <c r="C441" s="1" t="str">
        <f>IFERROR(VLOOKUP(D441,'Planilha de Cadastro - Previsão'!$A$2:$O$1000,15,FALSE()),"")</f>
        <v/>
      </c>
      <c r="D441" s="1">
        <v>440</v>
      </c>
      <c r="F441" s="32" t="str">
        <f t="shared" si="27"/>
        <v/>
      </c>
      <c r="G441" s="33" t="str">
        <f>IFERROR((VLOOKUP(F441,'Planilha de Cadastro - Previsão'!$A$2:$N$1100,2,FALSE()))," ")</f>
        <v xml:space="preserve"> </v>
      </c>
      <c r="H441" s="32" t="str">
        <f>IFERROR((VLOOKUP(F441,'Planilha de Cadastro - Previsão'!$A$2:$N$1100,3,FALSE()))," ")</f>
        <v xml:space="preserve"> </v>
      </c>
      <c r="I441" s="34" t="str">
        <f>IFERROR((VLOOKUP(F441,'Planilha de Cadastro - Previsão'!$A$2:$N$1100,4,FALSE()))," ")</f>
        <v xml:space="preserve"> </v>
      </c>
      <c r="J441" s="34" t="str">
        <f>IFERROR((VLOOKUP(F441,'Planilha de Cadastro - Previsão'!$A$2:$N$1100,5,FALSE()))," ")</f>
        <v xml:space="preserve"> </v>
      </c>
      <c r="K441" s="36"/>
      <c r="L441" s="34" t="str">
        <f t="shared" si="28"/>
        <v/>
      </c>
      <c r="M441" s="35" t="str">
        <f t="shared" si="29"/>
        <v/>
      </c>
      <c r="N441" s="39"/>
      <c r="O441" s="36"/>
    </row>
    <row r="442" spans="1:15" x14ac:dyDescent="0.25">
      <c r="A442">
        <f>COUNTIF($C$2:C442,C442)</f>
        <v>441</v>
      </c>
      <c r="B442" s="1" t="str">
        <f t="shared" si="26"/>
        <v>441</v>
      </c>
      <c r="C442" s="1" t="str">
        <f>IFERROR(VLOOKUP(D442,'Planilha de Cadastro - Previsão'!$A$2:$O$1000,15,FALSE()),"")</f>
        <v/>
      </c>
      <c r="D442" s="1">
        <v>441</v>
      </c>
      <c r="F442" s="32" t="str">
        <f t="shared" si="27"/>
        <v/>
      </c>
      <c r="G442" s="33" t="str">
        <f>IFERROR((VLOOKUP(F442,'Planilha de Cadastro - Previsão'!$A$2:$N$1100,2,FALSE()))," ")</f>
        <v xml:space="preserve"> </v>
      </c>
      <c r="H442" s="32" t="str">
        <f>IFERROR((VLOOKUP(F442,'Planilha de Cadastro - Previsão'!$A$2:$N$1100,3,FALSE()))," ")</f>
        <v xml:space="preserve"> </v>
      </c>
      <c r="I442" s="34" t="str">
        <f>IFERROR((VLOOKUP(F442,'Planilha de Cadastro - Previsão'!$A$2:$N$1100,4,FALSE()))," ")</f>
        <v xml:space="preserve"> </v>
      </c>
      <c r="J442" s="34" t="str">
        <f>IFERROR((VLOOKUP(F442,'Planilha de Cadastro - Previsão'!$A$2:$N$1100,5,FALSE()))," ")</f>
        <v xml:space="preserve"> </v>
      </c>
      <c r="K442" s="36"/>
      <c r="L442" s="34" t="str">
        <f t="shared" si="28"/>
        <v/>
      </c>
      <c r="M442" s="35" t="str">
        <f t="shared" si="29"/>
        <v/>
      </c>
      <c r="N442" s="39"/>
      <c r="O442" s="36"/>
    </row>
    <row r="443" spans="1:15" x14ac:dyDescent="0.25">
      <c r="A443">
        <f>COUNTIF($C$2:C443,C443)</f>
        <v>442</v>
      </c>
      <c r="B443" s="1" t="str">
        <f t="shared" si="26"/>
        <v>442</v>
      </c>
      <c r="C443" s="1" t="str">
        <f>IFERROR(VLOOKUP(D443,'Planilha de Cadastro - Previsão'!$A$2:$O$1000,15,FALSE()),"")</f>
        <v/>
      </c>
      <c r="D443" s="1">
        <v>442</v>
      </c>
      <c r="F443" s="32" t="str">
        <f t="shared" si="27"/>
        <v/>
      </c>
      <c r="G443" s="33" t="str">
        <f>IFERROR((VLOOKUP(F443,'Planilha de Cadastro - Previsão'!$A$2:$N$1100,2,FALSE()))," ")</f>
        <v xml:space="preserve"> </v>
      </c>
      <c r="H443" s="32" t="str">
        <f>IFERROR((VLOOKUP(F443,'Planilha de Cadastro - Previsão'!$A$2:$N$1100,3,FALSE()))," ")</f>
        <v xml:space="preserve"> </v>
      </c>
      <c r="I443" s="34" t="str">
        <f>IFERROR((VLOOKUP(F443,'Planilha de Cadastro - Previsão'!$A$2:$N$1100,4,FALSE()))," ")</f>
        <v xml:space="preserve"> </v>
      </c>
      <c r="J443" s="34" t="str">
        <f>IFERROR((VLOOKUP(F443,'Planilha de Cadastro - Previsão'!$A$2:$N$1100,5,FALSE()))," ")</f>
        <v xml:space="preserve"> </v>
      </c>
      <c r="K443" s="36"/>
      <c r="L443" s="34" t="str">
        <f t="shared" si="28"/>
        <v/>
      </c>
      <c r="M443" s="35" t="str">
        <f t="shared" si="29"/>
        <v/>
      </c>
      <c r="N443" s="39"/>
      <c r="O443" s="36"/>
    </row>
    <row r="444" spans="1:15" x14ac:dyDescent="0.25">
      <c r="A444">
        <f>COUNTIF($C$2:C444,C444)</f>
        <v>443</v>
      </c>
      <c r="B444" s="1" t="str">
        <f t="shared" si="26"/>
        <v>443</v>
      </c>
      <c r="C444" s="1" t="str">
        <f>IFERROR(VLOOKUP(D444,'Planilha de Cadastro - Previsão'!$A$2:$O$1000,15,FALSE()),"")</f>
        <v/>
      </c>
      <c r="D444" s="1">
        <v>443</v>
      </c>
      <c r="F444" s="32" t="str">
        <f t="shared" si="27"/>
        <v/>
      </c>
      <c r="G444" s="33" t="str">
        <f>IFERROR((VLOOKUP(F444,'Planilha de Cadastro - Previsão'!$A$2:$N$1100,2,FALSE()))," ")</f>
        <v xml:space="preserve"> </v>
      </c>
      <c r="H444" s="32" t="str">
        <f>IFERROR((VLOOKUP(F444,'Planilha de Cadastro - Previsão'!$A$2:$N$1100,3,FALSE()))," ")</f>
        <v xml:space="preserve"> </v>
      </c>
      <c r="I444" s="34" t="str">
        <f>IFERROR((VLOOKUP(F444,'Planilha de Cadastro - Previsão'!$A$2:$N$1100,4,FALSE()))," ")</f>
        <v xml:space="preserve"> </v>
      </c>
      <c r="J444" s="34" t="str">
        <f>IFERROR((VLOOKUP(F444,'Planilha de Cadastro - Previsão'!$A$2:$N$1100,5,FALSE()))," ")</f>
        <v xml:space="preserve"> </v>
      </c>
      <c r="K444" s="36"/>
      <c r="L444" s="34" t="str">
        <f t="shared" si="28"/>
        <v/>
      </c>
      <c r="M444" s="35" t="str">
        <f t="shared" si="29"/>
        <v/>
      </c>
      <c r="N444" s="39"/>
      <c r="O444" s="36"/>
    </row>
    <row r="445" spans="1:15" x14ac:dyDescent="0.25">
      <c r="A445">
        <f>COUNTIF($C$2:C445,C445)</f>
        <v>444</v>
      </c>
      <c r="B445" s="1" t="str">
        <f t="shared" si="26"/>
        <v>444</v>
      </c>
      <c r="C445" s="1" t="str">
        <f>IFERROR(VLOOKUP(D445,'Planilha de Cadastro - Previsão'!$A$2:$O$1000,15,FALSE()),"")</f>
        <v/>
      </c>
      <c r="D445" s="1">
        <v>444</v>
      </c>
      <c r="F445" s="32" t="str">
        <f t="shared" si="27"/>
        <v/>
      </c>
      <c r="G445" s="33" t="str">
        <f>IFERROR((VLOOKUP(F445,'Planilha de Cadastro - Previsão'!$A$2:$N$1100,2,FALSE()))," ")</f>
        <v xml:space="preserve"> </v>
      </c>
      <c r="H445" s="32" t="str">
        <f>IFERROR((VLOOKUP(F445,'Planilha de Cadastro - Previsão'!$A$2:$N$1100,3,FALSE()))," ")</f>
        <v xml:space="preserve"> </v>
      </c>
      <c r="I445" s="34" t="str">
        <f>IFERROR((VLOOKUP(F445,'Planilha de Cadastro - Previsão'!$A$2:$N$1100,4,FALSE()))," ")</f>
        <v xml:space="preserve"> </v>
      </c>
      <c r="J445" s="34" t="str">
        <f>IFERROR((VLOOKUP(F445,'Planilha de Cadastro - Previsão'!$A$2:$N$1100,5,FALSE()))," ")</f>
        <v xml:space="preserve"> </v>
      </c>
      <c r="K445" s="36"/>
      <c r="L445" s="34" t="str">
        <f t="shared" si="28"/>
        <v/>
      </c>
      <c r="M445" s="35" t="str">
        <f t="shared" si="29"/>
        <v/>
      </c>
      <c r="N445" s="39"/>
      <c r="O445" s="36"/>
    </row>
    <row r="446" spans="1:15" x14ac:dyDescent="0.25">
      <c r="A446">
        <f>COUNTIF($C$2:C446,C446)</f>
        <v>445</v>
      </c>
      <c r="B446" s="1" t="str">
        <f t="shared" si="26"/>
        <v>445</v>
      </c>
      <c r="C446" s="1" t="str">
        <f>IFERROR(VLOOKUP(D446,'Planilha de Cadastro - Previsão'!$A$2:$O$1000,15,FALSE()),"")</f>
        <v/>
      </c>
      <c r="D446" s="1">
        <v>445</v>
      </c>
      <c r="F446" s="32" t="str">
        <f t="shared" si="27"/>
        <v/>
      </c>
      <c r="G446" s="33" t="str">
        <f>IFERROR((VLOOKUP(F446,'Planilha de Cadastro - Previsão'!$A$2:$N$1100,2,FALSE()))," ")</f>
        <v xml:space="preserve"> </v>
      </c>
      <c r="H446" s="32" t="str">
        <f>IFERROR((VLOOKUP(F446,'Planilha de Cadastro - Previsão'!$A$2:$N$1100,3,FALSE()))," ")</f>
        <v xml:space="preserve"> </v>
      </c>
      <c r="I446" s="34" t="str">
        <f>IFERROR((VLOOKUP(F446,'Planilha de Cadastro - Previsão'!$A$2:$N$1100,4,FALSE()))," ")</f>
        <v xml:space="preserve"> </v>
      </c>
      <c r="J446" s="34" t="str">
        <f>IFERROR((VLOOKUP(F446,'Planilha de Cadastro - Previsão'!$A$2:$N$1100,5,FALSE()))," ")</f>
        <v xml:space="preserve"> </v>
      </c>
      <c r="K446" s="36"/>
      <c r="L446" s="34" t="str">
        <f t="shared" si="28"/>
        <v/>
      </c>
      <c r="M446" s="35" t="str">
        <f t="shared" si="29"/>
        <v/>
      </c>
      <c r="N446" s="39"/>
      <c r="O446" s="36"/>
    </row>
    <row r="447" spans="1:15" x14ac:dyDescent="0.25">
      <c r="A447">
        <f>COUNTIF($C$2:C447,C447)</f>
        <v>446</v>
      </c>
      <c r="B447" s="1" t="str">
        <f t="shared" si="26"/>
        <v>446</v>
      </c>
      <c r="C447" s="1" t="str">
        <f>IFERROR(VLOOKUP(D447,'Planilha de Cadastro - Previsão'!$A$2:$O$1000,15,FALSE()),"")</f>
        <v/>
      </c>
      <c r="D447" s="1">
        <v>446</v>
      </c>
      <c r="F447" s="32" t="str">
        <f t="shared" si="27"/>
        <v/>
      </c>
      <c r="G447" s="33" t="str">
        <f>IFERROR((VLOOKUP(F447,'Planilha de Cadastro - Previsão'!$A$2:$N$1100,2,FALSE()))," ")</f>
        <v xml:space="preserve"> </v>
      </c>
      <c r="H447" s="32" t="str">
        <f>IFERROR((VLOOKUP(F447,'Planilha de Cadastro - Previsão'!$A$2:$N$1100,3,FALSE()))," ")</f>
        <v xml:space="preserve"> </v>
      </c>
      <c r="I447" s="34" t="str">
        <f>IFERROR((VLOOKUP(F447,'Planilha de Cadastro - Previsão'!$A$2:$N$1100,4,FALSE()))," ")</f>
        <v xml:space="preserve"> </v>
      </c>
      <c r="J447" s="34" t="str">
        <f>IFERROR((VLOOKUP(F447,'Planilha de Cadastro - Previsão'!$A$2:$N$1100,5,FALSE()))," ")</f>
        <v xml:space="preserve"> </v>
      </c>
      <c r="K447" s="36"/>
      <c r="L447" s="34" t="str">
        <f t="shared" si="28"/>
        <v/>
      </c>
      <c r="M447" s="35" t="str">
        <f t="shared" si="29"/>
        <v/>
      </c>
      <c r="N447" s="39"/>
      <c r="O447" s="36"/>
    </row>
    <row r="448" spans="1:15" x14ac:dyDescent="0.25">
      <c r="A448">
        <f>COUNTIF($C$2:C448,C448)</f>
        <v>447</v>
      </c>
      <c r="B448" s="1" t="str">
        <f t="shared" si="26"/>
        <v>447</v>
      </c>
      <c r="C448" s="1" t="str">
        <f>IFERROR(VLOOKUP(D448,'Planilha de Cadastro - Previsão'!$A$2:$O$1000,15,FALSE()),"")</f>
        <v/>
      </c>
      <c r="D448" s="1">
        <v>447</v>
      </c>
      <c r="F448" s="32" t="str">
        <f t="shared" si="27"/>
        <v/>
      </c>
      <c r="G448" s="33" t="str">
        <f>IFERROR((VLOOKUP(F448,'Planilha de Cadastro - Previsão'!$A$2:$N$1100,2,FALSE()))," ")</f>
        <v xml:space="preserve"> </v>
      </c>
      <c r="H448" s="32" t="str">
        <f>IFERROR((VLOOKUP(F448,'Planilha de Cadastro - Previsão'!$A$2:$N$1100,3,FALSE()))," ")</f>
        <v xml:space="preserve"> </v>
      </c>
      <c r="I448" s="34" t="str">
        <f>IFERROR((VLOOKUP(F448,'Planilha de Cadastro - Previsão'!$A$2:$N$1100,4,FALSE()))," ")</f>
        <v xml:space="preserve"> </v>
      </c>
      <c r="J448" s="34" t="str">
        <f>IFERROR((VLOOKUP(F448,'Planilha de Cadastro - Previsão'!$A$2:$N$1100,5,FALSE()))," ")</f>
        <v xml:space="preserve"> </v>
      </c>
      <c r="K448" s="36"/>
      <c r="L448" s="34" t="str">
        <f t="shared" si="28"/>
        <v/>
      </c>
      <c r="M448" s="35" t="str">
        <f t="shared" si="29"/>
        <v/>
      </c>
      <c r="N448" s="39"/>
      <c r="O448" s="36"/>
    </row>
    <row r="449" spans="1:15" x14ac:dyDescent="0.25">
      <c r="A449">
        <f>COUNTIF($C$2:C449,C449)</f>
        <v>448</v>
      </c>
      <c r="B449" s="1" t="str">
        <f t="shared" si="26"/>
        <v>448</v>
      </c>
      <c r="C449" s="1" t="str">
        <f>IFERROR(VLOOKUP(D449,'Planilha de Cadastro - Previsão'!$A$2:$O$1000,15,FALSE()),"")</f>
        <v/>
      </c>
      <c r="D449" s="1">
        <v>448</v>
      </c>
      <c r="F449" s="32" t="str">
        <f t="shared" si="27"/>
        <v/>
      </c>
      <c r="G449" s="33" t="str">
        <f>IFERROR((VLOOKUP(F449,'Planilha de Cadastro - Previsão'!$A$2:$N$1100,2,FALSE()))," ")</f>
        <v xml:space="preserve"> </v>
      </c>
      <c r="H449" s="32" t="str">
        <f>IFERROR((VLOOKUP(F449,'Planilha de Cadastro - Previsão'!$A$2:$N$1100,3,FALSE()))," ")</f>
        <v xml:space="preserve"> </v>
      </c>
      <c r="I449" s="34" t="str">
        <f>IFERROR((VLOOKUP(F449,'Planilha de Cadastro - Previsão'!$A$2:$N$1100,4,FALSE()))," ")</f>
        <v xml:space="preserve"> </v>
      </c>
      <c r="J449" s="34" t="str">
        <f>IFERROR((VLOOKUP(F449,'Planilha de Cadastro - Previsão'!$A$2:$N$1100,5,FALSE()))," ")</f>
        <v xml:space="preserve"> </v>
      </c>
      <c r="K449" s="36"/>
      <c r="L449" s="34" t="str">
        <f t="shared" si="28"/>
        <v/>
      </c>
      <c r="M449" s="35" t="str">
        <f t="shared" si="29"/>
        <v/>
      </c>
      <c r="N449" s="39"/>
      <c r="O449" s="36"/>
    </row>
    <row r="450" spans="1:15" x14ac:dyDescent="0.25">
      <c r="A450">
        <f>COUNTIF($C$2:C450,C450)</f>
        <v>449</v>
      </c>
      <c r="B450" s="1" t="str">
        <f t="shared" si="26"/>
        <v>449</v>
      </c>
      <c r="C450" s="1" t="str">
        <f>IFERROR(VLOOKUP(D450,'Planilha de Cadastro - Previsão'!$A$2:$O$1000,15,FALSE()),"")</f>
        <v/>
      </c>
      <c r="D450" s="1">
        <v>449</v>
      </c>
      <c r="F450" s="32" t="str">
        <f t="shared" si="27"/>
        <v/>
      </c>
      <c r="G450" s="33" t="str">
        <f>IFERROR((VLOOKUP(F450,'Planilha de Cadastro - Previsão'!$A$2:$N$1100,2,FALSE()))," ")</f>
        <v xml:space="preserve"> </v>
      </c>
      <c r="H450" s="32" t="str">
        <f>IFERROR((VLOOKUP(F450,'Planilha de Cadastro - Previsão'!$A$2:$N$1100,3,FALSE()))," ")</f>
        <v xml:space="preserve"> </v>
      </c>
      <c r="I450" s="34" t="str">
        <f>IFERROR((VLOOKUP(F450,'Planilha de Cadastro - Previsão'!$A$2:$N$1100,4,FALSE()))," ")</f>
        <v xml:space="preserve"> </v>
      </c>
      <c r="J450" s="34" t="str">
        <f>IFERROR((VLOOKUP(F450,'Planilha de Cadastro - Previsão'!$A$2:$N$1100,5,FALSE()))," ")</f>
        <v xml:space="preserve"> </v>
      </c>
      <c r="K450" s="36"/>
      <c r="L450" s="34" t="str">
        <f t="shared" si="28"/>
        <v/>
      </c>
      <c r="M450" s="35" t="str">
        <f t="shared" si="29"/>
        <v/>
      </c>
      <c r="N450" s="39"/>
      <c r="O450" s="36"/>
    </row>
    <row r="451" spans="1:15" x14ac:dyDescent="0.25">
      <c r="A451">
        <f>COUNTIF($C$2:C451,C451)</f>
        <v>450</v>
      </c>
      <c r="B451" s="1" t="str">
        <f t="shared" ref="B451:B514" si="30">IFERROR(CONCATENATE(C451,A451),"")</f>
        <v>450</v>
      </c>
      <c r="C451" s="1" t="str">
        <f>IFERROR(VLOOKUP(D451,'Planilha de Cadastro - Previsão'!$A$2:$O$1000,15,FALSE()),"")</f>
        <v/>
      </c>
      <c r="D451" s="1">
        <v>450</v>
      </c>
      <c r="F451" s="32" t="str">
        <f t="shared" ref="F451:F514" si="31">IFERROR((VLOOKUP(CONCATENATE("Sim",D451),$B$2:$D$1000,3,FALSE())),"")</f>
        <v/>
      </c>
      <c r="G451" s="33" t="str">
        <f>IFERROR((VLOOKUP(F451,'Planilha de Cadastro - Previsão'!$A$2:$N$1100,2,FALSE()))," ")</f>
        <v xml:space="preserve"> </v>
      </c>
      <c r="H451" s="32" t="str">
        <f>IFERROR((VLOOKUP(F451,'Planilha de Cadastro - Previsão'!$A$2:$N$1100,3,FALSE()))," ")</f>
        <v xml:space="preserve"> </v>
      </c>
      <c r="I451" s="34" t="str">
        <f>IFERROR((VLOOKUP(F451,'Planilha de Cadastro - Previsão'!$A$2:$N$1100,4,FALSE()))," ")</f>
        <v xml:space="preserve"> </v>
      </c>
      <c r="J451" s="34" t="str">
        <f>IFERROR((VLOOKUP(F451,'Planilha de Cadastro - Previsão'!$A$2:$N$1100,5,FALSE()))," ")</f>
        <v xml:space="preserve"> </v>
      </c>
      <c r="K451" s="36"/>
      <c r="L451" s="34" t="str">
        <f t="shared" ref="L451:L514" si="32">IF(K451&gt;0,(K451*H451)-(I451*H451)-(K451*H451*4%),"")</f>
        <v/>
      </c>
      <c r="M451" s="35" t="str">
        <f t="shared" ref="M451:M514" si="33">IFERROR(L451/(K451*H451),"")</f>
        <v/>
      </c>
      <c r="N451" s="39"/>
      <c r="O451" s="36"/>
    </row>
    <row r="452" spans="1:15" x14ac:dyDescent="0.25">
      <c r="A452">
        <f>COUNTIF($C$2:C452,C452)</f>
        <v>451</v>
      </c>
      <c r="B452" s="1" t="str">
        <f t="shared" si="30"/>
        <v>451</v>
      </c>
      <c r="C452" s="1" t="str">
        <f>IFERROR(VLOOKUP(D452,'Planilha de Cadastro - Previsão'!$A$2:$O$1000,15,FALSE()),"")</f>
        <v/>
      </c>
      <c r="D452" s="1">
        <v>451</v>
      </c>
      <c r="F452" s="32" t="str">
        <f t="shared" si="31"/>
        <v/>
      </c>
      <c r="G452" s="33" t="str">
        <f>IFERROR((VLOOKUP(F452,'Planilha de Cadastro - Previsão'!$A$2:$N$1100,2,FALSE()))," ")</f>
        <v xml:space="preserve"> </v>
      </c>
      <c r="H452" s="32" t="str">
        <f>IFERROR((VLOOKUP(F452,'Planilha de Cadastro - Previsão'!$A$2:$N$1100,3,FALSE()))," ")</f>
        <v xml:space="preserve"> </v>
      </c>
      <c r="I452" s="34" t="str">
        <f>IFERROR((VLOOKUP(F452,'Planilha de Cadastro - Previsão'!$A$2:$N$1100,4,FALSE()))," ")</f>
        <v xml:space="preserve"> </v>
      </c>
      <c r="J452" s="34" t="str">
        <f>IFERROR((VLOOKUP(F452,'Planilha de Cadastro - Previsão'!$A$2:$N$1100,5,FALSE()))," ")</f>
        <v xml:space="preserve"> </v>
      </c>
      <c r="K452" s="36"/>
      <c r="L452" s="34" t="str">
        <f t="shared" si="32"/>
        <v/>
      </c>
      <c r="M452" s="35" t="str">
        <f t="shared" si="33"/>
        <v/>
      </c>
      <c r="N452" s="39"/>
      <c r="O452" s="36"/>
    </row>
    <row r="453" spans="1:15" x14ac:dyDescent="0.25">
      <c r="A453">
        <f>COUNTIF($C$2:C453,C453)</f>
        <v>452</v>
      </c>
      <c r="B453" s="1" t="str">
        <f t="shared" si="30"/>
        <v>452</v>
      </c>
      <c r="C453" s="1" t="str">
        <f>IFERROR(VLOOKUP(D453,'Planilha de Cadastro - Previsão'!$A$2:$O$1000,15,FALSE()),"")</f>
        <v/>
      </c>
      <c r="D453" s="1">
        <v>452</v>
      </c>
      <c r="F453" s="32" t="str">
        <f t="shared" si="31"/>
        <v/>
      </c>
      <c r="G453" s="33" t="str">
        <f>IFERROR((VLOOKUP(F453,'Planilha de Cadastro - Previsão'!$A$2:$N$1100,2,FALSE()))," ")</f>
        <v xml:space="preserve"> </v>
      </c>
      <c r="H453" s="32" t="str">
        <f>IFERROR((VLOOKUP(F453,'Planilha de Cadastro - Previsão'!$A$2:$N$1100,3,FALSE()))," ")</f>
        <v xml:space="preserve"> </v>
      </c>
      <c r="I453" s="34" t="str">
        <f>IFERROR((VLOOKUP(F453,'Planilha de Cadastro - Previsão'!$A$2:$N$1100,4,FALSE()))," ")</f>
        <v xml:space="preserve"> </v>
      </c>
      <c r="J453" s="34" t="str">
        <f>IFERROR((VLOOKUP(F453,'Planilha de Cadastro - Previsão'!$A$2:$N$1100,5,FALSE()))," ")</f>
        <v xml:space="preserve"> </v>
      </c>
      <c r="K453" s="36"/>
      <c r="L453" s="34" t="str">
        <f t="shared" si="32"/>
        <v/>
      </c>
      <c r="M453" s="35" t="str">
        <f t="shared" si="33"/>
        <v/>
      </c>
      <c r="N453" s="39"/>
      <c r="O453" s="36"/>
    </row>
    <row r="454" spans="1:15" x14ac:dyDescent="0.25">
      <c r="A454">
        <f>COUNTIF($C$2:C454,C454)</f>
        <v>453</v>
      </c>
      <c r="B454" s="1" t="str">
        <f t="shared" si="30"/>
        <v>453</v>
      </c>
      <c r="C454" s="1" t="str">
        <f>IFERROR(VLOOKUP(D454,'Planilha de Cadastro - Previsão'!$A$2:$O$1000,15,FALSE()),"")</f>
        <v/>
      </c>
      <c r="D454" s="1">
        <v>453</v>
      </c>
      <c r="F454" s="32" t="str">
        <f t="shared" si="31"/>
        <v/>
      </c>
      <c r="G454" s="33" t="str">
        <f>IFERROR((VLOOKUP(F454,'Planilha de Cadastro - Previsão'!$A$2:$N$1100,2,FALSE()))," ")</f>
        <v xml:space="preserve"> </v>
      </c>
      <c r="H454" s="32" t="str">
        <f>IFERROR((VLOOKUP(F454,'Planilha de Cadastro - Previsão'!$A$2:$N$1100,3,FALSE()))," ")</f>
        <v xml:space="preserve"> </v>
      </c>
      <c r="I454" s="34" t="str">
        <f>IFERROR((VLOOKUP(F454,'Planilha de Cadastro - Previsão'!$A$2:$N$1100,4,FALSE()))," ")</f>
        <v xml:space="preserve"> </v>
      </c>
      <c r="J454" s="34" t="str">
        <f>IFERROR((VLOOKUP(F454,'Planilha de Cadastro - Previsão'!$A$2:$N$1100,5,FALSE()))," ")</f>
        <v xml:space="preserve"> </v>
      </c>
      <c r="K454" s="36"/>
      <c r="L454" s="34" t="str">
        <f t="shared" si="32"/>
        <v/>
      </c>
      <c r="M454" s="35" t="str">
        <f t="shared" si="33"/>
        <v/>
      </c>
      <c r="N454" s="39"/>
      <c r="O454" s="36"/>
    </row>
    <row r="455" spans="1:15" x14ac:dyDescent="0.25">
      <c r="A455">
        <f>COUNTIF($C$2:C455,C455)</f>
        <v>454</v>
      </c>
      <c r="B455" s="1" t="str">
        <f t="shared" si="30"/>
        <v>454</v>
      </c>
      <c r="C455" s="1" t="str">
        <f>IFERROR(VLOOKUP(D455,'Planilha de Cadastro - Previsão'!$A$2:$O$1000,15,FALSE()),"")</f>
        <v/>
      </c>
      <c r="D455" s="1">
        <v>454</v>
      </c>
      <c r="F455" s="32" t="str">
        <f t="shared" si="31"/>
        <v/>
      </c>
      <c r="G455" s="33" t="str">
        <f>IFERROR((VLOOKUP(F455,'Planilha de Cadastro - Previsão'!$A$2:$N$1100,2,FALSE()))," ")</f>
        <v xml:space="preserve"> </v>
      </c>
      <c r="H455" s="32" t="str">
        <f>IFERROR((VLOOKUP(F455,'Planilha de Cadastro - Previsão'!$A$2:$N$1100,3,FALSE()))," ")</f>
        <v xml:space="preserve"> </v>
      </c>
      <c r="I455" s="34" t="str">
        <f>IFERROR((VLOOKUP(F455,'Planilha de Cadastro - Previsão'!$A$2:$N$1100,4,FALSE()))," ")</f>
        <v xml:space="preserve"> </v>
      </c>
      <c r="J455" s="34" t="str">
        <f>IFERROR((VLOOKUP(F455,'Planilha de Cadastro - Previsão'!$A$2:$N$1100,5,FALSE()))," ")</f>
        <v xml:space="preserve"> </v>
      </c>
      <c r="K455" s="36"/>
      <c r="L455" s="34" t="str">
        <f t="shared" si="32"/>
        <v/>
      </c>
      <c r="M455" s="35" t="str">
        <f t="shared" si="33"/>
        <v/>
      </c>
      <c r="N455" s="39"/>
      <c r="O455" s="36"/>
    </row>
    <row r="456" spans="1:15" x14ac:dyDescent="0.25">
      <c r="A456">
        <f>COUNTIF($C$2:C456,C456)</f>
        <v>455</v>
      </c>
      <c r="B456" s="1" t="str">
        <f t="shared" si="30"/>
        <v>455</v>
      </c>
      <c r="C456" s="1" t="str">
        <f>IFERROR(VLOOKUP(D456,'Planilha de Cadastro - Previsão'!$A$2:$O$1000,15,FALSE()),"")</f>
        <v/>
      </c>
      <c r="D456" s="1">
        <v>455</v>
      </c>
      <c r="F456" s="32" t="str">
        <f t="shared" si="31"/>
        <v/>
      </c>
      <c r="G456" s="33" t="str">
        <f>IFERROR((VLOOKUP(F456,'Planilha de Cadastro - Previsão'!$A$2:$N$1100,2,FALSE()))," ")</f>
        <v xml:space="preserve"> </v>
      </c>
      <c r="H456" s="32" t="str">
        <f>IFERROR((VLOOKUP(F456,'Planilha de Cadastro - Previsão'!$A$2:$N$1100,3,FALSE()))," ")</f>
        <v xml:space="preserve"> </v>
      </c>
      <c r="I456" s="34" t="str">
        <f>IFERROR((VLOOKUP(F456,'Planilha de Cadastro - Previsão'!$A$2:$N$1100,4,FALSE()))," ")</f>
        <v xml:space="preserve"> </v>
      </c>
      <c r="J456" s="34" t="str">
        <f>IFERROR((VLOOKUP(F456,'Planilha de Cadastro - Previsão'!$A$2:$N$1100,5,FALSE()))," ")</f>
        <v xml:space="preserve"> </v>
      </c>
      <c r="K456" s="36"/>
      <c r="L456" s="34" t="str">
        <f t="shared" si="32"/>
        <v/>
      </c>
      <c r="M456" s="35" t="str">
        <f t="shared" si="33"/>
        <v/>
      </c>
      <c r="N456" s="39"/>
      <c r="O456" s="36"/>
    </row>
    <row r="457" spans="1:15" x14ac:dyDescent="0.25">
      <c r="A457">
        <f>COUNTIF($C$2:C457,C457)</f>
        <v>456</v>
      </c>
      <c r="B457" s="1" t="str">
        <f t="shared" si="30"/>
        <v>456</v>
      </c>
      <c r="C457" s="1" t="str">
        <f>IFERROR(VLOOKUP(D457,'Planilha de Cadastro - Previsão'!$A$2:$O$1000,15,FALSE()),"")</f>
        <v/>
      </c>
      <c r="D457" s="1">
        <v>456</v>
      </c>
      <c r="F457" s="32" t="str">
        <f t="shared" si="31"/>
        <v/>
      </c>
      <c r="G457" s="33" t="str">
        <f>IFERROR((VLOOKUP(F457,'Planilha de Cadastro - Previsão'!$A$2:$N$1100,2,FALSE()))," ")</f>
        <v xml:space="preserve"> </v>
      </c>
      <c r="H457" s="32" t="str">
        <f>IFERROR((VLOOKUP(F457,'Planilha de Cadastro - Previsão'!$A$2:$N$1100,3,FALSE()))," ")</f>
        <v xml:space="preserve"> </v>
      </c>
      <c r="I457" s="34" t="str">
        <f>IFERROR((VLOOKUP(F457,'Planilha de Cadastro - Previsão'!$A$2:$N$1100,4,FALSE()))," ")</f>
        <v xml:space="preserve"> </v>
      </c>
      <c r="J457" s="34" t="str">
        <f>IFERROR((VLOOKUP(F457,'Planilha de Cadastro - Previsão'!$A$2:$N$1100,5,FALSE()))," ")</f>
        <v xml:space="preserve"> </v>
      </c>
      <c r="K457" s="36"/>
      <c r="L457" s="34" t="str">
        <f t="shared" si="32"/>
        <v/>
      </c>
      <c r="M457" s="35" t="str">
        <f t="shared" si="33"/>
        <v/>
      </c>
      <c r="N457" s="39"/>
      <c r="O457" s="36"/>
    </row>
    <row r="458" spans="1:15" x14ac:dyDescent="0.25">
      <c r="A458">
        <f>COUNTIF($C$2:C458,C458)</f>
        <v>457</v>
      </c>
      <c r="B458" s="1" t="str">
        <f t="shared" si="30"/>
        <v>457</v>
      </c>
      <c r="C458" s="1" t="str">
        <f>IFERROR(VLOOKUP(D458,'Planilha de Cadastro - Previsão'!$A$2:$O$1000,15,FALSE()),"")</f>
        <v/>
      </c>
      <c r="D458" s="1">
        <v>457</v>
      </c>
      <c r="F458" s="32" t="str">
        <f t="shared" si="31"/>
        <v/>
      </c>
      <c r="G458" s="33" t="str">
        <f>IFERROR((VLOOKUP(F458,'Planilha de Cadastro - Previsão'!$A$2:$N$1100,2,FALSE()))," ")</f>
        <v xml:space="preserve"> </v>
      </c>
      <c r="H458" s="32" t="str">
        <f>IFERROR((VLOOKUP(F458,'Planilha de Cadastro - Previsão'!$A$2:$N$1100,3,FALSE()))," ")</f>
        <v xml:space="preserve"> </v>
      </c>
      <c r="I458" s="34" t="str">
        <f>IFERROR((VLOOKUP(F458,'Planilha de Cadastro - Previsão'!$A$2:$N$1100,4,FALSE()))," ")</f>
        <v xml:space="preserve"> </v>
      </c>
      <c r="J458" s="34" t="str">
        <f>IFERROR((VLOOKUP(F458,'Planilha de Cadastro - Previsão'!$A$2:$N$1100,5,FALSE()))," ")</f>
        <v xml:space="preserve"> </v>
      </c>
      <c r="K458" s="36"/>
      <c r="L458" s="34" t="str">
        <f t="shared" si="32"/>
        <v/>
      </c>
      <c r="M458" s="35" t="str">
        <f t="shared" si="33"/>
        <v/>
      </c>
      <c r="N458" s="39"/>
      <c r="O458" s="36"/>
    </row>
    <row r="459" spans="1:15" x14ac:dyDescent="0.25">
      <c r="A459">
        <f>COUNTIF($C$2:C459,C459)</f>
        <v>458</v>
      </c>
      <c r="B459" s="1" t="str">
        <f t="shared" si="30"/>
        <v>458</v>
      </c>
      <c r="C459" s="1" t="str">
        <f>IFERROR(VLOOKUP(D459,'Planilha de Cadastro - Previsão'!$A$2:$O$1000,15,FALSE()),"")</f>
        <v/>
      </c>
      <c r="D459" s="1">
        <v>458</v>
      </c>
      <c r="F459" s="32" t="str">
        <f t="shared" si="31"/>
        <v/>
      </c>
      <c r="G459" s="33" t="str">
        <f>IFERROR((VLOOKUP(F459,'Planilha de Cadastro - Previsão'!$A$2:$N$1100,2,FALSE()))," ")</f>
        <v xml:space="preserve"> </v>
      </c>
      <c r="H459" s="32" t="str">
        <f>IFERROR((VLOOKUP(F459,'Planilha de Cadastro - Previsão'!$A$2:$N$1100,3,FALSE()))," ")</f>
        <v xml:space="preserve"> </v>
      </c>
      <c r="I459" s="34" t="str">
        <f>IFERROR((VLOOKUP(F459,'Planilha de Cadastro - Previsão'!$A$2:$N$1100,4,FALSE()))," ")</f>
        <v xml:space="preserve"> </v>
      </c>
      <c r="J459" s="34" t="str">
        <f>IFERROR((VLOOKUP(F459,'Planilha de Cadastro - Previsão'!$A$2:$N$1100,5,FALSE()))," ")</f>
        <v xml:space="preserve"> </v>
      </c>
      <c r="K459" s="36"/>
      <c r="L459" s="34" t="str">
        <f t="shared" si="32"/>
        <v/>
      </c>
      <c r="M459" s="35" t="str">
        <f t="shared" si="33"/>
        <v/>
      </c>
      <c r="N459" s="39"/>
      <c r="O459" s="36"/>
    </row>
    <row r="460" spans="1:15" x14ac:dyDescent="0.25">
      <c r="A460">
        <f>COUNTIF($C$2:C460,C460)</f>
        <v>459</v>
      </c>
      <c r="B460" s="1" t="str">
        <f t="shared" si="30"/>
        <v>459</v>
      </c>
      <c r="C460" s="1" t="str">
        <f>IFERROR(VLOOKUP(D460,'Planilha de Cadastro - Previsão'!$A$2:$O$1000,15,FALSE()),"")</f>
        <v/>
      </c>
      <c r="D460" s="1">
        <v>459</v>
      </c>
      <c r="F460" s="32" t="str">
        <f t="shared" si="31"/>
        <v/>
      </c>
      <c r="G460" s="33" t="str">
        <f>IFERROR((VLOOKUP(F460,'Planilha de Cadastro - Previsão'!$A$2:$N$1100,2,FALSE()))," ")</f>
        <v xml:space="preserve"> </v>
      </c>
      <c r="H460" s="32" t="str">
        <f>IFERROR((VLOOKUP(F460,'Planilha de Cadastro - Previsão'!$A$2:$N$1100,3,FALSE()))," ")</f>
        <v xml:space="preserve"> </v>
      </c>
      <c r="I460" s="34" t="str">
        <f>IFERROR((VLOOKUP(F460,'Planilha de Cadastro - Previsão'!$A$2:$N$1100,4,FALSE()))," ")</f>
        <v xml:space="preserve"> </v>
      </c>
      <c r="J460" s="34" t="str">
        <f>IFERROR((VLOOKUP(F460,'Planilha de Cadastro - Previsão'!$A$2:$N$1100,5,FALSE()))," ")</f>
        <v xml:space="preserve"> </v>
      </c>
      <c r="K460" s="36"/>
      <c r="L460" s="34" t="str">
        <f t="shared" si="32"/>
        <v/>
      </c>
      <c r="M460" s="35" t="str">
        <f t="shared" si="33"/>
        <v/>
      </c>
      <c r="N460" s="39"/>
      <c r="O460" s="36"/>
    </row>
    <row r="461" spans="1:15" x14ac:dyDescent="0.25">
      <c r="A461">
        <f>COUNTIF($C$2:C461,C461)</f>
        <v>460</v>
      </c>
      <c r="B461" s="1" t="str">
        <f t="shared" si="30"/>
        <v>460</v>
      </c>
      <c r="C461" s="1" t="str">
        <f>IFERROR(VLOOKUP(D461,'Planilha de Cadastro - Previsão'!$A$2:$O$1000,15,FALSE()),"")</f>
        <v/>
      </c>
      <c r="D461" s="1">
        <v>460</v>
      </c>
      <c r="F461" s="32" t="str">
        <f t="shared" si="31"/>
        <v/>
      </c>
      <c r="G461" s="33" t="str">
        <f>IFERROR((VLOOKUP(F461,'Planilha de Cadastro - Previsão'!$A$2:$N$1100,2,FALSE()))," ")</f>
        <v xml:space="preserve"> </v>
      </c>
      <c r="H461" s="32" t="str">
        <f>IFERROR((VLOOKUP(F461,'Planilha de Cadastro - Previsão'!$A$2:$N$1100,3,FALSE()))," ")</f>
        <v xml:space="preserve"> </v>
      </c>
      <c r="I461" s="34" t="str">
        <f>IFERROR((VLOOKUP(F461,'Planilha de Cadastro - Previsão'!$A$2:$N$1100,4,FALSE()))," ")</f>
        <v xml:space="preserve"> </v>
      </c>
      <c r="J461" s="34" t="str">
        <f>IFERROR((VLOOKUP(F461,'Planilha de Cadastro - Previsão'!$A$2:$N$1100,5,FALSE()))," ")</f>
        <v xml:space="preserve"> </v>
      </c>
      <c r="K461" s="36"/>
      <c r="L461" s="34" t="str">
        <f t="shared" si="32"/>
        <v/>
      </c>
      <c r="M461" s="35" t="str">
        <f t="shared" si="33"/>
        <v/>
      </c>
      <c r="N461" s="39"/>
      <c r="O461" s="36"/>
    </row>
    <row r="462" spans="1:15" x14ac:dyDescent="0.25">
      <c r="A462">
        <f>COUNTIF($C$2:C462,C462)</f>
        <v>461</v>
      </c>
      <c r="B462" s="1" t="str">
        <f t="shared" si="30"/>
        <v>461</v>
      </c>
      <c r="C462" s="1" t="str">
        <f>IFERROR(VLOOKUP(D462,'Planilha de Cadastro - Previsão'!$A$2:$O$1000,15,FALSE()),"")</f>
        <v/>
      </c>
      <c r="D462" s="1">
        <v>461</v>
      </c>
      <c r="F462" s="32" t="str">
        <f t="shared" si="31"/>
        <v/>
      </c>
      <c r="G462" s="33" t="str">
        <f>IFERROR((VLOOKUP(F462,'Planilha de Cadastro - Previsão'!$A$2:$N$1100,2,FALSE()))," ")</f>
        <v xml:space="preserve"> </v>
      </c>
      <c r="H462" s="32" t="str">
        <f>IFERROR((VLOOKUP(F462,'Planilha de Cadastro - Previsão'!$A$2:$N$1100,3,FALSE()))," ")</f>
        <v xml:space="preserve"> </v>
      </c>
      <c r="I462" s="34" t="str">
        <f>IFERROR((VLOOKUP(F462,'Planilha de Cadastro - Previsão'!$A$2:$N$1100,4,FALSE()))," ")</f>
        <v xml:space="preserve"> </v>
      </c>
      <c r="J462" s="34" t="str">
        <f>IFERROR((VLOOKUP(F462,'Planilha de Cadastro - Previsão'!$A$2:$N$1100,5,FALSE()))," ")</f>
        <v xml:space="preserve"> </v>
      </c>
      <c r="K462" s="36"/>
      <c r="L462" s="34" t="str">
        <f t="shared" si="32"/>
        <v/>
      </c>
      <c r="M462" s="35" t="str">
        <f t="shared" si="33"/>
        <v/>
      </c>
      <c r="N462" s="39"/>
      <c r="O462" s="36"/>
    </row>
    <row r="463" spans="1:15" x14ac:dyDescent="0.25">
      <c r="A463">
        <f>COUNTIF($C$2:C463,C463)</f>
        <v>462</v>
      </c>
      <c r="B463" s="1" t="str">
        <f t="shared" si="30"/>
        <v>462</v>
      </c>
      <c r="C463" s="1" t="str">
        <f>IFERROR(VLOOKUP(D463,'Planilha de Cadastro - Previsão'!$A$2:$O$1000,15,FALSE()),"")</f>
        <v/>
      </c>
      <c r="D463" s="1">
        <v>462</v>
      </c>
      <c r="F463" s="32" t="str">
        <f t="shared" si="31"/>
        <v/>
      </c>
      <c r="G463" s="33" t="str">
        <f>IFERROR((VLOOKUP(F463,'Planilha de Cadastro - Previsão'!$A$2:$N$1100,2,FALSE()))," ")</f>
        <v xml:space="preserve"> </v>
      </c>
      <c r="H463" s="32" t="str">
        <f>IFERROR((VLOOKUP(F463,'Planilha de Cadastro - Previsão'!$A$2:$N$1100,3,FALSE()))," ")</f>
        <v xml:space="preserve"> </v>
      </c>
      <c r="I463" s="34" t="str">
        <f>IFERROR((VLOOKUP(F463,'Planilha de Cadastro - Previsão'!$A$2:$N$1100,4,FALSE()))," ")</f>
        <v xml:space="preserve"> </v>
      </c>
      <c r="J463" s="34" t="str">
        <f>IFERROR((VLOOKUP(F463,'Planilha de Cadastro - Previsão'!$A$2:$N$1100,5,FALSE()))," ")</f>
        <v xml:space="preserve"> </v>
      </c>
      <c r="K463" s="36"/>
      <c r="L463" s="34" t="str">
        <f t="shared" si="32"/>
        <v/>
      </c>
      <c r="M463" s="35" t="str">
        <f t="shared" si="33"/>
        <v/>
      </c>
      <c r="N463" s="39"/>
      <c r="O463" s="36"/>
    </row>
    <row r="464" spans="1:15" x14ac:dyDescent="0.25">
      <c r="A464">
        <f>COUNTIF($C$2:C464,C464)</f>
        <v>463</v>
      </c>
      <c r="B464" s="1" t="str">
        <f t="shared" si="30"/>
        <v>463</v>
      </c>
      <c r="C464" s="1" t="str">
        <f>IFERROR(VLOOKUP(D464,'Planilha de Cadastro - Previsão'!$A$2:$O$1000,15,FALSE()),"")</f>
        <v/>
      </c>
      <c r="D464" s="1">
        <v>463</v>
      </c>
      <c r="F464" s="32" t="str">
        <f t="shared" si="31"/>
        <v/>
      </c>
      <c r="G464" s="33" t="str">
        <f>IFERROR((VLOOKUP(F464,'Planilha de Cadastro - Previsão'!$A$2:$N$1100,2,FALSE()))," ")</f>
        <v xml:space="preserve"> </v>
      </c>
      <c r="H464" s="32" t="str">
        <f>IFERROR((VLOOKUP(F464,'Planilha de Cadastro - Previsão'!$A$2:$N$1100,3,FALSE()))," ")</f>
        <v xml:space="preserve"> </v>
      </c>
      <c r="I464" s="34" t="str">
        <f>IFERROR((VLOOKUP(F464,'Planilha de Cadastro - Previsão'!$A$2:$N$1100,4,FALSE()))," ")</f>
        <v xml:space="preserve"> </v>
      </c>
      <c r="J464" s="34" t="str">
        <f>IFERROR((VLOOKUP(F464,'Planilha de Cadastro - Previsão'!$A$2:$N$1100,5,FALSE()))," ")</f>
        <v xml:space="preserve"> </v>
      </c>
      <c r="K464" s="36"/>
      <c r="L464" s="34" t="str">
        <f t="shared" si="32"/>
        <v/>
      </c>
      <c r="M464" s="35" t="str">
        <f t="shared" si="33"/>
        <v/>
      </c>
      <c r="N464" s="39"/>
      <c r="O464" s="36"/>
    </row>
    <row r="465" spans="1:15" x14ac:dyDescent="0.25">
      <c r="A465">
        <f>COUNTIF($C$2:C465,C465)</f>
        <v>464</v>
      </c>
      <c r="B465" s="1" t="str">
        <f t="shared" si="30"/>
        <v>464</v>
      </c>
      <c r="C465" s="1" t="str">
        <f>IFERROR(VLOOKUP(D465,'Planilha de Cadastro - Previsão'!$A$2:$O$1000,15,FALSE()),"")</f>
        <v/>
      </c>
      <c r="D465" s="1">
        <v>464</v>
      </c>
      <c r="F465" s="32" t="str">
        <f t="shared" si="31"/>
        <v/>
      </c>
      <c r="G465" s="33" t="str">
        <f>IFERROR((VLOOKUP(F465,'Planilha de Cadastro - Previsão'!$A$2:$N$1100,2,FALSE()))," ")</f>
        <v xml:space="preserve"> </v>
      </c>
      <c r="H465" s="32" t="str">
        <f>IFERROR((VLOOKUP(F465,'Planilha de Cadastro - Previsão'!$A$2:$N$1100,3,FALSE()))," ")</f>
        <v xml:space="preserve"> </v>
      </c>
      <c r="I465" s="34" t="str">
        <f>IFERROR((VLOOKUP(F465,'Planilha de Cadastro - Previsão'!$A$2:$N$1100,4,FALSE()))," ")</f>
        <v xml:space="preserve"> </v>
      </c>
      <c r="J465" s="34" t="str">
        <f>IFERROR((VLOOKUP(F465,'Planilha de Cadastro - Previsão'!$A$2:$N$1100,5,FALSE()))," ")</f>
        <v xml:space="preserve"> </v>
      </c>
      <c r="K465" s="36"/>
      <c r="L465" s="34" t="str">
        <f t="shared" si="32"/>
        <v/>
      </c>
      <c r="M465" s="35" t="str">
        <f t="shared" si="33"/>
        <v/>
      </c>
      <c r="N465" s="39"/>
      <c r="O465" s="36"/>
    </row>
    <row r="466" spans="1:15" x14ac:dyDescent="0.25">
      <c r="A466">
        <f>COUNTIF($C$2:C466,C466)</f>
        <v>465</v>
      </c>
      <c r="B466" s="1" t="str">
        <f t="shared" si="30"/>
        <v>465</v>
      </c>
      <c r="C466" s="1" t="str">
        <f>IFERROR(VLOOKUP(D466,'Planilha de Cadastro - Previsão'!$A$2:$O$1000,15,FALSE()),"")</f>
        <v/>
      </c>
      <c r="D466" s="1">
        <v>465</v>
      </c>
      <c r="F466" s="32" t="str">
        <f t="shared" si="31"/>
        <v/>
      </c>
      <c r="G466" s="33" t="str">
        <f>IFERROR((VLOOKUP(F466,'Planilha de Cadastro - Previsão'!$A$2:$N$1100,2,FALSE()))," ")</f>
        <v xml:space="preserve"> </v>
      </c>
      <c r="H466" s="32" t="str">
        <f>IFERROR((VLOOKUP(F466,'Planilha de Cadastro - Previsão'!$A$2:$N$1100,3,FALSE()))," ")</f>
        <v xml:space="preserve"> </v>
      </c>
      <c r="I466" s="34" t="str">
        <f>IFERROR((VLOOKUP(F466,'Planilha de Cadastro - Previsão'!$A$2:$N$1100,4,FALSE()))," ")</f>
        <v xml:space="preserve"> </v>
      </c>
      <c r="J466" s="34" t="str">
        <f>IFERROR((VLOOKUP(F466,'Planilha de Cadastro - Previsão'!$A$2:$N$1100,5,FALSE()))," ")</f>
        <v xml:space="preserve"> </v>
      </c>
      <c r="K466" s="36"/>
      <c r="L466" s="34" t="str">
        <f t="shared" si="32"/>
        <v/>
      </c>
      <c r="M466" s="35" t="str">
        <f t="shared" si="33"/>
        <v/>
      </c>
      <c r="N466" s="39"/>
      <c r="O466" s="36"/>
    </row>
    <row r="467" spans="1:15" x14ac:dyDescent="0.25">
      <c r="A467">
        <f>COUNTIF($C$2:C467,C467)</f>
        <v>466</v>
      </c>
      <c r="B467" s="1" t="str">
        <f t="shared" si="30"/>
        <v>466</v>
      </c>
      <c r="C467" s="1" t="str">
        <f>IFERROR(VLOOKUP(D467,'Planilha de Cadastro - Previsão'!$A$2:$O$1000,15,FALSE()),"")</f>
        <v/>
      </c>
      <c r="D467" s="1">
        <v>466</v>
      </c>
      <c r="F467" s="32" t="str">
        <f t="shared" si="31"/>
        <v/>
      </c>
      <c r="G467" s="33" t="str">
        <f>IFERROR((VLOOKUP(F467,'Planilha de Cadastro - Previsão'!$A$2:$N$1100,2,FALSE()))," ")</f>
        <v xml:space="preserve"> </v>
      </c>
      <c r="H467" s="32" t="str">
        <f>IFERROR((VLOOKUP(F467,'Planilha de Cadastro - Previsão'!$A$2:$N$1100,3,FALSE()))," ")</f>
        <v xml:space="preserve"> </v>
      </c>
      <c r="I467" s="34" t="str">
        <f>IFERROR((VLOOKUP(F467,'Planilha de Cadastro - Previsão'!$A$2:$N$1100,4,FALSE()))," ")</f>
        <v xml:space="preserve"> </v>
      </c>
      <c r="J467" s="34" t="str">
        <f>IFERROR((VLOOKUP(F467,'Planilha de Cadastro - Previsão'!$A$2:$N$1100,5,FALSE()))," ")</f>
        <v xml:space="preserve"> </v>
      </c>
      <c r="K467" s="36"/>
      <c r="L467" s="34" t="str">
        <f t="shared" si="32"/>
        <v/>
      </c>
      <c r="M467" s="35" t="str">
        <f t="shared" si="33"/>
        <v/>
      </c>
      <c r="N467" s="39"/>
      <c r="O467" s="36"/>
    </row>
    <row r="468" spans="1:15" x14ac:dyDescent="0.25">
      <c r="A468">
        <f>COUNTIF($C$2:C468,C468)</f>
        <v>467</v>
      </c>
      <c r="B468" s="1" t="str">
        <f t="shared" si="30"/>
        <v>467</v>
      </c>
      <c r="C468" s="1" t="str">
        <f>IFERROR(VLOOKUP(D468,'Planilha de Cadastro - Previsão'!$A$2:$O$1000,15,FALSE()),"")</f>
        <v/>
      </c>
      <c r="D468" s="1">
        <v>467</v>
      </c>
      <c r="F468" s="32" t="str">
        <f t="shared" si="31"/>
        <v/>
      </c>
      <c r="G468" s="33" t="str">
        <f>IFERROR((VLOOKUP(F468,'Planilha de Cadastro - Previsão'!$A$2:$N$1100,2,FALSE()))," ")</f>
        <v xml:space="preserve"> </v>
      </c>
      <c r="H468" s="32" t="str">
        <f>IFERROR((VLOOKUP(F468,'Planilha de Cadastro - Previsão'!$A$2:$N$1100,3,FALSE()))," ")</f>
        <v xml:space="preserve"> </v>
      </c>
      <c r="I468" s="34" t="str">
        <f>IFERROR((VLOOKUP(F468,'Planilha de Cadastro - Previsão'!$A$2:$N$1100,4,FALSE()))," ")</f>
        <v xml:space="preserve"> </v>
      </c>
      <c r="J468" s="34" t="str">
        <f>IFERROR((VLOOKUP(F468,'Planilha de Cadastro - Previsão'!$A$2:$N$1100,5,FALSE()))," ")</f>
        <v xml:space="preserve"> </v>
      </c>
      <c r="K468" s="36"/>
      <c r="L468" s="34" t="str">
        <f t="shared" si="32"/>
        <v/>
      </c>
      <c r="M468" s="35" t="str">
        <f t="shared" si="33"/>
        <v/>
      </c>
      <c r="N468" s="39"/>
      <c r="O468" s="36"/>
    </row>
    <row r="469" spans="1:15" x14ac:dyDescent="0.25">
      <c r="A469">
        <f>COUNTIF($C$2:C469,C469)</f>
        <v>468</v>
      </c>
      <c r="B469" s="1" t="str">
        <f t="shared" si="30"/>
        <v>468</v>
      </c>
      <c r="C469" s="1" t="str">
        <f>IFERROR(VLOOKUP(D469,'Planilha de Cadastro - Previsão'!$A$2:$O$1000,15,FALSE()),"")</f>
        <v/>
      </c>
      <c r="D469" s="1">
        <v>468</v>
      </c>
      <c r="F469" s="32" t="str">
        <f t="shared" si="31"/>
        <v/>
      </c>
      <c r="G469" s="33" t="str">
        <f>IFERROR((VLOOKUP(F469,'Planilha de Cadastro - Previsão'!$A$2:$N$1100,2,FALSE()))," ")</f>
        <v xml:space="preserve"> </v>
      </c>
      <c r="H469" s="32" t="str">
        <f>IFERROR((VLOOKUP(F469,'Planilha de Cadastro - Previsão'!$A$2:$N$1100,3,FALSE()))," ")</f>
        <v xml:space="preserve"> </v>
      </c>
      <c r="I469" s="34" t="str">
        <f>IFERROR((VLOOKUP(F469,'Planilha de Cadastro - Previsão'!$A$2:$N$1100,4,FALSE()))," ")</f>
        <v xml:space="preserve"> </v>
      </c>
      <c r="J469" s="34" t="str">
        <f>IFERROR((VLOOKUP(F469,'Planilha de Cadastro - Previsão'!$A$2:$N$1100,5,FALSE()))," ")</f>
        <v xml:space="preserve"> </v>
      </c>
      <c r="K469" s="36"/>
      <c r="L469" s="34" t="str">
        <f t="shared" si="32"/>
        <v/>
      </c>
      <c r="M469" s="35" t="str">
        <f t="shared" si="33"/>
        <v/>
      </c>
      <c r="N469" s="39"/>
      <c r="O469" s="36"/>
    </row>
    <row r="470" spans="1:15" x14ac:dyDescent="0.25">
      <c r="A470">
        <f>COUNTIF($C$2:C470,C470)</f>
        <v>469</v>
      </c>
      <c r="B470" s="1" t="str">
        <f t="shared" si="30"/>
        <v>469</v>
      </c>
      <c r="C470" s="1" t="str">
        <f>IFERROR(VLOOKUP(D470,'Planilha de Cadastro - Previsão'!$A$2:$O$1000,15,FALSE()),"")</f>
        <v/>
      </c>
      <c r="D470" s="1">
        <v>469</v>
      </c>
      <c r="F470" s="32" t="str">
        <f t="shared" si="31"/>
        <v/>
      </c>
      <c r="G470" s="33" t="str">
        <f>IFERROR((VLOOKUP(F470,'Planilha de Cadastro - Previsão'!$A$2:$N$1100,2,FALSE()))," ")</f>
        <v xml:space="preserve"> </v>
      </c>
      <c r="H470" s="32" t="str">
        <f>IFERROR((VLOOKUP(F470,'Planilha de Cadastro - Previsão'!$A$2:$N$1100,3,FALSE()))," ")</f>
        <v xml:space="preserve"> </v>
      </c>
      <c r="I470" s="34" t="str">
        <f>IFERROR((VLOOKUP(F470,'Planilha de Cadastro - Previsão'!$A$2:$N$1100,4,FALSE()))," ")</f>
        <v xml:space="preserve"> </v>
      </c>
      <c r="J470" s="34" t="str">
        <f>IFERROR((VLOOKUP(F470,'Planilha de Cadastro - Previsão'!$A$2:$N$1100,5,FALSE()))," ")</f>
        <v xml:space="preserve"> </v>
      </c>
      <c r="K470" s="36"/>
      <c r="L470" s="34" t="str">
        <f t="shared" si="32"/>
        <v/>
      </c>
      <c r="M470" s="35" t="str">
        <f t="shared" si="33"/>
        <v/>
      </c>
      <c r="N470" s="39"/>
      <c r="O470" s="36"/>
    </row>
    <row r="471" spans="1:15" x14ac:dyDescent="0.25">
      <c r="A471">
        <f>COUNTIF($C$2:C471,C471)</f>
        <v>470</v>
      </c>
      <c r="B471" s="1" t="str">
        <f t="shared" si="30"/>
        <v>470</v>
      </c>
      <c r="C471" s="1" t="str">
        <f>IFERROR(VLOOKUP(D471,'Planilha de Cadastro - Previsão'!$A$2:$O$1000,15,FALSE()),"")</f>
        <v/>
      </c>
      <c r="D471" s="1">
        <v>470</v>
      </c>
      <c r="F471" s="32" t="str">
        <f t="shared" si="31"/>
        <v/>
      </c>
      <c r="G471" s="33" t="str">
        <f>IFERROR((VLOOKUP(F471,'Planilha de Cadastro - Previsão'!$A$2:$N$1100,2,FALSE()))," ")</f>
        <v xml:space="preserve"> </v>
      </c>
      <c r="H471" s="32" t="str">
        <f>IFERROR((VLOOKUP(F471,'Planilha de Cadastro - Previsão'!$A$2:$N$1100,3,FALSE()))," ")</f>
        <v xml:space="preserve"> </v>
      </c>
      <c r="I471" s="34" t="str">
        <f>IFERROR((VLOOKUP(F471,'Planilha de Cadastro - Previsão'!$A$2:$N$1100,4,FALSE()))," ")</f>
        <v xml:space="preserve"> </v>
      </c>
      <c r="J471" s="34" t="str">
        <f>IFERROR((VLOOKUP(F471,'Planilha de Cadastro - Previsão'!$A$2:$N$1100,5,FALSE()))," ")</f>
        <v xml:space="preserve"> </v>
      </c>
      <c r="K471" s="36"/>
      <c r="L471" s="34" t="str">
        <f t="shared" si="32"/>
        <v/>
      </c>
      <c r="M471" s="35" t="str">
        <f t="shared" si="33"/>
        <v/>
      </c>
      <c r="N471" s="39"/>
      <c r="O471" s="36"/>
    </row>
    <row r="472" spans="1:15" x14ac:dyDescent="0.25">
      <c r="A472">
        <f>COUNTIF($C$2:C472,C472)</f>
        <v>471</v>
      </c>
      <c r="B472" s="1" t="str">
        <f t="shared" si="30"/>
        <v>471</v>
      </c>
      <c r="C472" s="1" t="str">
        <f>IFERROR(VLOOKUP(D472,'Planilha de Cadastro - Previsão'!$A$2:$O$1000,15,FALSE()),"")</f>
        <v/>
      </c>
      <c r="D472" s="1">
        <v>471</v>
      </c>
      <c r="F472" s="32" t="str">
        <f t="shared" si="31"/>
        <v/>
      </c>
      <c r="G472" s="33" t="str">
        <f>IFERROR((VLOOKUP(F472,'Planilha de Cadastro - Previsão'!$A$2:$N$1100,2,FALSE()))," ")</f>
        <v xml:space="preserve"> </v>
      </c>
      <c r="H472" s="32" t="str">
        <f>IFERROR((VLOOKUP(F472,'Planilha de Cadastro - Previsão'!$A$2:$N$1100,3,FALSE()))," ")</f>
        <v xml:space="preserve"> </v>
      </c>
      <c r="I472" s="34" t="str">
        <f>IFERROR((VLOOKUP(F472,'Planilha de Cadastro - Previsão'!$A$2:$N$1100,4,FALSE()))," ")</f>
        <v xml:space="preserve"> </v>
      </c>
      <c r="J472" s="34" t="str">
        <f>IFERROR((VLOOKUP(F472,'Planilha de Cadastro - Previsão'!$A$2:$N$1100,5,FALSE()))," ")</f>
        <v xml:space="preserve"> </v>
      </c>
      <c r="K472" s="36"/>
      <c r="L472" s="34" t="str">
        <f t="shared" si="32"/>
        <v/>
      </c>
      <c r="M472" s="35" t="str">
        <f t="shared" si="33"/>
        <v/>
      </c>
      <c r="N472" s="39"/>
      <c r="O472" s="36"/>
    </row>
    <row r="473" spans="1:15" x14ac:dyDescent="0.25">
      <c r="A473">
        <f>COUNTIF($C$2:C473,C473)</f>
        <v>472</v>
      </c>
      <c r="B473" s="1" t="str">
        <f t="shared" si="30"/>
        <v>472</v>
      </c>
      <c r="C473" s="1" t="str">
        <f>IFERROR(VLOOKUP(D473,'Planilha de Cadastro - Previsão'!$A$2:$O$1000,15,FALSE()),"")</f>
        <v/>
      </c>
      <c r="D473" s="1">
        <v>472</v>
      </c>
      <c r="F473" s="32" t="str">
        <f t="shared" si="31"/>
        <v/>
      </c>
      <c r="G473" s="33" t="str">
        <f>IFERROR((VLOOKUP(F473,'Planilha de Cadastro - Previsão'!$A$2:$N$1100,2,FALSE()))," ")</f>
        <v xml:space="preserve"> </v>
      </c>
      <c r="H473" s="32" t="str">
        <f>IFERROR((VLOOKUP(F473,'Planilha de Cadastro - Previsão'!$A$2:$N$1100,3,FALSE()))," ")</f>
        <v xml:space="preserve"> </v>
      </c>
      <c r="I473" s="34" t="str">
        <f>IFERROR((VLOOKUP(F473,'Planilha de Cadastro - Previsão'!$A$2:$N$1100,4,FALSE()))," ")</f>
        <v xml:space="preserve"> </v>
      </c>
      <c r="J473" s="34" t="str">
        <f>IFERROR((VLOOKUP(F473,'Planilha de Cadastro - Previsão'!$A$2:$N$1100,5,FALSE()))," ")</f>
        <v xml:space="preserve"> </v>
      </c>
      <c r="K473" s="36"/>
      <c r="L473" s="34" t="str">
        <f t="shared" si="32"/>
        <v/>
      </c>
      <c r="M473" s="35" t="str">
        <f t="shared" si="33"/>
        <v/>
      </c>
      <c r="N473" s="39"/>
      <c r="O473" s="36"/>
    </row>
    <row r="474" spans="1:15" x14ac:dyDescent="0.25">
      <c r="A474">
        <f>COUNTIF($C$2:C474,C474)</f>
        <v>473</v>
      </c>
      <c r="B474" s="1" t="str">
        <f t="shared" si="30"/>
        <v>473</v>
      </c>
      <c r="C474" s="1" t="str">
        <f>IFERROR(VLOOKUP(D474,'Planilha de Cadastro - Previsão'!$A$2:$O$1000,15,FALSE()),"")</f>
        <v/>
      </c>
      <c r="D474" s="1">
        <v>473</v>
      </c>
      <c r="F474" s="32" t="str">
        <f t="shared" si="31"/>
        <v/>
      </c>
      <c r="G474" s="33" t="str">
        <f>IFERROR((VLOOKUP(F474,'Planilha de Cadastro - Previsão'!$A$2:$N$1100,2,FALSE()))," ")</f>
        <v xml:space="preserve"> </v>
      </c>
      <c r="H474" s="32" t="str">
        <f>IFERROR((VLOOKUP(F474,'Planilha de Cadastro - Previsão'!$A$2:$N$1100,3,FALSE()))," ")</f>
        <v xml:space="preserve"> </v>
      </c>
      <c r="I474" s="34" t="str">
        <f>IFERROR((VLOOKUP(F474,'Planilha de Cadastro - Previsão'!$A$2:$N$1100,4,FALSE()))," ")</f>
        <v xml:space="preserve"> </v>
      </c>
      <c r="J474" s="34" t="str">
        <f>IFERROR((VLOOKUP(F474,'Planilha de Cadastro - Previsão'!$A$2:$N$1100,5,FALSE()))," ")</f>
        <v xml:space="preserve"> </v>
      </c>
      <c r="K474" s="36"/>
      <c r="L474" s="34" t="str">
        <f t="shared" si="32"/>
        <v/>
      </c>
      <c r="M474" s="35" t="str">
        <f t="shared" si="33"/>
        <v/>
      </c>
      <c r="N474" s="39"/>
      <c r="O474" s="36"/>
    </row>
    <row r="475" spans="1:15" x14ac:dyDescent="0.25">
      <c r="A475">
        <f>COUNTIF($C$2:C475,C475)</f>
        <v>474</v>
      </c>
      <c r="B475" s="1" t="str">
        <f t="shared" si="30"/>
        <v>474</v>
      </c>
      <c r="C475" s="1" t="str">
        <f>IFERROR(VLOOKUP(D475,'Planilha de Cadastro - Previsão'!$A$2:$O$1000,15,FALSE()),"")</f>
        <v/>
      </c>
      <c r="D475" s="1">
        <v>474</v>
      </c>
      <c r="F475" s="32" t="str">
        <f t="shared" si="31"/>
        <v/>
      </c>
      <c r="G475" s="33" t="str">
        <f>IFERROR((VLOOKUP(F475,'Planilha de Cadastro - Previsão'!$A$2:$N$1100,2,FALSE()))," ")</f>
        <v xml:space="preserve"> </v>
      </c>
      <c r="H475" s="32" t="str">
        <f>IFERROR((VLOOKUP(F475,'Planilha de Cadastro - Previsão'!$A$2:$N$1100,3,FALSE()))," ")</f>
        <v xml:space="preserve"> </v>
      </c>
      <c r="I475" s="34" t="str">
        <f>IFERROR((VLOOKUP(F475,'Planilha de Cadastro - Previsão'!$A$2:$N$1100,4,FALSE()))," ")</f>
        <v xml:space="preserve"> </v>
      </c>
      <c r="J475" s="34" t="str">
        <f>IFERROR((VLOOKUP(F475,'Planilha de Cadastro - Previsão'!$A$2:$N$1100,5,FALSE()))," ")</f>
        <v xml:space="preserve"> </v>
      </c>
      <c r="K475" s="36"/>
      <c r="L475" s="34" t="str">
        <f t="shared" si="32"/>
        <v/>
      </c>
      <c r="M475" s="35" t="str">
        <f t="shared" si="33"/>
        <v/>
      </c>
      <c r="N475" s="39"/>
      <c r="O475" s="36"/>
    </row>
    <row r="476" spans="1:15" x14ac:dyDescent="0.25">
      <c r="A476">
        <f>COUNTIF($C$2:C476,C476)</f>
        <v>475</v>
      </c>
      <c r="B476" s="1" t="str">
        <f t="shared" si="30"/>
        <v>475</v>
      </c>
      <c r="C476" s="1" t="str">
        <f>IFERROR(VLOOKUP(D476,'Planilha de Cadastro - Previsão'!$A$2:$O$1000,15,FALSE()),"")</f>
        <v/>
      </c>
      <c r="D476" s="1">
        <v>475</v>
      </c>
      <c r="F476" s="32" t="str">
        <f t="shared" si="31"/>
        <v/>
      </c>
      <c r="G476" s="33" t="str">
        <f>IFERROR((VLOOKUP(F476,'Planilha de Cadastro - Previsão'!$A$2:$N$1100,2,FALSE()))," ")</f>
        <v xml:space="preserve"> </v>
      </c>
      <c r="H476" s="32" t="str">
        <f>IFERROR((VLOOKUP(F476,'Planilha de Cadastro - Previsão'!$A$2:$N$1100,3,FALSE()))," ")</f>
        <v xml:space="preserve"> </v>
      </c>
      <c r="I476" s="34" t="str">
        <f>IFERROR((VLOOKUP(F476,'Planilha de Cadastro - Previsão'!$A$2:$N$1100,4,FALSE()))," ")</f>
        <v xml:space="preserve"> </v>
      </c>
      <c r="J476" s="34" t="str">
        <f>IFERROR((VLOOKUP(F476,'Planilha de Cadastro - Previsão'!$A$2:$N$1100,5,FALSE()))," ")</f>
        <v xml:space="preserve"> </v>
      </c>
      <c r="K476" s="36"/>
      <c r="L476" s="34" t="str">
        <f t="shared" si="32"/>
        <v/>
      </c>
      <c r="M476" s="35" t="str">
        <f t="shared" si="33"/>
        <v/>
      </c>
      <c r="N476" s="39"/>
      <c r="O476" s="36"/>
    </row>
    <row r="477" spans="1:15" x14ac:dyDescent="0.25">
      <c r="A477">
        <f>COUNTIF($C$2:C477,C477)</f>
        <v>476</v>
      </c>
      <c r="B477" s="1" t="str">
        <f t="shared" si="30"/>
        <v>476</v>
      </c>
      <c r="C477" s="1" t="str">
        <f>IFERROR(VLOOKUP(D477,'Planilha de Cadastro - Previsão'!$A$2:$O$1000,15,FALSE()),"")</f>
        <v/>
      </c>
      <c r="D477" s="1">
        <v>476</v>
      </c>
      <c r="F477" s="32" t="str">
        <f t="shared" si="31"/>
        <v/>
      </c>
      <c r="G477" s="33" t="str">
        <f>IFERROR((VLOOKUP(F477,'Planilha de Cadastro - Previsão'!$A$2:$N$1100,2,FALSE()))," ")</f>
        <v xml:space="preserve"> </v>
      </c>
      <c r="H477" s="32" t="str">
        <f>IFERROR((VLOOKUP(F477,'Planilha de Cadastro - Previsão'!$A$2:$N$1100,3,FALSE()))," ")</f>
        <v xml:space="preserve"> </v>
      </c>
      <c r="I477" s="34" t="str">
        <f>IFERROR((VLOOKUP(F477,'Planilha de Cadastro - Previsão'!$A$2:$N$1100,4,FALSE()))," ")</f>
        <v xml:space="preserve"> </v>
      </c>
      <c r="J477" s="34" t="str">
        <f>IFERROR((VLOOKUP(F477,'Planilha de Cadastro - Previsão'!$A$2:$N$1100,5,FALSE()))," ")</f>
        <v xml:space="preserve"> </v>
      </c>
      <c r="K477" s="36"/>
      <c r="L477" s="34" t="str">
        <f t="shared" si="32"/>
        <v/>
      </c>
      <c r="M477" s="35" t="str">
        <f t="shared" si="33"/>
        <v/>
      </c>
      <c r="N477" s="39"/>
      <c r="O477" s="36"/>
    </row>
    <row r="478" spans="1:15" x14ac:dyDescent="0.25">
      <c r="A478">
        <f>COUNTIF($C$2:C478,C478)</f>
        <v>477</v>
      </c>
      <c r="B478" s="1" t="str">
        <f t="shared" si="30"/>
        <v>477</v>
      </c>
      <c r="C478" s="1" t="str">
        <f>IFERROR(VLOOKUP(D478,'Planilha de Cadastro - Previsão'!$A$2:$O$1000,15,FALSE()),"")</f>
        <v/>
      </c>
      <c r="D478" s="1">
        <v>477</v>
      </c>
      <c r="F478" s="32" t="str">
        <f t="shared" si="31"/>
        <v/>
      </c>
      <c r="G478" s="33" t="str">
        <f>IFERROR((VLOOKUP(F478,'Planilha de Cadastro - Previsão'!$A$2:$N$1100,2,FALSE()))," ")</f>
        <v xml:space="preserve"> </v>
      </c>
      <c r="H478" s="32" t="str">
        <f>IFERROR((VLOOKUP(F478,'Planilha de Cadastro - Previsão'!$A$2:$N$1100,3,FALSE()))," ")</f>
        <v xml:space="preserve"> </v>
      </c>
      <c r="I478" s="34" t="str">
        <f>IFERROR((VLOOKUP(F478,'Planilha de Cadastro - Previsão'!$A$2:$N$1100,4,FALSE()))," ")</f>
        <v xml:space="preserve"> </v>
      </c>
      <c r="J478" s="34" t="str">
        <f>IFERROR((VLOOKUP(F478,'Planilha de Cadastro - Previsão'!$A$2:$N$1100,5,FALSE()))," ")</f>
        <v xml:space="preserve"> </v>
      </c>
      <c r="K478" s="36"/>
      <c r="L478" s="34" t="str">
        <f t="shared" si="32"/>
        <v/>
      </c>
      <c r="M478" s="35" t="str">
        <f t="shared" si="33"/>
        <v/>
      </c>
      <c r="N478" s="39"/>
      <c r="O478" s="36"/>
    </row>
    <row r="479" spans="1:15" x14ac:dyDescent="0.25">
      <c r="A479">
        <f>COUNTIF($C$2:C479,C479)</f>
        <v>478</v>
      </c>
      <c r="B479" s="1" t="str">
        <f t="shared" si="30"/>
        <v>478</v>
      </c>
      <c r="C479" s="1" t="str">
        <f>IFERROR(VLOOKUP(D479,'Planilha de Cadastro - Previsão'!$A$2:$O$1000,15,FALSE()),"")</f>
        <v/>
      </c>
      <c r="D479" s="1">
        <v>478</v>
      </c>
      <c r="F479" s="32" t="str">
        <f t="shared" si="31"/>
        <v/>
      </c>
      <c r="G479" s="33" t="str">
        <f>IFERROR((VLOOKUP(F479,'Planilha de Cadastro - Previsão'!$A$2:$N$1100,2,FALSE()))," ")</f>
        <v xml:space="preserve"> </v>
      </c>
      <c r="H479" s="32" t="str">
        <f>IFERROR((VLOOKUP(F479,'Planilha de Cadastro - Previsão'!$A$2:$N$1100,3,FALSE()))," ")</f>
        <v xml:space="preserve"> </v>
      </c>
      <c r="I479" s="34" t="str">
        <f>IFERROR((VLOOKUP(F479,'Planilha de Cadastro - Previsão'!$A$2:$N$1100,4,FALSE()))," ")</f>
        <v xml:space="preserve"> </v>
      </c>
      <c r="J479" s="34" t="str">
        <f>IFERROR((VLOOKUP(F479,'Planilha de Cadastro - Previsão'!$A$2:$N$1100,5,FALSE()))," ")</f>
        <v xml:space="preserve"> </v>
      </c>
      <c r="K479" s="36"/>
      <c r="L479" s="34" t="str">
        <f t="shared" si="32"/>
        <v/>
      </c>
      <c r="M479" s="35" t="str">
        <f t="shared" si="33"/>
        <v/>
      </c>
      <c r="N479" s="39"/>
      <c r="O479" s="36"/>
    </row>
    <row r="480" spans="1:15" x14ac:dyDescent="0.25">
      <c r="A480">
        <f>COUNTIF($C$2:C480,C480)</f>
        <v>479</v>
      </c>
      <c r="B480" s="1" t="str">
        <f t="shared" si="30"/>
        <v>479</v>
      </c>
      <c r="C480" s="1" t="str">
        <f>IFERROR(VLOOKUP(D480,'Planilha de Cadastro - Previsão'!$A$2:$O$1000,15,FALSE()),"")</f>
        <v/>
      </c>
      <c r="D480" s="1">
        <v>479</v>
      </c>
      <c r="F480" s="32" t="str">
        <f t="shared" si="31"/>
        <v/>
      </c>
      <c r="G480" s="33" t="str">
        <f>IFERROR((VLOOKUP(F480,'Planilha de Cadastro - Previsão'!$A$2:$N$1100,2,FALSE()))," ")</f>
        <v xml:space="preserve"> </v>
      </c>
      <c r="H480" s="32" t="str">
        <f>IFERROR((VLOOKUP(F480,'Planilha de Cadastro - Previsão'!$A$2:$N$1100,3,FALSE()))," ")</f>
        <v xml:space="preserve"> </v>
      </c>
      <c r="I480" s="34" t="str">
        <f>IFERROR((VLOOKUP(F480,'Planilha de Cadastro - Previsão'!$A$2:$N$1100,4,FALSE()))," ")</f>
        <v xml:space="preserve"> </v>
      </c>
      <c r="J480" s="34" t="str">
        <f>IFERROR((VLOOKUP(F480,'Planilha de Cadastro - Previsão'!$A$2:$N$1100,5,FALSE()))," ")</f>
        <v xml:space="preserve"> </v>
      </c>
      <c r="K480" s="36"/>
      <c r="L480" s="34" t="str">
        <f t="shared" si="32"/>
        <v/>
      </c>
      <c r="M480" s="35" t="str">
        <f t="shared" si="33"/>
        <v/>
      </c>
      <c r="N480" s="39"/>
      <c r="O480" s="36"/>
    </row>
    <row r="481" spans="1:15" x14ac:dyDescent="0.25">
      <c r="A481">
        <f>COUNTIF($C$2:C481,C481)</f>
        <v>480</v>
      </c>
      <c r="B481" s="1" t="str">
        <f t="shared" si="30"/>
        <v>480</v>
      </c>
      <c r="C481" s="1" t="str">
        <f>IFERROR(VLOOKUP(D481,'Planilha de Cadastro - Previsão'!$A$2:$O$1000,15,FALSE()),"")</f>
        <v/>
      </c>
      <c r="D481" s="1">
        <v>480</v>
      </c>
      <c r="F481" s="32" t="str">
        <f t="shared" si="31"/>
        <v/>
      </c>
      <c r="G481" s="33" t="str">
        <f>IFERROR((VLOOKUP(F481,'Planilha de Cadastro - Previsão'!$A$2:$N$1100,2,FALSE()))," ")</f>
        <v xml:space="preserve"> </v>
      </c>
      <c r="H481" s="32" t="str">
        <f>IFERROR((VLOOKUP(F481,'Planilha de Cadastro - Previsão'!$A$2:$N$1100,3,FALSE()))," ")</f>
        <v xml:space="preserve"> </v>
      </c>
      <c r="I481" s="34" t="str">
        <f>IFERROR((VLOOKUP(F481,'Planilha de Cadastro - Previsão'!$A$2:$N$1100,4,FALSE()))," ")</f>
        <v xml:space="preserve"> </v>
      </c>
      <c r="J481" s="34" t="str">
        <f>IFERROR((VLOOKUP(F481,'Planilha de Cadastro - Previsão'!$A$2:$N$1100,5,FALSE()))," ")</f>
        <v xml:space="preserve"> </v>
      </c>
      <c r="K481" s="36"/>
      <c r="L481" s="34" t="str">
        <f t="shared" si="32"/>
        <v/>
      </c>
      <c r="M481" s="35" t="str">
        <f t="shared" si="33"/>
        <v/>
      </c>
      <c r="N481" s="39"/>
      <c r="O481" s="36"/>
    </row>
    <row r="482" spans="1:15" x14ac:dyDescent="0.25">
      <c r="A482">
        <f>COUNTIF($C$2:C482,C482)</f>
        <v>481</v>
      </c>
      <c r="B482" s="1" t="str">
        <f t="shared" si="30"/>
        <v>481</v>
      </c>
      <c r="C482" s="1" t="str">
        <f>IFERROR(VLOOKUP(D482,'Planilha de Cadastro - Previsão'!$A$2:$O$1000,15,FALSE()),"")</f>
        <v/>
      </c>
      <c r="D482" s="1">
        <v>481</v>
      </c>
      <c r="F482" s="32" t="str">
        <f t="shared" si="31"/>
        <v/>
      </c>
      <c r="G482" s="33" t="str">
        <f>IFERROR((VLOOKUP(F482,'Planilha de Cadastro - Previsão'!$A$2:$N$1100,2,FALSE()))," ")</f>
        <v xml:space="preserve"> </v>
      </c>
      <c r="H482" s="32" t="str">
        <f>IFERROR((VLOOKUP(F482,'Planilha de Cadastro - Previsão'!$A$2:$N$1100,3,FALSE()))," ")</f>
        <v xml:space="preserve"> </v>
      </c>
      <c r="I482" s="34" t="str">
        <f>IFERROR((VLOOKUP(F482,'Planilha de Cadastro - Previsão'!$A$2:$N$1100,4,FALSE()))," ")</f>
        <v xml:space="preserve"> </v>
      </c>
      <c r="J482" s="34" t="str">
        <f>IFERROR((VLOOKUP(F482,'Planilha de Cadastro - Previsão'!$A$2:$N$1100,5,FALSE()))," ")</f>
        <v xml:space="preserve"> </v>
      </c>
      <c r="K482" s="36"/>
      <c r="L482" s="34" t="str">
        <f t="shared" si="32"/>
        <v/>
      </c>
      <c r="M482" s="35" t="str">
        <f t="shared" si="33"/>
        <v/>
      </c>
      <c r="N482" s="39"/>
      <c r="O482" s="36"/>
    </row>
    <row r="483" spans="1:15" x14ac:dyDescent="0.25">
      <c r="A483">
        <f>COUNTIF($C$2:C483,C483)</f>
        <v>482</v>
      </c>
      <c r="B483" s="1" t="str">
        <f t="shared" si="30"/>
        <v>482</v>
      </c>
      <c r="C483" s="1" t="str">
        <f>IFERROR(VLOOKUP(D483,'Planilha de Cadastro - Previsão'!$A$2:$O$1000,15,FALSE()),"")</f>
        <v/>
      </c>
      <c r="D483" s="1">
        <v>482</v>
      </c>
      <c r="F483" s="32" t="str">
        <f t="shared" si="31"/>
        <v/>
      </c>
      <c r="G483" s="33" t="str">
        <f>IFERROR((VLOOKUP(F483,'Planilha de Cadastro - Previsão'!$A$2:$N$1100,2,FALSE()))," ")</f>
        <v xml:space="preserve"> </v>
      </c>
      <c r="H483" s="32" t="str">
        <f>IFERROR((VLOOKUP(F483,'Planilha de Cadastro - Previsão'!$A$2:$N$1100,3,FALSE()))," ")</f>
        <v xml:space="preserve"> </v>
      </c>
      <c r="I483" s="34" t="str">
        <f>IFERROR((VLOOKUP(F483,'Planilha de Cadastro - Previsão'!$A$2:$N$1100,4,FALSE()))," ")</f>
        <v xml:space="preserve"> </v>
      </c>
      <c r="J483" s="34" t="str">
        <f>IFERROR((VLOOKUP(F483,'Planilha de Cadastro - Previsão'!$A$2:$N$1100,5,FALSE()))," ")</f>
        <v xml:space="preserve"> </v>
      </c>
      <c r="K483" s="36"/>
      <c r="L483" s="34" t="str">
        <f t="shared" si="32"/>
        <v/>
      </c>
      <c r="M483" s="35" t="str">
        <f t="shared" si="33"/>
        <v/>
      </c>
      <c r="N483" s="39"/>
      <c r="O483" s="36"/>
    </row>
    <row r="484" spans="1:15" x14ac:dyDescent="0.25">
      <c r="A484">
        <f>COUNTIF($C$2:C484,C484)</f>
        <v>483</v>
      </c>
      <c r="B484" s="1" t="str">
        <f t="shared" si="30"/>
        <v>483</v>
      </c>
      <c r="C484" s="1" t="str">
        <f>IFERROR(VLOOKUP(D484,'Planilha de Cadastro - Previsão'!$A$2:$O$1000,15,FALSE()),"")</f>
        <v/>
      </c>
      <c r="D484" s="1">
        <v>483</v>
      </c>
      <c r="F484" s="32" t="str">
        <f t="shared" si="31"/>
        <v/>
      </c>
      <c r="G484" s="33" t="str">
        <f>IFERROR((VLOOKUP(F484,'Planilha de Cadastro - Previsão'!$A$2:$N$1100,2,FALSE()))," ")</f>
        <v xml:space="preserve"> </v>
      </c>
      <c r="H484" s="32" t="str">
        <f>IFERROR((VLOOKUP(F484,'Planilha de Cadastro - Previsão'!$A$2:$N$1100,3,FALSE()))," ")</f>
        <v xml:space="preserve"> </v>
      </c>
      <c r="I484" s="34" t="str">
        <f>IFERROR((VLOOKUP(F484,'Planilha de Cadastro - Previsão'!$A$2:$N$1100,4,FALSE()))," ")</f>
        <v xml:space="preserve"> </v>
      </c>
      <c r="J484" s="34" t="str">
        <f>IFERROR((VLOOKUP(F484,'Planilha de Cadastro - Previsão'!$A$2:$N$1100,5,FALSE()))," ")</f>
        <v xml:space="preserve"> </v>
      </c>
      <c r="K484" s="36"/>
      <c r="L484" s="34" t="str">
        <f t="shared" si="32"/>
        <v/>
      </c>
      <c r="M484" s="35" t="str">
        <f t="shared" si="33"/>
        <v/>
      </c>
      <c r="N484" s="39"/>
      <c r="O484" s="36"/>
    </row>
    <row r="485" spans="1:15" x14ac:dyDescent="0.25">
      <c r="A485">
        <f>COUNTIF($C$2:C485,C485)</f>
        <v>484</v>
      </c>
      <c r="B485" s="1" t="str">
        <f t="shared" si="30"/>
        <v>484</v>
      </c>
      <c r="C485" s="1" t="str">
        <f>IFERROR(VLOOKUP(D485,'Planilha de Cadastro - Previsão'!$A$2:$O$1000,15,FALSE()),"")</f>
        <v/>
      </c>
      <c r="D485" s="1">
        <v>484</v>
      </c>
      <c r="F485" s="32" t="str">
        <f t="shared" si="31"/>
        <v/>
      </c>
      <c r="G485" s="33" t="str">
        <f>IFERROR((VLOOKUP(F485,'Planilha de Cadastro - Previsão'!$A$2:$N$1100,2,FALSE()))," ")</f>
        <v xml:space="preserve"> </v>
      </c>
      <c r="H485" s="32" t="str">
        <f>IFERROR((VLOOKUP(F485,'Planilha de Cadastro - Previsão'!$A$2:$N$1100,3,FALSE()))," ")</f>
        <v xml:space="preserve"> </v>
      </c>
      <c r="I485" s="34" t="str">
        <f>IFERROR((VLOOKUP(F485,'Planilha de Cadastro - Previsão'!$A$2:$N$1100,4,FALSE()))," ")</f>
        <v xml:space="preserve"> </v>
      </c>
      <c r="J485" s="34" t="str">
        <f>IFERROR((VLOOKUP(F485,'Planilha de Cadastro - Previsão'!$A$2:$N$1100,5,FALSE()))," ")</f>
        <v xml:space="preserve"> </v>
      </c>
      <c r="K485" s="36"/>
      <c r="L485" s="34" t="str">
        <f t="shared" si="32"/>
        <v/>
      </c>
      <c r="M485" s="35" t="str">
        <f t="shared" si="33"/>
        <v/>
      </c>
      <c r="N485" s="39"/>
      <c r="O485" s="36"/>
    </row>
    <row r="486" spans="1:15" x14ac:dyDescent="0.25">
      <c r="A486">
        <f>COUNTIF($C$2:C486,C486)</f>
        <v>485</v>
      </c>
      <c r="B486" s="1" t="str">
        <f t="shared" si="30"/>
        <v>485</v>
      </c>
      <c r="C486" s="1" t="str">
        <f>IFERROR(VLOOKUP(D486,'Planilha de Cadastro - Previsão'!$A$2:$O$1000,15,FALSE()),"")</f>
        <v/>
      </c>
      <c r="D486" s="1">
        <v>485</v>
      </c>
      <c r="F486" s="32" t="str">
        <f t="shared" si="31"/>
        <v/>
      </c>
      <c r="G486" s="33" t="str">
        <f>IFERROR((VLOOKUP(F486,'Planilha de Cadastro - Previsão'!$A$2:$N$1100,2,FALSE()))," ")</f>
        <v xml:space="preserve"> </v>
      </c>
      <c r="H486" s="32" t="str">
        <f>IFERROR((VLOOKUP(F486,'Planilha de Cadastro - Previsão'!$A$2:$N$1100,3,FALSE()))," ")</f>
        <v xml:space="preserve"> </v>
      </c>
      <c r="I486" s="34" t="str">
        <f>IFERROR((VLOOKUP(F486,'Planilha de Cadastro - Previsão'!$A$2:$N$1100,4,FALSE()))," ")</f>
        <v xml:space="preserve"> </v>
      </c>
      <c r="J486" s="34" t="str">
        <f>IFERROR((VLOOKUP(F486,'Planilha de Cadastro - Previsão'!$A$2:$N$1100,5,FALSE()))," ")</f>
        <v xml:space="preserve"> </v>
      </c>
      <c r="K486" s="36"/>
      <c r="L486" s="34" t="str">
        <f t="shared" si="32"/>
        <v/>
      </c>
      <c r="M486" s="35" t="str">
        <f t="shared" si="33"/>
        <v/>
      </c>
      <c r="N486" s="39"/>
      <c r="O486" s="36"/>
    </row>
    <row r="487" spans="1:15" x14ac:dyDescent="0.25">
      <c r="A487">
        <f>COUNTIF($C$2:C487,C487)</f>
        <v>486</v>
      </c>
      <c r="B487" s="1" t="str">
        <f t="shared" si="30"/>
        <v>486</v>
      </c>
      <c r="C487" s="1" t="str">
        <f>IFERROR(VLOOKUP(D487,'Planilha de Cadastro - Previsão'!$A$2:$O$1000,15,FALSE()),"")</f>
        <v/>
      </c>
      <c r="D487" s="1">
        <v>486</v>
      </c>
      <c r="F487" s="32" t="str">
        <f t="shared" si="31"/>
        <v/>
      </c>
      <c r="G487" s="33" t="str">
        <f>IFERROR((VLOOKUP(F487,'Planilha de Cadastro - Previsão'!$A$2:$N$1100,2,FALSE()))," ")</f>
        <v xml:space="preserve"> </v>
      </c>
      <c r="H487" s="32" t="str">
        <f>IFERROR((VLOOKUP(F487,'Planilha de Cadastro - Previsão'!$A$2:$N$1100,3,FALSE()))," ")</f>
        <v xml:space="preserve"> </v>
      </c>
      <c r="I487" s="34" t="str">
        <f>IFERROR((VLOOKUP(F487,'Planilha de Cadastro - Previsão'!$A$2:$N$1100,4,FALSE()))," ")</f>
        <v xml:space="preserve"> </v>
      </c>
      <c r="J487" s="34" t="str">
        <f>IFERROR((VLOOKUP(F487,'Planilha de Cadastro - Previsão'!$A$2:$N$1100,5,FALSE()))," ")</f>
        <v xml:space="preserve"> </v>
      </c>
      <c r="K487" s="36"/>
      <c r="L487" s="34" t="str">
        <f t="shared" si="32"/>
        <v/>
      </c>
      <c r="M487" s="35" t="str">
        <f t="shared" si="33"/>
        <v/>
      </c>
      <c r="N487" s="39"/>
      <c r="O487" s="36"/>
    </row>
    <row r="488" spans="1:15" x14ac:dyDescent="0.25">
      <c r="A488">
        <f>COUNTIF($C$2:C488,C488)</f>
        <v>487</v>
      </c>
      <c r="B488" s="1" t="str">
        <f t="shared" si="30"/>
        <v>487</v>
      </c>
      <c r="C488" s="1" t="str">
        <f>IFERROR(VLOOKUP(D488,'Planilha de Cadastro - Previsão'!$A$2:$O$1000,15,FALSE()),"")</f>
        <v/>
      </c>
      <c r="D488" s="1">
        <v>487</v>
      </c>
      <c r="F488" s="32" t="str">
        <f t="shared" si="31"/>
        <v/>
      </c>
      <c r="G488" s="33" t="str">
        <f>IFERROR((VLOOKUP(F488,'Planilha de Cadastro - Previsão'!$A$2:$N$1100,2,FALSE()))," ")</f>
        <v xml:space="preserve"> </v>
      </c>
      <c r="H488" s="32" t="str">
        <f>IFERROR((VLOOKUP(F488,'Planilha de Cadastro - Previsão'!$A$2:$N$1100,3,FALSE()))," ")</f>
        <v xml:space="preserve"> </v>
      </c>
      <c r="I488" s="34" t="str">
        <f>IFERROR((VLOOKUP(F488,'Planilha de Cadastro - Previsão'!$A$2:$N$1100,4,FALSE()))," ")</f>
        <v xml:space="preserve"> </v>
      </c>
      <c r="J488" s="34" t="str">
        <f>IFERROR((VLOOKUP(F488,'Planilha de Cadastro - Previsão'!$A$2:$N$1100,5,FALSE()))," ")</f>
        <v xml:space="preserve"> </v>
      </c>
      <c r="K488" s="36"/>
      <c r="L488" s="34" t="str">
        <f t="shared" si="32"/>
        <v/>
      </c>
      <c r="M488" s="35" t="str">
        <f t="shared" si="33"/>
        <v/>
      </c>
      <c r="N488" s="39"/>
      <c r="O488" s="36"/>
    </row>
    <row r="489" spans="1:15" x14ac:dyDescent="0.25">
      <c r="A489">
        <f>COUNTIF($C$2:C489,C489)</f>
        <v>488</v>
      </c>
      <c r="B489" s="1" t="str">
        <f t="shared" si="30"/>
        <v>488</v>
      </c>
      <c r="C489" s="1" t="str">
        <f>IFERROR(VLOOKUP(D489,'Planilha de Cadastro - Previsão'!$A$2:$O$1000,15,FALSE()),"")</f>
        <v/>
      </c>
      <c r="D489" s="1">
        <v>488</v>
      </c>
      <c r="F489" s="32" t="str">
        <f t="shared" si="31"/>
        <v/>
      </c>
      <c r="G489" s="33" t="str">
        <f>IFERROR((VLOOKUP(F489,'Planilha de Cadastro - Previsão'!$A$2:$N$1100,2,FALSE()))," ")</f>
        <v xml:space="preserve"> </v>
      </c>
      <c r="H489" s="32" t="str">
        <f>IFERROR((VLOOKUP(F489,'Planilha de Cadastro - Previsão'!$A$2:$N$1100,3,FALSE()))," ")</f>
        <v xml:space="preserve"> </v>
      </c>
      <c r="I489" s="34" t="str">
        <f>IFERROR((VLOOKUP(F489,'Planilha de Cadastro - Previsão'!$A$2:$N$1100,4,FALSE()))," ")</f>
        <v xml:space="preserve"> </v>
      </c>
      <c r="J489" s="34" t="str">
        <f>IFERROR((VLOOKUP(F489,'Planilha de Cadastro - Previsão'!$A$2:$N$1100,5,FALSE()))," ")</f>
        <v xml:space="preserve"> </v>
      </c>
      <c r="K489" s="36"/>
      <c r="L489" s="34" t="str">
        <f t="shared" si="32"/>
        <v/>
      </c>
      <c r="M489" s="35" t="str">
        <f t="shared" si="33"/>
        <v/>
      </c>
      <c r="N489" s="39"/>
      <c r="O489" s="36"/>
    </row>
    <row r="490" spans="1:15" x14ac:dyDescent="0.25">
      <c r="A490">
        <f>COUNTIF($C$2:C490,C490)</f>
        <v>489</v>
      </c>
      <c r="B490" s="1" t="str">
        <f t="shared" si="30"/>
        <v>489</v>
      </c>
      <c r="C490" s="1" t="str">
        <f>IFERROR(VLOOKUP(D490,'Planilha de Cadastro - Previsão'!$A$2:$O$1000,15,FALSE()),"")</f>
        <v/>
      </c>
      <c r="D490" s="1">
        <v>489</v>
      </c>
      <c r="F490" s="32" t="str">
        <f t="shared" si="31"/>
        <v/>
      </c>
      <c r="G490" s="33" t="str">
        <f>IFERROR((VLOOKUP(F490,'Planilha de Cadastro - Previsão'!$A$2:$N$1100,2,FALSE()))," ")</f>
        <v xml:space="preserve"> </v>
      </c>
      <c r="H490" s="32" t="str">
        <f>IFERROR((VLOOKUP(F490,'Planilha de Cadastro - Previsão'!$A$2:$N$1100,3,FALSE()))," ")</f>
        <v xml:space="preserve"> </v>
      </c>
      <c r="I490" s="34" t="str">
        <f>IFERROR((VLOOKUP(F490,'Planilha de Cadastro - Previsão'!$A$2:$N$1100,4,FALSE()))," ")</f>
        <v xml:space="preserve"> </v>
      </c>
      <c r="J490" s="34" t="str">
        <f>IFERROR((VLOOKUP(F490,'Planilha de Cadastro - Previsão'!$A$2:$N$1100,5,FALSE()))," ")</f>
        <v xml:space="preserve"> </v>
      </c>
      <c r="K490" s="36"/>
      <c r="L490" s="34" t="str">
        <f t="shared" si="32"/>
        <v/>
      </c>
      <c r="M490" s="35" t="str">
        <f t="shared" si="33"/>
        <v/>
      </c>
      <c r="N490" s="39"/>
      <c r="O490" s="36"/>
    </row>
    <row r="491" spans="1:15" x14ac:dyDescent="0.25">
      <c r="A491">
        <f>COUNTIF($C$2:C491,C491)</f>
        <v>490</v>
      </c>
      <c r="B491" s="1" t="str">
        <f t="shared" si="30"/>
        <v>490</v>
      </c>
      <c r="C491" s="1" t="str">
        <f>IFERROR(VLOOKUP(D491,'Planilha de Cadastro - Previsão'!$A$2:$O$1000,15,FALSE()),"")</f>
        <v/>
      </c>
      <c r="D491" s="1">
        <v>490</v>
      </c>
      <c r="F491" s="32" t="str">
        <f t="shared" si="31"/>
        <v/>
      </c>
      <c r="G491" s="33" t="str">
        <f>IFERROR((VLOOKUP(F491,'Planilha de Cadastro - Previsão'!$A$2:$N$1100,2,FALSE()))," ")</f>
        <v xml:space="preserve"> </v>
      </c>
      <c r="H491" s="32" t="str">
        <f>IFERROR((VLOOKUP(F491,'Planilha de Cadastro - Previsão'!$A$2:$N$1100,3,FALSE()))," ")</f>
        <v xml:space="preserve"> </v>
      </c>
      <c r="I491" s="34" t="str">
        <f>IFERROR((VLOOKUP(F491,'Planilha de Cadastro - Previsão'!$A$2:$N$1100,4,FALSE()))," ")</f>
        <v xml:space="preserve"> </v>
      </c>
      <c r="J491" s="34" t="str">
        <f>IFERROR((VLOOKUP(F491,'Planilha de Cadastro - Previsão'!$A$2:$N$1100,5,FALSE()))," ")</f>
        <v xml:space="preserve"> </v>
      </c>
      <c r="K491" s="36"/>
      <c r="L491" s="34" t="str">
        <f t="shared" si="32"/>
        <v/>
      </c>
      <c r="M491" s="35" t="str">
        <f t="shared" si="33"/>
        <v/>
      </c>
      <c r="N491" s="39"/>
      <c r="O491" s="36"/>
    </row>
    <row r="492" spans="1:15" x14ac:dyDescent="0.25">
      <c r="A492">
        <f>COUNTIF($C$2:C492,C492)</f>
        <v>491</v>
      </c>
      <c r="B492" s="1" t="str">
        <f t="shared" si="30"/>
        <v>491</v>
      </c>
      <c r="C492" s="1" t="str">
        <f>IFERROR(VLOOKUP(D492,'Planilha de Cadastro - Previsão'!$A$2:$O$1000,15,FALSE()),"")</f>
        <v/>
      </c>
      <c r="D492" s="1">
        <v>491</v>
      </c>
      <c r="F492" s="32" t="str">
        <f t="shared" si="31"/>
        <v/>
      </c>
      <c r="G492" s="33" t="str">
        <f>IFERROR((VLOOKUP(F492,'Planilha de Cadastro - Previsão'!$A$2:$N$1100,2,FALSE()))," ")</f>
        <v xml:space="preserve"> </v>
      </c>
      <c r="H492" s="32" t="str">
        <f>IFERROR((VLOOKUP(F492,'Planilha de Cadastro - Previsão'!$A$2:$N$1100,3,FALSE()))," ")</f>
        <v xml:space="preserve"> </v>
      </c>
      <c r="I492" s="34" t="str">
        <f>IFERROR((VLOOKUP(F492,'Planilha de Cadastro - Previsão'!$A$2:$N$1100,4,FALSE()))," ")</f>
        <v xml:space="preserve"> </v>
      </c>
      <c r="J492" s="34" t="str">
        <f>IFERROR((VLOOKUP(F492,'Planilha de Cadastro - Previsão'!$A$2:$N$1100,5,FALSE()))," ")</f>
        <v xml:space="preserve"> </v>
      </c>
      <c r="K492" s="36"/>
      <c r="L492" s="34" t="str">
        <f t="shared" si="32"/>
        <v/>
      </c>
      <c r="M492" s="35" t="str">
        <f t="shared" si="33"/>
        <v/>
      </c>
      <c r="N492" s="39"/>
      <c r="O492" s="36"/>
    </row>
    <row r="493" spans="1:15" x14ac:dyDescent="0.25">
      <c r="A493">
        <f>COUNTIF($C$2:C493,C493)</f>
        <v>492</v>
      </c>
      <c r="B493" s="1" t="str">
        <f t="shared" si="30"/>
        <v>492</v>
      </c>
      <c r="C493" s="1" t="str">
        <f>IFERROR(VLOOKUP(D493,'Planilha de Cadastro - Previsão'!$A$2:$O$1000,15,FALSE()),"")</f>
        <v/>
      </c>
      <c r="D493" s="1">
        <v>492</v>
      </c>
      <c r="F493" s="32" t="str">
        <f t="shared" si="31"/>
        <v/>
      </c>
      <c r="G493" s="33" t="str">
        <f>IFERROR((VLOOKUP(F493,'Planilha de Cadastro - Previsão'!$A$2:$N$1100,2,FALSE()))," ")</f>
        <v xml:space="preserve"> </v>
      </c>
      <c r="H493" s="32" t="str">
        <f>IFERROR((VLOOKUP(F493,'Planilha de Cadastro - Previsão'!$A$2:$N$1100,3,FALSE()))," ")</f>
        <v xml:space="preserve"> </v>
      </c>
      <c r="I493" s="34" t="str">
        <f>IFERROR((VLOOKUP(F493,'Planilha de Cadastro - Previsão'!$A$2:$N$1100,4,FALSE()))," ")</f>
        <v xml:space="preserve"> </v>
      </c>
      <c r="J493" s="34" t="str">
        <f>IFERROR((VLOOKUP(F493,'Planilha de Cadastro - Previsão'!$A$2:$N$1100,5,FALSE()))," ")</f>
        <v xml:space="preserve"> </v>
      </c>
      <c r="K493" s="36"/>
      <c r="L493" s="34" t="str">
        <f t="shared" si="32"/>
        <v/>
      </c>
      <c r="M493" s="35" t="str">
        <f t="shared" si="33"/>
        <v/>
      </c>
      <c r="N493" s="39"/>
      <c r="O493" s="36"/>
    </row>
    <row r="494" spans="1:15" x14ac:dyDescent="0.25">
      <c r="A494">
        <f>COUNTIF($C$2:C494,C494)</f>
        <v>493</v>
      </c>
      <c r="B494" s="1" t="str">
        <f t="shared" si="30"/>
        <v>493</v>
      </c>
      <c r="C494" s="1" t="str">
        <f>IFERROR(VLOOKUP(D494,'Planilha de Cadastro - Previsão'!$A$2:$O$1000,15,FALSE()),"")</f>
        <v/>
      </c>
      <c r="D494" s="1">
        <v>493</v>
      </c>
      <c r="F494" s="32" t="str">
        <f t="shared" si="31"/>
        <v/>
      </c>
      <c r="G494" s="33" t="str">
        <f>IFERROR((VLOOKUP(F494,'Planilha de Cadastro - Previsão'!$A$2:$N$1100,2,FALSE()))," ")</f>
        <v xml:space="preserve"> </v>
      </c>
      <c r="H494" s="32" t="str">
        <f>IFERROR((VLOOKUP(F494,'Planilha de Cadastro - Previsão'!$A$2:$N$1100,3,FALSE()))," ")</f>
        <v xml:space="preserve"> </v>
      </c>
      <c r="I494" s="34" t="str">
        <f>IFERROR((VLOOKUP(F494,'Planilha de Cadastro - Previsão'!$A$2:$N$1100,4,FALSE()))," ")</f>
        <v xml:space="preserve"> </v>
      </c>
      <c r="J494" s="34" t="str">
        <f>IFERROR((VLOOKUP(F494,'Planilha de Cadastro - Previsão'!$A$2:$N$1100,5,FALSE()))," ")</f>
        <v xml:space="preserve"> </v>
      </c>
      <c r="K494" s="36"/>
      <c r="L494" s="34" t="str">
        <f t="shared" si="32"/>
        <v/>
      </c>
      <c r="M494" s="35" t="str">
        <f t="shared" si="33"/>
        <v/>
      </c>
      <c r="N494" s="39"/>
      <c r="O494" s="36"/>
    </row>
    <row r="495" spans="1:15" x14ac:dyDescent="0.25">
      <c r="A495">
        <f>COUNTIF($C$2:C495,C495)</f>
        <v>494</v>
      </c>
      <c r="B495" s="1" t="str">
        <f t="shared" si="30"/>
        <v>494</v>
      </c>
      <c r="C495" s="1" t="str">
        <f>IFERROR(VLOOKUP(D495,'Planilha de Cadastro - Previsão'!$A$2:$O$1000,15,FALSE()),"")</f>
        <v/>
      </c>
      <c r="D495" s="1">
        <v>494</v>
      </c>
      <c r="F495" s="32" t="str">
        <f t="shared" si="31"/>
        <v/>
      </c>
      <c r="G495" s="33" t="str">
        <f>IFERROR((VLOOKUP(F495,'Planilha de Cadastro - Previsão'!$A$2:$N$1100,2,FALSE()))," ")</f>
        <v xml:space="preserve"> </v>
      </c>
      <c r="H495" s="32" t="str">
        <f>IFERROR((VLOOKUP(F495,'Planilha de Cadastro - Previsão'!$A$2:$N$1100,3,FALSE()))," ")</f>
        <v xml:space="preserve"> </v>
      </c>
      <c r="I495" s="34" t="str">
        <f>IFERROR((VLOOKUP(F495,'Planilha de Cadastro - Previsão'!$A$2:$N$1100,4,FALSE()))," ")</f>
        <v xml:space="preserve"> </v>
      </c>
      <c r="J495" s="34" t="str">
        <f>IFERROR((VLOOKUP(F495,'Planilha de Cadastro - Previsão'!$A$2:$N$1100,5,FALSE()))," ")</f>
        <v xml:space="preserve"> </v>
      </c>
      <c r="K495" s="36"/>
      <c r="L495" s="34" t="str">
        <f t="shared" si="32"/>
        <v/>
      </c>
      <c r="M495" s="35" t="str">
        <f t="shared" si="33"/>
        <v/>
      </c>
      <c r="N495" s="39"/>
      <c r="O495" s="36"/>
    </row>
    <row r="496" spans="1:15" x14ac:dyDescent="0.25">
      <c r="A496">
        <f>COUNTIF($C$2:C496,C496)</f>
        <v>495</v>
      </c>
      <c r="B496" s="1" t="str">
        <f t="shared" si="30"/>
        <v>495</v>
      </c>
      <c r="C496" s="1" t="str">
        <f>IFERROR(VLOOKUP(D496,'Planilha de Cadastro - Previsão'!$A$2:$O$1000,15,FALSE()),"")</f>
        <v/>
      </c>
      <c r="D496" s="1">
        <v>495</v>
      </c>
      <c r="F496" s="32" t="str">
        <f t="shared" si="31"/>
        <v/>
      </c>
      <c r="G496" s="33" t="str">
        <f>IFERROR((VLOOKUP(F496,'Planilha de Cadastro - Previsão'!$A$2:$N$1100,2,FALSE()))," ")</f>
        <v xml:space="preserve"> </v>
      </c>
      <c r="H496" s="32" t="str">
        <f>IFERROR((VLOOKUP(F496,'Planilha de Cadastro - Previsão'!$A$2:$N$1100,3,FALSE()))," ")</f>
        <v xml:space="preserve"> </v>
      </c>
      <c r="I496" s="34" t="str">
        <f>IFERROR((VLOOKUP(F496,'Planilha de Cadastro - Previsão'!$A$2:$N$1100,4,FALSE()))," ")</f>
        <v xml:space="preserve"> </v>
      </c>
      <c r="J496" s="34" t="str">
        <f>IFERROR((VLOOKUP(F496,'Planilha de Cadastro - Previsão'!$A$2:$N$1100,5,FALSE()))," ")</f>
        <v xml:space="preserve"> </v>
      </c>
      <c r="K496" s="36"/>
      <c r="L496" s="34" t="str">
        <f t="shared" si="32"/>
        <v/>
      </c>
      <c r="M496" s="35" t="str">
        <f t="shared" si="33"/>
        <v/>
      </c>
      <c r="N496" s="39"/>
      <c r="O496" s="36"/>
    </row>
    <row r="497" spans="1:15" x14ac:dyDescent="0.25">
      <c r="A497">
        <f>COUNTIF($C$2:C497,C497)</f>
        <v>496</v>
      </c>
      <c r="B497" s="1" t="str">
        <f t="shared" si="30"/>
        <v>496</v>
      </c>
      <c r="C497" s="1" t="str">
        <f>IFERROR(VLOOKUP(D497,'Planilha de Cadastro - Previsão'!$A$2:$O$1000,15,FALSE()),"")</f>
        <v/>
      </c>
      <c r="D497" s="1">
        <v>496</v>
      </c>
      <c r="F497" s="32" t="str">
        <f t="shared" si="31"/>
        <v/>
      </c>
      <c r="G497" s="33" t="str">
        <f>IFERROR((VLOOKUP(F497,'Planilha de Cadastro - Previsão'!$A$2:$N$1100,2,FALSE()))," ")</f>
        <v xml:space="preserve"> </v>
      </c>
      <c r="H497" s="32" t="str">
        <f>IFERROR((VLOOKUP(F497,'Planilha de Cadastro - Previsão'!$A$2:$N$1100,3,FALSE()))," ")</f>
        <v xml:space="preserve"> </v>
      </c>
      <c r="I497" s="34" t="str">
        <f>IFERROR((VLOOKUP(F497,'Planilha de Cadastro - Previsão'!$A$2:$N$1100,4,FALSE()))," ")</f>
        <v xml:space="preserve"> </v>
      </c>
      <c r="J497" s="34" t="str">
        <f>IFERROR((VLOOKUP(F497,'Planilha de Cadastro - Previsão'!$A$2:$N$1100,5,FALSE()))," ")</f>
        <v xml:space="preserve"> </v>
      </c>
      <c r="K497" s="36"/>
      <c r="L497" s="34" t="str">
        <f t="shared" si="32"/>
        <v/>
      </c>
      <c r="M497" s="35" t="str">
        <f t="shared" si="33"/>
        <v/>
      </c>
      <c r="N497" s="39"/>
      <c r="O497" s="36"/>
    </row>
    <row r="498" spans="1:15" x14ac:dyDescent="0.25">
      <c r="A498">
        <f>COUNTIF($C$2:C498,C498)</f>
        <v>497</v>
      </c>
      <c r="B498" s="1" t="str">
        <f t="shared" si="30"/>
        <v>497</v>
      </c>
      <c r="C498" s="1" t="str">
        <f>IFERROR(VLOOKUP(D498,'Planilha de Cadastro - Previsão'!$A$2:$O$1000,15,FALSE()),"")</f>
        <v/>
      </c>
      <c r="D498" s="1">
        <v>497</v>
      </c>
      <c r="F498" s="32" t="str">
        <f t="shared" si="31"/>
        <v/>
      </c>
      <c r="G498" s="33" t="str">
        <f>IFERROR((VLOOKUP(F498,'Planilha de Cadastro - Previsão'!$A$2:$N$1100,2,FALSE()))," ")</f>
        <v xml:space="preserve"> </v>
      </c>
      <c r="H498" s="32" t="str">
        <f>IFERROR((VLOOKUP(F498,'Planilha de Cadastro - Previsão'!$A$2:$N$1100,3,FALSE()))," ")</f>
        <v xml:space="preserve"> </v>
      </c>
      <c r="I498" s="34" t="str">
        <f>IFERROR((VLOOKUP(F498,'Planilha de Cadastro - Previsão'!$A$2:$N$1100,4,FALSE()))," ")</f>
        <v xml:space="preserve"> </v>
      </c>
      <c r="J498" s="34" t="str">
        <f>IFERROR((VLOOKUP(F498,'Planilha de Cadastro - Previsão'!$A$2:$N$1100,5,FALSE()))," ")</f>
        <v xml:space="preserve"> </v>
      </c>
      <c r="K498" s="36"/>
      <c r="L498" s="34" t="str">
        <f t="shared" si="32"/>
        <v/>
      </c>
      <c r="M498" s="35" t="str">
        <f t="shared" si="33"/>
        <v/>
      </c>
      <c r="N498" s="39"/>
      <c r="O498" s="36"/>
    </row>
    <row r="499" spans="1:15" x14ac:dyDescent="0.25">
      <c r="A499">
        <f>COUNTIF($C$2:C499,C499)</f>
        <v>498</v>
      </c>
      <c r="B499" s="1" t="str">
        <f t="shared" si="30"/>
        <v>498</v>
      </c>
      <c r="C499" s="1" t="str">
        <f>IFERROR(VLOOKUP(D499,'Planilha de Cadastro - Previsão'!$A$2:$O$1000,15,FALSE()),"")</f>
        <v/>
      </c>
      <c r="D499" s="1">
        <v>498</v>
      </c>
      <c r="F499" s="32" t="str">
        <f t="shared" si="31"/>
        <v/>
      </c>
      <c r="G499" s="33" t="str">
        <f>IFERROR((VLOOKUP(F499,'Planilha de Cadastro - Previsão'!$A$2:$N$1100,2,FALSE()))," ")</f>
        <v xml:space="preserve"> </v>
      </c>
      <c r="H499" s="32" t="str">
        <f>IFERROR((VLOOKUP(F499,'Planilha de Cadastro - Previsão'!$A$2:$N$1100,3,FALSE()))," ")</f>
        <v xml:space="preserve"> </v>
      </c>
      <c r="I499" s="34" t="str">
        <f>IFERROR((VLOOKUP(F499,'Planilha de Cadastro - Previsão'!$A$2:$N$1100,4,FALSE()))," ")</f>
        <v xml:space="preserve"> </v>
      </c>
      <c r="J499" s="34" t="str">
        <f>IFERROR((VLOOKUP(F499,'Planilha de Cadastro - Previsão'!$A$2:$N$1100,5,FALSE()))," ")</f>
        <v xml:space="preserve"> </v>
      </c>
      <c r="K499" s="36"/>
      <c r="L499" s="34" t="str">
        <f t="shared" si="32"/>
        <v/>
      </c>
      <c r="M499" s="35" t="str">
        <f t="shared" si="33"/>
        <v/>
      </c>
      <c r="N499" s="39"/>
      <c r="O499" s="36"/>
    </row>
    <row r="500" spans="1:15" x14ac:dyDescent="0.25">
      <c r="A500">
        <f>COUNTIF($C$2:C500,C500)</f>
        <v>499</v>
      </c>
      <c r="B500" s="1" t="str">
        <f t="shared" si="30"/>
        <v>499</v>
      </c>
      <c r="C500" s="1" t="str">
        <f>IFERROR(VLOOKUP(D500,'Planilha de Cadastro - Previsão'!$A$2:$O$1000,15,FALSE()),"")</f>
        <v/>
      </c>
      <c r="D500" s="1">
        <v>499</v>
      </c>
      <c r="F500" s="32" t="str">
        <f t="shared" si="31"/>
        <v/>
      </c>
      <c r="G500" s="33" t="str">
        <f>IFERROR((VLOOKUP(F500,'Planilha de Cadastro - Previsão'!$A$2:$N$1100,2,FALSE()))," ")</f>
        <v xml:space="preserve"> </v>
      </c>
      <c r="H500" s="32" t="str">
        <f>IFERROR((VLOOKUP(F500,'Planilha de Cadastro - Previsão'!$A$2:$N$1100,3,FALSE()))," ")</f>
        <v xml:space="preserve"> </v>
      </c>
      <c r="I500" s="34" t="str">
        <f>IFERROR((VLOOKUP(F500,'Planilha de Cadastro - Previsão'!$A$2:$N$1100,4,FALSE()))," ")</f>
        <v xml:space="preserve"> </v>
      </c>
      <c r="J500" s="34" t="str">
        <f>IFERROR((VLOOKUP(F500,'Planilha de Cadastro - Previsão'!$A$2:$N$1100,5,FALSE()))," ")</f>
        <v xml:space="preserve"> </v>
      </c>
      <c r="K500" s="36"/>
      <c r="L500" s="34" t="str">
        <f t="shared" si="32"/>
        <v/>
      </c>
      <c r="M500" s="35" t="str">
        <f t="shared" si="33"/>
        <v/>
      </c>
      <c r="N500" s="39"/>
      <c r="O500" s="36"/>
    </row>
    <row r="501" spans="1:15" x14ac:dyDescent="0.25">
      <c r="A501">
        <f>COUNTIF($C$2:C501,C501)</f>
        <v>500</v>
      </c>
      <c r="B501" s="1" t="str">
        <f t="shared" si="30"/>
        <v>500</v>
      </c>
      <c r="C501" s="1" t="str">
        <f>IFERROR(VLOOKUP(D501,'Planilha de Cadastro - Previsão'!$A$2:$O$1000,15,FALSE()),"")</f>
        <v/>
      </c>
      <c r="D501" s="1">
        <v>500</v>
      </c>
      <c r="F501" s="32" t="str">
        <f t="shared" si="31"/>
        <v/>
      </c>
      <c r="G501" s="33" t="str">
        <f>IFERROR((VLOOKUP(F501,'Planilha de Cadastro - Previsão'!$A$2:$N$1100,2,FALSE()))," ")</f>
        <v xml:space="preserve"> </v>
      </c>
      <c r="H501" s="32" t="str">
        <f>IFERROR((VLOOKUP(F501,'Planilha de Cadastro - Previsão'!$A$2:$N$1100,3,FALSE()))," ")</f>
        <v xml:space="preserve"> </v>
      </c>
      <c r="I501" s="34" t="str">
        <f>IFERROR((VLOOKUP(F501,'Planilha de Cadastro - Previsão'!$A$2:$N$1100,4,FALSE()))," ")</f>
        <v xml:space="preserve"> </v>
      </c>
      <c r="J501" s="34" t="str">
        <f>IFERROR((VLOOKUP(F501,'Planilha de Cadastro - Previsão'!$A$2:$N$1100,5,FALSE()))," ")</f>
        <v xml:space="preserve"> </v>
      </c>
      <c r="K501" s="36"/>
      <c r="L501" s="34" t="str">
        <f t="shared" si="32"/>
        <v/>
      </c>
      <c r="M501" s="35" t="str">
        <f t="shared" si="33"/>
        <v/>
      </c>
      <c r="N501" s="39"/>
      <c r="O501" s="36"/>
    </row>
    <row r="502" spans="1:15" x14ac:dyDescent="0.25">
      <c r="A502">
        <f>COUNTIF($C$2:C502,C502)</f>
        <v>501</v>
      </c>
      <c r="B502" s="1" t="str">
        <f t="shared" si="30"/>
        <v>501</v>
      </c>
      <c r="C502" s="1" t="str">
        <f>IFERROR(VLOOKUP(D502,'Planilha de Cadastro - Previsão'!$A$2:$O$1000,15,FALSE()),"")</f>
        <v/>
      </c>
      <c r="D502" s="1">
        <v>501</v>
      </c>
      <c r="F502" s="32" t="str">
        <f t="shared" si="31"/>
        <v/>
      </c>
      <c r="G502" s="33" t="str">
        <f>IFERROR((VLOOKUP(F502,'Planilha de Cadastro - Previsão'!$A$2:$N$1100,2,FALSE()))," ")</f>
        <v xml:space="preserve"> </v>
      </c>
      <c r="H502" s="32" t="str">
        <f>IFERROR((VLOOKUP(F502,'Planilha de Cadastro - Previsão'!$A$2:$N$1100,3,FALSE()))," ")</f>
        <v xml:space="preserve"> </v>
      </c>
      <c r="I502" s="34" t="str">
        <f>IFERROR((VLOOKUP(F502,'Planilha de Cadastro - Previsão'!$A$2:$N$1100,4,FALSE()))," ")</f>
        <v xml:space="preserve"> </v>
      </c>
      <c r="J502" s="34" t="str">
        <f>IFERROR((VLOOKUP(F502,'Planilha de Cadastro - Previsão'!$A$2:$N$1100,5,FALSE()))," ")</f>
        <v xml:space="preserve"> </v>
      </c>
      <c r="K502" s="36"/>
      <c r="L502" s="34" t="str">
        <f t="shared" si="32"/>
        <v/>
      </c>
      <c r="M502" s="35" t="str">
        <f t="shared" si="33"/>
        <v/>
      </c>
      <c r="N502" s="39"/>
      <c r="O502" s="36"/>
    </row>
    <row r="503" spans="1:15" x14ac:dyDescent="0.25">
      <c r="A503">
        <f>COUNTIF($C$2:C503,C503)</f>
        <v>502</v>
      </c>
      <c r="B503" s="1" t="str">
        <f t="shared" si="30"/>
        <v>502</v>
      </c>
      <c r="C503" s="1" t="str">
        <f>IFERROR(VLOOKUP(D503,'Planilha de Cadastro - Previsão'!$A$2:$O$1000,15,FALSE()),"")</f>
        <v/>
      </c>
      <c r="D503" s="1">
        <v>502</v>
      </c>
      <c r="F503" s="32" t="str">
        <f t="shared" si="31"/>
        <v/>
      </c>
      <c r="G503" s="33" t="str">
        <f>IFERROR((VLOOKUP(F503,'Planilha de Cadastro - Previsão'!$A$2:$N$1100,2,FALSE()))," ")</f>
        <v xml:space="preserve"> </v>
      </c>
      <c r="H503" s="32" t="str">
        <f>IFERROR((VLOOKUP(F503,'Planilha de Cadastro - Previsão'!$A$2:$N$1100,3,FALSE()))," ")</f>
        <v xml:space="preserve"> </v>
      </c>
      <c r="I503" s="34" t="str">
        <f>IFERROR((VLOOKUP(F503,'Planilha de Cadastro - Previsão'!$A$2:$N$1100,4,FALSE()))," ")</f>
        <v xml:space="preserve"> </v>
      </c>
      <c r="J503" s="34" t="str">
        <f>IFERROR((VLOOKUP(F503,'Planilha de Cadastro - Previsão'!$A$2:$N$1100,5,FALSE()))," ")</f>
        <v xml:space="preserve"> </v>
      </c>
      <c r="K503" s="36"/>
      <c r="L503" s="34" t="str">
        <f t="shared" si="32"/>
        <v/>
      </c>
      <c r="M503" s="35" t="str">
        <f t="shared" si="33"/>
        <v/>
      </c>
      <c r="N503" s="39"/>
      <c r="O503" s="36"/>
    </row>
    <row r="504" spans="1:15" x14ac:dyDescent="0.25">
      <c r="A504">
        <f>COUNTIF($C$2:C504,C504)</f>
        <v>503</v>
      </c>
      <c r="B504" s="1" t="str">
        <f t="shared" si="30"/>
        <v>503</v>
      </c>
      <c r="C504" s="1" t="str">
        <f>IFERROR(VLOOKUP(D504,'Planilha de Cadastro - Previsão'!$A$2:$O$1000,15,FALSE()),"")</f>
        <v/>
      </c>
      <c r="D504" s="1">
        <v>503</v>
      </c>
      <c r="F504" s="32" t="str">
        <f t="shared" si="31"/>
        <v/>
      </c>
      <c r="G504" s="33" t="str">
        <f>IFERROR((VLOOKUP(F504,'Planilha de Cadastro - Previsão'!$A$2:$N$1100,2,FALSE()))," ")</f>
        <v xml:space="preserve"> </v>
      </c>
      <c r="H504" s="32" t="str">
        <f>IFERROR((VLOOKUP(F504,'Planilha de Cadastro - Previsão'!$A$2:$N$1100,3,FALSE()))," ")</f>
        <v xml:space="preserve"> </v>
      </c>
      <c r="I504" s="34" t="str">
        <f>IFERROR((VLOOKUP(F504,'Planilha de Cadastro - Previsão'!$A$2:$N$1100,4,FALSE()))," ")</f>
        <v xml:space="preserve"> </v>
      </c>
      <c r="J504" s="34" t="str">
        <f>IFERROR((VLOOKUP(F504,'Planilha de Cadastro - Previsão'!$A$2:$N$1100,5,FALSE()))," ")</f>
        <v xml:space="preserve"> </v>
      </c>
      <c r="K504" s="36"/>
      <c r="L504" s="34" t="str">
        <f t="shared" si="32"/>
        <v/>
      </c>
      <c r="M504" s="35" t="str">
        <f t="shared" si="33"/>
        <v/>
      </c>
      <c r="N504" s="39"/>
      <c r="O504" s="36"/>
    </row>
    <row r="505" spans="1:15" x14ac:dyDescent="0.25">
      <c r="A505">
        <f>COUNTIF($C$2:C505,C505)</f>
        <v>504</v>
      </c>
      <c r="B505" s="1" t="str">
        <f t="shared" si="30"/>
        <v>504</v>
      </c>
      <c r="C505" s="1" t="str">
        <f>IFERROR(VLOOKUP(D505,'Planilha de Cadastro - Previsão'!$A$2:$O$1000,15,FALSE()),"")</f>
        <v/>
      </c>
      <c r="D505" s="1">
        <v>504</v>
      </c>
      <c r="F505" s="32" t="str">
        <f t="shared" si="31"/>
        <v/>
      </c>
      <c r="G505" s="33" t="str">
        <f>IFERROR((VLOOKUP(F505,'Planilha de Cadastro - Previsão'!$A$2:$N$1100,2,FALSE()))," ")</f>
        <v xml:space="preserve"> </v>
      </c>
      <c r="H505" s="32" t="str">
        <f>IFERROR((VLOOKUP(F505,'Planilha de Cadastro - Previsão'!$A$2:$N$1100,3,FALSE()))," ")</f>
        <v xml:space="preserve"> </v>
      </c>
      <c r="I505" s="34" t="str">
        <f>IFERROR((VLOOKUP(F505,'Planilha de Cadastro - Previsão'!$A$2:$N$1100,4,FALSE()))," ")</f>
        <v xml:space="preserve"> </v>
      </c>
      <c r="J505" s="34" t="str">
        <f>IFERROR((VLOOKUP(F505,'Planilha de Cadastro - Previsão'!$A$2:$N$1100,5,FALSE()))," ")</f>
        <v xml:space="preserve"> </v>
      </c>
      <c r="K505" s="36"/>
      <c r="L505" s="34" t="str">
        <f t="shared" si="32"/>
        <v/>
      </c>
      <c r="M505" s="35" t="str">
        <f t="shared" si="33"/>
        <v/>
      </c>
      <c r="N505" s="39"/>
      <c r="O505" s="36"/>
    </row>
    <row r="506" spans="1:15" x14ac:dyDescent="0.25">
      <c r="A506">
        <f>COUNTIF($C$2:C506,C506)</f>
        <v>505</v>
      </c>
      <c r="B506" s="1" t="str">
        <f t="shared" si="30"/>
        <v>505</v>
      </c>
      <c r="C506" s="1" t="str">
        <f>IFERROR(VLOOKUP(D506,'Planilha de Cadastro - Previsão'!$A$2:$O$1000,15,FALSE()),"")</f>
        <v/>
      </c>
      <c r="D506" s="1">
        <v>505</v>
      </c>
      <c r="F506" s="32" t="str">
        <f t="shared" si="31"/>
        <v/>
      </c>
      <c r="G506" s="33" t="str">
        <f>IFERROR((VLOOKUP(F506,'Planilha de Cadastro - Previsão'!$A$2:$N$1100,2,FALSE()))," ")</f>
        <v xml:space="preserve"> </v>
      </c>
      <c r="H506" s="32" t="str">
        <f>IFERROR((VLOOKUP(F506,'Planilha de Cadastro - Previsão'!$A$2:$N$1100,3,FALSE()))," ")</f>
        <v xml:space="preserve"> </v>
      </c>
      <c r="I506" s="34" t="str">
        <f>IFERROR((VLOOKUP(F506,'Planilha de Cadastro - Previsão'!$A$2:$N$1100,4,FALSE()))," ")</f>
        <v xml:space="preserve"> </v>
      </c>
      <c r="J506" s="34" t="str">
        <f>IFERROR((VLOOKUP(F506,'Planilha de Cadastro - Previsão'!$A$2:$N$1100,5,FALSE()))," ")</f>
        <v xml:space="preserve"> </v>
      </c>
      <c r="K506" s="36"/>
      <c r="L506" s="34" t="str">
        <f t="shared" si="32"/>
        <v/>
      </c>
      <c r="M506" s="35" t="str">
        <f t="shared" si="33"/>
        <v/>
      </c>
      <c r="N506" s="39"/>
      <c r="O506" s="36"/>
    </row>
    <row r="507" spans="1:15" x14ac:dyDescent="0.25">
      <c r="A507">
        <f>COUNTIF($C$2:C507,C507)</f>
        <v>506</v>
      </c>
      <c r="B507" s="1" t="str">
        <f t="shared" si="30"/>
        <v>506</v>
      </c>
      <c r="C507" s="1" t="str">
        <f>IFERROR(VLOOKUP(D507,'Planilha de Cadastro - Previsão'!$A$2:$O$1000,15,FALSE()),"")</f>
        <v/>
      </c>
      <c r="D507" s="1">
        <v>506</v>
      </c>
      <c r="F507" s="32" t="str">
        <f t="shared" si="31"/>
        <v/>
      </c>
      <c r="G507" s="33" t="str">
        <f>IFERROR((VLOOKUP(F507,'Planilha de Cadastro - Previsão'!$A$2:$N$1100,2,FALSE()))," ")</f>
        <v xml:space="preserve"> </v>
      </c>
      <c r="H507" s="32" t="str">
        <f>IFERROR((VLOOKUP(F507,'Planilha de Cadastro - Previsão'!$A$2:$N$1100,3,FALSE()))," ")</f>
        <v xml:space="preserve"> </v>
      </c>
      <c r="I507" s="34" t="str">
        <f>IFERROR((VLOOKUP(F507,'Planilha de Cadastro - Previsão'!$A$2:$N$1100,4,FALSE()))," ")</f>
        <v xml:space="preserve"> </v>
      </c>
      <c r="J507" s="34" t="str">
        <f>IFERROR((VLOOKUP(F507,'Planilha de Cadastro - Previsão'!$A$2:$N$1100,5,FALSE()))," ")</f>
        <v xml:space="preserve"> </v>
      </c>
      <c r="K507" s="36"/>
      <c r="L507" s="34" t="str">
        <f t="shared" si="32"/>
        <v/>
      </c>
      <c r="M507" s="35" t="str">
        <f t="shared" si="33"/>
        <v/>
      </c>
      <c r="N507" s="39"/>
      <c r="O507" s="36"/>
    </row>
    <row r="508" spans="1:15" x14ac:dyDescent="0.25">
      <c r="A508">
        <f>COUNTIF($C$2:C508,C508)</f>
        <v>507</v>
      </c>
      <c r="B508" s="1" t="str">
        <f t="shared" si="30"/>
        <v>507</v>
      </c>
      <c r="C508" s="1" t="str">
        <f>IFERROR(VLOOKUP(D508,'Planilha de Cadastro - Previsão'!$A$2:$O$1000,15,FALSE()),"")</f>
        <v/>
      </c>
      <c r="D508" s="1">
        <v>507</v>
      </c>
      <c r="F508" s="32" t="str">
        <f t="shared" si="31"/>
        <v/>
      </c>
      <c r="G508" s="33" t="str">
        <f>IFERROR((VLOOKUP(F508,'Planilha de Cadastro - Previsão'!$A$2:$N$1100,2,FALSE()))," ")</f>
        <v xml:space="preserve"> </v>
      </c>
      <c r="H508" s="32" t="str">
        <f>IFERROR((VLOOKUP(F508,'Planilha de Cadastro - Previsão'!$A$2:$N$1100,3,FALSE()))," ")</f>
        <v xml:space="preserve"> </v>
      </c>
      <c r="I508" s="34" t="str">
        <f>IFERROR((VLOOKUP(F508,'Planilha de Cadastro - Previsão'!$A$2:$N$1100,4,FALSE()))," ")</f>
        <v xml:space="preserve"> </v>
      </c>
      <c r="J508" s="34" t="str">
        <f>IFERROR((VLOOKUP(F508,'Planilha de Cadastro - Previsão'!$A$2:$N$1100,5,FALSE()))," ")</f>
        <v xml:space="preserve"> </v>
      </c>
      <c r="K508" s="36"/>
      <c r="L508" s="34" t="str">
        <f t="shared" si="32"/>
        <v/>
      </c>
      <c r="M508" s="35" t="str">
        <f t="shared" si="33"/>
        <v/>
      </c>
      <c r="N508" s="39"/>
      <c r="O508" s="36"/>
    </row>
    <row r="509" spans="1:15" x14ac:dyDescent="0.25">
      <c r="A509">
        <f>COUNTIF($C$2:C509,C509)</f>
        <v>508</v>
      </c>
      <c r="B509" s="1" t="str">
        <f t="shared" si="30"/>
        <v>508</v>
      </c>
      <c r="C509" s="1" t="str">
        <f>IFERROR(VLOOKUP(D509,'Planilha de Cadastro - Previsão'!$A$2:$O$1000,15,FALSE()),"")</f>
        <v/>
      </c>
      <c r="D509" s="1">
        <v>508</v>
      </c>
      <c r="F509" s="32" t="str">
        <f t="shared" si="31"/>
        <v/>
      </c>
      <c r="G509" s="33" t="str">
        <f>IFERROR((VLOOKUP(F509,'Planilha de Cadastro - Previsão'!$A$2:$N$1100,2,FALSE()))," ")</f>
        <v xml:space="preserve"> </v>
      </c>
      <c r="H509" s="32" t="str">
        <f>IFERROR((VLOOKUP(F509,'Planilha de Cadastro - Previsão'!$A$2:$N$1100,3,FALSE()))," ")</f>
        <v xml:space="preserve"> </v>
      </c>
      <c r="I509" s="34" t="str">
        <f>IFERROR((VLOOKUP(F509,'Planilha de Cadastro - Previsão'!$A$2:$N$1100,4,FALSE()))," ")</f>
        <v xml:space="preserve"> </v>
      </c>
      <c r="J509" s="34" t="str">
        <f>IFERROR((VLOOKUP(F509,'Planilha de Cadastro - Previsão'!$A$2:$N$1100,5,FALSE()))," ")</f>
        <v xml:space="preserve"> </v>
      </c>
      <c r="K509" s="36"/>
      <c r="L509" s="34" t="str">
        <f t="shared" si="32"/>
        <v/>
      </c>
      <c r="M509" s="35" t="str">
        <f t="shared" si="33"/>
        <v/>
      </c>
      <c r="N509" s="39"/>
      <c r="O509" s="36"/>
    </row>
    <row r="510" spans="1:15" x14ac:dyDescent="0.25">
      <c r="A510">
        <f>COUNTIF($C$2:C510,C510)</f>
        <v>509</v>
      </c>
      <c r="B510" s="1" t="str">
        <f t="shared" si="30"/>
        <v>509</v>
      </c>
      <c r="C510" s="1" t="str">
        <f>IFERROR(VLOOKUP(D510,'Planilha de Cadastro - Previsão'!$A$2:$O$1000,15,FALSE()),"")</f>
        <v/>
      </c>
      <c r="D510" s="1">
        <v>509</v>
      </c>
      <c r="F510" s="32" t="str">
        <f t="shared" si="31"/>
        <v/>
      </c>
      <c r="G510" s="33" t="str">
        <f>IFERROR((VLOOKUP(F510,'Planilha de Cadastro - Previsão'!$A$2:$N$1100,2,FALSE()))," ")</f>
        <v xml:space="preserve"> </v>
      </c>
      <c r="H510" s="32" t="str">
        <f>IFERROR((VLOOKUP(F510,'Planilha de Cadastro - Previsão'!$A$2:$N$1100,3,FALSE()))," ")</f>
        <v xml:space="preserve"> </v>
      </c>
      <c r="I510" s="34" t="str">
        <f>IFERROR((VLOOKUP(F510,'Planilha de Cadastro - Previsão'!$A$2:$N$1100,4,FALSE()))," ")</f>
        <v xml:space="preserve"> </v>
      </c>
      <c r="J510" s="34" t="str">
        <f>IFERROR((VLOOKUP(F510,'Planilha de Cadastro - Previsão'!$A$2:$N$1100,5,FALSE()))," ")</f>
        <v xml:space="preserve"> </v>
      </c>
      <c r="K510" s="36"/>
      <c r="L510" s="34" t="str">
        <f t="shared" si="32"/>
        <v/>
      </c>
      <c r="M510" s="35" t="str">
        <f t="shared" si="33"/>
        <v/>
      </c>
      <c r="N510" s="39"/>
      <c r="O510" s="36"/>
    </row>
    <row r="511" spans="1:15" x14ac:dyDescent="0.25">
      <c r="A511">
        <f>COUNTIF($C$2:C511,C511)</f>
        <v>510</v>
      </c>
      <c r="B511" s="1" t="str">
        <f t="shared" si="30"/>
        <v>510</v>
      </c>
      <c r="C511" s="1" t="str">
        <f>IFERROR(VLOOKUP(D511,'Planilha de Cadastro - Previsão'!$A$2:$O$1000,15,FALSE()),"")</f>
        <v/>
      </c>
      <c r="D511" s="1">
        <v>510</v>
      </c>
      <c r="F511" s="32" t="str">
        <f t="shared" si="31"/>
        <v/>
      </c>
      <c r="G511" s="33" t="str">
        <f>IFERROR((VLOOKUP(F511,'Planilha de Cadastro - Previsão'!$A$2:$N$1100,2,FALSE()))," ")</f>
        <v xml:space="preserve"> </v>
      </c>
      <c r="H511" s="32" t="str">
        <f>IFERROR((VLOOKUP(F511,'Planilha de Cadastro - Previsão'!$A$2:$N$1100,3,FALSE()))," ")</f>
        <v xml:space="preserve"> </v>
      </c>
      <c r="I511" s="34" t="str">
        <f>IFERROR((VLOOKUP(F511,'Planilha de Cadastro - Previsão'!$A$2:$N$1100,4,FALSE()))," ")</f>
        <v xml:space="preserve"> </v>
      </c>
      <c r="J511" s="34" t="str">
        <f>IFERROR((VLOOKUP(F511,'Planilha de Cadastro - Previsão'!$A$2:$N$1100,5,FALSE()))," ")</f>
        <v xml:space="preserve"> </v>
      </c>
      <c r="K511" s="36"/>
      <c r="L511" s="34" t="str">
        <f t="shared" si="32"/>
        <v/>
      </c>
      <c r="M511" s="35" t="str">
        <f t="shared" si="33"/>
        <v/>
      </c>
      <c r="N511" s="39"/>
      <c r="O511" s="36"/>
    </row>
    <row r="512" spans="1:15" x14ac:dyDescent="0.25">
      <c r="A512">
        <f>COUNTIF($C$2:C512,C512)</f>
        <v>511</v>
      </c>
      <c r="B512" s="1" t="str">
        <f t="shared" si="30"/>
        <v>511</v>
      </c>
      <c r="C512" s="1" t="str">
        <f>IFERROR(VLOOKUP(D512,'Planilha de Cadastro - Previsão'!$A$2:$O$1000,15,FALSE()),"")</f>
        <v/>
      </c>
      <c r="D512" s="1">
        <v>511</v>
      </c>
      <c r="F512" s="32" t="str">
        <f t="shared" si="31"/>
        <v/>
      </c>
      <c r="G512" s="33" t="str">
        <f>IFERROR((VLOOKUP(F512,'Planilha de Cadastro - Previsão'!$A$2:$N$1100,2,FALSE()))," ")</f>
        <v xml:space="preserve"> </v>
      </c>
      <c r="H512" s="32" t="str">
        <f>IFERROR((VLOOKUP(F512,'Planilha de Cadastro - Previsão'!$A$2:$N$1100,3,FALSE()))," ")</f>
        <v xml:space="preserve"> </v>
      </c>
      <c r="I512" s="34" t="str">
        <f>IFERROR((VLOOKUP(F512,'Planilha de Cadastro - Previsão'!$A$2:$N$1100,4,FALSE()))," ")</f>
        <v xml:space="preserve"> </v>
      </c>
      <c r="J512" s="34" t="str">
        <f>IFERROR((VLOOKUP(F512,'Planilha de Cadastro - Previsão'!$A$2:$N$1100,5,FALSE()))," ")</f>
        <v xml:space="preserve"> </v>
      </c>
      <c r="K512" s="36"/>
      <c r="L512" s="34" t="str">
        <f t="shared" si="32"/>
        <v/>
      </c>
      <c r="M512" s="35" t="str">
        <f t="shared" si="33"/>
        <v/>
      </c>
      <c r="N512" s="39"/>
      <c r="O512" s="36"/>
    </row>
    <row r="513" spans="1:15" x14ac:dyDescent="0.25">
      <c r="A513">
        <f>COUNTIF($C$2:C513,C513)</f>
        <v>512</v>
      </c>
      <c r="B513" s="1" t="str">
        <f t="shared" si="30"/>
        <v>512</v>
      </c>
      <c r="C513" s="1" t="str">
        <f>IFERROR(VLOOKUP(D513,'Planilha de Cadastro - Previsão'!$A$2:$O$1000,15,FALSE()),"")</f>
        <v/>
      </c>
      <c r="D513" s="1">
        <v>512</v>
      </c>
      <c r="F513" s="32" t="str">
        <f t="shared" si="31"/>
        <v/>
      </c>
      <c r="G513" s="33" t="str">
        <f>IFERROR((VLOOKUP(F513,'Planilha de Cadastro - Previsão'!$A$2:$N$1100,2,FALSE()))," ")</f>
        <v xml:space="preserve"> </v>
      </c>
      <c r="H513" s="32" t="str">
        <f>IFERROR((VLOOKUP(F513,'Planilha de Cadastro - Previsão'!$A$2:$N$1100,3,FALSE()))," ")</f>
        <v xml:space="preserve"> </v>
      </c>
      <c r="I513" s="34" t="str">
        <f>IFERROR((VLOOKUP(F513,'Planilha de Cadastro - Previsão'!$A$2:$N$1100,4,FALSE()))," ")</f>
        <v xml:space="preserve"> </v>
      </c>
      <c r="J513" s="34" t="str">
        <f>IFERROR((VLOOKUP(F513,'Planilha de Cadastro - Previsão'!$A$2:$N$1100,5,FALSE()))," ")</f>
        <v xml:space="preserve"> </v>
      </c>
      <c r="K513" s="36"/>
      <c r="L513" s="34" t="str">
        <f t="shared" si="32"/>
        <v/>
      </c>
      <c r="M513" s="35" t="str">
        <f t="shared" si="33"/>
        <v/>
      </c>
      <c r="N513" s="39"/>
      <c r="O513" s="36"/>
    </row>
    <row r="514" spans="1:15" x14ac:dyDescent="0.25">
      <c r="A514">
        <f>COUNTIF($C$2:C514,C514)</f>
        <v>513</v>
      </c>
      <c r="B514" s="1" t="str">
        <f t="shared" si="30"/>
        <v>513</v>
      </c>
      <c r="C514" s="1" t="str">
        <f>IFERROR(VLOOKUP(D514,'Planilha de Cadastro - Previsão'!$A$2:$O$1000,15,FALSE()),"")</f>
        <v/>
      </c>
      <c r="D514" s="1">
        <v>513</v>
      </c>
      <c r="F514" s="32" t="str">
        <f t="shared" si="31"/>
        <v/>
      </c>
      <c r="G514" s="33" t="str">
        <f>IFERROR((VLOOKUP(F514,'Planilha de Cadastro - Previsão'!$A$2:$N$1100,2,FALSE()))," ")</f>
        <v xml:space="preserve"> </v>
      </c>
      <c r="H514" s="32" t="str">
        <f>IFERROR((VLOOKUP(F514,'Planilha de Cadastro - Previsão'!$A$2:$N$1100,3,FALSE()))," ")</f>
        <v xml:space="preserve"> </v>
      </c>
      <c r="I514" s="34" t="str">
        <f>IFERROR((VLOOKUP(F514,'Planilha de Cadastro - Previsão'!$A$2:$N$1100,4,FALSE()))," ")</f>
        <v xml:space="preserve"> </v>
      </c>
      <c r="J514" s="34" t="str">
        <f>IFERROR((VLOOKUP(F514,'Planilha de Cadastro - Previsão'!$A$2:$N$1100,5,FALSE()))," ")</f>
        <v xml:space="preserve"> </v>
      </c>
      <c r="K514" s="36"/>
      <c r="L514" s="34" t="str">
        <f t="shared" si="32"/>
        <v/>
      </c>
      <c r="M514" s="35" t="str">
        <f t="shared" si="33"/>
        <v/>
      </c>
      <c r="N514" s="39"/>
      <c r="O514" s="36"/>
    </row>
    <row r="515" spans="1:15" x14ac:dyDescent="0.25">
      <c r="A515">
        <f>COUNTIF($C$2:C515,C515)</f>
        <v>514</v>
      </c>
      <c r="B515" s="1" t="str">
        <f t="shared" ref="B515:B578" si="34">IFERROR(CONCATENATE(C515,A515),"")</f>
        <v>514</v>
      </c>
      <c r="C515" s="1" t="str">
        <f>IFERROR(VLOOKUP(D515,'Planilha de Cadastro - Previsão'!$A$2:$O$1000,15,FALSE()),"")</f>
        <v/>
      </c>
      <c r="D515" s="1">
        <v>514</v>
      </c>
      <c r="F515" s="32" t="str">
        <f t="shared" ref="F515:F578" si="35">IFERROR((VLOOKUP(CONCATENATE("Sim",D515),$B$2:$D$1000,3,FALSE())),"")</f>
        <v/>
      </c>
      <c r="G515" s="33" t="str">
        <f>IFERROR((VLOOKUP(F515,'Planilha de Cadastro - Previsão'!$A$2:$N$1100,2,FALSE()))," ")</f>
        <v xml:space="preserve"> </v>
      </c>
      <c r="H515" s="32" t="str">
        <f>IFERROR((VLOOKUP(F515,'Planilha de Cadastro - Previsão'!$A$2:$N$1100,3,FALSE()))," ")</f>
        <v xml:space="preserve"> </v>
      </c>
      <c r="I515" s="34" t="str">
        <f>IFERROR((VLOOKUP(F515,'Planilha de Cadastro - Previsão'!$A$2:$N$1100,4,FALSE()))," ")</f>
        <v xml:space="preserve"> </v>
      </c>
      <c r="J515" s="34" t="str">
        <f>IFERROR((VLOOKUP(F515,'Planilha de Cadastro - Previsão'!$A$2:$N$1100,5,FALSE()))," ")</f>
        <v xml:space="preserve"> </v>
      </c>
      <c r="K515" s="36"/>
      <c r="L515" s="34" t="str">
        <f t="shared" ref="L515:L578" si="36">IF(K515&gt;0,(K515*H515)-(I515*H515)-(K515*H515*4%),"")</f>
        <v/>
      </c>
      <c r="M515" s="35" t="str">
        <f t="shared" ref="M515:M578" si="37">IFERROR(L515/(K515*H515),"")</f>
        <v/>
      </c>
      <c r="N515" s="39"/>
      <c r="O515" s="36"/>
    </row>
    <row r="516" spans="1:15" x14ac:dyDescent="0.25">
      <c r="A516">
        <f>COUNTIF($C$2:C516,C516)</f>
        <v>515</v>
      </c>
      <c r="B516" s="1" t="str">
        <f t="shared" si="34"/>
        <v>515</v>
      </c>
      <c r="C516" s="1" t="str">
        <f>IFERROR(VLOOKUP(D516,'Planilha de Cadastro - Previsão'!$A$2:$O$1000,15,FALSE()),"")</f>
        <v/>
      </c>
      <c r="D516" s="1">
        <v>515</v>
      </c>
      <c r="F516" s="32" t="str">
        <f t="shared" si="35"/>
        <v/>
      </c>
      <c r="G516" s="33" t="str">
        <f>IFERROR((VLOOKUP(F516,'Planilha de Cadastro - Previsão'!$A$2:$N$1100,2,FALSE()))," ")</f>
        <v xml:space="preserve"> </v>
      </c>
      <c r="H516" s="32" t="str">
        <f>IFERROR((VLOOKUP(F516,'Planilha de Cadastro - Previsão'!$A$2:$N$1100,3,FALSE()))," ")</f>
        <v xml:space="preserve"> </v>
      </c>
      <c r="I516" s="34" t="str">
        <f>IFERROR((VLOOKUP(F516,'Planilha de Cadastro - Previsão'!$A$2:$N$1100,4,FALSE()))," ")</f>
        <v xml:space="preserve"> </v>
      </c>
      <c r="J516" s="34" t="str">
        <f>IFERROR((VLOOKUP(F516,'Planilha de Cadastro - Previsão'!$A$2:$N$1100,5,FALSE()))," ")</f>
        <v xml:space="preserve"> </v>
      </c>
      <c r="K516" s="36"/>
      <c r="L516" s="34" t="str">
        <f t="shared" si="36"/>
        <v/>
      </c>
      <c r="M516" s="35" t="str">
        <f t="shared" si="37"/>
        <v/>
      </c>
      <c r="N516" s="39"/>
      <c r="O516" s="36"/>
    </row>
    <row r="517" spans="1:15" x14ac:dyDescent="0.25">
      <c r="A517">
        <f>COUNTIF($C$2:C517,C517)</f>
        <v>516</v>
      </c>
      <c r="B517" s="1" t="str">
        <f t="shared" si="34"/>
        <v>516</v>
      </c>
      <c r="C517" s="1" t="str">
        <f>IFERROR(VLOOKUP(D517,'Planilha de Cadastro - Previsão'!$A$2:$O$1000,15,FALSE()),"")</f>
        <v/>
      </c>
      <c r="D517" s="1">
        <v>516</v>
      </c>
      <c r="F517" s="32" t="str">
        <f t="shared" si="35"/>
        <v/>
      </c>
      <c r="G517" s="33" t="str">
        <f>IFERROR((VLOOKUP(F517,'Planilha de Cadastro - Previsão'!$A$2:$N$1100,2,FALSE()))," ")</f>
        <v xml:space="preserve"> </v>
      </c>
      <c r="H517" s="32" t="str">
        <f>IFERROR((VLOOKUP(F517,'Planilha de Cadastro - Previsão'!$A$2:$N$1100,3,FALSE()))," ")</f>
        <v xml:space="preserve"> </v>
      </c>
      <c r="I517" s="34" t="str">
        <f>IFERROR((VLOOKUP(F517,'Planilha de Cadastro - Previsão'!$A$2:$N$1100,4,FALSE()))," ")</f>
        <v xml:space="preserve"> </v>
      </c>
      <c r="J517" s="34" t="str">
        <f>IFERROR((VLOOKUP(F517,'Planilha de Cadastro - Previsão'!$A$2:$N$1100,5,FALSE()))," ")</f>
        <v xml:space="preserve"> </v>
      </c>
      <c r="K517" s="36"/>
      <c r="L517" s="34" t="str">
        <f t="shared" si="36"/>
        <v/>
      </c>
      <c r="M517" s="35" t="str">
        <f t="shared" si="37"/>
        <v/>
      </c>
      <c r="N517" s="39"/>
      <c r="O517" s="36"/>
    </row>
    <row r="518" spans="1:15" x14ac:dyDescent="0.25">
      <c r="A518">
        <f>COUNTIF($C$2:C518,C518)</f>
        <v>517</v>
      </c>
      <c r="B518" s="1" t="str">
        <f t="shared" si="34"/>
        <v>517</v>
      </c>
      <c r="C518" s="1" t="str">
        <f>IFERROR(VLOOKUP(D518,'Planilha de Cadastro - Previsão'!$A$2:$O$1000,15,FALSE()),"")</f>
        <v/>
      </c>
      <c r="D518" s="1">
        <v>517</v>
      </c>
      <c r="F518" s="32" t="str">
        <f t="shared" si="35"/>
        <v/>
      </c>
      <c r="G518" s="33" t="str">
        <f>IFERROR((VLOOKUP(F518,'Planilha de Cadastro - Previsão'!$A$2:$N$1100,2,FALSE()))," ")</f>
        <v xml:space="preserve"> </v>
      </c>
      <c r="H518" s="32" t="str">
        <f>IFERROR((VLOOKUP(F518,'Planilha de Cadastro - Previsão'!$A$2:$N$1100,3,FALSE()))," ")</f>
        <v xml:space="preserve"> </v>
      </c>
      <c r="I518" s="34" t="str">
        <f>IFERROR((VLOOKUP(F518,'Planilha de Cadastro - Previsão'!$A$2:$N$1100,4,FALSE()))," ")</f>
        <v xml:space="preserve"> </v>
      </c>
      <c r="J518" s="34" t="str">
        <f>IFERROR((VLOOKUP(F518,'Planilha de Cadastro - Previsão'!$A$2:$N$1100,5,FALSE()))," ")</f>
        <v xml:space="preserve"> </v>
      </c>
      <c r="K518" s="36"/>
      <c r="L518" s="34" t="str">
        <f t="shared" si="36"/>
        <v/>
      </c>
      <c r="M518" s="35" t="str">
        <f t="shared" si="37"/>
        <v/>
      </c>
      <c r="N518" s="39"/>
      <c r="O518" s="36"/>
    </row>
    <row r="519" spans="1:15" x14ac:dyDescent="0.25">
      <c r="A519">
        <f>COUNTIF($C$2:C519,C519)</f>
        <v>518</v>
      </c>
      <c r="B519" s="1" t="str">
        <f t="shared" si="34"/>
        <v>518</v>
      </c>
      <c r="C519" s="1" t="str">
        <f>IFERROR(VLOOKUP(D519,'Planilha de Cadastro - Previsão'!$A$2:$O$1000,15,FALSE()),"")</f>
        <v/>
      </c>
      <c r="D519" s="1">
        <v>518</v>
      </c>
      <c r="F519" s="32" t="str">
        <f t="shared" si="35"/>
        <v/>
      </c>
      <c r="G519" s="33" t="str">
        <f>IFERROR((VLOOKUP(F519,'Planilha de Cadastro - Previsão'!$A$2:$N$1100,2,FALSE()))," ")</f>
        <v xml:space="preserve"> </v>
      </c>
      <c r="H519" s="32" t="str">
        <f>IFERROR((VLOOKUP(F519,'Planilha de Cadastro - Previsão'!$A$2:$N$1100,3,FALSE()))," ")</f>
        <v xml:space="preserve"> </v>
      </c>
      <c r="I519" s="34" t="str">
        <f>IFERROR((VLOOKUP(F519,'Planilha de Cadastro - Previsão'!$A$2:$N$1100,4,FALSE()))," ")</f>
        <v xml:space="preserve"> </v>
      </c>
      <c r="J519" s="34" t="str">
        <f>IFERROR((VLOOKUP(F519,'Planilha de Cadastro - Previsão'!$A$2:$N$1100,5,FALSE()))," ")</f>
        <v xml:space="preserve"> </v>
      </c>
      <c r="K519" s="36"/>
      <c r="L519" s="34" t="str">
        <f t="shared" si="36"/>
        <v/>
      </c>
      <c r="M519" s="35" t="str">
        <f t="shared" si="37"/>
        <v/>
      </c>
      <c r="N519" s="39"/>
      <c r="O519" s="36"/>
    </row>
    <row r="520" spans="1:15" x14ac:dyDescent="0.25">
      <c r="A520">
        <f>COUNTIF($C$2:C520,C520)</f>
        <v>519</v>
      </c>
      <c r="B520" s="1" t="str">
        <f t="shared" si="34"/>
        <v>519</v>
      </c>
      <c r="C520" s="1" t="str">
        <f>IFERROR(VLOOKUP(D520,'Planilha de Cadastro - Previsão'!$A$2:$O$1000,15,FALSE()),"")</f>
        <v/>
      </c>
      <c r="D520" s="1">
        <v>519</v>
      </c>
      <c r="F520" s="32" t="str">
        <f t="shared" si="35"/>
        <v/>
      </c>
      <c r="G520" s="33" t="str">
        <f>IFERROR((VLOOKUP(F520,'Planilha de Cadastro - Previsão'!$A$2:$N$1100,2,FALSE()))," ")</f>
        <v xml:space="preserve"> </v>
      </c>
      <c r="H520" s="32" t="str">
        <f>IFERROR((VLOOKUP(F520,'Planilha de Cadastro - Previsão'!$A$2:$N$1100,3,FALSE()))," ")</f>
        <v xml:space="preserve"> </v>
      </c>
      <c r="I520" s="34" t="str">
        <f>IFERROR((VLOOKUP(F520,'Planilha de Cadastro - Previsão'!$A$2:$N$1100,4,FALSE()))," ")</f>
        <v xml:space="preserve"> </v>
      </c>
      <c r="J520" s="34" t="str">
        <f>IFERROR((VLOOKUP(F520,'Planilha de Cadastro - Previsão'!$A$2:$N$1100,5,FALSE()))," ")</f>
        <v xml:space="preserve"> </v>
      </c>
      <c r="K520" s="36"/>
      <c r="L520" s="34" t="str">
        <f t="shared" si="36"/>
        <v/>
      </c>
      <c r="M520" s="35" t="str">
        <f t="shared" si="37"/>
        <v/>
      </c>
      <c r="N520" s="39"/>
      <c r="O520" s="36"/>
    </row>
    <row r="521" spans="1:15" x14ac:dyDescent="0.25">
      <c r="A521">
        <f>COUNTIF($C$2:C521,C521)</f>
        <v>520</v>
      </c>
      <c r="B521" s="1" t="str">
        <f t="shared" si="34"/>
        <v>520</v>
      </c>
      <c r="C521" s="1" t="str">
        <f>IFERROR(VLOOKUP(D521,'Planilha de Cadastro - Previsão'!$A$2:$O$1000,15,FALSE()),"")</f>
        <v/>
      </c>
      <c r="D521" s="1">
        <v>520</v>
      </c>
      <c r="F521" s="32" t="str">
        <f t="shared" si="35"/>
        <v/>
      </c>
      <c r="G521" s="33" t="str">
        <f>IFERROR((VLOOKUP(F521,'Planilha de Cadastro - Previsão'!$A$2:$N$1100,2,FALSE()))," ")</f>
        <v xml:space="preserve"> </v>
      </c>
      <c r="H521" s="32" t="str">
        <f>IFERROR((VLOOKUP(F521,'Planilha de Cadastro - Previsão'!$A$2:$N$1100,3,FALSE()))," ")</f>
        <v xml:space="preserve"> </v>
      </c>
      <c r="I521" s="34" t="str">
        <f>IFERROR((VLOOKUP(F521,'Planilha de Cadastro - Previsão'!$A$2:$N$1100,4,FALSE()))," ")</f>
        <v xml:space="preserve"> </v>
      </c>
      <c r="J521" s="34" t="str">
        <f>IFERROR((VLOOKUP(F521,'Planilha de Cadastro - Previsão'!$A$2:$N$1100,5,FALSE()))," ")</f>
        <v xml:space="preserve"> </v>
      </c>
      <c r="K521" s="36"/>
      <c r="L521" s="34" t="str">
        <f t="shared" si="36"/>
        <v/>
      </c>
      <c r="M521" s="35" t="str">
        <f t="shared" si="37"/>
        <v/>
      </c>
      <c r="N521" s="39"/>
      <c r="O521" s="36"/>
    </row>
    <row r="522" spans="1:15" x14ac:dyDescent="0.25">
      <c r="A522">
        <f>COUNTIF($C$2:C522,C522)</f>
        <v>521</v>
      </c>
      <c r="B522" s="1" t="str">
        <f t="shared" si="34"/>
        <v>521</v>
      </c>
      <c r="C522" s="1" t="str">
        <f>IFERROR(VLOOKUP(D522,'Planilha de Cadastro - Previsão'!$A$2:$O$1000,15,FALSE()),"")</f>
        <v/>
      </c>
      <c r="D522" s="1">
        <v>521</v>
      </c>
      <c r="F522" s="32" t="str">
        <f t="shared" si="35"/>
        <v/>
      </c>
      <c r="G522" s="33" t="str">
        <f>IFERROR((VLOOKUP(F522,'Planilha de Cadastro - Previsão'!$A$2:$N$1100,2,FALSE()))," ")</f>
        <v xml:space="preserve"> </v>
      </c>
      <c r="H522" s="32" t="str">
        <f>IFERROR((VLOOKUP(F522,'Planilha de Cadastro - Previsão'!$A$2:$N$1100,3,FALSE()))," ")</f>
        <v xml:space="preserve"> </v>
      </c>
      <c r="I522" s="34" t="str">
        <f>IFERROR((VLOOKUP(F522,'Planilha de Cadastro - Previsão'!$A$2:$N$1100,4,FALSE()))," ")</f>
        <v xml:space="preserve"> </v>
      </c>
      <c r="J522" s="34" t="str">
        <f>IFERROR((VLOOKUP(F522,'Planilha de Cadastro - Previsão'!$A$2:$N$1100,5,FALSE()))," ")</f>
        <v xml:space="preserve"> </v>
      </c>
      <c r="K522" s="36"/>
      <c r="L522" s="34" t="str">
        <f t="shared" si="36"/>
        <v/>
      </c>
      <c r="M522" s="35" t="str">
        <f t="shared" si="37"/>
        <v/>
      </c>
      <c r="N522" s="39"/>
      <c r="O522" s="36"/>
    </row>
    <row r="523" spans="1:15" x14ac:dyDescent="0.25">
      <c r="A523">
        <f>COUNTIF($C$2:C523,C523)</f>
        <v>522</v>
      </c>
      <c r="B523" s="1" t="str">
        <f t="shared" si="34"/>
        <v>522</v>
      </c>
      <c r="C523" s="1" t="str">
        <f>IFERROR(VLOOKUP(D523,'Planilha de Cadastro - Previsão'!$A$2:$O$1000,15,FALSE()),"")</f>
        <v/>
      </c>
      <c r="D523" s="1">
        <v>522</v>
      </c>
      <c r="F523" s="32" t="str">
        <f t="shared" si="35"/>
        <v/>
      </c>
      <c r="G523" s="33" t="str">
        <f>IFERROR((VLOOKUP(F523,'Planilha de Cadastro - Previsão'!$A$2:$N$1100,2,FALSE()))," ")</f>
        <v xml:space="preserve"> </v>
      </c>
      <c r="H523" s="32" t="str">
        <f>IFERROR((VLOOKUP(F523,'Planilha de Cadastro - Previsão'!$A$2:$N$1100,3,FALSE()))," ")</f>
        <v xml:space="preserve"> </v>
      </c>
      <c r="I523" s="34" t="str">
        <f>IFERROR((VLOOKUP(F523,'Planilha de Cadastro - Previsão'!$A$2:$N$1100,4,FALSE()))," ")</f>
        <v xml:space="preserve"> </v>
      </c>
      <c r="J523" s="34" t="str">
        <f>IFERROR((VLOOKUP(F523,'Planilha de Cadastro - Previsão'!$A$2:$N$1100,5,FALSE()))," ")</f>
        <v xml:space="preserve"> </v>
      </c>
      <c r="K523" s="36"/>
      <c r="L523" s="34" t="str">
        <f t="shared" si="36"/>
        <v/>
      </c>
      <c r="M523" s="35" t="str">
        <f t="shared" si="37"/>
        <v/>
      </c>
      <c r="N523" s="39"/>
      <c r="O523" s="36"/>
    </row>
    <row r="524" spans="1:15" x14ac:dyDescent="0.25">
      <c r="A524">
        <f>COUNTIF($C$2:C524,C524)</f>
        <v>523</v>
      </c>
      <c r="B524" s="1" t="str">
        <f t="shared" si="34"/>
        <v>523</v>
      </c>
      <c r="C524" s="1" t="str">
        <f>IFERROR(VLOOKUP(D524,'Planilha de Cadastro - Previsão'!$A$2:$O$1000,15,FALSE()),"")</f>
        <v/>
      </c>
      <c r="D524" s="1">
        <v>523</v>
      </c>
      <c r="F524" s="32" t="str">
        <f t="shared" si="35"/>
        <v/>
      </c>
      <c r="G524" s="33" t="str">
        <f>IFERROR((VLOOKUP(F524,'Planilha de Cadastro - Previsão'!$A$2:$N$1100,2,FALSE()))," ")</f>
        <v xml:space="preserve"> </v>
      </c>
      <c r="H524" s="32" t="str">
        <f>IFERROR((VLOOKUP(F524,'Planilha de Cadastro - Previsão'!$A$2:$N$1100,3,FALSE()))," ")</f>
        <v xml:space="preserve"> </v>
      </c>
      <c r="I524" s="34" t="str">
        <f>IFERROR((VLOOKUP(F524,'Planilha de Cadastro - Previsão'!$A$2:$N$1100,4,FALSE()))," ")</f>
        <v xml:space="preserve"> </v>
      </c>
      <c r="J524" s="34" t="str">
        <f>IFERROR((VLOOKUP(F524,'Planilha de Cadastro - Previsão'!$A$2:$N$1100,5,FALSE()))," ")</f>
        <v xml:space="preserve"> </v>
      </c>
      <c r="K524" s="36"/>
      <c r="L524" s="34" t="str">
        <f t="shared" si="36"/>
        <v/>
      </c>
      <c r="M524" s="35" t="str">
        <f t="shared" si="37"/>
        <v/>
      </c>
      <c r="N524" s="39"/>
      <c r="O524" s="36"/>
    </row>
    <row r="525" spans="1:15" x14ac:dyDescent="0.25">
      <c r="A525">
        <f>COUNTIF($C$2:C525,C525)</f>
        <v>524</v>
      </c>
      <c r="B525" s="1" t="str">
        <f t="shared" si="34"/>
        <v>524</v>
      </c>
      <c r="C525" s="1" t="str">
        <f>IFERROR(VLOOKUP(D525,'Planilha de Cadastro - Previsão'!$A$2:$O$1000,15,FALSE()),"")</f>
        <v/>
      </c>
      <c r="D525" s="1">
        <v>524</v>
      </c>
      <c r="F525" s="32" t="str">
        <f t="shared" si="35"/>
        <v/>
      </c>
      <c r="G525" s="33" t="str">
        <f>IFERROR((VLOOKUP(F525,'Planilha de Cadastro - Previsão'!$A$2:$N$1100,2,FALSE()))," ")</f>
        <v xml:space="preserve"> </v>
      </c>
      <c r="H525" s="32" t="str">
        <f>IFERROR((VLOOKUP(F525,'Planilha de Cadastro - Previsão'!$A$2:$N$1100,3,FALSE()))," ")</f>
        <v xml:space="preserve"> </v>
      </c>
      <c r="I525" s="34" t="str">
        <f>IFERROR((VLOOKUP(F525,'Planilha de Cadastro - Previsão'!$A$2:$N$1100,4,FALSE()))," ")</f>
        <v xml:space="preserve"> </v>
      </c>
      <c r="J525" s="34" t="str">
        <f>IFERROR((VLOOKUP(F525,'Planilha de Cadastro - Previsão'!$A$2:$N$1100,5,FALSE()))," ")</f>
        <v xml:space="preserve"> </v>
      </c>
      <c r="K525" s="36"/>
      <c r="L525" s="34" t="str">
        <f t="shared" si="36"/>
        <v/>
      </c>
      <c r="M525" s="35" t="str">
        <f t="shared" si="37"/>
        <v/>
      </c>
      <c r="N525" s="39"/>
      <c r="O525" s="36"/>
    </row>
    <row r="526" spans="1:15" x14ac:dyDescent="0.25">
      <c r="A526">
        <f>COUNTIF($C$2:C526,C526)</f>
        <v>525</v>
      </c>
      <c r="B526" s="1" t="str">
        <f t="shared" si="34"/>
        <v>525</v>
      </c>
      <c r="C526" s="1" t="str">
        <f>IFERROR(VLOOKUP(D526,'Planilha de Cadastro - Previsão'!$A$2:$O$1000,15,FALSE()),"")</f>
        <v/>
      </c>
      <c r="D526" s="1">
        <v>525</v>
      </c>
      <c r="F526" s="32" t="str">
        <f t="shared" si="35"/>
        <v/>
      </c>
      <c r="G526" s="33" t="str">
        <f>IFERROR((VLOOKUP(F526,'Planilha de Cadastro - Previsão'!$A$2:$N$1100,2,FALSE()))," ")</f>
        <v xml:space="preserve"> </v>
      </c>
      <c r="H526" s="32" t="str">
        <f>IFERROR((VLOOKUP(F526,'Planilha de Cadastro - Previsão'!$A$2:$N$1100,3,FALSE()))," ")</f>
        <v xml:space="preserve"> </v>
      </c>
      <c r="I526" s="34" t="str">
        <f>IFERROR((VLOOKUP(F526,'Planilha de Cadastro - Previsão'!$A$2:$N$1100,4,FALSE()))," ")</f>
        <v xml:space="preserve"> </v>
      </c>
      <c r="J526" s="34" t="str">
        <f>IFERROR((VLOOKUP(F526,'Planilha de Cadastro - Previsão'!$A$2:$N$1100,5,FALSE()))," ")</f>
        <v xml:space="preserve"> </v>
      </c>
      <c r="K526" s="36"/>
      <c r="L526" s="34" t="str">
        <f t="shared" si="36"/>
        <v/>
      </c>
      <c r="M526" s="35" t="str">
        <f t="shared" si="37"/>
        <v/>
      </c>
      <c r="N526" s="39"/>
      <c r="O526" s="36"/>
    </row>
    <row r="527" spans="1:15" x14ac:dyDescent="0.25">
      <c r="A527">
        <f>COUNTIF($C$2:C527,C527)</f>
        <v>526</v>
      </c>
      <c r="B527" s="1" t="str">
        <f t="shared" si="34"/>
        <v>526</v>
      </c>
      <c r="C527" s="1" t="str">
        <f>IFERROR(VLOOKUP(D527,'Planilha de Cadastro - Previsão'!$A$2:$O$1000,15,FALSE()),"")</f>
        <v/>
      </c>
      <c r="D527" s="1">
        <v>526</v>
      </c>
      <c r="F527" s="32" t="str">
        <f t="shared" si="35"/>
        <v/>
      </c>
      <c r="G527" s="33" t="str">
        <f>IFERROR((VLOOKUP(F527,'Planilha de Cadastro - Previsão'!$A$2:$N$1100,2,FALSE()))," ")</f>
        <v xml:space="preserve"> </v>
      </c>
      <c r="H527" s="32" t="str">
        <f>IFERROR((VLOOKUP(F527,'Planilha de Cadastro - Previsão'!$A$2:$N$1100,3,FALSE()))," ")</f>
        <v xml:space="preserve"> </v>
      </c>
      <c r="I527" s="34" t="str">
        <f>IFERROR((VLOOKUP(F527,'Planilha de Cadastro - Previsão'!$A$2:$N$1100,4,FALSE()))," ")</f>
        <v xml:space="preserve"> </v>
      </c>
      <c r="J527" s="34" t="str">
        <f>IFERROR((VLOOKUP(F527,'Planilha de Cadastro - Previsão'!$A$2:$N$1100,5,FALSE()))," ")</f>
        <v xml:space="preserve"> </v>
      </c>
      <c r="K527" s="36"/>
      <c r="L527" s="34" t="str">
        <f t="shared" si="36"/>
        <v/>
      </c>
      <c r="M527" s="35" t="str">
        <f t="shared" si="37"/>
        <v/>
      </c>
      <c r="N527" s="39"/>
      <c r="O527" s="36"/>
    </row>
    <row r="528" spans="1:15" x14ac:dyDescent="0.25">
      <c r="A528">
        <f>COUNTIF($C$2:C528,C528)</f>
        <v>527</v>
      </c>
      <c r="B528" s="1" t="str">
        <f t="shared" si="34"/>
        <v>527</v>
      </c>
      <c r="C528" s="1" t="str">
        <f>IFERROR(VLOOKUP(D528,'Planilha de Cadastro - Previsão'!$A$2:$O$1000,15,FALSE()),"")</f>
        <v/>
      </c>
      <c r="D528" s="1">
        <v>527</v>
      </c>
      <c r="F528" s="32" t="str">
        <f t="shared" si="35"/>
        <v/>
      </c>
      <c r="G528" s="33" t="str">
        <f>IFERROR((VLOOKUP(F528,'Planilha de Cadastro - Previsão'!$A$2:$N$1100,2,FALSE()))," ")</f>
        <v xml:space="preserve"> </v>
      </c>
      <c r="H528" s="32" t="str">
        <f>IFERROR((VLOOKUP(F528,'Planilha de Cadastro - Previsão'!$A$2:$N$1100,3,FALSE()))," ")</f>
        <v xml:space="preserve"> </v>
      </c>
      <c r="I528" s="34" t="str">
        <f>IFERROR((VLOOKUP(F528,'Planilha de Cadastro - Previsão'!$A$2:$N$1100,4,FALSE()))," ")</f>
        <v xml:space="preserve"> </v>
      </c>
      <c r="J528" s="34" t="str">
        <f>IFERROR((VLOOKUP(F528,'Planilha de Cadastro - Previsão'!$A$2:$N$1100,5,FALSE()))," ")</f>
        <v xml:space="preserve"> </v>
      </c>
      <c r="K528" s="36"/>
      <c r="L528" s="34" t="str">
        <f t="shared" si="36"/>
        <v/>
      </c>
      <c r="M528" s="35" t="str">
        <f t="shared" si="37"/>
        <v/>
      </c>
      <c r="N528" s="39"/>
      <c r="O528" s="36"/>
    </row>
    <row r="529" spans="1:15" x14ac:dyDescent="0.25">
      <c r="A529">
        <f>COUNTIF($C$2:C529,C529)</f>
        <v>528</v>
      </c>
      <c r="B529" s="1" t="str">
        <f t="shared" si="34"/>
        <v>528</v>
      </c>
      <c r="C529" s="1" t="str">
        <f>IFERROR(VLOOKUP(D529,'Planilha de Cadastro - Previsão'!$A$2:$O$1000,15,FALSE()),"")</f>
        <v/>
      </c>
      <c r="D529" s="1">
        <v>528</v>
      </c>
      <c r="F529" s="32" t="str">
        <f t="shared" si="35"/>
        <v/>
      </c>
      <c r="G529" s="33" t="str">
        <f>IFERROR((VLOOKUP(F529,'Planilha de Cadastro - Previsão'!$A$2:$N$1100,2,FALSE()))," ")</f>
        <v xml:space="preserve"> </v>
      </c>
      <c r="H529" s="32" t="str">
        <f>IFERROR((VLOOKUP(F529,'Planilha de Cadastro - Previsão'!$A$2:$N$1100,3,FALSE()))," ")</f>
        <v xml:space="preserve"> </v>
      </c>
      <c r="I529" s="34" t="str">
        <f>IFERROR((VLOOKUP(F529,'Planilha de Cadastro - Previsão'!$A$2:$N$1100,4,FALSE()))," ")</f>
        <v xml:space="preserve"> </v>
      </c>
      <c r="J529" s="34" t="str">
        <f>IFERROR((VLOOKUP(F529,'Planilha de Cadastro - Previsão'!$A$2:$N$1100,5,FALSE()))," ")</f>
        <v xml:space="preserve"> </v>
      </c>
      <c r="K529" s="36"/>
      <c r="L529" s="34" t="str">
        <f t="shared" si="36"/>
        <v/>
      </c>
      <c r="M529" s="35" t="str">
        <f t="shared" si="37"/>
        <v/>
      </c>
      <c r="N529" s="39"/>
      <c r="O529" s="36"/>
    </row>
    <row r="530" spans="1:15" x14ac:dyDescent="0.25">
      <c r="A530">
        <f>COUNTIF($C$2:C530,C530)</f>
        <v>529</v>
      </c>
      <c r="B530" s="1" t="str">
        <f t="shared" si="34"/>
        <v>529</v>
      </c>
      <c r="C530" s="1" t="str">
        <f>IFERROR(VLOOKUP(D530,'Planilha de Cadastro - Previsão'!$A$2:$O$1000,15,FALSE()),"")</f>
        <v/>
      </c>
      <c r="D530" s="1">
        <v>529</v>
      </c>
      <c r="F530" s="32" t="str">
        <f t="shared" si="35"/>
        <v/>
      </c>
      <c r="G530" s="33" t="str">
        <f>IFERROR((VLOOKUP(F530,'Planilha de Cadastro - Previsão'!$A$2:$N$1100,2,FALSE()))," ")</f>
        <v xml:space="preserve"> </v>
      </c>
      <c r="H530" s="32" t="str">
        <f>IFERROR((VLOOKUP(F530,'Planilha de Cadastro - Previsão'!$A$2:$N$1100,3,FALSE()))," ")</f>
        <v xml:space="preserve"> </v>
      </c>
      <c r="I530" s="34" t="str">
        <f>IFERROR((VLOOKUP(F530,'Planilha de Cadastro - Previsão'!$A$2:$N$1100,4,FALSE()))," ")</f>
        <v xml:space="preserve"> </v>
      </c>
      <c r="J530" s="34" t="str">
        <f>IFERROR((VLOOKUP(F530,'Planilha de Cadastro - Previsão'!$A$2:$N$1100,5,FALSE()))," ")</f>
        <v xml:space="preserve"> </v>
      </c>
      <c r="K530" s="36"/>
      <c r="L530" s="34" t="str">
        <f t="shared" si="36"/>
        <v/>
      </c>
      <c r="M530" s="35" t="str">
        <f t="shared" si="37"/>
        <v/>
      </c>
      <c r="N530" s="39"/>
      <c r="O530" s="36"/>
    </row>
    <row r="531" spans="1:15" x14ac:dyDescent="0.25">
      <c r="A531">
        <f>COUNTIF($C$2:C531,C531)</f>
        <v>530</v>
      </c>
      <c r="B531" s="1" t="str">
        <f t="shared" si="34"/>
        <v>530</v>
      </c>
      <c r="C531" s="1" t="str">
        <f>IFERROR(VLOOKUP(D531,'Planilha de Cadastro - Previsão'!$A$2:$O$1000,15,FALSE()),"")</f>
        <v/>
      </c>
      <c r="D531" s="1">
        <v>530</v>
      </c>
      <c r="F531" s="32" t="str">
        <f t="shared" si="35"/>
        <v/>
      </c>
      <c r="G531" s="33" t="str">
        <f>IFERROR((VLOOKUP(F531,'Planilha de Cadastro - Previsão'!$A$2:$N$1100,2,FALSE()))," ")</f>
        <v xml:space="preserve"> </v>
      </c>
      <c r="H531" s="32" t="str">
        <f>IFERROR((VLOOKUP(F531,'Planilha de Cadastro - Previsão'!$A$2:$N$1100,3,FALSE()))," ")</f>
        <v xml:space="preserve"> </v>
      </c>
      <c r="I531" s="34" t="str">
        <f>IFERROR((VLOOKUP(F531,'Planilha de Cadastro - Previsão'!$A$2:$N$1100,4,FALSE()))," ")</f>
        <v xml:space="preserve"> </v>
      </c>
      <c r="J531" s="34" t="str">
        <f>IFERROR((VLOOKUP(F531,'Planilha de Cadastro - Previsão'!$A$2:$N$1100,5,FALSE()))," ")</f>
        <v xml:space="preserve"> </v>
      </c>
      <c r="K531" s="36"/>
      <c r="L531" s="34" t="str">
        <f t="shared" si="36"/>
        <v/>
      </c>
      <c r="M531" s="35" t="str">
        <f t="shared" si="37"/>
        <v/>
      </c>
      <c r="N531" s="39"/>
      <c r="O531" s="36"/>
    </row>
    <row r="532" spans="1:15" x14ac:dyDescent="0.25">
      <c r="A532">
        <f>COUNTIF($C$2:C532,C532)</f>
        <v>531</v>
      </c>
      <c r="B532" s="1" t="str">
        <f t="shared" si="34"/>
        <v>531</v>
      </c>
      <c r="C532" s="1" t="str">
        <f>IFERROR(VLOOKUP(D532,'Planilha de Cadastro - Previsão'!$A$2:$O$1000,15,FALSE()),"")</f>
        <v/>
      </c>
      <c r="D532" s="1">
        <v>531</v>
      </c>
      <c r="F532" s="32" t="str">
        <f t="shared" si="35"/>
        <v/>
      </c>
      <c r="G532" s="33" t="str">
        <f>IFERROR((VLOOKUP(F532,'Planilha de Cadastro - Previsão'!$A$2:$N$1100,2,FALSE()))," ")</f>
        <v xml:space="preserve"> </v>
      </c>
      <c r="H532" s="32" t="str">
        <f>IFERROR((VLOOKUP(F532,'Planilha de Cadastro - Previsão'!$A$2:$N$1100,3,FALSE()))," ")</f>
        <v xml:space="preserve"> </v>
      </c>
      <c r="I532" s="34" t="str">
        <f>IFERROR((VLOOKUP(F532,'Planilha de Cadastro - Previsão'!$A$2:$N$1100,4,FALSE()))," ")</f>
        <v xml:space="preserve"> </v>
      </c>
      <c r="J532" s="34" t="str">
        <f>IFERROR((VLOOKUP(F532,'Planilha de Cadastro - Previsão'!$A$2:$N$1100,5,FALSE()))," ")</f>
        <v xml:space="preserve"> </v>
      </c>
      <c r="K532" s="36"/>
      <c r="L532" s="34" t="str">
        <f t="shared" si="36"/>
        <v/>
      </c>
      <c r="M532" s="35" t="str">
        <f t="shared" si="37"/>
        <v/>
      </c>
      <c r="N532" s="39"/>
      <c r="O532" s="36"/>
    </row>
    <row r="533" spans="1:15" x14ac:dyDescent="0.25">
      <c r="A533">
        <f>COUNTIF($C$2:C533,C533)</f>
        <v>532</v>
      </c>
      <c r="B533" s="1" t="str">
        <f t="shared" si="34"/>
        <v>532</v>
      </c>
      <c r="C533" s="1" t="str">
        <f>IFERROR(VLOOKUP(D533,'Planilha de Cadastro - Previsão'!$A$2:$O$1000,15,FALSE()),"")</f>
        <v/>
      </c>
      <c r="D533" s="1">
        <v>532</v>
      </c>
      <c r="F533" s="32" t="str">
        <f t="shared" si="35"/>
        <v/>
      </c>
      <c r="G533" s="33" t="str">
        <f>IFERROR((VLOOKUP(F533,'Planilha de Cadastro - Previsão'!$A$2:$N$1100,2,FALSE()))," ")</f>
        <v xml:space="preserve"> </v>
      </c>
      <c r="H533" s="32" t="str">
        <f>IFERROR((VLOOKUP(F533,'Planilha de Cadastro - Previsão'!$A$2:$N$1100,3,FALSE()))," ")</f>
        <v xml:space="preserve"> </v>
      </c>
      <c r="I533" s="34" t="str">
        <f>IFERROR((VLOOKUP(F533,'Planilha de Cadastro - Previsão'!$A$2:$N$1100,4,FALSE()))," ")</f>
        <v xml:space="preserve"> </v>
      </c>
      <c r="J533" s="34" t="str">
        <f>IFERROR((VLOOKUP(F533,'Planilha de Cadastro - Previsão'!$A$2:$N$1100,5,FALSE()))," ")</f>
        <v xml:space="preserve"> </v>
      </c>
      <c r="K533" s="36"/>
      <c r="L533" s="34" t="str">
        <f t="shared" si="36"/>
        <v/>
      </c>
      <c r="M533" s="35" t="str">
        <f t="shared" si="37"/>
        <v/>
      </c>
      <c r="N533" s="39"/>
      <c r="O533" s="36"/>
    </row>
    <row r="534" spans="1:15" x14ac:dyDescent="0.25">
      <c r="A534">
        <f>COUNTIF($C$2:C534,C534)</f>
        <v>533</v>
      </c>
      <c r="B534" s="1" t="str">
        <f t="shared" si="34"/>
        <v>533</v>
      </c>
      <c r="C534" s="1" t="str">
        <f>IFERROR(VLOOKUP(D534,'Planilha de Cadastro - Previsão'!$A$2:$O$1000,15,FALSE()),"")</f>
        <v/>
      </c>
      <c r="D534" s="1">
        <v>533</v>
      </c>
      <c r="F534" s="32" t="str">
        <f t="shared" si="35"/>
        <v/>
      </c>
      <c r="G534" s="33" t="str">
        <f>IFERROR((VLOOKUP(F534,'Planilha de Cadastro - Previsão'!$A$2:$N$1100,2,FALSE()))," ")</f>
        <v xml:space="preserve"> </v>
      </c>
      <c r="H534" s="32" t="str">
        <f>IFERROR((VLOOKUP(F534,'Planilha de Cadastro - Previsão'!$A$2:$N$1100,3,FALSE()))," ")</f>
        <v xml:space="preserve"> </v>
      </c>
      <c r="I534" s="34" t="str">
        <f>IFERROR((VLOOKUP(F534,'Planilha de Cadastro - Previsão'!$A$2:$N$1100,4,FALSE()))," ")</f>
        <v xml:space="preserve"> </v>
      </c>
      <c r="J534" s="34" t="str">
        <f>IFERROR((VLOOKUP(F534,'Planilha de Cadastro - Previsão'!$A$2:$N$1100,5,FALSE()))," ")</f>
        <v xml:space="preserve"> </v>
      </c>
      <c r="K534" s="36"/>
      <c r="L534" s="34" t="str">
        <f t="shared" si="36"/>
        <v/>
      </c>
      <c r="M534" s="35" t="str">
        <f t="shared" si="37"/>
        <v/>
      </c>
      <c r="N534" s="39"/>
      <c r="O534" s="36"/>
    </row>
    <row r="535" spans="1:15" x14ac:dyDescent="0.25">
      <c r="A535">
        <f>COUNTIF($C$2:C535,C535)</f>
        <v>534</v>
      </c>
      <c r="B535" s="1" t="str">
        <f t="shared" si="34"/>
        <v>534</v>
      </c>
      <c r="C535" s="1" t="str">
        <f>IFERROR(VLOOKUP(D535,'Planilha de Cadastro - Previsão'!$A$2:$O$1000,15,FALSE()),"")</f>
        <v/>
      </c>
      <c r="D535" s="1">
        <v>534</v>
      </c>
      <c r="F535" s="32" t="str">
        <f t="shared" si="35"/>
        <v/>
      </c>
      <c r="G535" s="33" t="str">
        <f>IFERROR((VLOOKUP(F535,'Planilha de Cadastro - Previsão'!$A$2:$N$1100,2,FALSE()))," ")</f>
        <v xml:space="preserve"> </v>
      </c>
      <c r="H535" s="32" t="str">
        <f>IFERROR((VLOOKUP(F535,'Planilha de Cadastro - Previsão'!$A$2:$N$1100,3,FALSE()))," ")</f>
        <v xml:space="preserve"> </v>
      </c>
      <c r="I535" s="34" t="str">
        <f>IFERROR((VLOOKUP(F535,'Planilha de Cadastro - Previsão'!$A$2:$N$1100,4,FALSE()))," ")</f>
        <v xml:space="preserve"> </v>
      </c>
      <c r="J535" s="34" t="str">
        <f>IFERROR((VLOOKUP(F535,'Planilha de Cadastro - Previsão'!$A$2:$N$1100,5,FALSE()))," ")</f>
        <v xml:space="preserve"> </v>
      </c>
      <c r="K535" s="36"/>
      <c r="L535" s="34" t="str">
        <f t="shared" si="36"/>
        <v/>
      </c>
      <c r="M535" s="35" t="str">
        <f t="shared" si="37"/>
        <v/>
      </c>
      <c r="N535" s="39"/>
      <c r="O535" s="36"/>
    </row>
    <row r="536" spans="1:15" x14ac:dyDescent="0.25">
      <c r="A536">
        <f>COUNTIF($C$2:C536,C536)</f>
        <v>535</v>
      </c>
      <c r="B536" s="1" t="str">
        <f t="shared" si="34"/>
        <v>535</v>
      </c>
      <c r="C536" s="1" t="str">
        <f>IFERROR(VLOOKUP(D536,'Planilha de Cadastro - Previsão'!$A$2:$O$1000,15,FALSE()),"")</f>
        <v/>
      </c>
      <c r="D536" s="1">
        <v>535</v>
      </c>
      <c r="F536" s="32" t="str">
        <f t="shared" si="35"/>
        <v/>
      </c>
      <c r="G536" s="33" t="str">
        <f>IFERROR((VLOOKUP(F536,'Planilha de Cadastro - Previsão'!$A$2:$N$1100,2,FALSE()))," ")</f>
        <v xml:space="preserve"> </v>
      </c>
      <c r="H536" s="32" t="str">
        <f>IFERROR((VLOOKUP(F536,'Planilha de Cadastro - Previsão'!$A$2:$N$1100,3,FALSE()))," ")</f>
        <v xml:space="preserve"> </v>
      </c>
      <c r="I536" s="34" t="str">
        <f>IFERROR((VLOOKUP(F536,'Planilha de Cadastro - Previsão'!$A$2:$N$1100,4,FALSE()))," ")</f>
        <v xml:space="preserve"> </v>
      </c>
      <c r="J536" s="34" t="str">
        <f>IFERROR((VLOOKUP(F536,'Planilha de Cadastro - Previsão'!$A$2:$N$1100,5,FALSE()))," ")</f>
        <v xml:space="preserve"> </v>
      </c>
      <c r="K536" s="36"/>
      <c r="L536" s="34" t="str">
        <f t="shared" si="36"/>
        <v/>
      </c>
      <c r="M536" s="35" t="str">
        <f t="shared" si="37"/>
        <v/>
      </c>
      <c r="N536" s="39"/>
      <c r="O536" s="36"/>
    </row>
    <row r="537" spans="1:15" x14ac:dyDescent="0.25">
      <c r="A537">
        <f>COUNTIF($C$2:C537,C537)</f>
        <v>536</v>
      </c>
      <c r="B537" s="1" t="str">
        <f t="shared" si="34"/>
        <v>536</v>
      </c>
      <c r="C537" s="1" t="str">
        <f>IFERROR(VLOOKUP(D537,'Planilha de Cadastro - Previsão'!$A$2:$O$1000,15,FALSE()),"")</f>
        <v/>
      </c>
      <c r="D537" s="1">
        <v>536</v>
      </c>
      <c r="F537" s="32" t="str">
        <f t="shared" si="35"/>
        <v/>
      </c>
      <c r="G537" s="33" t="str">
        <f>IFERROR((VLOOKUP(F537,'Planilha de Cadastro - Previsão'!$A$2:$N$1100,2,FALSE()))," ")</f>
        <v xml:space="preserve"> </v>
      </c>
      <c r="H537" s="32" t="str">
        <f>IFERROR((VLOOKUP(F537,'Planilha de Cadastro - Previsão'!$A$2:$N$1100,3,FALSE()))," ")</f>
        <v xml:space="preserve"> </v>
      </c>
      <c r="I537" s="34" t="str">
        <f>IFERROR((VLOOKUP(F537,'Planilha de Cadastro - Previsão'!$A$2:$N$1100,4,FALSE()))," ")</f>
        <v xml:space="preserve"> </v>
      </c>
      <c r="J537" s="34" t="str">
        <f>IFERROR((VLOOKUP(F537,'Planilha de Cadastro - Previsão'!$A$2:$N$1100,5,FALSE()))," ")</f>
        <v xml:space="preserve"> </v>
      </c>
      <c r="K537" s="36"/>
      <c r="L537" s="34" t="str">
        <f t="shared" si="36"/>
        <v/>
      </c>
      <c r="M537" s="35" t="str">
        <f t="shared" si="37"/>
        <v/>
      </c>
      <c r="N537" s="39"/>
      <c r="O537" s="36"/>
    </row>
    <row r="538" spans="1:15" x14ac:dyDescent="0.25">
      <c r="A538">
        <f>COUNTIF($C$2:C538,C538)</f>
        <v>537</v>
      </c>
      <c r="B538" s="1" t="str">
        <f t="shared" si="34"/>
        <v>537</v>
      </c>
      <c r="C538" s="1" t="str">
        <f>IFERROR(VLOOKUP(D538,'Planilha de Cadastro - Previsão'!$A$2:$O$1000,15,FALSE()),"")</f>
        <v/>
      </c>
      <c r="D538" s="1">
        <v>537</v>
      </c>
      <c r="F538" s="32" t="str">
        <f t="shared" si="35"/>
        <v/>
      </c>
      <c r="G538" s="33" t="str">
        <f>IFERROR((VLOOKUP(F538,'Planilha de Cadastro - Previsão'!$A$2:$N$1100,2,FALSE()))," ")</f>
        <v xml:space="preserve"> </v>
      </c>
      <c r="H538" s="32" t="str">
        <f>IFERROR((VLOOKUP(F538,'Planilha de Cadastro - Previsão'!$A$2:$N$1100,3,FALSE()))," ")</f>
        <v xml:space="preserve"> </v>
      </c>
      <c r="I538" s="34" t="str">
        <f>IFERROR((VLOOKUP(F538,'Planilha de Cadastro - Previsão'!$A$2:$N$1100,4,FALSE()))," ")</f>
        <v xml:space="preserve"> </v>
      </c>
      <c r="J538" s="34" t="str">
        <f>IFERROR((VLOOKUP(F538,'Planilha de Cadastro - Previsão'!$A$2:$N$1100,5,FALSE()))," ")</f>
        <v xml:space="preserve"> </v>
      </c>
      <c r="K538" s="36"/>
      <c r="L538" s="34" t="str">
        <f t="shared" si="36"/>
        <v/>
      </c>
      <c r="M538" s="35" t="str">
        <f t="shared" si="37"/>
        <v/>
      </c>
      <c r="N538" s="39"/>
      <c r="O538" s="36"/>
    </row>
    <row r="539" spans="1:15" x14ac:dyDescent="0.25">
      <c r="A539">
        <f>COUNTIF($C$2:C539,C539)</f>
        <v>538</v>
      </c>
      <c r="B539" s="1" t="str">
        <f t="shared" si="34"/>
        <v>538</v>
      </c>
      <c r="C539" s="1" t="str">
        <f>IFERROR(VLOOKUP(D539,'Planilha de Cadastro - Previsão'!$A$2:$O$1000,15,FALSE()),"")</f>
        <v/>
      </c>
      <c r="D539" s="1">
        <v>538</v>
      </c>
      <c r="F539" s="32" t="str">
        <f t="shared" si="35"/>
        <v/>
      </c>
      <c r="G539" s="33" t="str">
        <f>IFERROR((VLOOKUP(F539,'Planilha de Cadastro - Previsão'!$A$2:$N$1100,2,FALSE()))," ")</f>
        <v xml:space="preserve"> </v>
      </c>
      <c r="H539" s="32" t="str">
        <f>IFERROR((VLOOKUP(F539,'Planilha de Cadastro - Previsão'!$A$2:$N$1100,3,FALSE()))," ")</f>
        <v xml:space="preserve"> </v>
      </c>
      <c r="I539" s="34" t="str">
        <f>IFERROR((VLOOKUP(F539,'Planilha de Cadastro - Previsão'!$A$2:$N$1100,4,FALSE()))," ")</f>
        <v xml:space="preserve"> </v>
      </c>
      <c r="J539" s="34" t="str">
        <f>IFERROR((VLOOKUP(F539,'Planilha de Cadastro - Previsão'!$A$2:$N$1100,5,FALSE()))," ")</f>
        <v xml:space="preserve"> </v>
      </c>
      <c r="K539" s="36"/>
      <c r="L539" s="34" t="str">
        <f t="shared" si="36"/>
        <v/>
      </c>
      <c r="M539" s="35" t="str">
        <f t="shared" si="37"/>
        <v/>
      </c>
      <c r="N539" s="39"/>
      <c r="O539" s="36"/>
    </row>
    <row r="540" spans="1:15" x14ac:dyDescent="0.25">
      <c r="A540">
        <f>COUNTIF($C$2:C540,C540)</f>
        <v>539</v>
      </c>
      <c r="B540" s="1" t="str">
        <f t="shared" si="34"/>
        <v>539</v>
      </c>
      <c r="C540" s="1" t="str">
        <f>IFERROR(VLOOKUP(D540,'Planilha de Cadastro - Previsão'!$A$2:$O$1000,15,FALSE()),"")</f>
        <v/>
      </c>
      <c r="D540" s="1">
        <v>539</v>
      </c>
      <c r="F540" s="32" t="str">
        <f t="shared" si="35"/>
        <v/>
      </c>
      <c r="G540" s="33" t="str">
        <f>IFERROR((VLOOKUP(F540,'Planilha de Cadastro - Previsão'!$A$2:$N$1100,2,FALSE()))," ")</f>
        <v xml:space="preserve"> </v>
      </c>
      <c r="H540" s="32" t="str">
        <f>IFERROR((VLOOKUP(F540,'Planilha de Cadastro - Previsão'!$A$2:$N$1100,3,FALSE()))," ")</f>
        <v xml:space="preserve"> </v>
      </c>
      <c r="I540" s="34" t="str">
        <f>IFERROR((VLOOKUP(F540,'Planilha de Cadastro - Previsão'!$A$2:$N$1100,4,FALSE()))," ")</f>
        <v xml:space="preserve"> </v>
      </c>
      <c r="J540" s="34" t="str">
        <f>IFERROR((VLOOKUP(F540,'Planilha de Cadastro - Previsão'!$A$2:$N$1100,5,FALSE()))," ")</f>
        <v xml:space="preserve"> </v>
      </c>
      <c r="K540" s="36"/>
      <c r="L540" s="34" t="str">
        <f t="shared" si="36"/>
        <v/>
      </c>
      <c r="M540" s="35" t="str">
        <f t="shared" si="37"/>
        <v/>
      </c>
      <c r="N540" s="39"/>
      <c r="O540" s="36"/>
    </row>
    <row r="541" spans="1:15" x14ac:dyDescent="0.25">
      <c r="A541">
        <f>COUNTIF($C$2:C541,C541)</f>
        <v>540</v>
      </c>
      <c r="B541" s="1" t="str">
        <f t="shared" si="34"/>
        <v>540</v>
      </c>
      <c r="C541" s="1" t="str">
        <f>IFERROR(VLOOKUP(D541,'Planilha de Cadastro - Previsão'!$A$2:$O$1000,15,FALSE()),"")</f>
        <v/>
      </c>
      <c r="D541" s="1">
        <v>540</v>
      </c>
      <c r="F541" s="32" t="str">
        <f t="shared" si="35"/>
        <v/>
      </c>
      <c r="G541" s="33" t="str">
        <f>IFERROR((VLOOKUP(F541,'Planilha de Cadastro - Previsão'!$A$2:$N$1100,2,FALSE()))," ")</f>
        <v xml:space="preserve"> </v>
      </c>
      <c r="H541" s="32" t="str">
        <f>IFERROR((VLOOKUP(F541,'Planilha de Cadastro - Previsão'!$A$2:$N$1100,3,FALSE()))," ")</f>
        <v xml:space="preserve"> </v>
      </c>
      <c r="I541" s="34" t="str">
        <f>IFERROR((VLOOKUP(F541,'Planilha de Cadastro - Previsão'!$A$2:$N$1100,4,FALSE()))," ")</f>
        <v xml:space="preserve"> </v>
      </c>
      <c r="J541" s="34" t="str">
        <f>IFERROR((VLOOKUP(F541,'Planilha de Cadastro - Previsão'!$A$2:$N$1100,5,FALSE()))," ")</f>
        <v xml:space="preserve"> </v>
      </c>
      <c r="K541" s="36"/>
      <c r="L541" s="34" t="str">
        <f t="shared" si="36"/>
        <v/>
      </c>
      <c r="M541" s="35" t="str">
        <f t="shared" si="37"/>
        <v/>
      </c>
      <c r="N541" s="39"/>
      <c r="O541" s="36"/>
    </row>
    <row r="542" spans="1:15" x14ac:dyDescent="0.25">
      <c r="A542">
        <f>COUNTIF($C$2:C542,C542)</f>
        <v>541</v>
      </c>
      <c r="B542" s="1" t="str">
        <f t="shared" si="34"/>
        <v>541</v>
      </c>
      <c r="C542" s="1" t="str">
        <f>IFERROR(VLOOKUP(D542,'Planilha de Cadastro - Previsão'!$A$2:$O$1000,15,FALSE()),"")</f>
        <v/>
      </c>
      <c r="D542" s="1">
        <v>541</v>
      </c>
      <c r="F542" s="32" t="str">
        <f t="shared" si="35"/>
        <v/>
      </c>
      <c r="G542" s="33" t="str">
        <f>IFERROR((VLOOKUP(F542,'Planilha de Cadastro - Previsão'!$A$2:$N$1100,2,FALSE()))," ")</f>
        <v xml:space="preserve"> </v>
      </c>
      <c r="H542" s="32" t="str">
        <f>IFERROR((VLOOKUP(F542,'Planilha de Cadastro - Previsão'!$A$2:$N$1100,3,FALSE()))," ")</f>
        <v xml:space="preserve"> </v>
      </c>
      <c r="I542" s="34" t="str">
        <f>IFERROR((VLOOKUP(F542,'Planilha de Cadastro - Previsão'!$A$2:$N$1100,4,FALSE()))," ")</f>
        <v xml:space="preserve"> </v>
      </c>
      <c r="J542" s="34" t="str">
        <f>IFERROR((VLOOKUP(F542,'Planilha de Cadastro - Previsão'!$A$2:$N$1100,5,FALSE()))," ")</f>
        <v xml:space="preserve"> </v>
      </c>
      <c r="K542" s="36"/>
      <c r="L542" s="34" t="str">
        <f t="shared" si="36"/>
        <v/>
      </c>
      <c r="M542" s="35" t="str">
        <f t="shared" si="37"/>
        <v/>
      </c>
      <c r="N542" s="39"/>
      <c r="O542" s="36"/>
    </row>
    <row r="543" spans="1:15" x14ac:dyDescent="0.25">
      <c r="A543">
        <f>COUNTIF($C$2:C543,C543)</f>
        <v>542</v>
      </c>
      <c r="B543" s="1" t="str">
        <f t="shared" si="34"/>
        <v>542</v>
      </c>
      <c r="C543" s="1" t="str">
        <f>IFERROR(VLOOKUP(D543,'Planilha de Cadastro - Previsão'!$A$2:$O$1000,15,FALSE()),"")</f>
        <v/>
      </c>
      <c r="D543" s="1">
        <v>542</v>
      </c>
      <c r="F543" s="32" t="str">
        <f t="shared" si="35"/>
        <v/>
      </c>
      <c r="G543" s="33" t="str">
        <f>IFERROR((VLOOKUP(F543,'Planilha de Cadastro - Previsão'!$A$2:$N$1100,2,FALSE()))," ")</f>
        <v xml:space="preserve"> </v>
      </c>
      <c r="H543" s="32" t="str">
        <f>IFERROR((VLOOKUP(F543,'Planilha de Cadastro - Previsão'!$A$2:$N$1100,3,FALSE()))," ")</f>
        <v xml:space="preserve"> </v>
      </c>
      <c r="I543" s="34" t="str">
        <f>IFERROR((VLOOKUP(F543,'Planilha de Cadastro - Previsão'!$A$2:$N$1100,4,FALSE()))," ")</f>
        <v xml:space="preserve"> </v>
      </c>
      <c r="J543" s="34" t="str">
        <f>IFERROR((VLOOKUP(F543,'Planilha de Cadastro - Previsão'!$A$2:$N$1100,5,FALSE()))," ")</f>
        <v xml:space="preserve"> </v>
      </c>
      <c r="K543" s="36"/>
      <c r="L543" s="34" t="str">
        <f t="shared" si="36"/>
        <v/>
      </c>
      <c r="M543" s="35" t="str">
        <f t="shared" si="37"/>
        <v/>
      </c>
      <c r="N543" s="39"/>
      <c r="O543" s="36"/>
    </row>
    <row r="544" spans="1:15" x14ac:dyDescent="0.25">
      <c r="A544">
        <f>COUNTIF($C$2:C544,C544)</f>
        <v>543</v>
      </c>
      <c r="B544" s="1" t="str">
        <f t="shared" si="34"/>
        <v>543</v>
      </c>
      <c r="C544" s="1" t="str">
        <f>IFERROR(VLOOKUP(D544,'Planilha de Cadastro - Previsão'!$A$2:$O$1000,15,FALSE()),"")</f>
        <v/>
      </c>
      <c r="D544" s="1">
        <v>543</v>
      </c>
      <c r="F544" s="32" t="str">
        <f t="shared" si="35"/>
        <v/>
      </c>
      <c r="G544" s="33" t="str">
        <f>IFERROR((VLOOKUP(F544,'Planilha de Cadastro - Previsão'!$A$2:$N$1100,2,FALSE()))," ")</f>
        <v xml:space="preserve"> </v>
      </c>
      <c r="H544" s="32" t="str">
        <f>IFERROR((VLOOKUP(F544,'Planilha de Cadastro - Previsão'!$A$2:$N$1100,3,FALSE()))," ")</f>
        <v xml:space="preserve"> </v>
      </c>
      <c r="I544" s="34" t="str">
        <f>IFERROR((VLOOKUP(F544,'Planilha de Cadastro - Previsão'!$A$2:$N$1100,4,FALSE()))," ")</f>
        <v xml:space="preserve"> </v>
      </c>
      <c r="J544" s="34" t="str">
        <f>IFERROR((VLOOKUP(F544,'Planilha de Cadastro - Previsão'!$A$2:$N$1100,5,FALSE()))," ")</f>
        <v xml:space="preserve"> </v>
      </c>
      <c r="K544" s="36"/>
      <c r="L544" s="34" t="str">
        <f t="shared" si="36"/>
        <v/>
      </c>
      <c r="M544" s="35" t="str">
        <f t="shared" si="37"/>
        <v/>
      </c>
      <c r="N544" s="39"/>
      <c r="O544" s="36"/>
    </row>
    <row r="545" spans="1:15" x14ac:dyDescent="0.25">
      <c r="A545">
        <f>COUNTIF($C$2:C545,C545)</f>
        <v>544</v>
      </c>
      <c r="B545" s="1" t="str">
        <f t="shared" si="34"/>
        <v>544</v>
      </c>
      <c r="C545" s="1" t="str">
        <f>IFERROR(VLOOKUP(D545,'Planilha de Cadastro - Previsão'!$A$2:$O$1000,15,FALSE()),"")</f>
        <v/>
      </c>
      <c r="D545" s="1">
        <v>544</v>
      </c>
      <c r="F545" s="32" t="str">
        <f t="shared" si="35"/>
        <v/>
      </c>
      <c r="G545" s="33" t="str">
        <f>IFERROR((VLOOKUP(F545,'Planilha de Cadastro - Previsão'!$A$2:$N$1100,2,FALSE()))," ")</f>
        <v xml:space="preserve"> </v>
      </c>
      <c r="H545" s="32" t="str">
        <f>IFERROR((VLOOKUP(F545,'Planilha de Cadastro - Previsão'!$A$2:$N$1100,3,FALSE()))," ")</f>
        <v xml:space="preserve"> </v>
      </c>
      <c r="I545" s="34" t="str">
        <f>IFERROR((VLOOKUP(F545,'Planilha de Cadastro - Previsão'!$A$2:$N$1100,4,FALSE()))," ")</f>
        <v xml:space="preserve"> </v>
      </c>
      <c r="J545" s="34" t="str">
        <f>IFERROR((VLOOKUP(F545,'Planilha de Cadastro - Previsão'!$A$2:$N$1100,5,FALSE()))," ")</f>
        <v xml:space="preserve"> </v>
      </c>
      <c r="K545" s="36"/>
      <c r="L545" s="34" t="str">
        <f t="shared" si="36"/>
        <v/>
      </c>
      <c r="M545" s="35" t="str">
        <f t="shared" si="37"/>
        <v/>
      </c>
      <c r="N545" s="39"/>
      <c r="O545" s="36"/>
    </row>
    <row r="546" spans="1:15" x14ac:dyDescent="0.25">
      <c r="A546">
        <f>COUNTIF($C$2:C546,C546)</f>
        <v>545</v>
      </c>
      <c r="B546" s="1" t="str">
        <f t="shared" si="34"/>
        <v>545</v>
      </c>
      <c r="C546" s="1" t="str">
        <f>IFERROR(VLOOKUP(D546,'Planilha de Cadastro - Previsão'!$A$2:$O$1000,15,FALSE()),"")</f>
        <v/>
      </c>
      <c r="D546" s="1">
        <v>545</v>
      </c>
      <c r="F546" s="32" t="str">
        <f t="shared" si="35"/>
        <v/>
      </c>
      <c r="G546" s="33" t="str">
        <f>IFERROR((VLOOKUP(F546,'Planilha de Cadastro - Previsão'!$A$2:$N$1100,2,FALSE()))," ")</f>
        <v xml:space="preserve"> </v>
      </c>
      <c r="H546" s="32" t="str">
        <f>IFERROR((VLOOKUP(F546,'Planilha de Cadastro - Previsão'!$A$2:$N$1100,3,FALSE()))," ")</f>
        <v xml:space="preserve"> </v>
      </c>
      <c r="I546" s="34" t="str">
        <f>IFERROR((VLOOKUP(F546,'Planilha de Cadastro - Previsão'!$A$2:$N$1100,4,FALSE()))," ")</f>
        <v xml:space="preserve"> </v>
      </c>
      <c r="J546" s="34" t="str">
        <f>IFERROR((VLOOKUP(F546,'Planilha de Cadastro - Previsão'!$A$2:$N$1100,5,FALSE()))," ")</f>
        <v xml:space="preserve"> </v>
      </c>
      <c r="K546" s="36"/>
      <c r="L546" s="34" t="str">
        <f t="shared" si="36"/>
        <v/>
      </c>
      <c r="M546" s="35" t="str">
        <f t="shared" si="37"/>
        <v/>
      </c>
      <c r="N546" s="39"/>
      <c r="O546" s="36"/>
    </row>
    <row r="547" spans="1:15" x14ac:dyDescent="0.25">
      <c r="A547">
        <f>COUNTIF($C$2:C547,C547)</f>
        <v>546</v>
      </c>
      <c r="B547" s="1" t="str">
        <f t="shared" si="34"/>
        <v>546</v>
      </c>
      <c r="C547" s="1" t="str">
        <f>IFERROR(VLOOKUP(D547,'Planilha de Cadastro - Previsão'!$A$2:$O$1000,15,FALSE()),"")</f>
        <v/>
      </c>
      <c r="D547" s="1">
        <v>546</v>
      </c>
      <c r="F547" s="32" t="str">
        <f t="shared" si="35"/>
        <v/>
      </c>
      <c r="G547" s="33" t="str">
        <f>IFERROR((VLOOKUP(F547,'Planilha de Cadastro - Previsão'!$A$2:$N$1100,2,FALSE()))," ")</f>
        <v xml:space="preserve"> </v>
      </c>
      <c r="H547" s="32" t="str">
        <f>IFERROR((VLOOKUP(F547,'Planilha de Cadastro - Previsão'!$A$2:$N$1100,3,FALSE()))," ")</f>
        <v xml:space="preserve"> </v>
      </c>
      <c r="I547" s="34" t="str">
        <f>IFERROR((VLOOKUP(F547,'Planilha de Cadastro - Previsão'!$A$2:$N$1100,4,FALSE()))," ")</f>
        <v xml:space="preserve"> </v>
      </c>
      <c r="J547" s="34" t="str">
        <f>IFERROR((VLOOKUP(F547,'Planilha de Cadastro - Previsão'!$A$2:$N$1100,5,FALSE()))," ")</f>
        <v xml:space="preserve"> </v>
      </c>
      <c r="K547" s="36"/>
      <c r="L547" s="34" t="str">
        <f t="shared" si="36"/>
        <v/>
      </c>
      <c r="M547" s="35" t="str">
        <f t="shared" si="37"/>
        <v/>
      </c>
      <c r="N547" s="39"/>
      <c r="O547" s="36"/>
    </row>
    <row r="548" spans="1:15" x14ac:dyDescent="0.25">
      <c r="A548">
        <f>COUNTIF($C$2:C548,C548)</f>
        <v>547</v>
      </c>
      <c r="B548" s="1" t="str">
        <f t="shared" si="34"/>
        <v>547</v>
      </c>
      <c r="C548" s="1" t="str">
        <f>IFERROR(VLOOKUP(D548,'Planilha de Cadastro - Previsão'!$A$2:$O$1000,15,FALSE()),"")</f>
        <v/>
      </c>
      <c r="D548" s="1">
        <v>547</v>
      </c>
      <c r="F548" s="32" t="str">
        <f t="shared" si="35"/>
        <v/>
      </c>
      <c r="G548" s="33" t="str">
        <f>IFERROR((VLOOKUP(F548,'Planilha de Cadastro - Previsão'!$A$2:$N$1100,2,FALSE()))," ")</f>
        <v xml:space="preserve"> </v>
      </c>
      <c r="H548" s="32" t="str">
        <f>IFERROR((VLOOKUP(F548,'Planilha de Cadastro - Previsão'!$A$2:$N$1100,3,FALSE()))," ")</f>
        <v xml:space="preserve"> </v>
      </c>
      <c r="I548" s="34" t="str">
        <f>IFERROR((VLOOKUP(F548,'Planilha de Cadastro - Previsão'!$A$2:$N$1100,4,FALSE()))," ")</f>
        <v xml:space="preserve"> </v>
      </c>
      <c r="J548" s="34" t="str">
        <f>IFERROR((VLOOKUP(F548,'Planilha de Cadastro - Previsão'!$A$2:$N$1100,5,FALSE()))," ")</f>
        <v xml:space="preserve"> </v>
      </c>
      <c r="K548" s="36"/>
      <c r="L548" s="34" t="str">
        <f t="shared" si="36"/>
        <v/>
      </c>
      <c r="M548" s="35" t="str">
        <f t="shared" si="37"/>
        <v/>
      </c>
      <c r="N548" s="39"/>
      <c r="O548" s="36"/>
    </row>
    <row r="549" spans="1:15" x14ac:dyDescent="0.25">
      <c r="A549">
        <f>COUNTIF($C$2:C549,C549)</f>
        <v>548</v>
      </c>
      <c r="B549" s="1" t="str">
        <f t="shared" si="34"/>
        <v>548</v>
      </c>
      <c r="C549" s="1" t="str">
        <f>IFERROR(VLOOKUP(D549,'Planilha de Cadastro - Previsão'!$A$2:$O$1000,15,FALSE()),"")</f>
        <v/>
      </c>
      <c r="D549" s="1">
        <v>548</v>
      </c>
      <c r="F549" s="32" t="str">
        <f t="shared" si="35"/>
        <v/>
      </c>
      <c r="G549" s="33" t="str">
        <f>IFERROR((VLOOKUP(F549,'Planilha de Cadastro - Previsão'!$A$2:$N$1100,2,FALSE()))," ")</f>
        <v xml:space="preserve"> </v>
      </c>
      <c r="H549" s="32" t="str">
        <f>IFERROR((VLOOKUP(F549,'Planilha de Cadastro - Previsão'!$A$2:$N$1100,3,FALSE()))," ")</f>
        <v xml:space="preserve"> </v>
      </c>
      <c r="I549" s="34" t="str">
        <f>IFERROR((VLOOKUP(F549,'Planilha de Cadastro - Previsão'!$A$2:$N$1100,4,FALSE()))," ")</f>
        <v xml:space="preserve"> </v>
      </c>
      <c r="J549" s="34" t="str">
        <f>IFERROR((VLOOKUP(F549,'Planilha de Cadastro - Previsão'!$A$2:$N$1100,5,FALSE()))," ")</f>
        <v xml:space="preserve"> </v>
      </c>
      <c r="K549" s="36"/>
      <c r="L549" s="34" t="str">
        <f t="shared" si="36"/>
        <v/>
      </c>
      <c r="M549" s="35" t="str">
        <f t="shared" si="37"/>
        <v/>
      </c>
      <c r="N549" s="39"/>
      <c r="O549" s="36"/>
    </row>
    <row r="550" spans="1:15" x14ac:dyDescent="0.25">
      <c r="A550">
        <f>COUNTIF($C$2:C550,C550)</f>
        <v>549</v>
      </c>
      <c r="B550" s="1" t="str">
        <f t="shared" si="34"/>
        <v>549</v>
      </c>
      <c r="C550" s="1" t="str">
        <f>IFERROR(VLOOKUP(D550,'Planilha de Cadastro - Previsão'!$A$2:$O$1000,15,FALSE()),"")</f>
        <v/>
      </c>
      <c r="D550" s="1">
        <v>549</v>
      </c>
      <c r="F550" s="32" t="str">
        <f t="shared" si="35"/>
        <v/>
      </c>
      <c r="G550" s="33" t="str">
        <f>IFERROR((VLOOKUP(F550,'Planilha de Cadastro - Previsão'!$A$2:$N$1100,2,FALSE()))," ")</f>
        <v xml:space="preserve"> </v>
      </c>
      <c r="H550" s="32" t="str">
        <f>IFERROR((VLOOKUP(F550,'Planilha de Cadastro - Previsão'!$A$2:$N$1100,3,FALSE()))," ")</f>
        <v xml:space="preserve"> </v>
      </c>
      <c r="I550" s="34" t="str">
        <f>IFERROR((VLOOKUP(F550,'Planilha de Cadastro - Previsão'!$A$2:$N$1100,4,FALSE()))," ")</f>
        <v xml:space="preserve"> </v>
      </c>
      <c r="J550" s="34" t="str">
        <f>IFERROR((VLOOKUP(F550,'Planilha de Cadastro - Previsão'!$A$2:$N$1100,5,FALSE()))," ")</f>
        <v xml:space="preserve"> </v>
      </c>
      <c r="K550" s="36"/>
      <c r="L550" s="34" t="str">
        <f t="shared" si="36"/>
        <v/>
      </c>
      <c r="M550" s="35" t="str">
        <f t="shared" si="37"/>
        <v/>
      </c>
      <c r="N550" s="39"/>
      <c r="O550" s="36"/>
    </row>
    <row r="551" spans="1:15" x14ac:dyDescent="0.25">
      <c r="A551">
        <f>COUNTIF($C$2:C551,C551)</f>
        <v>550</v>
      </c>
      <c r="B551" s="1" t="str">
        <f t="shared" si="34"/>
        <v>550</v>
      </c>
      <c r="C551" s="1" t="str">
        <f>IFERROR(VLOOKUP(D551,'Planilha de Cadastro - Previsão'!$A$2:$O$1000,15,FALSE()),"")</f>
        <v/>
      </c>
      <c r="D551" s="1">
        <v>550</v>
      </c>
      <c r="F551" s="32" t="str">
        <f t="shared" si="35"/>
        <v/>
      </c>
      <c r="G551" s="33" t="str">
        <f>IFERROR((VLOOKUP(F551,'Planilha de Cadastro - Previsão'!$A$2:$N$1100,2,FALSE()))," ")</f>
        <v xml:space="preserve"> </v>
      </c>
      <c r="H551" s="32" t="str">
        <f>IFERROR((VLOOKUP(F551,'Planilha de Cadastro - Previsão'!$A$2:$N$1100,3,FALSE()))," ")</f>
        <v xml:space="preserve"> </v>
      </c>
      <c r="I551" s="34" t="str">
        <f>IFERROR((VLOOKUP(F551,'Planilha de Cadastro - Previsão'!$A$2:$N$1100,4,FALSE()))," ")</f>
        <v xml:space="preserve"> </v>
      </c>
      <c r="J551" s="34" t="str">
        <f>IFERROR((VLOOKUP(F551,'Planilha de Cadastro - Previsão'!$A$2:$N$1100,5,FALSE()))," ")</f>
        <v xml:space="preserve"> </v>
      </c>
      <c r="K551" s="36"/>
      <c r="L551" s="34" t="str">
        <f t="shared" si="36"/>
        <v/>
      </c>
      <c r="M551" s="35" t="str">
        <f t="shared" si="37"/>
        <v/>
      </c>
      <c r="N551" s="39"/>
      <c r="O551" s="36"/>
    </row>
    <row r="552" spans="1:15" x14ac:dyDescent="0.25">
      <c r="A552">
        <f>COUNTIF($C$2:C552,C552)</f>
        <v>551</v>
      </c>
      <c r="B552" s="1" t="str">
        <f t="shared" si="34"/>
        <v>551</v>
      </c>
      <c r="C552" s="1" t="str">
        <f>IFERROR(VLOOKUP(D552,'Planilha de Cadastro - Previsão'!$A$2:$O$1000,15,FALSE()),"")</f>
        <v/>
      </c>
      <c r="D552" s="1">
        <v>551</v>
      </c>
      <c r="F552" s="32" t="str">
        <f t="shared" si="35"/>
        <v/>
      </c>
      <c r="G552" s="33" t="str">
        <f>IFERROR((VLOOKUP(F552,'Planilha de Cadastro - Previsão'!$A$2:$N$1100,2,FALSE()))," ")</f>
        <v xml:space="preserve"> </v>
      </c>
      <c r="H552" s="32" t="str">
        <f>IFERROR((VLOOKUP(F552,'Planilha de Cadastro - Previsão'!$A$2:$N$1100,3,FALSE()))," ")</f>
        <v xml:space="preserve"> </v>
      </c>
      <c r="I552" s="34" t="str">
        <f>IFERROR((VLOOKUP(F552,'Planilha de Cadastro - Previsão'!$A$2:$N$1100,4,FALSE()))," ")</f>
        <v xml:space="preserve"> </v>
      </c>
      <c r="J552" s="34" t="str">
        <f>IFERROR((VLOOKUP(F552,'Planilha de Cadastro - Previsão'!$A$2:$N$1100,5,FALSE()))," ")</f>
        <v xml:space="preserve"> </v>
      </c>
      <c r="K552" s="36"/>
      <c r="L552" s="34" t="str">
        <f t="shared" si="36"/>
        <v/>
      </c>
      <c r="M552" s="35" t="str">
        <f t="shared" si="37"/>
        <v/>
      </c>
      <c r="N552" s="39"/>
      <c r="O552" s="36"/>
    </row>
    <row r="553" spans="1:15" x14ac:dyDescent="0.25">
      <c r="A553">
        <f>COUNTIF($C$2:C553,C553)</f>
        <v>552</v>
      </c>
      <c r="B553" s="1" t="str">
        <f t="shared" si="34"/>
        <v>552</v>
      </c>
      <c r="C553" s="1" t="str">
        <f>IFERROR(VLOOKUP(D553,'Planilha de Cadastro - Previsão'!$A$2:$O$1000,15,FALSE()),"")</f>
        <v/>
      </c>
      <c r="D553" s="1">
        <v>552</v>
      </c>
      <c r="F553" s="32" t="str">
        <f t="shared" si="35"/>
        <v/>
      </c>
      <c r="G553" s="33" t="str">
        <f>IFERROR((VLOOKUP(F553,'Planilha de Cadastro - Previsão'!$A$2:$N$1100,2,FALSE()))," ")</f>
        <v xml:space="preserve"> </v>
      </c>
      <c r="H553" s="32" t="str">
        <f>IFERROR((VLOOKUP(F553,'Planilha de Cadastro - Previsão'!$A$2:$N$1100,3,FALSE()))," ")</f>
        <v xml:space="preserve"> </v>
      </c>
      <c r="I553" s="34" t="str">
        <f>IFERROR((VLOOKUP(F553,'Planilha de Cadastro - Previsão'!$A$2:$N$1100,4,FALSE()))," ")</f>
        <v xml:space="preserve"> </v>
      </c>
      <c r="J553" s="34" t="str">
        <f>IFERROR((VLOOKUP(F553,'Planilha de Cadastro - Previsão'!$A$2:$N$1100,5,FALSE()))," ")</f>
        <v xml:space="preserve"> </v>
      </c>
      <c r="K553" s="36"/>
      <c r="L553" s="34" t="str">
        <f t="shared" si="36"/>
        <v/>
      </c>
      <c r="M553" s="35" t="str">
        <f t="shared" si="37"/>
        <v/>
      </c>
      <c r="N553" s="39"/>
      <c r="O553" s="36"/>
    </row>
    <row r="554" spans="1:15" x14ac:dyDescent="0.25">
      <c r="A554">
        <f>COUNTIF($C$2:C554,C554)</f>
        <v>553</v>
      </c>
      <c r="B554" s="1" t="str">
        <f t="shared" si="34"/>
        <v>553</v>
      </c>
      <c r="C554" s="1" t="str">
        <f>IFERROR(VLOOKUP(D554,'Planilha de Cadastro - Previsão'!$A$2:$O$1000,15,FALSE()),"")</f>
        <v/>
      </c>
      <c r="D554" s="1">
        <v>553</v>
      </c>
      <c r="F554" s="32" t="str">
        <f t="shared" si="35"/>
        <v/>
      </c>
      <c r="G554" s="33" t="str">
        <f>IFERROR((VLOOKUP(F554,'Planilha de Cadastro - Previsão'!$A$2:$N$1100,2,FALSE()))," ")</f>
        <v xml:space="preserve"> </v>
      </c>
      <c r="H554" s="32" t="str">
        <f>IFERROR((VLOOKUP(F554,'Planilha de Cadastro - Previsão'!$A$2:$N$1100,3,FALSE()))," ")</f>
        <v xml:space="preserve"> </v>
      </c>
      <c r="I554" s="34" t="str">
        <f>IFERROR((VLOOKUP(F554,'Planilha de Cadastro - Previsão'!$A$2:$N$1100,4,FALSE()))," ")</f>
        <v xml:space="preserve"> </v>
      </c>
      <c r="J554" s="34" t="str">
        <f>IFERROR((VLOOKUP(F554,'Planilha de Cadastro - Previsão'!$A$2:$N$1100,5,FALSE()))," ")</f>
        <v xml:space="preserve"> </v>
      </c>
      <c r="K554" s="36"/>
      <c r="L554" s="34" t="str">
        <f t="shared" si="36"/>
        <v/>
      </c>
      <c r="M554" s="35" t="str">
        <f t="shared" si="37"/>
        <v/>
      </c>
      <c r="N554" s="39"/>
      <c r="O554" s="36"/>
    </row>
    <row r="555" spans="1:15" x14ac:dyDescent="0.25">
      <c r="A555">
        <f>COUNTIF($C$2:C555,C555)</f>
        <v>554</v>
      </c>
      <c r="B555" s="1" t="str">
        <f t="shared" si="34"/>
        <v>554</v>
      </c>
      <c r="C555" s="1" t="str">
        <f>IFERROR(VLOOKUP(D555,'Planilha de Cadastro - Previsão'!$A$2:$O$1000,15,FALSE()),"")</f>
        <v/>
      </c>
      <c r="D555" s="1">
        <v>554</v>
      </c>
      <c r="F555" s="32" t="str">
        <f t="shared" si="35"/>
        <v/>
      </c>
      <c r="G555" s="33" t="str">
        <f>IFERROR((VLOOKUP(F555,'Planilha de Cadastro - Previsão'!$A$2:$N$1100,2,FALSE()))," ")</f>
        <v xml:space="preserve"> </v>
      </c>
      <c r="H555" s="32" t="str">
        <f>IFERROR((VLOOKUP(F555,'Planilha de Cadastro - Previsão'!$A$2:$N$1100,3,FALSE()))," ")</f>
        <v xml:space="preserve"> </v>
      </c>
      <c r="I555" s="34" t="str">
        <f>IFERROR((VLOOKUP(F555,'Planilha de Cadastro - Previsão'!$A$2:$N$1100,4,FALSE()))," ")</f>
        <v xml:space="preserve"> </v>
      </c>
      <c r="J555" s="34" t="str">
        <f>IFERROR((VLOOKUP(F555,'Planilha de Cadastro - Previsão'!$A$2:$N$1100,5,FALSE()))," ")</f>
        <v xml:space="preserve"> </v>
      </c>
      <c r="K555" s="36"/>
      <c r="L555" s="34" t="str">
        <f t="shared" si="36"/>
        <v/>
      </c>
      <c r="M555" s="35" t="str">
        <f t="shared" si="37"/>
        <v/>
      </c>
      <c r="N555" s="39"/>
      <c r="O555" s="36"/>
    </row>
    <row r="556" spans="1:15" x14ac:dyDescent="0.25">
      <c r="A556">
        <f>COUNTIF($C$2:C556,C556)</f>
        <v>555</v>
      </c>
      <c r="B556" s="1" t="str">
        <f t="shared" si="34"/>
        <v>555</v>
      </c>
      <c r="C556" s="1" t="str">
        <f>IFERROR(VLOOKUP(D556,'Planilha de Cadastro - Previsão'!$A$2:$O$1000,15,FALSE()),"")</f>
        <v/>
      </c>
      <c r="D556" s="1">
        <v>555</v>
      </c>
      <c r="F556" s="32" t="str">
        <f t="shared" si="35"/>
        <v/>
      </c>
      <c r="G556" s="33" t="str">
        <f>IFERROR((VLOOKUP(F556,'Planilha de Cadastro - Previsão'!$A$2:$N$1100,2,FALSE()))," ")</f>
        <v xml:space="preserve"> </v>
      </c>
      <c r="H556" s="32" t="str">
        <f>IFERROR((VLOOKUP(F556,'Planilha de Cadastro - Previsão'!$A$2:$N$1100,3,FALSE()))," ")</f>
        <v xml:space="preserve"> </v>
      </c>
      <c r="I556" s="34" t="str">
        <f>IFERROR((VLOOKUP(F556,'Planilha de Cadastro - Previsão'!$A$2:$N$1100,4,FALSE()))," ")</f>
        <v xml:space="preserve"> </v>
      </c>
      <c r="J556" s="34" t="str">
        <f>IFERROR((VLOOKUP(F556,'Planilha de Cadastro - Previsão'!$A$2:$N$1100,5,FALSE()))," ")</f>
        <v xml:space="preserve"> </v>
      </c>
      <c r="K556" s="36"/>
      <c r="L556" s="34" t="str">
        <f t="shared" si="36"/>
        <v/>
      </c>
      <c r="M556" s="35" t="str">
        <f t="shared" si="37"/>
        <v/>
      </c>
      <c r="N556" s="39"/>
      <c r="O556" s="36"/>
    </row>
    <row r="557" spans="1:15" x14ac:dyDescent="0.25">
      <c r="A557">
        <f>COUNTIF($C$2:C557,C557)</f>
        <v>556</v>
      </c>
      <c r="B557" s="1" t="str">
        <f t="shared" si="34"/>
        <v>556</v>
      </c>
      <c r="C557" s="1" t="str">
        <f>IFERROR(VLOOKUP(D557,'Planilha de Cadastro - Previsão'!$A$2:$O$1000,15,FALSE()),"")</f>
        <v/>
      </c>
      <c r="D557" s="1">
        <v>556</v>
      </c>
      <c r="F557" s="32" t="str">
        <f t="shared" si="35"/>
        <v/>
      </c>
      <c r="G557" s="33" t="str">
        <f>IFERROR((VLOOKUP(F557,'Planilha de Cadastro - Previsão'!$A$2:$N$1100,2,FALSE()))," ")</f>
        <v xml:space="preserve"> </v>
      </c>
      <c r="H557" s="32" t="str">
        <f>IFERROR((VLOOKUP(F557,'Planilha de Cadastro - Previsão'!$A$2:$N$1100,3,FALSE()))," ")</f>
        <v xml:space="preserve"> </v>
      </c>
      <c r="I557" s="34" t="str">
        <f>IFERROR((VLOOKUP(F557,'Planilha de Cadastro - Previsão'!$A$2:$N$1100,4,FALSE()))," ")</f>
        <v xml:space="preserve"> </v>
      </c>
      <c r="J557" s="34" t="str">
        <f>IFERROR((VLOOKUP(F557,'Planilha de Cadastro - Previsão'!$A$2:$N$1100,5,FALSE()))," ")</f>
        <v xml:space="preserve"> </v>
      </c>
      <c r="K557" s="36"/>
      <c r="L557" s="34" t="str">
        <f t="shared" si="36"/>
        <v/>
      </c>
      <c r="M557" s="35" t="str">
        <f t="shared" si="37"/>
        <v/>
      </c>
      <c r="N557" s="39"/>
      <c r="O557" s="36"/>
    </row>
    <row r="558" spans="1:15" x14ac:dyDescent="0.25">
      <c r="A558">
        <f>COUNTIF($C$2:C558,C558)</f>
        <v>557</v>
      </c>
      <c r="B558" s="1" t="str">
        <f t="shared" si="34"/>
        <v>557</v>
      </c>
      <c r="C558" s="1" t="str">
        <f>IFERROR(VLOOKUP(D558,'Planilha de Cadastro - Previsão'!$A$2:$O$1000,15,FALSE()),"")</f>
        <v/>
      </c>
      <c r="D558" s="1">
        <v>557</v>
      </c>
      <c r="F558" s="32" t="str">
        <f t="shared" si="35"/>
        <v/>
      </c>
      <c r="G558" s="33" t="str">
        <f>IFERROR((VLOOKUP(F558,'Planilha de Cadastro - Previsão'!$A$2:$N$1100,2,FALSE()))," ")</f>
        <v xml:space="preserve"> </v>
      </c>
      <c r="H558" s="32" t="str">
        <f>IFERROR((VLOOKUP(F558,'Planilha de Cadastro - Previsão'!$A$2:$N$1100,3,FALSE()))," ")</f>
        <v xml:space="preserve"> </v>
      </c>
      <c r="I558" s="34" t="str">
        <f>IFERROR((VLOOKUP(F558,'Planilha de Cadastro - Previsão'!$A$2:$N$1100,4,FALSE()))," ")</f>
        <v xml:space="preserve"> </v>
      </c>
      <c r="J558" s="34" t="str">
        <f>IFERROR((VLOOKUP(F558,'Planilha de Cadastro - Previsão'!$A$2:$N$1100,5,FALSE()))," ")</f>
        <v xml:space="preserve"> </v>
      </c>
      <c r="K558" s="36"/>
      <c r="L558" s="34" t="str">
        <f t="shared" si="36"/>
        <v/>
      </c>
      <c r="M558" s="35" t="str">
        <f t="shared" si="37"/>
        <v/>
      </c>
      <c r="N558" s="39"/>
      <c r="O558" s="36"/>
    </row>
    <row r="559" spans="1:15" x14ac:dyDescent="0.25">
      <c r="A559">
        <f>COUNTIF($C$2:C559,C559)</f>
        <v>558</v>
      </c>
      <c r="B559" s="1" t="str">
        <f t="shared" si="34"/>
        <v>558</v>
      </c>
      <c r="C559" s="1" t="str">
        <f>IFERROR(VLOOKUP(D559,'Planilha de Cadastro - Previsão'!$A$2:$O$1000,15,FALSE()),"")</f>
        <v/>
      </c>
      <c r="D559" s="1">
        <v>558</v>
      </c>
      <c r="F559" s="32" t="str">
        <f t="shared" si="35"/>
        <v/>
      </c>
      <c r="G559" s="33" t="str">
        <f>IFERROR((VLOOKUP(F559,'Planilha de Cadastro - Previsão'!$A$2:$N$1100,2,FALSE()))," ")</f>
        <v xml:space="preserve"> </v>
      </c>
      <c r="H559" s="32" t="str">
        <f>IFERROR((VLOOKUP(F559,'Planilha de Cadastro - Previsão'!$A$2:$N$1100,3,FALSE()))," ")</f>
        <v xml:space="preserve"> </v>
      </c>
      <c r="I559" s="34" t="str">
        <f>IFERROR((VLOOKUP(F559,'Planilha de Cadastro - Previsão'!$A$2:$N$1100,4,FALSE()))," ")</f>
        <v xml:space="preserve"> </v>
      </c>
      <c r="J559" s="34" t="str">
        <f>IFERROR((VLOOKUP(F559,'Planilha de Cadastro - Previsão'!$A$2:$N$1100,5,FALSE()))," ")</f>
        <v xml:space="preserve"> </v>
      </c>
      <c r="K559" s="36"/>
      <c r="L559" s="34" t="str">
        <f t="shared" si="36"/>
        <v/>
      </c>
      <c r="M559" s="35" t="str">
        <f t="shared" si="37"/>
        <v/>
      </c>
      <c r="N559" s="39"/>
      <c r="O559" s="36"/>
    </row>
    <row r="560" spans="1:15" x14ac:dyDescent="0.25">
      <c r="A560">
        <f>COUNTIF($C$2:C560,C560)</f>
        <v>559</v>
      </c>
      <c r="B560" s="1" t="str">
        <f t="shared" si="34"/>
        <v>559</v>
      </c>
      <c r="C560" s="1" t="str">
        <f>IFERROR(VLOOKUP(D560,'Planilha de Cadastro - Previsão'!$A$2:$O$1000,15,FALSE()),"")</f>
        <v/>
      </c>
      <c r="D560" s="1">
        <v>559</v>
      </c>
      <c r="F560" s="32" t="str">
        <f t="shared" si="35"/>
        <v/>
      </c>
      <c r="G560" s="33" t="str">
        <f>IFERROR((VLOOKUP(F560,'Planilha de Cadastro - Previsão'!$A$2:$N$1100,2,FALSE()))," ")</f>
        <v xml:space="preserve"> </v>
      </c>
      <c r="H560" s="32" t="str">
        <f>IFERROR((VLOOKUP(F560,'Planilha de Cadastro - Previsão'!$A$2:$N$1100,3,FALSE()))," ")</f>
        <v xml:space="preserve"> </v>
      </c>
      <c r="I560" s="34" t="str">
        <f>IFERROR((VLOOKUP(F560,'Planilha de Cadastro - Previsão'!$A$2:$N$1100,4,FALSE()))," ")</f>
        <v xml:space="preserve"> </v>
      </c>
      <c r="J560" s="34" t="str">
        <f>IFERROR((VLOOKUP(F560,'Planilha de Cadastro - Previsão'!$A$2:$N$1100,5,FALSE()))," ")</f>
        <v xml:space="preserve"> </v>
      </c>
      <c r="K560" s="36"/>
      <c r="L560" s="34" t="str">
        <f t="shared" si="36"/>
        <v/>
      </c>
      <c r="M560" s="35" t="str">
        <f t="shared" si="37"/>
        <v/>
      </c>
      <c r="N560" s="39"/>
      <c r="O560" s="36"/>
    </row>
    <row r="561" spans="1:15" x14ac:dyDescent="0.25">
      <c r="A561">
        <f>COUNTIF($C$2:C561,C561)</f>
        <v>560</v>
      </c>
      <c r="B561" s="1" t="str">
        <f t="shared" si="34"/>
        <v>560</v>
      </c>
      <c r="C561" s="1" t="str">
        <f>IFERROR(VLOOKUP(D561,'Planilha de Cadastro - Previsão'!$A$2:$O$1000,15,FALSE()),"")</f>
        <v/>
      </c>
      <c r="D561" s="1">
        <v>560</v>
      </c>
      <c r="F561" s="32" t="str">
        <f t="shared" si="35"/>
        <v/>
      </c>
      <c r="G561" s="33" t="str">
        <f>IFERROR((VLOOKUP(F561,'Planilha de Cadastro - Previsão'!$A$2:$N$1100,2,FALSE()))," ")</f>
        <v xml:space="preserve"> </v>
      </c>
      <c r="H561" s="32" t="str">
        <f>IFERROR((VLOOKUP(F561,'Planilha de Cadastro - Previsão'!$A$2:$N$1100,3,FALSE()))," ")</f>
        <v xml:space="preserve"> </v>
      </c>
      <c r="I561" s="34" t="str">
        <f>IFERROR((VLOOKUP(F561,'Planilha de Cadastro - Previsão'!$A$2:$N$1100,4,FALSE()))," ")</f>
        <v xml:space="preserve"> </v>
      </c>
      <c r="J561" s="34" t="str">
        <f>IFERROR((VLOOKUP(F561,'Planilha de Cadastro - Previsão'!$A$2:$N$1100,5,FALSE()))," ")</f>
        <v xml:space="preserve"> </v>
      </c>
      <c r="K561" s="36"/>
      <c r="L561" s="34" t="str">
        <f t="shared" si="36"/>
        <v/>
      </c>
      <c r="M561" s="35" t="str">
        <f t="shared" si="37"/>
        <v/>
      </c>
      <c r="N561" s="39"/>
      <c r="O561" s="36"/>
    </row>
    <row r="562" spans="1:15" x14ac:dyDescent="0.25">
      <c r="A562">
        <f>COUNTIF($C$2:C562,C562)</f>
        <v>561</v>
      </c>
      <c r="B562" s="1" t="str">
        <f t="shared" si="34"/>
        <v>561</v>
      </c>
      <c r="C562" s="1" t="str">
        <f>IFERROR(VLOOKUP(D562,'Planilha de Cadastro - Previsão'!$A$2:$O$1000,15,FALSE()),"")</f>
        <v/>
      </c>
      <c r="D562" s="1">
        <v>561</v>
      </c>
      <c r="F562" s="32" t="str">
        <f t="shared" si="35"/>
        <v/>
      </c>
      <c r="G562" s="33" t="str">
        <f>IFERROR((VLOOKUP(F562,'Planilha de Cadastro - Previsão'!$A$2:$N$1100,2,FALSE()))," ")</f>
        <v xml:space="preserve"> </v>
      </c>
      <c r="H562" s="32" t="str">
        <f>IFERROR((VLOOKUP(F562,'Planilha de Cadastro - Previsão'!$A$2:$N$1100,3,FALSE()))," ")</f>
        <v xml:space="preserve"> </v>
      </c>
      <c r="I562" s="34" t="str">
        <f>IFERROR((VLOOKUP(F562,'Planilha de Cadastro - Previsão'!$A$2:$N$1100,4,FALSE()))," ")</f>
        <v xml:space="preserve"> </v>
      </c>
      <c r="J562" s="34" t="str">
        <f>IFERROR((VLOOKUP(F562,'Planilha de Cadastro - Previsão'!$A$2:$N$1100,5,FALSE()))," ")</f>
        <v xml:space="preserve"> </v>
      </c>
      <c r="K562" s="36"/>
      <c r="L562" s="34" t="str">
        <f t="shared" si="36"/>
        <v/>
      </c>
      <c r="M562" s="35" t="str">
        <f t="shared" si="37"/>
        <v/>
      </c>
      <c r="N562" s="39"/>
      <c r="O562" s="36"/>
    </row>
    <row r="563" spans="1:15" x14ac:dyDescent="0.25">
      <c r="A563">
        <f>COUNTIF($C$2:C563,C563)</f>
        <v>562</v>
      </c>
      <c r="B563" s="1" t="str">
        <f t="shared" si="34"/>
        <v>562</v>
      </c>
      <c r="C563" s="1" t="str">
        <f>IFERROR(VLOOKUP(D563,'Planilha de Cadastro - Previsão'!$A$2:$O$1000,15,FALSE()),"")</f>
        <v/>
      </c>
      <c r="D563" s="1">
        <v>562</v>
      </c>
      <c r="F563" s="32" t="str">
        <f t="shared" si="35"/>
        <v/>
      </c>
      <c r="G563" s="33" t="str">
        <f>IFERROR((VLOOKUP(F563,'Planilha de Cadastro - Previsão'!$A$2:$N$1100,2,FALSE()))," ")</f>
        <v xml:space="preserve"> </v>
      </c>
      <c r="H563" s="32" t="str">
        <f>IFERROR((VLOOKUP(F563,'Planilha de Cadastro - Previsão'!$A$2:$N$1100,3,FALSE()))," ")</f>
        <v xml:space="preserve"> </v>
      </c>
      <c r="I563" s="34" t="str">
        <f>IFERROR((VLOOKUP(F563,'Planilha de Cadastro - Previsão'!$A$2:$N$1100,4,FALSE()))," ")</f>
        <v xml:space="preserve"> </v>
      </c>
      <c r="J563" s="34" t="str">
        <f>IFERROR((VLOOKUP(F563,'Planilha de Cadastro - Previsão'!$A$2:$N$1100,5,FALSE()))," ")</f>
        <v xml:space="preserve"> </v>
      </c>
      <c r="K563" s="36"/>
      <c r="L563" s="34" t="str">
        <f t="shared" si="36"/>
        <v/>
      </c>
      <c r="M563" s="35" t="str">
        <f t="shared" si="37"/>
        <v/>
      </c>
      <c r="N563" s="39"/>
      <c r="O563" s="36"/>
    </row>
    <row r="564" spans="1:15" x14ac:dyDescent="0.25">
      <c r="A564">
        <f>COUNTIF($C$2:C564,C564)</f>
        <v>563</v>
      </c>
      <c r="B564" s="1" t="str">
        <f t="shared" si="34"/>
        <v>563</v>
      </c>
      <c r="C564" s="1" t="str">
        <f>IFERROR(VLOOKUP(D564,'Planilha de Cadastro - Previsão'!$A$2:$O$1000,15,FALSE()),"")</f>
        <v/>
      </c>
      <c r="D564" s="1">
        <v>563</v>
      </c>
      <c r="F564" s="32" t="str">
        <f t="shared" si="35"/>
        <v/>
      </c>
      <c r="G564" s="33" t="str">
        <f>IFERROR((VLOOKUP(F564,'Planilha de Cadastro - Previsão'!$A$2:$N$1100,2,FALSE()))," ")</f>
        <v xml:space="preserve"> </v>
      </c>
      <c r="H564" s="32" t="str">
        <f>IFERROR((VLOOKUP(F564,'Planilha de Cadastro - Previsão'!$A$2:$N$1100,3,FALSE()))," ")</f>
        <v xml:space="preserve"> </v>
      </c>
      <c r="I564" s="34" t="str">
        <f>IFERROR((VLOOKUP(F564,'Planilha de Cadastro - Previsão'!$A$2:$N$1100,4,FALSE()))," ")</f>
        <v xml:space="preserve"> </v>
      </c>
      <c r="J564" s="34" t="str">
        <f>IFERROR((VLOOKUP(F564,'Planilha de Cadastro - Previsão'!$A$2:$N$1100,5,FALSE()))," ")</f>
        <v xml:space="preserve"> </v>
      </c>
      <c r="K564" s="36"/>
      <c r="L564" s="34" t="str">
        <f t="shared" si="36"/>
        <v/>
      </c>
      <c r="M564" s="35" t="str">
        <f t="shared" si="37"/>
        <v/>
      </c>
      <c r="N564" s="39"/>
      <c r="O564" s="36"/>
    </row>
    <row r="565" spans="1:15" x14ac:dyDescent="0.25">
      <c r="A565">
        <f>COUNTIF($C$2:C565,C565)</f>
        <v>564</v>
      </c>
      <c r="B565" s="1" t="str">
        <f t="shared" si="34"/>
        <v>564</v>
      </c>
      <c r="C565" s="1" t="str">
        <f>IFERROR(VLOOKUP(D565,'Planilha de Cadastro - Previsão'!$A$2:$O$1000,15,FALSE()),"")</f>
        <v/>
      </c>
      <c r="D565" s="1">
        <v>564</v>
      </c>
      <c r="F565" s="32" t="str">
        <f t="shared" si="35"/>
        <v/>
      </c>
      <c r="G565" s="33" t="str">
        <f>IFERROR((VLOOKUP(F565,'Planilha de Cadastro - Previsão'!$A$2:$N$1100,2,FALSE()))," ")</f>
        <v xml:space="preserve"> </v>
      </c>
      <c r="H565" s="32" t="str">
        <f>IFERROR((VLOOKUP(F565,'Planilha de Cadastro - Previsão'!$A$2:$N$1100,3,FALSE()))," ")</f>
        <v xml:space="preserve"> </v>
      </c>
      <c r="I565" s="34" t="str">
        <f>IFERROR((VLOOKUP(F565,'Planilha de Cadastro - Previsão'!$A$2:$N$1100,4,FALSE()))," ")</f>
        <v xml:space="preserve"> </v>
      </c>
      <c r="J565" s="34" t="str">
        <f>IFERROR((VLOOKUP(F565,'Planilha de Cadastro - Previsão'!$A$2:$N$1100,5,FALSE()))," ")</f>
        <v xml:space="preserve"> </v>
      </c>
      <c r="K565" s="36"/>
      <c r="L565" s="34" t="str">
        <f t="shared" si="36"/>
        <v/>
      </c>
      <c r="M565" s="35" t="str">
        <f t="shared" si="37"/>
        <v/>
      </c>
      <c r="N565" s="39"/>
      <c r="O565" s="36"/>
    </row>
    <row r="566" spans="1:15" x14ac:dyDescent="0.25">
      <c r="A566">
        <f>COUNTIF($C$2:C566,C566)</f>
        <v>565</v>
      </c>
      <c r="B566" s="1" t="str">
        <f t="shared" si="34"/>
        <v>565</v>
      </c>
      <c r="C566" s="1" t="str">
        <f>IFERROR(VLOOKUP(D566,'Planilha de Cadastro - Previsão'!$A$2:$O$1000,15,FALSE()),"")</f>
        <v/>
      </c>
      <c r="D566" s="1">
        <v>565</v>
      </c>
      <c r="F566" s="32" t="str">
        <f t="shared" si="35"/>
        <v/>
      </c>
      <c r="G566" s="33" t="str">
        <f>IFERROR((VLOOKUP(F566,'Planilha de Cadastro - Previsão'!$A$2:$N$1100,2,FALSE()))," ")</f>
        <v xml:space="preserve"> </v>
      </c>
      <c r="H566" s="32" t="str">
        <f>IFERROR((VLOOKUP(F566,'Planilha de Cadastro - Previsão'!$A$2:$N$1100,3,FALSE()))," ")</f>
        <v xml:space="preserve"> </v>
      </c>
      <c r="I566" s="34" t="str">
        <f>IFERROR((VLOOKUP(F566,'Planilha de Cadastro - Previsão'!$A$2:$N$1100,4,FALSE()))," ")</f>
        <v xml:space="preserve"> </v>
      </c>
      <c r="J566" s="34" t="str">
        <f>IFERROR((VLOOKUP(F566,'Planilha de Cadastro - Previsão'!$A$2:$N$1100,5,FALSE()))," ")</f>
        <v xml:space="preserve"> </v>
      </c>
      <c r="K566" s="36"/>
      <c r="L566" s="34" t="str">
        <f t="shared" si="36"/>
        <v/>
      </c>
      <c r="M566" s="35" t="str">
        <f t="shared" si="37"/>
        <v/>
      </c>
      <c r="N566" s="39"/>
      <c r="O566" s="36"/>
    </row>
    <row r="567" spans="1:15" x14ac:dyDescent="0.25">
      <c r="A567">
        <f>COUNTIF($C$2:C567,C567)</f>
        <v>566</v>
      </c>
      <c r="B567" s="1" t="str">
        <f t="shared" si="34"/>
        <v>566</v>
      </c>
      <c r="C567" s="1" t="str">
        <f>IFERROR(VLOOKUP(D567,'Planilha de Cadastro - Previsão'!$A$2:$O$1000,15,FALSE()),"")</f>
        <v/>
      </c>
      <c r="D567" s="1">
        <v>566</v>
      </c>
      <c r="F567" s="32" t="str">
        <f t="shared" si="35"/>
        <v/>
      </c>
      <c r="G567" s="33" t="str">
        <f>IFERROR((VLOOKUP(F567,'Planilha de Cadastro - Previsão'!$A$2:$N$1100,2,FALSE()))," ")</f>
        <v xml:space="preserve"> </v>
      </c>
      <c r="H567" s="32" t="str">
        <f>IFERROR((VLOOKUP(F567,'Planilha de Cadastro - Previsão'!$A$2:$N$1100,3,FALSE()))," ")</f>
        <v xml:space="preserve"> </v>
      </c>
      <c r="I567" s="34" t="str">
        <f>IFERROR((VLOOKUP(F567,'Planilha de Cadastro - Previsão'!$A$2:$N$1100,4,FALSE()))," ")</f>
        <v xml:space="preserve"> </v>
      </c>
      <c r="J567" s="34" t="str">
        <f>IFERROR((VLOOKUP(F567,'Planilha de Cadastro - Previsão'!$A$2:$N$1100,5,FALSE()))," ")</f>
        <v xml:space="preserve"> </v>
      </c>
      <c r="K567" s="36"/>
      <c r="L567" s="34" t="str">
        <f t="shared" si="36"/>
        <v/>
      </c>
      <c r="M567" s="35" t="str">
        <f t="shared" si="37"/>
        <v/>
      </c>
      <c r="N567" s="39"/>
      <c r="O567" s="36"/>
    </row>
    <row r="568" spans="1:15" x14ac:dyDescent="0.25">
      <c r="A568">
        <f>COUNTIF($C$2:C568,C568)</f>
        <v>567</v>
      </c>
      <c r="B568" s="1" t="str">
        <f t="shared" si="34"/>
        <v>567</v>
      </c>
      <c r="C568" s="1" t="str">
        <f>IFERROR(VLOOKUP(D568,'Planilha de Cadastro - Previsão'!$A$2:$O$1000,15,FALSE()),"")</f>
        <v/>
      </c>
      <c r="D568" s="1">
        <v>567</v>
      </c>
      <c r="F568" s="32" t="str">
        <f t="shared" si="35"/>
        <v/>
      </c>
      <c r="G568" s="33" t="str">
        <f>IFERROR((VLOOKUP(F568,'Planilha de Cadastro - Previsão'!$A$2:$N$1100,2,FALSE()))," ")</f>
        <v xml:space="preserve"> </v>
      </c>
      <c r="H568" s="32" t="str">
        <f>IFERROR((VLOOKUP(F568,'Planilha de Cadastro - Previsão'!$A$2:$N$1100,3,FALSE()))," ")</f>
        <v xml:space="preserve"> </v>
      </c>
      <c r="I568" s="34" t="str">
        <f>IFERROR((VLOOKUP(F568,'Planilha de Cadastro - Previsão'!$A$2:$N$1100,4,FALSE()))," ")</f>
        <v xml:space="preserve"> </v>
      </c>
      <c r="J568" s="34" t="str">
        <f>IFERROR((VLOOKUP(F568,'Planilha de Cadastro - Previsão'!$A$2:$N$1100,5,FALSE()))," ")</f>
        <v xml:space="preserve"> </v>
      </c>
      <c r="K568" s="36"/>
      <c r="L568" s="34" t="str">
        <f t="shared" si="36"/>
        <v/>
      </c>
      <c r="M568" s="35" t="str">
        <f t="shared" si="37"/>
        <v/>
      </c>
      <c r="N568" s="39"/>
      <c r="O568" s="36"/>
    </row>
    <row r="569" spans="1:15" x14ac:dyDescent="0.25">
      <c r="A569">
        <f>COUNTIF($C$2:C569,C569)</f>
        <v>568</v>
      </c>
      <c r="B569" s="1" t="str">
        <f t="shared" si="34"/>
        <v>568</v>
      </c>
      <c r="C569" s="1" t="str">
        <f>IFERROR(VLOOKUP(D569,'Planilha de Cadastro - Previsão'!$A$2:$O$1000,15,FALSE()),"")</f>
        <v/>
      </c>
      <c r="D569" s="1">
        <v>568</v>
      </c>
      <c r="F569" s="32" t="str">
        <f t="shared" si="35"/>
        <v/>
      </c>
      <c r="G569" s="33" t="str">
        <f>IFERROR((VLOOKUP(F569,'Planilha de Cadastro - Previsão'!$A$2:$N$1100,2,FALSE()))," ")</f>
        <v xml:space="preserve"> </v>
      </c>
      <c r="H569" s="32" t="str">
        <f>IFERROR((VLOOKUP(F569,'Planilha de Cadastro - Previsão'!$A$2:$N$1100,3,FALSE()))," ")</f>
        <v xml:space="preserve"> </v>
      </c>
      <c r="I569" s="34" t="str">
        <f>IFERROR((VLOOKUP(F569,'Planilha de Cadastro - Previsão'!$A$2:$N$1100,4,FALSE()))," ")</f>
        <v xml:space="preserve"> </v>
      </c>
      <c r="J569" s="34" t="str">
        <f>IFERROR((VLOOKUP(F569,'Planilha de Cadastro - Previsão'!$A$2:$N$1100,5,FALSE()))," ")</f>
        <v xml:space="preserve"> </v>
      </c>
      <c r="K569" s="36"/>
      <c r="L569" s="34" t="str">
        <f t="shared" si="36"/>
        <v/>
      </c>
      <c r="M569" s="35" t="str">
        <f t="shared" si="37"/>
        <v/>
      </c>
      <c r="N569" s="39"/>
      <c r="O569" s="36"/>
    </row>
    <row r="570" spans="1:15" x14ac:dyDescent="0.25">
      <c r="A570">
        <f>COUNTIF($C$2:C570,C570)</f>
        <v>569</v>
      </c>
      <c r="B570" s="1" t="str">
        <f t="shared" si="34"/>
        <v>569</v>
      </c>
      <c r="C570" s="1" t="str">
        <f>IFERROR(VLOOKUP(D570,'Planilha de Cadastro - Previsão'!$A$2:$O$1000,15,FALSE()),"")</f>
        <v/>
      </c>
      <c r="D570" s="1">
        <v>569</v>
      </c>
      <c r="F570" s="32" t="str">
        <f t="shared" si="35"/>
        <v/>
      </c>
      <c r="G570" s="33" t="str">
        <f>IFERROR((VLOOKUP(F570,'Planilha de Cadastro - Previsão'!$A$2:$N$1100,2,FALSE()))," ")</f>
        <v xml:space="preserve"> </v>
      </c>
      <c r="H570" s="32" t="str">
        <f>IFERROR((VLOOKUP(F570,'Planilha de Cadastro - Previsão'!$A$2:$N$1100,3,FALSE()))," ")</f>
        <v xml:space="preserve"> </v>
      </c>
      <c r="I570" s="34" t="str">
        <f>IFERROR((VLOOKUP(F570,'Planilha de Cadastro - Previsão'!$A$2:$N$1100,4,FALSE()))," ")</f>
        <v xml:space="preserve"> </v>
      </c>
      <c r="J570" s="34" t="str">
        <f>IFERROR((VLOOKUP(F570,'Planilha de Cadastro - Previsão'!$A$2:$N$1100,5,FALSE()))," ")</f>
        <v xml:space="preserve"> </v>
      </c>
      <c r="K570" s="36"/>
      <c r="L570" s="34" t="str">
        <f t="shared" si="36"/>
        <v/>
      </c>
      <c r="M570" s="35" t="str">
        <f t="shared" si="37"/>
        <v/>
      </c>
      <c r="N570" s="39"/>
      <c r="O570" s="36"/>
    </row>
    <row r="571" spans="1:15" x14ac:dyDescent="0.25">
      <c r="A571">
        <f>COUNTIF($C$2:C571,C571)</f>
        <v>570</v>
      </c>
      <c r="B571" s="1" t="str">
        <f t="shared" si="34"/>
        <v>570</v>
      </c>
      <c r="C571" s="1" t="str">
        <f>IFERROR(VLOOKUP(D571,'Planilha de Cadastro - Previsão'!$A$2:$O$1000,15,FALSE()),"")</f>
        <v/>
      </c>
      <c r="D571" s="1">
        <v>570</v>
      </c>
      <c r="F571" s="32" t="str">
        <f t="shared" si="35"/>
        <v/>
      </c>
      <c r="G571" s="33" t="str">
        <f>IFERROR((VLOOKUP(F571,'Planilha de Cadastro - Previsão'!$A$2:$N$1100,2,FALSE()))," ")</f>
        <v xml:space="preserve"> </v>
      </c>
      <c r="H571" s="32" t="str">
        <f>IFERROR((VLOOKUP(F571,'Planilha de Cadastro - Previsão'!$A$2:$N$1100,3,FALSE()))," ")</f>
        <v xml:space="preserve"> </v>
      </c>
      <c r="I571" s="34" t="str">
        <f>IFERROR((VLOOKUP(F571,'Planilha de Cadastro - Previsão'!$A$2:$N$1100,4,FALSE()))," ")</f>
        <v xml:space="preserve"> </v>
      </c>
      <c r="J571" s="34" t="str">
        <f>IFERROR((VLOOKUP(F571,'Planilha de Cadastro - Previsão'!$A$2:$N$1100,5,FALSE()))," ")</f>
        <v xml:space="preserve"> </v>
      </c>
      <c r="K571" s="36"/>
      <c r="L571" s="34" t="str">
        <f t="shared" si="36"/>
        <v/>
      </c>
      <c r="M571" s="35" t="str">
        <f t="shared" si="37"/>
        <v/>
      </c>
      <c r="N571" s="39"/>
      <c r="O571" s="36"/>
    </row>
    <row r="572" spans="1:15" x14ac:dyDescent="0.25">
      <c r="A572">
        <f>COUNTIF($C$2:C572,C572)</f>
        <v>571</v>
      </c>
      <c r="B572" s="1" t="str">
        <f t="shared" si="34"/>
        <v>571</v>
      </c>
      <c r="C572" s="1" t="str">
        <f>IFERROR(VLOOKUP(D572,'Planilha de Cadastro - Previsão'!$A$2:$O$1000,15,FALSE()),"")</f>
        <v/>
      </c>
      <c r="D572" s="1">
        <v>571</v>
      </c>
      <c r="F572" s="32" t="str">
        <f t="shared" si="35"/>
        <v/>
      </c>
      <c r="G572" s="33" t="str">
        <f>IFERROR((VLOOKUP(F572,'Planilha de Cadastro - Previsão'!$A$2:$N$1100,2,FALSE()))," ")</f>
        <v xml:space="preserve"> </v>
      </c>
      <c r="H572" s="32" t="str">
        <f>IFERROR((VLOOKUP(F572,'Planilha de Cadastro - Previsão'!$A$2:$N$1100,3,FALSE()))," ")</f>
        <v xml:space="preserve"> </v>
      </c>
      <c r="I572" s="34" t="str">
        <f>IFERROR((VLOOKUP(F572,'Planilha de Cadastro - Previsão'!$A$2:$N$1100,4,FALSE()))," ")</f>
        <v xml:space="preserve"> </v>
      </c>
      <c r="J572" s="34" t="str">
        <f>IFERROR((VLOOKUP(F572,'Planilha de Cadastro - Previsão'!$A$2:$N$1100,5,FALSE()))," ")</f>
        <v xml:space="preserve"> </v>
      </c>
      <c r="K572" s="36"/>
      <c r="L572" s="34" t="str">
        <f t="shared" si="36"/>
        <v/>
      </c>
      <c r="M572" s="35" t="str">
        <f t="shared" si="37"/>
        <v/>
      </c>
      <c r="N572" s="39"/>
      <c r="O572" s="36"/>
    </row>
    <row r="573" spans="1:15" x14ac:dyDescent="0.25">
      <c r="A573">
        <f>COUNTIF($C$2:C573,C573)</f>
        <v>572</v>
      </c>
      <c r="B573" s="1" t="str">
        <f t="shared" si="34"/>
        <v>572</v>
      </c>
      <c r="C573" s="1" t="str">
        <f>IFERROR(VLOOKUP(D573,'Planilha de Cadastro - Previsão'!$A$2:$O$1000,15,FALSE()),"")</f>
        <v/>
      </c>
      <c r="D573" s="1">
        <v>572</v>
      </c>
      <c r="F573" s="32" t="str">
        <f t="shared" si="35"/>
        <v/>
      </c>
      <c r="G573" s="33" t="str">
        <f>IFERROR((VLOOKUP(F573,'Planilha de Cadastro - Previsão'!$A$2:$N$1100,2,FALSE()))," ")</f>
        <v xml:space="preserve"> </v>
      </c>
      <c r="H573" s="32" t="str">
        <f>IFERROR((VLOOKUP(F573,'Planilha de Cadastro - Previsão'!$A$2:$N$1100,3,FALSE()))," ")</f>
        <v xml:space="preserve"> </v>
      </c>
      <c r="I573" s="34" t="str">
        <f>IFERROR((VLOOKUP(F573,'Planilha de Cadastro - Previsão'!$A$2:$N$1100,4,FALSE()))," ")</f>
        <v xml:space="preserve"> </v>
      </c>
      <c r="J573" s="34" t="str">
        <f>IFERROR((VLOOKUP(F573,'Planilha de Cadastro - Previsão'!$A$2:$N$1100,5,FALSE()))," ")</f>
        <v xml:space="preserve"> </v>
      </c>
      <c r="K573" s="36"/>
      <c r="L573" s="34" t="str">
        <f t="shared" si="36"/>
        <v/>
      </c>
      <c r="M573" s="35" t="str">
        <f t="shared" si="37"/>
        <v/>
      </c>
      <c r="N573" s="39"/>
      <c r="O573" s="36"/>
    </row>
    <row r="574" spans="1:15" x14ac:dyDescent="0.25">
      <c r="A574">
        <f>COUNTIF($C$2:C574,C574)</f>
        <v>573</v>
      </c>
      <c r="B574" s="1" t="str">
        <f t="shared" si="34"/>
        <v>573</v>
      </c>
      <c r="C574" s="1" t="str">
        <f>IFERROR(VLOOKUP(D574,'Planilha de Cadastro - Previsão'!$A$2:$O$1000,15,FALSE()),"")</f>
        <v/>
      </c>
      <c r="D574" s="1">
        <v>573</v>
      </c>
      <c r="F574" s="32" t="str">
        <f t="shared" si="35"/>
        <v/>
      </c>
      <c r="G574" s="33" t="str">
        <f>IFERROR((VLOOKUP(F574,'Planilha de Cadastro - Previsão'!$A$2:$N$1100,2,FALSE()))," ")</f>
        <v xml:space="preserve"> </v>
      </c>
      <c r="H574" s="32" t="str">
        <f>IFERROR((VLOOKUP(F574,'Planilha de Cadastro - Previsão'!$A$2:$N$1100,3,FALSE()))," ")</f>
        <v xml:space="preserve"> </v>
      </c>
      <c r="I574" s="34" t="str">
        <f>IFERROR((VLOOKUP(F574,'Planilha de Cadastro - Previsão'!$A$2:$N$1100,4,FALSE()))," ")</f>
        <v xml:space="preserve"> </v>
      </c>
      <c r="J574" s="34" t="str">
        <f>IFERROR((VLOOKUP(F574,'Planilha de Cadastro - Previsão'!$A$2:$N$1100,5,FALSE()))," ")</f>
        <v xml:space="preserve"> </v>
      </c>
      <c r="K574" s="36"/>
      <c r="L574" s="34" t="str">
        <f t="shared" si="36"/>
        <v/>
      </c>
      <c r="M574" s="35" t="str">
        <f t="shared" si="37"/>
        <v/>
      </c>
      <c r="N574" s="39"/>
      <c r="O574" s="36"/>
    </row>
    <row r="575" spans="1:15" x14ac:dyDescent="0.25">
      <c r="A575">
        <f>COUNTIF($C$2:C575,C575)</f>
        <v>574</v>
      </c>
      <c r="B575" s="1" t="str">
        <f t="shared" si="34"/>
        <v>574</v>
      </c>
      <c r="C575" s="1" t="str">
        <f>IFERROR(VLOOKUP(D575,'Planilha de Cadastro - Previsão'!$A$2:$O$1000,15,FALSE()),"")</f>
        <v/>
      </c>
      <c r="D575" s="1">
        <v>574</v>
      </c>
      <c r="F575" s="32" t="str">
        <f t="shared" si="35"/>
        <v/>
      </c>
      <c r="G575" s="33" t="str">
        <f>IFERROR((VLOOKUP(F575,'Planilha de Cadastro - Previsão'!$A$2:$N$1100,2,FALSE()))," ")</f>
        <v xml:space="preserve"> </v>
      </c>
      <c r="H575" s="32" t="str">
        <f>IFERROR((VLOOKUP(F575,'Planilha de Cadastro - Previsão'!$A$2:$N$1100,3,FALSE()))," ")</f>
        <v xml:space="preserve"> </v>
      </c>
      <c r="I575" s="34" t="str">
        <f>IFERROR((VLOOKUP(F575,'Planilha de Cadastro - Previsão'!$A$2:$N$1100,4,FALSE()))," ")</f>
        <v xml:space="preserve"> </v>
      </c>
      <c r="J575" s="34" t="str">
        <f>IFERROR((VLOOKUP(F575,'Planilha de Cadastro - Previsão'!$A$2:$N$1100,5,FALSE()))," ")</f>
        <v xml:space="preserve"> </v>
      </c>
      <c r="K575" s="36"/>
      <c r="L575" s="34" t="str">
        <f t="shared" si="36"/>
        <v/>
      </c>
      <c r="M575" s="35" t="str">
        <f t="shared" si="37"/>
        <v/>
      </c>
      <c r="N575" s="39"/>
      <c r="O575" s="36"/>
    </row>
    <row r="576" spans="1:15" x14ac:dyDescent="0.25">
      <c r="A576">
        <f>COUNTIF($C$2:C576,C576)</f>
        <v>575</v>
      </c>
      <c r="B576" s="1" t="str">
        <f t="shared" si="34"/>
        <v>575</v>
      </c>
      <c r="C576" s="1" t="str">
        <f>IFERROR(VLOOKUP(D576,'Planilha de Cadastro - Previsão'!$A$2:$O$1000,15,FALSE()),"")</f>
        <v/>
      </c>
      <c r="D576" s="1">
        <v>575</v>
      </c>
      <c r="F576" s="32" t="str">
        <f t="shared" si="35"/>
        <v/>
      </c>
      <c r="G576" s="33" t="str">
        <f>IFERROR((VLOOKUP(F576,'Planilha de Cadastro - Previsão'!$A$2:$N$1100,2,FALSE()))," ")</f>
        <v xml:space="preserve"> </v>
      </c>
      <c r="H576" s="32" t="str">
        <f>IFERROR((VLOOKUP(F576,'Planilha de Cadastro - Previsão'!$A$2:$N$1100,3,FALSE()))," ")</f>
        <v xml:space="preserve"> </v>
      </c>
      <c r="I576" s="34" t="str">
        <f>IFERROR((VLOOKUP(F576,'Planilha de Cadastro - Previsão'!$A$2:$N$1100,4,FALSE()))," ")</f>
        <v xml:space="preserve"> </v>
      </c>
      <c r="J576" s="34" t="str">
        <f>IFERROR((VLOOKUP(F576,'Planilha de Cadastro - Previsão'!$A$2:$N$1100,5,FALSE()))," ")</f>
        <v xml:space="preserve"> </v>
      </c>
      <c r="K576" s="36"/>
      <c r="L576" s="34" t="str">
        <f t="shared" si="36"/>
        <v/>
      </c>
      <c r="M576" s="35" t="str">
        <f t="shared" si="37"/>
        <v/>
      </c>
      <c r="N576" s="39"/>
      <c r="O576" s="36"/>
    </row>
    <row r="577" spans="1:15" x14ac:dyDescent="0.25">
      <c r="A577">
        <f>COUNTIF($C$2:C577,C577)</f>
        <v>576</v>
      </c>
      <c r="B577" s="1" t="str">
        <f t="shared" si="34"/>
        <v>576</v>
      </c>
      <c r="C577" s="1" t="str">
        <f>IFERROR(VLOOKUP(D577,'Planilha de Cadastro - Previsão'!$A$2:$O$1000,15,FALSE()),"")</f>
        <v/>
      </c>
      <c r="D577" s="1">
        <v>576</v>
      </c>
      <c r="F577" s="32" t="str">
        <f t="shared" si="35"/>
        <v/>
      </c>
      <c r="G577" s="33" t="str">
        <f>IFERROR((VLOOKUP(F577,'Planilha de Cadastro - Previsão'!$A$2:$N$1100,2,FALSE()))," ")</f>
        <v xml:space="preserve"> </v>
      </c>
      <c r="H577" s="32" t="str">
        <f>IFERROR((VLOOKUP(F577,'Planilha de Cadastro - Previsão'!$A$2:$N$1100,3,FALSE()))," ")</f>
        <v xml:space="preserve"> </v>
      </c>
      <c r="I577" s="34" t="str">
        <f>IFERROR((VLOOKUP(F577,'Planilha de Cadastro - Previsão'!$A$2:$N$1100,4,FALSE()))," ")</f>
        <v xml:space="preserve"> </v>
      </c>
      <c r="J577" s="34" t="str">
        <f>IFERROR((VLOOKUP(F577,'Planilha de Cadastro - Previsão'!$A$2:$N$1100,5,FALSE()))," ")</f>
        <v xml:space="preserve"> </v>
      </c>
      <c r="K577" s="36"/>
      <c r="L577" s="34" t="str">
        <f t="shared" si="36"/>
        <v/>
      </c>
      <c r="M577" s="35" t="str">
        <f t="shared" si="37"/>
        <v/>
      </c>
      <c r="N577" s="39"/>
      <c r="O577" s="36"/>
    </row>
    <row r="578" spans="1:15" x14ac:dyDescent="0.25">
      <c r="A578">
        <f>COUNTIF($C$2:C578,C578)</f>
        <v>577</v>
      </c>
      <c r="B578" s="1" t="str">
        <f t="shared" si="34"/>
        <v>577</v>
      </c>
      <c r="C578" s="1" t="str">
        <f>IFERROR(VLOOKUP(D578,'Planilha de Cadastro - Previsão'!$A$2:$O$1000,15,FALSE()),"")</f>
        <v/>
      </c>
      <c r="D578" s="1">
        <v>577</v>
      </c>
      <c r="F578" s="32" t="str">
        <f t="shared" si="35"/>
        <v/>
      </c>
      <c r="G578" s="33" t="str">
        <f>IFERROR((VLOOKUP(F578,'Planilha de Cadastro - Previsão'!$A$2:$N$1100,2,FALSE()))," ")</f>
        <v xml:space="preserve"> </v>
      </c>
      <c r="H578" s="32" t="str">
        <f>IFERROR((VLOOKUP(F578,'Planilha de Cadastro - Previsão'!$A$2:$N$1100,3,FALSE()))," ")</f>
        <v xml:space="preserve"> </v>
      </c>
      <c r="I578" s="34" t="str">
        <f>IFERROR((VLOOKUP(F578,'Planilha de Cadastro - Previsão'!$A$2:$N$1100,4,FALSE()))," ")</f>
        <v xml:space="preserve"> </v>
      </c>
      <c r="J578" s="34" t="str">
        <f>IFERROR((VLOOKUP(F578,'Planilha de Cadastro - Previsão'!$A$2:$N$1100,5,FALSE()))," ")</f>
        <v xml:space="preserve"> </v>
      </c>
      <c r="K578" s="36"/>
      <c r="L578" s="34" t="str">
        <f t="shared" si="36"/>
        <v/>
      </c>
      <c r="M578" s="35" t="str">
        <f t="shared" si="37"/>
        <v/>
      </c>
      <c r="N578" s="39"/>
      <c r="O578" s="36"/>
    </row>
    <row r="579" spans="1:15" x14ac:dyDescent="0.25">
      <c r="A579">
        <f>COUNTIF($C$2:C579,C579)</f>
        <v>578</v>
      </c>
      <c r="B579" s="1" t="str">
        <f t="shared" ref="B579:B642" si="38">IFERROR(CONCATENATE(C579,A579),"")</f>
        <v>578</v>
      </c>
      <c r="C579" s="1" t="str">
        <f>IFERROR(VLOOKUP(D579,'Planilha de Cadastro - Previsão'!$A$2:$O$1000,15,FALSE()),"")</f>
        <v/>
      </c>
      <c r="D579" s="1">
        <v>578</v>
      </c>
      <c r="F579" s="32" t="str">
        <f t="shared" ref="F579:F642" si="39">IFERROR((VLOOKUP(CONCATENATE("Sim",D579),$B$2:$D$1000,3,FALSE())),"")</f>
        <v/>
      </c>
      <c r="G579" s="33" t="str">
        <f>IFERROR((VLOOKUP(F579,'Planilha de Cadastro - Previsão'!$A$2:$N$1100,2,FALSE()))," ")</f>
        <v xml:space="preserve"> </v>
      </c>
      <c r="H579" s="32" t="str">
        <f>IFERROR((VLOOKUP(F579,'Planilha de Cadastro - Previsão'!$A$2:$N$1100,3,FALSE()))," ")</f>
        <v xml:space="preserve"> </v>
      </c>
      <c r="I579" s="34" t="str">
        <f>IFERROR((VLOOKUP(F579,'Planilha de Cadastro - Previsão'!$A$2:$N$1100,4,FALSE()))," ")</f>
        <v xml:space="preserve"> </v>
      </c>
      <c r="J579" s="34" t="str">
        <f>IFERROR((VLOOKUP(F579,'Planilha de Cadastro - Previsão'!$A$2:$N$1100,5,FALSE()))," ")</f>
        <v xml:space="preserve"> </v>
      </c>
      <c r="K579" s="36"/>
      <c r="L579" s="34" t="str">
        <f t="shared" ref="L579:L642" si="40">IF(K579&gt;0,(K579*H579)-(I579*H579)-(K579*H579*4%),"")</f>
        <v/>
      </c>
      <c r="M579" s="35" t="str">
        <f t="shared" ref="M579:M642" si="41">IFERROR(L579/(K579*H579),"")</f>
        <v/>
      </c>
      <c r="N579" s="39"/>
      <c r="O579" s="36"/>
    </row>
    <row r="580" spans="1:15" x14ac:dyDescent="0.25">
      <c r="A580">
        <f>COUNTIF($C$2:C580,C580)</f>
        <v>579</v>
      </c>
      <c r="B580" s="1" t="str">
        <f t="shared" si="38"/>
        <v>579</v>
      </c>
      <c r="C580" s="1" t="str">
        <f>IFERROR(VLOOKUP(D580,'Planilha de Cadastro - Previsão'!$A$2:$O$1000,15,FALSE()),"")</f>
        <v/>
      </c>
      <c r="D580" s="1">
        <v>579</v>
      </c>
      <c r="F580" s="32" t="str">
        <f t="shared" si="39"/>
        <v/>
      </c>
      <c r="G580" s="33" t="str">
        <f>IFERROR((VLOOKUP(F580,'Planilha de Cadastro - Previsão'!$A$2:$N$1100,2,FALSE()))," ")</f>
        <v xml:space="preserve"> </v>
      </c>
      <c r="H580" s="32" t="str">
        <f>IFERROR((VLOOKUP(F580,'Planilha de Cadastro - Previsão'!$A$2:$N$1100,3,FALSE()))," ")</f>
        <v xml:space="preserve"> </v>
      </c>
      <c r="I580" s="34" t="str">
        <f>IFERROR((VLOOKUP(F580,'Planilha de Cadastro - Previsão'!$A$2:$N$1100,4,FALSE()))," ")</f>
        <v xml:space="preserve"> </v>
      </c>
      <c r="J580" s="34" t="str">
        <f>IFERROR((VLOOKUP(F580,'Planilha de Cadastro - Previsão'!$A$2:$N$1100,5,FALSE()))," ")</f>
        <v xml:space="preserve"> </v>
      </c>
      <c r="K580" s="36"/>
      <c r="L580" s="34" t="str">
        <f t="shared" si="40"/>
        <v/>
      </c>
      <c r="M580" s="35" t="str">
        <f t="shared" si="41"/>
        <v/>
      </c>
      <c r="N580" s="39"/>
      <c r="O580" s="36"/>
    </row>
    <row r="581" spans="1:15" x14ac:dyDescent="0.25">
      <c r="A581">
        <f>COUNTIF($C$2:C581,C581)</f>
        <v>580</v>
      </c>
      <c r="B581" s="1" t="str">
        <f t="shared" si="38"/>
        <v>580</v>
      </c>
      <c r="C581" s="1" t="str">
        <f>IFERROR(VLOOKUP(D581,'Planilha de Cadastro - Previsão'!$A$2:$O$1000,15,FALSE()),"")</f>
        <v/>
      </c>
      <c r="D581" s="1">
        <v>580</v>
      </c>
      <c r="F581" s="32" t="str">
        <f t="shared" si="39"/>
        <v/>
      </c>
      <c r="G581" s="33" t="str">
        <f>IFERROR((VLOOKUP(F581,'Planilha de Cadastro - Previsão'!$A$2:$N$1100,2,FALSE()))," ")</f>
        <v xml:space="preserve"> </v>
      </c>
      <c r="H581" s="32" t="str">
        <f>IFERROR((VLOOKUP(F581,'Planilha de Cadastro - Previsão'!$A$2:$N$1100,3,FALSE()))," ")</f>
        <v xml:space="preserve"> </v>
      </c>
      <c r="I581" s="34" t="str">
        <f>IFERROR((VLOOKUP(F581,'Planilha de Cadastro - Previsão'!$A$2:$N$1100,4,FALSE()))," ")</f>
        <v xml:space="preserve"> </v>
      </c>
      <c r="J581" s="34" t="str">
        <f>IFERROR((VLOOKUP(F581,'Planilha de Cadastro - Previsão'!$A$2:$N$1100,5,FALSE()))," ")</f>
        <v xml:space="preserve"> </v>
      </c>
      <c r="K581" s="36"/>
      <c r="L581" s="34" t="str">
        <f t="shared" si="40"/>
        <v/>
      </c>
      <c r="M581" s="35" t="str">
        <f t="shared" si="41"/>
        <v/>
      </c>
      <c r="N581" s="39"/>
      <c r="O581" s="36"/>
    </row>
    <row r="582" spans="1:15" x14ac:dyDescent="0.25">
      <c r="A582">
        <f>COUNTIF($C$2:C582,C582)</f>
        <v>581</v>
      </c>
      <c r="B582" s="1" t="str">
        <f t="shared" si="38"/>
        <v>581</v>
      </c>
      <c r="C582" s="1" t="str">
        <f>IFERROR(VLOOKUP(D582,'Planilha de Cadastro - Previsão'!$A$2:$O$1000,15,FALSE()),"")</f>
        <v/>
      </c>
      <c r="D582" s="1">
        <v>581</v>
      </c>
      <c r="F582" s="32" t="str">
        <f t="shared" si="39"/>
        <v/>
      </c>
      <c r="G582" s="33" t="str">
        <f>IFERROR((VLOOKUP(F582,'Planilha de Cadastro - Previsão'!$A$2:$N$1100,2,FALSE()))," ")</f>
        <v xml:space="preserve"> </v>
      </c>
      <c r="H582" s="32" t="str">
        <f>IFERROR((VLOOKUP(F582,'Planilha de Cadastro - Previsão'!$A$2:$N$1100,3,FALSE()))," ")</f>
        <v xml:space="preserve"> </v>
      </c>
      <c r="I582" s="34" t="str">
        <f>IFERROR((VLOOKUP(F582,'Planilha de Cadastro - Previsão'!$A$2:$N$1100,4,FALSE()))," ")</f>
        <v xml:space="preserve"> </v>
      </c>
      <c r="J582" s="34" t="str">
        <f>IFERROR((VLOOKUP(F582,'Planilha de Cadastro - Previsão'!$A$2:$N$1100,5,FALSE()))," ")</f>
        <v xml:space="preserve"> </v>
      </c>
      <c r="K582" s="36"/>
      <c r="L582" s="34" t="str">
        <f t="shared" si="40"/>
        <v/>
      </c>
      <c r="M582" s="35" t="str">
        <f t="shared" si="41"/>
        <v/>
      </c>
      <c r="N582" s="39"/>
      <c r="O582" s="36"/>
    </row>
    <row r="583" spans="1:15" x14ac:dyDescent="0.25">
      <c r="A583">
        <f>COUNTIF($C$2:C583,C583)</f>
        <v>582</v>
      </c>
      <c r="B583" s="1" t="str">
        <f t="shared" si="38"/>
        <v>582</v>
      </c>
      <c r="C583" s="1" t="str">
        <f>IFERROR(VLOOKUP(D583,'Planilha de Cadastro - Previsão'!$A$2:$O$1000,15,FALSE()),"")</f>
        <v/>
      </c>
      <c r="D583" s="1">
        <v>582</v>
      </c>
      <c r="F583" s="32" t="str">
        <f t="shared" si="39"/>
        <v/>
      </c>
      <c r="G583" s="33" t="str">
        <f>IFERROR((VLOOKUP(F583,'Planilha de Cadastro - Previsão'!$A$2:$N$1100,2,FALSE()))," ")</f>
        <v xml:space="preserve"> </v>
      </c>
      <c r="H583" s="32" t="str">
        <f>IFERROR((VLOOKUP(F583,'Planilha de Cadastro - Previsão'!$A$2:$N$1100,3,FALSE()))," ")</f>
        <v xml:space="preserve"> </v>
      </c>
      <c r="I583" s="34" t="str">
        <f>IFERROR((VLOOKUP(F583,'Planilha de Cadastro - Previsão'!$A$2:$N$1100,4,FALSE()))," ")</f>
        <v xml:space="preserve"> </v>
      </c>
      <c r="J583" s="34" t="str">
        <f>IFERROR((VLOOKUP(F583,'Planilha de Cadastro - Previsão'!$A$2:$N$1100,5,FALSE()))," ")</f>
        <v xml:space="preserve"> </v>
      </c>
      <c r="K583" s="36"/>
      <c r="L583" s="34" t="str">
        <f t="shared" si="40"/>
        <v/>
      </c>
      <c r="M583" s="35" t="str">
        <f t="shared" si="41"/>
        <v/>
      </c>
      <c r="N583" s="39"/>
      <c r="O583" s="36"/>
    </row>
    <row r="584" spans="1:15" x14ac:dyDescent="0.25">
      <c r="A584">
        <f>COUNTIF($C$2:C584,C584)</f>
        <v>583</v>
      </c>
      <c r="B584" s="1" t="str">
        <f t="shared" si="38"/>
        <v>583</v>
      </c>
      <c r="C584" s="1" t="str">
        <f>IFERROR(VLOOKUP(D584,'Planilha de Cadastro - Previsão'!$A$2:$O$1000,15,FALSE()),"")</f>
        <v/>
      </c>
      <c r="D584" s="1">
        <v>583</v>
      </c>
      <c r="F584" s="32" t="str">
        <f t="shared" si="39"/>
        <v/>
      </c>
      <c r="G584" s="33" t="str">
        <f>IFERROR((VLOOKUP(F584,'Planilha de Cadastro - Previsão'!$A$2:$N$1100,2,FALSE()))," ")</f>
        <v xml:space="preserve"> </v>
      </c>
      <c r="H584" s="32" t="str">
        <f>IFERROR((VLOOKUP(F584,'Planilha de Cadastro - Previsão'!$A$2:$N$1100,3,FALSE()))," ")</f>
        <v xml:space="preserve"> </v>
      </c>
      <c r="I584" s="34" t="str">
        <f>IFERROR((VLOOKUP(F584,'Planilha de Cadastro - Previsão'!$A$2:$N$1100,4,FALSE()))," ")</f>
        <v xml:space="preserve"> </v>
      </c>
      <c r="J584" s="34" t="str">
        <f>IFERROR((VLOOKUP(F584,'Planilha de Cadastro - Previsão'!$A$2:$N$1100,5,FALSE()))," ")</f>
        <v xml:space="preserve"> </v>
      </c>
      <c r="K584" s="36"/>
      <c r="L584" s="34" t="str">
        <f t="shared" si="40"/>
        <v/>
      </c>
      <c r="M584" s="35" t="str">
        <f t="shared" si="41"/>
        <v/>
      </c>
      <c r="N584" s="39"/>
      <c r="O584" s="36"/>
    </row>
    <row r="585" spans="1:15" x14ac:dyDescent="0.25">
      <c r="A585">
        <f>COUNTIF($C$2:C585,C585)</f>
        <v>584</v>
      </c>
      <c r="B585" s="1" t="str">
        <f t="shared" si="38"/>
        <v>584</v>
      </c>
      <c r="C585" s="1" t="str">
        <f>IFERROR(VLOOKUP(D585,'Planilha de Cadastro - Previsão'!$A$2:$O$1000,15,FALSE()),"")</f>
        <v/>
      </c>
      <c r="D585" s="1">
        <v>584</v>
      </c>
      <c r="F585" s="32" t="str">
        <f t="shared" si="39"/>
        <v/>
      </c>
      <c r="G585" s="33" t="str">
        <f>IFERROR((VLOOKUP(F585,'Planilha de Cadastro - Previsão'!$A$2:$N$1100,2,FALSE()))," ")</f>
        <v xml:space="preserve"> </v>
      </c>
      <c r="H585" s="32" t="str">
        <f>IFERROR((VLOOKUP(F585,'Planilha de Cadastro - Previsão'!$A$2:$N$1100,3,FALSE()))," ")</f>
        <v xml:space="preserve"> </v>
      </c>
      <c r="I585" s="34" t="str">
        <f>IFERROR((VLOOKUP(F585,'Planilha de Cadastro - Previsão'!$A$2:$N$1100,4,FALSE()))," ")</f>
        <v xml:space="preserve"> </v>
      </c>
      <c r="J585" s="34" t="str">
        <f>IFERROR((VLOOKUP(F585,'Planilha de Cadastro - Previsão'!$A$2:$N$1100,5,FALSE()))," ")</f>
        <v xml:space="preserve"> </v>
      </c>
      <c r="K585" s="36"/>
      <c r="L585" s="34" t="str">
        <f t="shared" si="40"/>
        <v/>
      </c>
      <c r="M585" s="35" t="str">
        <f t="shared" si="41"/>
        <v/>
      </c>
      <c r="N585" s="39"/>
      <c r="O585" s="36"/>
    </row>
    <row r="586" spans="1:15" x14ac:dyDescent="0.25">
      <c r="A586">
        <f>COUNTIF($C$2:C586,C586)</f>
        <v>585</v>
      </c>
      <c r="B586" s="1" t="str">
        <f t="shared" si="38"/>
        <v>585</v>
      </c>
      <c r="C586" s="1" t="str">
        <f>IFERROR(VLOOKUP(D586,'Planilha de Cadastro - Previsão'!$A$2:$O$1000,15,FALSE()),"")</f>
        <v/>
      </c>
      <c r="D586" s="1">
        <v>585</v>
      </c>
      <c r="F586" s="32" t="str">
        <f t="shared" si="39"/>
        <v/>
      </c>
      <c r="G586" s="33" t="str">
        <f>IFERROR((VLOOKUP(F586,'Planilha de Cadastro - Previsão'!$A$2:$N$1100,2,FALSE()))," ")</f>
        <v xml:space="preserve"> </v>
      </c>
      <c r="H586" s="32" t="str">
        <f>IFERROR((VLOOKUP(F586,'Planilha de Cadastro - Previsão'!$A$2:$N$1100,3,FALSE()))," ")</f>
        <v xml:space="preserve"> </v>
      </c>
      <c r="I586" s="34" t="str">
        <f>IFERROR((VLOOKUP(F586,'Planilha de Cadastro - Previsão'!$A$2:$N$1100,4,FALSE()))," ")</f>
        <v xml:space="preserve"> </v>
      </c>
      <c r="J586" s="34" t="str">
        <f>IFERROR((VLOOKUP(F586,'Planilha de Cadastro - Previsão'!$A$2:$N$1100,5,FALSE()))," ")</f>
        <v xml:space="preserve"> </v>
      </c>
      <c r="K586" s="36"/>
      <c r="L586" s="34" t="str">
        <f t="shared" si="40"/>
        <v/>
      </c>
      <c r="M586" s="35" t="str">
        <f t="shared" si="41"/>
        <v/>
      </c>
      <c r="N586" s="39"/>
      <c r="O586" s="36"/>
    </row>
    <row r="587" spans="1:15" x14ac:dyDescent="0.25">
      <c r="A587">
        <f>COUNTIF($C$2:C587,C587)</f>
        <v>586</v>
      </c>
      <c r="B587" s="1" t="str">
        <f t="shared" si="38"/>
        <v>586</v>
      </c>
      <c r="C587" s="1" t="str">
        <f>IFERROR(VLOOKUP(D587,'Planilha de Cadastro - Previsão'!$A$2:$O$1000,15,FALSE()),"")</f>
        <v/>
      </c>
      <c r="D587" s="1">
        <v>586</v>
      </c>
      <c r="F587" s="32" t="str">
        <f t="shared" si="39"/>
        <v/>
      </c>
      <c r="G587" s="33" t="str">
        <f>IFERROR((VLOOKUP(F587,'Planilha de Cadastro - Previsão'!$A$2:$N$1100,2,FALSE()))," ")</f>
        <v xml:space="preserve"> </v>
      </c>
      <c r="H587" s="32" t="str">
        <f>IFERROR((VLOOKUP(F587,'Planilha de Cadastro - Previsão'!$A$2:$N$1100,3,FALSE()))," ")</f>
        <v xml:space="preserve"> </v>
      </c>
      <c r="I587" s="34" t="str">
        <f>IFERROR((VLOOKUP(F587,'Planilha de Cadastro - Previsão'!$A$2:$N$1100,4,FALSE()))," ")</f>
        <v xml:space="preserve"> </v>
      </c>
      <c r="J587" s="34" t="str">
        <f>IFERROR((VLOOKUP(F587,'Planilha de Cadastro - Previsão'!$A$2:$N$1100,5,FALSE()))," ")</f>
        <v xml:space="preserve"> </v>
      </c>
      <c r="K587" s="36"/>
      <c r="L587" s="34" t="str">
        <f t="shared" si="40"/>
        <v/>
      </c>
      <c r="M587" s="35" t="str">
        <f t="shared" si="41"/>
        <v/>
      </c>
      <c r="N587" s="39"/>
      <c r="O587" s="36"/>
    </row>
    <row r="588" spans="1:15" x14ac:dyDescent="0.25">
      <c r="A588">
        <f>COUNTIF($C$2:C588,C588)</f>
        <v>587</v>
      </c>
      <c r="B588" s="1" t="str">
        <f t="shared" si="38"/>
        <v>587</v>
      </c>
      <c r="C588" s="1" t="str">
        <f>IFERROR(VLOOKUP(D588,'Planilha de Cadastro - Previsão'!$A$2:$O$1000,15,FALSE()),"")</f>
        <v/>
      </c>
      <c r="D588" s="1">
        <v>587</v>
      </c>
      <c r="F588" s="32" t="str">
        <f t="shared" si="39"/>
        <v/>
      </c>
      <c r="G588" s="33" t="str">
        <f>IFERROR((VLOOKUP(F588,'Planilha de Cadastro - Previsão'!$A$2:$N$1100,2,FALSE()))," ")</f>
        <v xml:space="preserve"> </v>
      </c>
      <c r="H588" s="32" t="str">
        <f>IFERROR((VLOOKUP(F588,'Planilha de Cadastro - Previsão'!$A$2:$N$1100,3,FALSE()))," ")</f>
        <v xml:space="preserve"> </v>
      </c>
      <c r="I588" s="34" t="str">
        <f>IFERROR((VLOOKUP(F588,'Planilha de Cadastro - Previsão'!$A$2:$N$1100,4,FALSE()))," ")</f>
        <v xml:space="preserve"> </v>
      </c>
      <c r="J588" s="34" t="str">
        <f>IFERROR((VLOOKUP(F588,'Planilha de Cadastro - Previsão'!$A$2:$N$1100,5,FALSE()))," ")</f>
        <v xml:space="preserve"> </v>
      </c>
      <c r="K588" s="36"/>
      <c r="L588" s="34" t="str">
        <f t="shared" si="40"/>
        <v/>
      </c>
      <c r="M588" s="35" t="str">
        <f t="shared" si="41"/>
        <v/>
      </c>
      <c r="N588" s="39"/>
      <c r="O588" s="36"/>
    </row>
    <row r="589" spans="1:15" x14ac:dyDescent="0.25">
      <c r="A589">
        <f>COUNTIF($C$2:C589,C589)</f>
        <v>588</v>
      </c>
      <c r="B589" s="1" t="str">
        <f t="shared" si="38"/>
        <v>588</v>
      </c>
      <c r="C589" s="1" t="str">
        <f>IFERROR(VLOOKUP(D589,'Planilha de Cadastro - Previsão'!$A$2:$O$1000,15,FALSE()),"")</f>
        <v/>
      </c>
      <c r="D589" s="1">
        <v>588</v>
      </c>
      <c r="F589" s="32" t="str">
        <f t="shared" si="39"/>
        <v/>
      </c>
      <c r="G589" s="33" t="str">
        <f>IFERROR((VLOOKUP(F589,'Planilha de Cadastro - Previsão'!$A$2:$N$1100,2,FALSE()))," ")</f>
        <v xml:space="preserve"> </v>
      </c>
      <c r="H589" s="32" t="str">
        <f>IFERROR((VLOOKUP(F589,'Planilha de Cadastro - Previsão'!$A$2:$N$1100,3,FALSE()))," ")</f>
        <v xml:space="preserve"> </v>
      </c>
      <c r="I589" s="34" t="str">
        <f>IFERROR((VLOOKUP(F589,'Planilha de Cadastro - Previsão'!$A$2:$N$1100,4,FALSE()))," ")</f>
        <v xml:space="preserve"> </v>
      </c>
      <c r="J589" s="34" t="str">
        <f>IFERROR((VLOOKUP(F589,'Planilha de Cadastro - Previsão'!$A$2:$N$1100,5,FALSE()))," ")</f>
        <v xml:space="preserve"> </v>
      </c>
      <c r="K589" s="36"/>
      <c r="L589" s="34" t="str">
        <f t="shared" si="40"/>
        <v/>
      </c>
      <c r="M589" s="35" t="str">
        <f t="shared" si="41"/>
        <v/>
      </c>
      <c r="N589" s="39"/>
      <c r="O589" s="36"/>
    </row>
    <row r="590" spans="1:15" x14ac:dyDescent="0.25">
      <c r="A590">
        <f>COUNTIF($C$2:C590,C590)</f>
        <v>589</v>
      </c>
      <c r="B590" s="1" t="str">
        <f t="shared" si="38"/>
        <v>589</v>
      </c>
      <c r="C590" s="1" t="str">
        <f>IFERROR(VLOOKUP(D590,'Planilha de Cadastro - Previsão'!$A$2:$O$1000,15,FALSE()),"")</f>
        <v/>
      </c>
      <c r="D590" s="1">
        <v>589</v>
      </c>
      <c r="F590" s="32" t="str">
        <f t="shared" si="39"/>
        <v/>
      </c>
      <c r="G590" s="33" t="str">
        <f>IFERROR((VLOOKUP(F590,'Planilha de Cadastro - Previsão'!$A$2:$N$1100,2,FALSE()))," ")</f>
        <v xml:space="preserve"> </v>
      </c>
      <c r="H590" s="32" t="str">
        <f>IFERROR((VLOOKUP(F590,'Planilha de Cadastro - Previsão'!$A$2:$N$1100,3,FALSE()))," ")</f>
        <v xml:space="preserve"> </v>
      </c>
      <c r="I590" s="34" t="str">
        <f>IFERROR((VLOOKUP(F590,'Planilha de Cadastro - Previsão'!$A$2:$N$1100,4,FALSE()))," ")</f>
        <v xml:space="preserve"> </v>
      </c>
      <c r="J590" s="34" t="str">
        <f>IFERROR((VLOOKUP(F590,'Planilha de Cadastro - Previsão'!$A$2:$N$1100,5,FALSE()))," ")</f>
        <v xml:space="preserve"> </v>
      </c>
      <c r="K590" s="36"/>
      <c r="L590" s="34" t="str">
        <f t="shared" si="40"/>
        <v/>
      </c>
      <c r="M590" s="35" t="str">
        <f t="shared" si="41"/>
        <v/>
      </c>
      <c r="N590" s="39"/>
      <c r="O590" s="36"/>
    </row>
    <row r="591" spans="1:15" x14ac:dyDescent="0.25">
      <c r="A591">
        <f>COUNTIF($C$2:C591,C591)</f>
        <v>590</v>
      </c>
      <c r="B591" s="1" t="str">
        <f t="shared" si="38"/>
        <v>590</v>
      </c>
      <c r="C591" s="1" t="str">
        <f>IFERROR(VLOOKUP(D591,'Planilha de Cadastro - Previsão'!$A$2:$O$1000,15,FALSE()),"")</f>
        <v/>
      </c>
      <c r="D591" s="1">
        <v>590</v>
      </c>
      <c r="F591" s="32" t="str">
        <f t="shared" si="39"/>
        <v/>
      </c>
      <c r="G591" s="33" t="str">
        <f>IFERROR((VLOOKUP(F591,'Planilha de Cadastro - Previsão'!$A$2:$N$1100,2,FALSE()))," ")</f>
        <v xml:space="preserve"> </v>
      </c>
      <c r="H591" s="32" t="str">
        <f>IFERROR((VLOOKUP(F591,'Planilha de Cadastro - Previsão'!$A$2:$N$1100,3,FALSE()))," ")</f>
        <v xml:space="preserve"> </v>
      </c>
      <c r="I591" s="34" t="str">
        <f>IFERROR((VLOOKUP(F591,'Planilha de Cadastro - Previsão'!$A$2:$N$1100,4,FALSE()))," ")</f>
        <v xml:space="preserve"> </v>
      </c>
      <c r="J591" s="34" t="str">
        <f>IFERROR((VLOOKUP(F591,'Planilha de Cadastro - Previsão'!$A$2:$N$1100,5,FALSE()))," ")</f>
        <v xml:space="preserve"> </v>
      </c>
      <c r="K591" s="36"/>
      <c r="L591" s="34" t="str">
        <f t="shared" si="40"/>
        <v/>
      </c>
      <c r="M591" s="35" t="str">
        <f t="shared" si="41"/>
        <v/>
      </c>
      <c r="N591" s="39"/>
      <c r="O591" s="36"/>
    </row>
    <row r="592" spans="1:15" x14ac:dyDescent="0.25">
      <c r="A592">
        <f>COUNTIF($C$2:C592,C592)</f>
        <v>591</v>
      </c>
      <c r="B592" s="1" t="str">
        <f t="shared" si="38"/>
        <v>591</v>
      </c>
      <c r="C592" s="1" t="str">
        <f>IFERROR(VLOOKUP(D592,'Planilha de Cadastro - Previsão'!$A$2:$O$1000,15,FALSE()),"")</f>
        <v/>
      </c>
      <c r="D592" s="1">
        <v>591</v>
      </c>
      <c r="F592" s="32" t="str">
        <f t="shared" si="39"/>
        <v/>
      </c>
      <c r="G592" s="33" t="str">
        <f>IFERROR((VLOOKUP(F592,'Planilha de Cadastro - Previsão'!$A$2:$N$1100,2,FALSE()))," ")</f>
        <v xml:space="preserve"> </v>
      </c>
      <c r="H592" s="32" t="str">
        <f>IFERROR((VLOOKUP(F592,'Planilha de Cadastro - Previsão'!$A$2:$N$1100,3,FALSE()))," ")</f>
        <v xml:space="preserve"> </v>
      </c>
      <c r="I592" s="34" t="str">
        <f>IFERROR((VLOOKUP(F592,'Planilha de Cadastro - Previsão'!$A$2:$N$1100,4,FALSE()))," ")</f>
        <v xml:space="preserve"> </v>
      </c>
      <c r="J592" s="34" t="str">
        <f>IFERROR((VLOOKUP(F592,'Planilha de Cadastro - Previsão'!$A$2:$N$1100,5,FALSE()))," ")</f>
        <v xml:space="preserve"> </v>
      </c>
      <c r="K592" s="36"/>
      <c r="L592" s="34" t="str">
        <f t="shared" si="40"/>
        <v/>
      </c>
      <c r="M592" s="35" t="str">
        <f t="shared" si="41"/>
        <v/>
      </c>
      <c r="N592" s="39"/>
      <c r="O592" s="36"/>
    </row>
    <row r="593" spans="1:15" x14ac:dyDescent="0.25">
      <c r="A593">
        <f>COUNTIF($C$2:C593,C593)</f>
        <v>592</v>
      </c>
      <c r="B593" s="1" t="str">
        <f t="shared" si="38"/>
        <v>592</v>
      </c>
      <c r="C593" s="1" t="str">
        <f>IFERROR(VLOOKUP(D593,'Planilha de Cadastro - Previsão'!$A$2:$O$1000,15,FALSE()),"")</f>
        <v/>
      </c>
      <c r="D593" s="1">
        <v>592</v>
      </c>
      <c r="F593" s="32" t="str">
        <f t="shared" si="39"/>
        <v/>
      </c>
      <c r="G593" s="33" t="str">
        <f>IFERROR((VLOOKUP(F593,'Planilha de Cadastro - Previsão'!$A$2:$N$1100,2,FALSE()))," ")</f>
        <v xml:space="preserve"> </v>
      </c>
      <c r="H593" s="32" t="str">
        <f>IFERROR((VLOOKUP(F593,'Planilha de Cadastro - Previsão'!$A$2:$N$1100,3,FALSE()))," ")</f>
        <v xml:space="preserve"> </v>
      </c>
      <c r="I593" s="34" t="str">
        <f>IFERROR((VLOOKUP(F593,'Planilha de Cadastro - Previsão'!$A$2:$N$1100,4,FALSE()))," ")</f>
        <v xml:space="preserve"> </v>
      </c>
      <c r="J593" s="34" t="str">
        <f>IFERROR((VLOOKUP(F593,'Planilha de Cadastro - Previsão'!$A$2:$N$1100,5,FALSE()))," ")</f>
        <v xml:space="preserve"> </v>
      </c>
      <c r="K593" s="36"/>
      <c r="L593" s="34" t="str">
        <f t="shared" si="40"/>
        <v/>
      </c>
      <c r="M593" s="35" t="str">
        <f t="shared" si="41"/>
        <v/>
      </c>
      <c r="N593" s="39"/>
      <c r="O593" s="36"/>
    </row>
    <row r="594" spans="1:15" x14ac:dyDescent="0.25">
      <c r="A594">
        <f>COUNTIF($C$2:C594,C594)</f>
        <v>593</v>
      </c>
      <c r="B594" s="1" t="str">
        <f t="shared" si="38"/>
        <v>593</v>
      </c>
      <c r="C594" s="1" t="str">
        <f>IFERROR(VLOOKUP(D594,'Planilha de Cadastro - Previsão'!$A$2:$O$1000,15,FALSE()),"")</f>
        <v/>
      </c>
      <c r="D594" s="1">
        <v>593</v>
      </c>
      <c r="F594" s="32" t="str">
        <f t="shared" si="39"/>
        <v/>
      </c>
      <c r="G594" s="33" t="str">
        <f>IFERROR((VLOOKUP(F594,'Planilha de Cadastro - Previsão'!$A$2:$N$1100,2,FALSE()))," ")</f>
        <v xml:space="preserve"> </v>
      </c>
      <c r="H594" s="32" t="str">
        <f>IFERROR((VLOOKUP(F594,'Planilha de Cadastro - Previsão'!$A$2:$N$1100,3,FALSE()))," ")</f>
        <v xml:space="preserve"> </v>
      </c>
      <c r="I594" s="34" t="str">
        <f>IFERROR((VLOOKUP(F594,'Planilha de Cadastro - Previsão'!$A$2:$N$1100,4,FALSE()))," ")</f>
        <v xml:space="preserve"> </v>
      </c>
      <c r="J594" s="34" t="str">
        <f>IFERROR((VLOOKUP(F594,'Planilha de Cadastro - Previsão'!$A$2:$N$1100,5,FALSE()))," ")</f>
        <v xml:space="preserve"> </v>
      </c>
      <c r="K594" s="36"/>
      <c r="L594" s="34" t="str">
        <f t="shared" si="40"/>
        <v/>
      </c>
      <c r="M594" s="35" t="str">
        <f t="shared" si="41"/>
        <v/>
      </c>
      <c r="N594" s="39"/>
      <c r="O594" s="36"/>
    </row>
    <row r="595" spans="1:15" x14ac:dyDescent="0.25">
      <c r="A595">
        <f>COUNTIF($C$2:C595,C595)</f>
        <v>594</v>
      </c>
      <c r="B595" s="1" t="str">
        <f t="shared" si="38"/>
        <v>594</v>
      </c>
      <c r="C595" s="1" t="str">
        <f>IFERROR(VLOOKUP(D595,'Planilha de Cadastro - Previsão'!$A$2:$O$1000,15,FALSE()),"")</f>
        <v/>
      </c>
      <c r="D595" s="1">
        <v>594</v>
      </c>
      <c r="F595" s="32" t="str">
        <f t="shared" si="39"/>
        <v/>
      </c>
      <c r="G595" s="33" t="str">
        <f>IFERROR((VLOOKUP(F595,'Planilha de Cadastro - Previsão'!$A$2:$N$1100,2,FALSE()))," ")</f>
        <v xml:space="preserve"> </v>
      </c>
      <c r="H595" s="32" t="str">
        <f>IFERROR((VLOOKUP(F595,'Planilha de Cadastro - Previsão'!$A$2:$N$1100,3,FALSE()))," ")</f>
        <v xml:space="preserve"> </v>
      </c>
      <c r="I595" s="34" t="str">
        <f>IFERROR((VLOOKUP(F595,'Planilha de Cadastro - Previsão'!$A$2:$N$1100,4,FALSE()))," ")</f>
        <v xml:space="preserve"> </v>
      </c>
      <c r="J595" s="34" t="str">
        <f>IFERROR((VLOOKUP(F595,'Planilha de Cadastro - Previsão'!$A$2:$N$1100,5,FALSE()))," ")</f>
        <v xml:space="preserve"> </v>
      </c>
      <c r="K595" s="36"/>
      <c r="L595" s="34" t="str">
        <f t="shared" si="40"/>
        <v/>
      </c>
      <c r="M595" s="35" t="str">
        <f t="shared" si="41"/>
        <v/>
      </c>
      <c r="N595" s="39"/>
      <c r="O595" s="36"/>
    </row>
    <row r="596" spans="1:15" x14ac:dyDescent="0.25">
      <c r="A596">
        <f>COUNTIF($C$2:C596,C596)</f>
        <v>595</v>
      </c>
      <c r="B596" s="1" t="str">
        <f t="shared" si="38"/>
        <v>595</v>
      </c>
      <c r="C596" s="1" t="str">
        <f>IFERROR(VLOOKUP(D596,'Planilha de Cadastro - Previsão'!$A$2:$O$1000,15,FALSE()),"")</f>
        <v/>
      </c>
      <c r="D596" s="1">
        <v>595</v>
      </c>
      <c r="F596" s="32" t="str">
        <f t="shared" si="39"/>
        <v/>
      </c>
      <c r="G596" s="33" t="str">
        <f>IFERROR((VLOOKUP(F596,'Planilha de Cadastro - Previsão'!$A$2:$N$1100,2,FALSE()))," ")</f>
        <v xml:space="preserve"> </v>
      </c>
      <c r="H596" s="32" t="str">
        <f>IFERROR((VLOOKUP(F596,'Planilha de Cadastro - Previsão'!$A$2:$N$1100,3,FALSE()))," ")</f>
        <v xml:space="preserve"> </v>
      </c>
      <c r="I596" s="34" t="str">
        <f>IFERROR((VLOOKUP(F596,'Planilha de Cadastro - Previsão'!$A$2:$N$1100,4,FALSE()))," ")</f>
        <v xml:space="preserve"> </v>
      </c>
      <c r="J596" s="34" t="str">
        <f>IFERROR((VLOOKUP(F596,'Planilha de Cadastro - Previsão'!$A$2:$N$1100,5,FALSE()))," ")</f>
        <v xml:space="preserve"> </v>
      </c>
      <c r="K596" s="36"/>
      <c r="L596" s="34" t="str">
        <f t="shared" si="40"/>
        <v/>
      </c>
      <c r="M596" s="35" t="str">
        <f t="shared" si="41"/>
        <v/>
      </c>
      <c r="N596" s="39"/>
      <c r="O596" s="36"/>
    </row>
    <row r="597" spans="1:15" x14ac:dyDescent="0.25">
      <c r="A597">
        <f>COUNTIF($C$2:C597,C597)</f>
        <v>596</v>
      </c>
      <c r="B597" s="1" t="str">
        <f t="shared" si="38"/>
        <v>596</v>
      </c>
      <c r="C597" s="1" t="str">
        <f>IFERROR(VLOOKUP(D597,'Planilha de Cadastro - Previsão'!$A$2:$O$1000,15,FALSE()),"")</f>
        <v/>
      </c>
      <c r="D597" s="1">
        <v>596</v>
      </c>
      <c r="F597" s="32" t="str">
        <f t="shared" si="39"/>
        <v/>
      </c>
      <c r="G597" s="33" t="str">
        <f>IFERROR((VLOOKUP(F597,'Planilha de Cadastro - Previsão'!$A$2:$N$1100,2,FALSE()))," ")</f>
        <v xml:space="preserve"> </v>
      </c>
      <c r="H597" s="32" t="str">
        <f>IFERROR((VLOOKUP(F597,'Planilha de Cadastro - Previsão'!$A$2:$N$1100,3,FALSE()))," ")</f>
        <v xml:space="preserve"> </v>
      </c>
      <c r="I597" s="34" t="str">
        <f>IFERROR((VLOOKUP(F597,'Planilha de Cadastro - Previsão'!$A$2:$N$1100,4,FALSE()))," ")</f>
        <v xml:space="preserve"> </v>
      </c>
      <c r="J597" s="34" t="str">
        <f>IFERROR((VLOOKUP(F597,'Planilha de Cadastro - Previsão'!$A$2:$N$1100,5,FALSE()))," ")</f>
        <v xml:space="preserve"> </v>
      </c>
      <c r="K597" s="36"/>
      <c r="L597" s="34" t="str">
        <f t="shared" si="40"/>
        <v/>
      </c>
      <c r="M597" s="35" t="str">
        <f t="shared" si="41"/>
        <v/>
      </c>
      <c r="N597" s="39"/>
      <c r="O597" s="36"/>
    </row>
    <row r="598" spans="1:15" x14ac:dyDescent="0.25">
      <c r="A598">
        <f>COUNTIF($C$2:C598,C598)</f>
        <v>597</v>
      </c>
      <c r="B598" s="1" t="str">
        <f t="shared" si="38"/>
        <v>597</v>
      </c>
      <c r="C598" s="1" t="str">
        <f>IFERROR(VLOOKUP(D598,'Planilha de Cadastro - Previsão'!$A$2:$O$1000,15,FALSE()),"")</f>
        <v/>
      </c>
      <c r="D598" s="1">
        <v>597</v>
      </c>
      <c r="F598" s="32" t="str">
        <f t="shared" si="39"/>
        <v/>
      </c>
      <c r="G598" s="33" t="str">
        <f>IFERROR((VLOOKUP(F598,'Planilha de Cadastro - Previsão'!$A$2:$N$1100,2,FALSE()))," ")</f>
        <v xml:space="preserve"> </v>
      </c>
      <c r="H598" s="32" t="str">
        <f>IFERROR((VLOOKUP(F598,'Planilha de Cadastro - Previsão'!$A$2:$N$1100,3,FALSE()))," ")</f>
        <v xml:space="preserve"> </v>
      </c>
      <c r="I598" s="34" t="str">
        <f>IFERROR((VLOOKUP(F598,'Planilha de Cadastro - Previsão'!$A$2:$N$1100,4,FALSE()))," ")</f>
        <v xml:space="preserve"> </v>
      </c>
      <c r="J598" s="34" t="str">
        <f>IFERROR((VLOOKUP(F598,'Planilha de Cadastro - Previsão'!$A$2:$N$1100,5,FALSE()))," ")</f>
        <v xml:space="preserve"> </v>
      </c>
      <c r="K598" s="36"/>
      <c r="L598" s="34" t="str">
        <f t="shared" si="40"/>
        <v/>
      </c>
      <c r="M598" s="35" t="str">
        <f t="shared" si="41"/>
        <v/>
      </c>
      <c r="N598" s="39"/>
      <c r="O598" s="36"/>
    </row>
    <row r="599" spans="1:15" x14ac:dyDescent="0.25">
      <c r="A599">
        <f>COUNTIF($C$2:C599,C599)</f>
        <v>598</v>
      </c>
      <c r="B599" s="1" t="str">
        <f t="shared" si="38"/>
        <v>598</v>
      </c>
      <c r="C599" s="1" t="str">
        <f>IFERROR(VLOOKUP(D599,'Planilha de Cadastro - Previsão'!$A$2:$O$1000,15,FALSE()),"")</f>
        <v/>
      </c>
      <c r="D599" s="1">
        <v>598</v>
      </c>
      <c r="F599" s="32" t="str">
        <f t="shared" si="39"/>
        <v/>
      </c>
      <c r="G599" s="33" t="str">
        <f>IFERROR((VLOOKUP(F599,'Planilha de Cadastro - Previsão'!$A$2:$N$1100,2,FALSE()))," ")</f>
        <v xml:space="preserve"> </v>
      </c>
      <c r="H599" s="32" t="str">
        <f>IFERROR((VLOOKUP(F599,'Planilha de Cadastro - Previsão'!$A$2:$N$1100,3,FALSE()))," ")</f>
        <v xml:space="preserve"> </v>
      </c>
      <c r="I599" s="34" t="str">
        <f>IFERROR((VLOOKUP(F599,'Planilha de Cadastro - Previsão'!$A$2:$N$1100,4,FALSE()))," ")</f>
        <v xml:space="preserve"> </v>
      </c>
      <c r="J599" s="34" t="str">
        <f>IFERROR((VLOOKUP(F599,'Planilha de Cadastro - Previsão'!$A$2:$N$1100,5,FALSE()))," ")</f>
        <v xml:space="preserve"> </v>
      </c>
      <c r="K599" s="36"/>
      <c r="L599" s="34" t="str">
        <f t="shared" si="40"/>
        <v/>
      </c>
      <c r="M599" s="35" t="str">
        <f t="shared" si="41"/>
        <v/>
      </c>
      <c r="N599" s="39"/>
      <c r="O599" s="36"/>
    </row>
    <row r="600" spans="1:15" x14ac:dyDescent="0.25">
      <c r="A600">
        <f>COUNTIF($C$2:C600,C600)</f>
        <v>599</v>
      </c>
      <c r="B600" s="1" t="str">
        <f t="shared" si="38"/>
        <v>599</v>
      </c>
      <c r="C600" s="1" t="str">
        <f>IFERROR(VLOOKUP(D600,'Planilha de Cadastro - Previsão'!$A$2:$O$1000,15,FALSE()),"")</f>
        <v/>
      </c>
      <c r="D600" s="1">
        <v>599</v>
      </c>
      <c r="F600" s="32" t="str">
        <f t="shared" si="39"/>
        <v/>
      </c>
      <c r="G600" s="33" t="str">
        <f>IFERROR((VLOOKUP(F600,'Planilha de Cadastro - Previsão'!$A$2:$N$1100,2,FALSE()))," ")</f>
        <v xml:space="preserve"> </v>
      </c>
      <c r="H600" s="32" t="str">
        <f>IFERROR((VLOOKUP(F600,'Planilha de Cadastro - Previsão'!$A$2:$N$1100,3,FALSE()))," ")</f>
        <v xml:space="preserve"> </v>
      </c>
      <c r="I600" s="34" t="str">
        <f>IFERROR((VLOOKUP(F600,'Planilha de Cadastro - Previsão'!$A$2:$N$1100,4,FALSE()))," ")</f>
        <v xml:space="preserve"> </v>
      </c>
      <c r="J600" s="34" t="str">
        <f>IFERROR((VLOOKUP(F600,'Planilha de Cadastro - Previsão'!$A$2:$N$1100,5,FALSE()))," ")</f>
        <v xml:space="preserve"> </v>
      </c>
      <c r="K600" s="36"/>
      <c r="L600" s="34" t="str">
        <f t="shared" si="40"/>
        <v/>
      </c>
      <c r="M600" s="35" t="str">
        <f t="shared" si="41"/>
        <v/>
      </c>
      <c r="N600" s="39"/>
      <c r="O600" s="36"/>
    </row>
    <row r="601" spans="1:15" x14ac:dyDescent="0.25">
      <c r="A601">
        <f>COUNTIF($C$2:C601,C601)</f>
        <v>600</v>
      </c>
      <c r="B601" s="1" t="str">
        <f t="shared" si="38"/>
        <v>600</v>
      </c>
      <c r="C601" s="1" t="str">
        <f>IFERROR(VLOOKUP(D601,'Planilha de Cadastro - Previsão'!$A$2:$O$1000,15,FALSE()),"")</f>
        <v/>
      </c>
      <c r="D601" s="1">
        <v>600</v>
      </c>
      <c r="F601" s="32" t="str">
        <f t="shared" si="39"/>
        <v/>
      </c>
      <c r="G601" s="33" t="str">
        <f>IFERROR((VLOOKUP(F601,'Planilha de Cadastro - Previsão'!$A$2:$N$1100,2,FALSE()))," ")</f>
        <v xml:space="preserve"> </v>
      </c>
      <c r="H601" s="32" t="str">
        <f>IFERROR((VLOOKUP(F601,'Planilha de Cadastro - Previsão'!$A$2:$N$1100,3,FALSE()))," ")</f>
        <v xml:space="preserve"> </v>
      </c>
      <c r="I601" s="34" t="str">
        <f>IFERROR((VLOOKUP(F601,'Planilha de Cadastro - Previsão'!$A$2:$N$1100,4,FALSE()))," ")</f>
        <v xml:space="preserve"> </v>
      </c>
      <c r="J601" s="34" t="str">
        <f>IFERROR((VLOOKUP(F601,'Planilha de Cadastro - Previsão'!$A$2:$N$1100,5,FALSE()))," ")</f>
        <v xml:space="preserve"> </v>
      </c>
      <c r="K601" s="36"/>
      <c r="L601" s="34" t="str">
        <f t="shared" si="40"/>
        <v/>
      </c>
      <c r="M601" s="35" t="str">
        <f t="shared" si="41"/>
        <v/>
      </c>
      <c r="N601" s="39"/>
      <c r="O601" s="36"/>
    </row>
    <row r="602" spans="1:15" x14ac:dyDescent="0.25">
      <c r="A602">
        <f>COUNTIF($C$2:C602,C602)</f>
        <v>601</v>
      </c>
      <c r="B602" s="1" t="str">
        <f t="shared" si="38"/>
        <v>601</v>
      </c>
      <c r="C602" s="1" t="str">
        <f>IFERROR(VLOOKUP(D602,'Planilha de Cadastro - Previsão'!$A$2:$O$1000,15,FALSE()),"")</f>
        <v/>
      </c>
      <c r="D602" s="1">
        <v>601</v>
      </c>
      <c r="F602" s="32" t="str">
        <f t="shared" si="39"/>
        <v/>
      </c>
      <c r="G602" s="33" t="str">
        <f>IFERROR((VLOOKUP(F602,'Planilha de Cadastro - Previsão'!$A$2:$N$1100,2,FALSE()))," ")</f>
        <v xml:space="preserve"> </v>
      </c>
      <c r="H602" s="32" t="str">
        <f>IFERROR((VLOOKUP(F602,'Planilha de Cadastro - Previsão'!$A$2:$N$1100,3,FALSE()))," ")</f>
        <v xml:space="preserve"> </v>
      </c>
      <c r="I602" s="34" t="str">
        <f>IFERROR((VLOOKUP(F602,'Planilha de Cadastro - Previsão'!$A$2:$N$1100,4,FALSE()))," ")</f>
        <v xml:space="preserve"> </v>
      </c>
      <c r="J602" s="34" t="str">
        <f>IFERROR((VLOOKUP(F602,'Planilha de Cadastro - Previsão'!$A$2:$N$1100,5,FALSE()))," ")</f>
        <v xml:space="preserve"> </v>
      </c>
      <c r="K602" s="36"/>
      <c r="L602" s="34" t="str">
        <f t="shared" si="40"/>
        <v/>
      </c>
      <c r="M602" s="35" t="str">
        <f t="shared" si="41"/>
        <v/>
      </c>
      <c r="N602" s="39"/>
      <c r="O602" s="36"/>
    </row>
    <row r="603" spans="1:15" x14ac:dyDescent="0.25">
      <c r="A603">
        <f>COUNTIF($C$2:C603,C603)</f>
        <v>602</v>
      </c>
      <c r="B603" s="1" t="str">
        <f t="shared" si="38"/>
        <v>602</v>
      </c>
      <c r="C603" s="1" t="str">
        <f>IFERROR(VLOOKUP(D603,'Planilha de Cadastro - Previsão'!$A$2:$O$1000,15,FALSE()),"")</f>
        <v/>
      </c>
      <c r="D603" s="1">
        <v>602</v>
      </c>
      <c r="F603" s="32" t="str">
        <f t="shared" si="39"/>
        <v/>
      </c>
      <c r="G603" s="33" t="str">
        <f>IFERROR((VLOOKUP(F603,'Planilha de Cadastro - Previsão'!$A$2:$N$1100,2,FALSE()))," ")</f>
        <v xml:space="preserve"> </v>
      </c>
      <c r="H603" s="32" t="str">
        <f>IFERROR((VLOOKUP(F603,'Planilha de Cadastro - Previsão'!$A$2:$N$1100,3,FALSE()))," ")</f>
        <v xml:space="preserve"> </v>
      </c>
      <c r="I603" s="34" t="str">
        <f>IFERROR((VLOOKUP(F603,'Planilha de Cadastro - Previsão'!$A$2:$N$1100,4,FALSE()))," ")</f>
        <v xml:space="preserve"> </v>
      </c>
      <c r="J603" s="34" t="str">
        <f>IFERROR((VLOOKUP(F603,'Planilha de Cadastro - Previsão'!$A$2:$N$1100,5,FALSE()))," ")</f>
        <v xml:space="preserve"> </v>
      </c>
      <c r="K603" s="36"/>
      <c r="L603" s="34" t="str">
        <f t="shared" si="40"/>
        <v/>
      </c>
      <c r="M603" s="35" t="str">
        <f t="shared" si="41"/>
        <v/>
      </c>
      <c r="N603" s="39"/>
      <c r="O603" s="36"/>
    </row>
    <row r="604" spans="1:15" x14ac:dyDescent="0.25">
      <c r="A604">
        <f>COUNTIF($C$2:C604,C604)</f>
        <v>603</v>
      </c>
      <c r="B604" s="1" t="str">
        <f t="shared" si="38"/>
        <v>603</v>
      </c>
      <c r="C604" s="1" t="str">
        <f>IFERROR(VLOOKUP(D604,'Planilha de Cadastro - Previsão'!$A$2:$O$1000,15,FALSE()),"")</f>
        <v/>
      </c>
      <c r="D604" s="1">
        <v>603</v>
      </c>
      <c r="F604" s="32" t="str">
        <f t="shared" si="39"/>
        <v/>
      </c>
      <c r="G604" s="33" t="str">
        <f>IFERROR((VLOOKUP(F604,'Planilha de Cadastro - Previsão'!$A$2:$N$1100,2,FALSE()))," ")</f>
        <v xml:space="preserve"> </v>
      </c>
      <c r="H604" s="32" t="str">
        <f>IFERROR((VLOOKUP(F604,'Planilha de Cadastro - Previsão'!$A$2:$N$1100,3,FALSE()))," ")</f>
        <v xml:space="preserve"> </v>
      </c>
      <c r="I604" s="34" t="str">
        <f>IFERROR((VLOOKUP(F604,'Planilha de Cadastro - Previsão'!$A$2:$N$1100,4,FALSE()))," ")</f>
        <v xml:space="preserve"> </v>
      </c>
      <c r="J604" s="34" t="str">
        <f>IFERROR((VLOOKUP(F604,'Planilha de Cadastro - Previsão'!$A$2:$N$1100,5,FALSE()))," ")</f>
        <v xml:space="preserve"> </v>
      </c>
      <c r="K604" s="36"/>
      <c r="L604" s="34" t="str">
        <f t="shared" si="40"/>
        <v/>
      </c>
      <c r="M604" s="35" t="str">
        <f t="shared" si="41"/>
        <v/>
      </c>
      <c r="N604" s="39"/>
      <c r="O604" s="36"/>
    </row>
    <row r="605" spans="1:15" x14ac:dyDescent="0.25">
      <c r="A605">
        <f>COUNTIF($C$2:C605,C605)</f>
        <v>604</v>
      </c>
      <c r="B605" s="1" t="str">
        <f t="shared" si="38"/>
        <v>604</v>
      </c>
      <c r="C605" s="1" t="str">
        <f>IFERROR(VLOOKUP(D605,'Planilha de Cadastro - Previsão'!$A$2:$O$1000,15,FALSE()),"")</f>
        <v/>
      </c>
      <c r="D605" s="1">
        <v>604</v>
      </c>
      <c r="F605" s="32" t="str">
        <f t="shared" si="39"/>
        <v/>
      </c>
      <c r="G605" s="33" t="str">
        <f>IFERROR((VLOOKUP(F605,'Planilha de Cadastro - Previsão'!$A$2:$N$1100,2,FALSE()))," ")</f>
        <v xml:space="preserve"> </v>
      </c>
      <c r="H605" s="32" t="str">
        <f>IFERROR((VLOOKUP(F605,'Planilha de Cadastro - Previsão'!$A$2:$N$1100,3,FALSE()))," ")</f>
        <v xml:space="preserve"> </v>
      </c>
      <c r="I605" s="34" t="str">
        <f>IFERROR((VLOOKUP(F605,'Planilha de Cadastro - Previsão'!$A$2:$N$1100,4,FALSE()))," ")</f>
        <v xml:space="preserve"> </v>
      </c>
      <c r="J605" s="34" t="str">
        <f>IFERROR((VLOOKUP(F605,'Planilha de Cadastro - Previsão'!$A$2:$N$1100,5,FALSE()))," ")</f>
        <v xml:space="preserve"> </v>
      </c>
      <c r="K605" s="36"/>
      <c r="L605" s="34" t="str">
        <f t="shared" si="40"/>
        <v/>
      </c>
      <c r="M605" s="35" t="str">
        <f t="shared" si="41"/>
        <v/>
      </c>
      <c r="N605" s="39"/>
      <c r="O605" s="36"/>
    </row>
    <row r="606" spans="1:15" x14ac:dyDescent="0.25">
      <c r="A606">
        <f>COUNTIF($C$2:C606,C606)</f>
        <v>605</v>
      </c>
      <c r="B606" s="1" t="str">
        <f t="shared" si="38"/>
        <v>605</v>
      </c>
      <c r="C606" s="1" t="str">
        <f>IFERROR(VLOOKUP(D606,'Planilha de Cadastro - Previsão'!$A$2:$O$1000,15,FALSE()),"")</f>
        <v/>
      </c>
      <c r="D606" s="1">
        <v>605</v>
      </c>
      <c r="F606" s="32" t="str">
        <f t="shared" si="39"/>
        <v/>
      </c>
      <c r="G606" s="33" t="str">
        <f>IFERROR((VLOOKUP(F606,'Planilha de Cadastro - Previsão'!$A$2:$N$1100,2,FALSE()))," ")</f>
        <v xml:space="preserve"> </v>
      </c>
      <c r="H606" s="32" t="str">
        <f>IFERROR((VLOOKUP(F606,'Planilha de Cadastro - Previsão'!$A$2:$N$1100,3,FALSE()))," ")</f>
        <v xml:space="preserve"> </v>
      </c>
      <c r="I606" s="34" t="str">
        <f>IFERROR((VLOOKUP(F606,'Planilha de Cadastro - Previsão'!$A$2:$N$1100,4,FALSE()))," ")</f>
        <v xml:space="preserve"> </v>
      </c>
      <c r="J606" s="34" t="str">
        <f>IFERROR((VLOOKUP(F606,'Planilha de Cadastro - Previsão'!$A$2:$N$1100,5,FALSE()))," ")</f>
        <v xml:space="preserve"> </v>
      </c>
      <c r="K606" s="36"/>
      <c r="L606" s="34" t="str">
        <f t="shared" si="40"/>
        <v/>
      </c>
      <c r="M606" s="35" t="str">
        <f t="shared" si="41"/>
        <v/>
      </c>
      <c r="N606" s="39"/>
      <c r="O606" s="36"/>
    </row>
    <row r="607" spans="1:15" x14ac:dyDescent="0.25">
      <c r="A607">
        <f>COUNTIF($C$2:C607,C607)</f>
        <v>606</v>
      </c>
      <c r="B607" s="1" t="str">
        <f t="shared" si="38"/>
        <v>606</v>
      </c>
      <c r="C607" s="1" t="str">
        <f>IFERROR(VLOOKUP(D607,'Planilha de Cadastro - Previsão'!$A$2:$O$1000,15,FALSE()),"")</f>
        <v/>
      </c>
      <c r="D607" s="1">
        <v>606</v>
      </c>
      <c r="F607" s="32" t="str">
        <f t="shared" si="39"/>
        <v/>
      </c>
      <c r="G607" s="33" t="str">
        <f>IFERROR((VLOOKUP(F607,'Planilha de Cadastro - Previsão'!$A$2:$N$1100,2,FALSE()))," ")</f>
        <v xml:space="preserve"> </v>
      </c>
      <c r="H607" s="32" t="str">
        <f>IFERROR((VLOOKUP(F607,'Planilha de Cadastro - Previsão'!$A$2:$N$1100,3,FALSE()))," ")</f>
        <v xml:space="preserve"> </v>
      </c>
      <c r="I607" s="34" t="str">
        <f>IFERROR((VLOOKUP(F607,'Planilha de Cadastro - Previsão'!$A$2:$N$1100,4,FALSE()))," ")</f>
        <v xml:space="preserve"> </v>
      </c>
      <c r="J607" s="34" t="str">
        <f>IFERROR((VLOOKUP(F607,'Planilha de Cadastro - Previsão'!$A$2:$N$1100,5,FALSE()))," ")</f>
        <v xml:space="preserve"> </v>
      </c>
      <c r="K607" s="36"/>
      <c r="L607" s="34" t="str">
        <f t="shared" si="40"/>
        <v/>
      </c>
      <c r="M607" s="35" t="str">
        <f t="shared" si="41"/>
        <v/>
      </c>
      <c r="N607" s="39"/>
      <c r="O607" s="36"/>
    </row>
    <row r="608" spans="1:15" x14ac:dyDescent="0.25">
      <c r="A608">
        <f>COUNTIF($C$2:C608,C608)</f>
        <v>607</v>
      </c>
      <c r="B608" s="1" t="str">
        <f t="shared" si="38"/>
        <v>607</v>
      </c>
      <c r="C608" s="1" t="str">
        <f>IFERROR(VLOOKUP(D608,'Planilha de Cadastro - Previsão'!$A$2:$O$1000,15,FALSE()),"")</f>
        <v/>
      </c>
      <c r="D608" s="1">
        <v>607</v>
      </c>
      <c r="F608" s="32" t="str">
        <f t="shared" si="39"/>
        <v/>
      </c>
      <c r="G608" s="33" t="str">
        <f>IFERROR((VLOOKUP(F608,'Planilha de Cadastro - Previsão'!$A$2:$N$1100,2,FALSE()))," ")</f>
        <v xml:space="preserve"> </v>
      </c>
      <c r="H608" s="32" t="str">
        <f>IFERROR((VLOOKUP(F608,'Planilha de Cadastro - Previsão'!$A$2:$N$1100,3,FALSE()))," ")</f>
        <v xml:space="preserve"> </v>
      </c>
      <c r="I608" s="34" t="str">
        <f>IFERROR((VLOOKUP(F608,'Planilha de Cadastro - Previsão'!$A$2:$N$1100,4,FALSE()))," ")</f>
        <v xml:space="preserve"> </v>
      </c>
      <c r="J608" s="34" t="str">
        <f>IFERROR((VLOOKUP(F608,'Planilha de Cadastro - Previsão'!$A$2:$N$1100,5,FALSE()))," ")</f>
        <v xml:space="preserve"> </v>
      </c>
      <c r="K608" s="36"/>
      <c r="L608" s="34" t="str">
        <f t="shared" si="40"/>
        <v/>
      </c>
      <c r="M608" s="35" t="str">
        <f t="shared" si="41"/>
        <v/>
      </c>
      <c r="N608" s="39"/>
      <c r="O608" s="36"/>
    </row>
    <row r="609" spans="1:15" x14ac:dyDescent="0.25">
      <c r="A609">
        <f>COUNTIF($C$2:C609,C609)</f>
        <v>608</v>
      </c>
      <c r="B609" s="1" t="str">
        <f t="shared" si="38"/>
        <v>608</v>
      </c>
      <c r="C609" s="1" t="str">
        <f>IFERROR(VLOOKUP(D609,'Planilha de Cadastro - Previsão'!$A$2:$O$1000,15,FALSE()),"")</f>
        <v/>
      </c>
      <c r="D609" s="1">
        <v>608</v>
      </c>
      <c r="F609" s="32" t="str">
        <f t="shared" si="39"/>
        <v/>
      </c>
      <c r="G609" s="33" t="str">
        <f>IFERROR((VLOOKUP(F609,'Planilha de Cadastro - Previsão'!$A$2:$N$1100,2,FALSE()))," ")</f>
        <v xml:space="preserve"> </v>
      </c>
      <c r="H609" s="32" t="str">
        <f>IFERROR((VLOOKUP(F609,'Planilha de Cadastro - Previsão'!$A$2:$N$1100,3,FALSE()))," ")</f>
        <v xml:space="preserve"> </v>
      </c>
      <c r="I609" s="34" t="str">
        <f>IFERROR((VLOOKUP(F609,'Planilha de Cadastro - Previsão'!$A$2:$N$1100,4,FALSE()))," ")</f>
        <v xml:space="preserve"> </v>
      </c>
      <c r="J609" s="34" t="str">
        <f>IFERROR((VLOOKUP(F609,'Planilha de Cadastro - Previsão'!$A$2:$N$1100,5,FALSE()))," ")</f>
        <v xml:space="preserve"> </v>
      </c>
      <c r="K609" s="36"/>
      <c r="L609" s="34" t="str">
        <f t="shared" si="40"/>
        <v/>
      </c>
      <c r="M609" s="35" t="str">
        <f t="shared" si="41"/>
        <v/>
      </c>
      <c r="N609" s="39"/>
      <c r="O609" s="36"/>
    </row>
    <row r="610" spans="1:15" x14ac:dyDescent="0.25">
      <c r="A610">
        <f>COUNTIF($C$2:C610,C610)</f>
        <v>609</v>
      </c>
      <c r="B610" s="1" t="str">
        <f t="shared" si="38"/>
        <v>609</v>
      </c>
      <c r="C610" s="1" t="str">
        <f>IFERROR(VLOOKUP(D610,'Planilha de Cadastro - Previsão'!$A$2:$O$1000,15,FALSE()),"")</f>
        <v/>
      </c>
      <c r="D610" s="1">
        <v>609</v>
      </c>
      <c r="F610" s="32" t="str">
        <f t="shared" si="39"/>
        <v/>
      </c>
      <c r="G610" s="33" t="str">
        <f>IFERROR((VLOOKUP(F610,'Planilha de Cadastro - Previsão'!$A$2:$N$1100,2,FALSE()))," ")</f>
        <v xml:space="preserve"> </v>
      </c>
      <c r="H610" s="32" t="str">
        <f>IFERROR((VLOOKUP(F610,'Planilha de Cadastro - Previsão'!$A$2:$N$1100,3,FALSE()))," ")</f>
        <v xml:space="preserve"> </v>
      </c>
      <c r="I610" s="34" t="str">
        <f>IFERROR((VLOOKUP(F610,'Planilha de Cadastro - Previsão'!$A$2:$N$1100,4,FALSE()))," ")</f>
        <v xml:space="preserve"> </v>
      </c>
      <c r="J610" s="34" t="str">
        <f>IFERROR((VLOOKUP(F610,'Planilha de Cadastro - Previsão'!$A$2:$N$1100,5,FALSE()))," ")</f>
        <v xml:space="preserve"> </v>
      </c>
      <c r="K610" s="36"/>
      <c r="L610" s="34" t="str">
        <f t="shared" si="40"/>
        <v/>
      </c>
      <c r="M610" s="35" t="str">
        <f t="shared" si="41"/>
        <v/>
      </c>
      <c r="N610" s="39"/>
      <c r="O610" s="36"/>
    </row>
    <row r="611" spans="1:15" x14ac:dyDescent="0.25">
      <c r="A611">
        <f>COUNTIF($C$2:C611,C611)</f>
        <v>610</v>
      </c>
      <c r="B611" s="1" t="str">
        <f t="shared" si="38"/>
        <v>610</v>
      </c>
      <c r="C611" s="1" t="str">
        <f>IFERROR(VLOOKUP(D611,'Planilha de Cadastro - Previsão'!$A$2:$O$1000,15,FALSE()),"")</f>
        <v/>
      </c>
      <c r="D611" s="1">
        <v>610</v>
      </c>
      <c r="F611" s="32" t="str">
        <f t="shared" si="39"/>
        <v/>
      </c>
      <c r="G611" s="33" t="str">
        <f>IFERROR((VLOOKUP(F611,'Planilha de Cadastro - Previsão'!$A$2:$N$1100,2,FALSE()))," ")</f>
        <v xml:space="preserve"> </v>
      </c>
      <c r="H611" s="32" t="str">
        <f>IFERROR((VLOOKUP(F611,'Planilha de Cadastro - Previsão'!$A$2:$N$1100,3,FALSE()))," ")</f>
        <v xml:space="preserve"> </v>
      </c>
      <c r="I611" s="34" t="str">
        <f>IFERROR((VLOOKUP(F611,'Planilha de Cadastro - Previsão'!$A$2:$N$1100,4,FALSE()))," ")</f>
        <v xml:space="preserve"> </v>
      </c>
      <c r="J611" s="34" t="str">
        <f>IFERROR((VLOOKUP(F611,'Planilha de Cadastro - Previsão'!$A$2:$N$1100,5,FALSE()))," ")</f>
        <v xml:space="preserve"> </v>
      </c>
      <c r="K611" s="36"/>
      <c r="L611" s="34" t="str">
        <f t="shared" si="40"/>
        <v/>
      </c>
      <c r="M611" s="35" t="str">
        <f t="shared" si="41"/>
        <v/>
      </c>
      <c r="N611" s="39"/>
      <c r="O611" s="36"/>
    </row>
    <row r="612" spans="1:15" x14ac:dyDescent="0.25">
      <c r="A612">
        <f>COUNTIF($C$2:C612,C612)</f>
        <v>611</v>
      </c>
      <c r="B612" s="1" t="str">
        <f t="shared" si="38"/>
        <v>611</v>
      </c>
      <c r="C612" s="1" t="str">
        <f>IFERROR(VLOOKUP(D612,'Planilha de Cadastro - Previsão'!$A$2:$O$1000,15,FALSE()),"")</f>
        <v/>
      </c>
      <c r="D612" s="1">
        <v>611</v>
      </c>
      <c r="F612" s="32" t="str">
        <f t="shared" si="39"/>
        <v/>
      </c>
      <c r="G612" s="33" t="str">
        <f>IFERROR((VLOOKUP(F612,'Planilha de Cadastro - Previsão'!$A$2:$N$1100,2,FALSE()))," ")</f>
        <v xml:space="preserve"> </v>
      </c>
      <c r="H612" s="32" t="str">
        <f>IFERROR((VLOOKUP(F612,'Planilha de Cadastro - Previsão'!$A$2:$N$1100,3,FALSE()))," ")</f>
        <v xml:space="preserve"> </v>
      </c>
      <c r="I612" s="34" t="str">
        <f>IFERROR((VLOOKUP(F612,'Planilha de Cadastro - Previsão'!$A$2:$N$1100,4,FALSE()))," ")</f>
        <v xml:space="preserve"> </v>
      </c>
      <c r="J612" s="34" t="str">
        <f>IFERROR((VLOOKUP(F612,'Planilha de Cadastro - Previsão'!$A$2:$N$1100,5,FALSE()))," ")</f>
        <v xml:space="preserve"> </v>
      </c>
      <c r="K612" s="36"/>
      <c r="L612" s="34" t="str">
        <f t="shared" si="40"/>
        <v/>
      </c>
      <c r="M612" s="35" t="str">
        <f t="shared" si="41"/>
        <v/>
      </c>
      <c r="N612" s="39"/>
      <c r="O612" s="36"/>
    </row>
    <row r="613" spans="1:15" x14ac:dyDescent="0.25">
      <c r="A613">
        <f>COUNTIF($C$2:C613,C613)</f>
        <v>612</v>
      </c>
      <c r="B613" s="1" t="str">
        <f t="shared" si="38"/>
        <v>612</v>
      </c>
      <c r="C613" s="1" t="str">
        <f>IFERROR(VLOOKUP(D613,'Planilha de Cadastro - Previsão'!$A$2:$O$1000,15,FALSE()),"")</f>
        <v/>
      </c>
      <c r="D613" s="1">
        <v>612</v>
      </c>
      <c r="F613" s="32" t="str">
        <f t="shared" si="39"/>
        <v/>
      </c>
      <c r="G613" s="33" t="str">
        <f>IFERROR((VLOOKUP(F613,'Planilha de Cadastro - Previsão'!$A$2:$N$1100,2,FALSE()))," ")</f>
        <v xml:space="preserve"> </v>
      </c>
      <c r="H613" s="32" t="str">
        <f>IFERROR((VLOOKUP(F613,'Planilha de Cadastro - Previsão'!$A$2:$N$1100,3,FALSE()))," ")</f>
        <v xml:space="preserve"> </v>
      </c>
      <c r="I613" s="34" t="str">
        <f>IFERROR((VLOOKUP(F613,'Planilha de Cadastro - Previsão'!$A$2:$N$1100,4,FALSE()))," ")</f>
        <v xml:space="preserve"> </v>
      </c>
      <c r="J613" s="34" t="str">
        <f>IFERROR((VLOOKUP(F613,'Planilha de Cadastro - Previsão'!$A$2:$N$1100,5,FALSE()))," ")</f>
        <v xml:space="preserve"> </v>
      </c>
      <c r="K613" s="36"/>
      <c r="L613" s="34" t="str">
        <f t="shared" si="40"/>
        <v/>
      </c>
      <c r="M613" s="35" t="str">
        <f t="shared" si="41"/>
        <v/>
      </c>
      <c r="N613" s="39"/>
      <c r="O613" s="36"/>
    </row>
    <row r="614" spans="1:15" x14ac:dyDescent="0.25">
      <c r="A614">
        <f>COUNTIF($C$2:C614,C614)</f>
        <v>613</v>
      </c>
      <c r="B614" s="1" t="str">
        <f t="shared" si="38"/>
        <v>613</v>
      </c>
      <c r="C614" s="1" t="str">
        <f>IFERROR(VLOOKUP(D614,'Planilha de Cadastro - Previsão'!$A$2:$O$1000,15,FALSE()),"")</f>
        <v/>
      </c>
      <c r="D614" s="1">
        <v>613</v>
      </c>
      <c r="F614" s="32" t="str">
        <f t="shared" si="39"/>
        <v/>
      </c>
      <c r="G614" s="33" t="str">
        <f>IFERROR((VLOOKUP(F614,'Planilha de Cadastro - Previsão'!$A$2:$N$1100,2,FALSE()))," ")</f>
        <v xml:space="preserve"> </v>
      </c>
      <c r="H614" s="32" t="str">
        <f>IFERROR((VLOOKUP(F614,'Planilha de Cadastro - Previsão'!$A$2:$N$1100,3,FALSE()))," ")</f>
        <v xml:space="preserve"> </v>
      </c>
      <c r="I614" s="34" t="str">
        <f>IFERROR((VLOOKUP(F614,'Planilha de Cadastro - Previsão'!$A$2:$N$1100,4,FALSE()))," ")</f>
        <v xml:space="preserve"> </v>
      </c>
      <c r="J614" s="34" t="str">
        <f>IFERROR((VLOOKUP(F614,'Planilha de Cadastro - Previsão'!$A$2:$N$1100,5,FALSE()))," ")</f>
        <v xml:space="preserve"> </v>
      </c>
      <c r="K614" s="36"/>
      <c r="L614" s="34" t="str">
        <f t="shared" si="40"/>
        <v/>
      </c>
      <c r="M614" s="35" t="str">
        <f t="shared" si="41"/>
        <v/>
      </c>
      <c r="N614" s="39"/>
      <c r="O614" s="36"/>
    </row>
    <row r="615" spans="1:15" x14ac:dyDescent="0.25">
      <c r="A615">
        <f>COUNTIF($C$2:C615,C615)</f>
        <v>614</v>
      </c>
      <c r="B615" s="1" t="str">
        <f t="shared" si="38"/>
        <v>614</v>
      </c>
      <c r="C615" s="1" t="str">
        <f>IFERROR(VLOOKUP(D615,'Planilha de Cadastro - Previsão'!$A$2:$O$1000,15,FALSE()),"")</f>
        <v/>
      </c>
      <c r="D615" s="1">
        <v>614</v>
      </c>
      <c r="F615" s="32" t="str">
        <f t="shared" si="39"/>
        <v/>
      </c>
      <c r="G615" s="33" t="str">
        <f>IFERROR((VLOOKUP(F615,'Planilha de Cadastro - Previsão'!$A$2:$N$1100,2,FALSE()))," ")</f>
        <v xml:space="preserve"> </v>
      </c>
      <c r="H615" s="32" t="str">
        <f>IFERROR((VLOOKUP(F615,'Planilha de Cadastro - Previsão'!$A$2:$N$1100,3,FALSE()))," ")</f>
        <v xml:space="preserve"> </v>
      </c>
      <c r="I615" s="34" t="str">
        <f>IFERROR((VLOOKUP(F615,'Planilha de Cadastro - Previsão'!$A$2:$N$1100,4,FALSE()))," ")</f>
        <v xml:space="preserve"> </v>
      </c>
      <c r="J615" s="34" t="str">
        <f>IFERROR((VLOOKUP(F615,'Planilha de Cadastro - Previsão'!$A$2:$N$1100,5,FALSE()))," ")</f>
        <v xml:space="preserve"> </v>
      </c>
      <c r="K615" s="36"/>
      <c r="L615" s="34" t="str">
        <f t="shared" si="40"/>
        <v/>
      </c>
      <c r="M615" s="35" t="str">
        <f t="shared" si="41"/>
        <v/>
      </c>
      <c r="N615" s="39"/>
      <c r="O615" s="36"/>
    </row>
    <row r="616" spans="1:15" x14ac:dyDescent="0.25">
      <c r="A616">
        <f>COUNTIF($C$2:C616,C616)</f>
        <v>615</v>
      </c>
      <c r="B616" s="1" t="str">
        <f t="shared" si="38"/>
        <v>615</v>
      </c>
      <c r="C616" s="1" t="str">
        <f>IFERROR(VLOOKUP(D616,'Planilha de Cadastro - Previsão'!$A$2:$O$1000,15,FALSE()),"")</f>
        <v/>
      </c>
      <c r="D616" s="1">
        <v>615</v>
      </c>
      <c r="F616" s="32" t="str">
        <f t="shared" si="39"/>
        <v/>
      </c>
      <c r="G616" s="33" t="str">
        <f>IFERROR((VLOOKUP(F616,'Planilha de Cadastro - Previsão'!$A$2:$N$1100,2,FALSE()))," ")</f>
        <v xml:space="preserve"> </v>
      </c>
      <c r="H616" s="32" t="str">
        <f>IFERROR((VLOOKUP(F616,'Planilha de Cadastro - Previsão'!$A$2:$N$1100,3,FALSE()))," ")</f>
        <v xml:space="preserve"> </v>
      </c>
      <c r="I616" s="34" t="str">
        <f>IFERROR((VLOOKUP(F616,'Planilha de Cadastro - Previsão'!$A$2:$N$1100,4,FALSE()))," ")</f>
        <v xml:space="preserve"> </v>
      </c>
      <c r="J616" s="34" t="str">
        <f>IFERROR((VLOOKUP(F616,'Planilha de Cadastro - Previsão'!$A$2:$N$1100,5,FALSE()))," ")</f>
        <v xml:space="preserve"> </v>
      </c>
      <c r="K616" s="36"/>
      <c r="L616" s="34" t="str">
        <f t="shared" si="40"/>
        <v/>
      </c>
      <c r="M616" s="35" t="str">
        <f t="shared" si="41"/>
        <v/>
      </c>
      <c r="N616" s="39"/>
      <c r="O616" s="36"/>
    </row>
    <row r="617" spans="1:15" x14ac:dyDescent="0.25">
      <c r="A617">
        <f>COUNTIF($C$2:C617,C617)</f>
        <v>616</v>
      </c>
      <c r="B617" s="1" t="str">
        <f t="shared" si="38"/>
        <v>616</v>
      </c>
      <c r="C617" s="1" t="str">
        <f>IFERROR(VLOOKUP(D617,'Planilha de Cadastro - Previsão'!$A$2:$O$1000,15,FALSE()),"")</f>
        <v/>
      </c>
      <c r="D617" s="1">
        <v>616</v>
      </c>
      <c r="F617" s="32" t="str">
        <f t="shared" si="39"/>
        <v/>
      </c>
      <c r="G617" s="33" t="str">
        <f>IFERROR((VLOOKUP(F617,'Planilha de Cadastro - Previsão'!$A$2:$N$1100,2,FALSE()))," ")</f>
        <v xml:space="preserve"> </v>
      </c>
      <c r="H617" s="32" t="str">
        <f>IFERROR((VLOOKUP(F617,'Planilha de Cadastro - Previsão'!$A$2:$N$1100,3,FALSE()))," ")</f>
        <v xml:space="preserve"> </v>
      </c>
      <c r="I617" s="34" t="str">
        <f>IFERROR((VLOOKUP(F617,'Planilha de Cadastro - Previsão'!$A$2:$N$1100,4,FALSE()))," ")</f>
        <v xml:space="preserve"> </v>
      </c>
      <c r="J617" s="34" t="str">
        <f>IFERROR((VLOOKUP(F617,'Planilha de Cadastro - Previsão'!$A$2:$N$1100,5,FALSE()))," ")</f>
        <v xml:space="preserve"> </v>
      </c>
      <c r="K617" s="36"/>
      <c r="L617" s="34" t="str">
        <f t="shared" si="40"/>
        <v/>
      </c>
      <c r="M617" s="35" t="str">
        <f t="shared" si="41"/>
        <v/>
      </c>
      <c r="N617" s="39"/>
      <c r="O617" s="36"/>
    </row>
    <row r="618" spans="1:15" x14ac:dyDescent="0.25">
      <c r="A618">
        <f>COUNTIF($C$2:C618,C618)</f>
        <v>617</v>
      </c>
      <c r="B618" s="1" t="str">
        <f t="shared" si="38"/>
        <v>617</v>
      </c>
      <c r="C618" s="1" t="str">
        <f>IFERROR(VLOOKUP(D618,'Planilha de Cadastro - Previsão'!$A$2:$O$1000,15,FALSE()),"")</f>
        <v/>
      </c>
      <c r="D618" s="1">
        <v>617</v>
      </c>
      <c r="F618" s="32" t="str">
        <f t="shared" si="39"/>
        <v/>
      </c>
      <c r="G618" s="33" t="str">
        <f>IFERROR((VLOOKUP(F618,'Planilha de Cadastro - Previsão'!$A$2:$N$1100,2,FALSE()))," ")</f>
        <v xml:space="preserve"> </v>
      </c>
      <c r="H618" s="32" t="str">
        <f>IFERROR((VLOOKUP(F618,'Planilha de Cadastro - Previsão'!$A$2:$N$1100,3,FALSE()))," ")</f>
        <v xml:space="preserve"> </v>
      </c>
      <c r="I618" s="34" t="str">
        <f>IFERROR((VLOOKUP(F618,'Planilha de Cadastro - Previsão'!$A$2:$N$1100,4,FALSE()))," ")</f>
        <v xml:space="preserve"> </v>
      </c>
      <c r="J618" s="34" t="str">
        <f>IFERROR((VLOOKUP(F618,'Planilha de Cadastro - Previsão'!$A$2:$N$1100,5,FALSE()))," ")</f>
        <v xml:space="preserve"> </v>
      </c>
      <c r="K618" s="36"/>
      <c r="L618" s="34" t="str">
        <f t="shared" si="40"/>
        <v/>
      </c>
      <c r="M618" s="35" t="str">
        <f t="shared" si="41"/>
        <v/>
      </c>
      <c r="N618" s="39"/>
      <c r="O618" s="36"/>
    </row>
    <row r="619" spans="1:15" x14ac:dyDescent="0.25">
      <c r="A619">
        <f>COUNTIF($C$2:C619,C619)</f>
        <v>618</v>
      </c>
      <c r="B619" s="1" t="str">
        <f t="shared" si="38"/>
        <v>618</v>
      </c>
      <c r="C619" s="1" t="str">
        <f>IFERROR(VLOOKUP(D619,'Planilha de Cadastro - Previsão'!$A$2:$O$1000,15,FALSE()),"")</f>
        <v/>
      </c>
      <c r="D619" s="1">
        <v>618</v>
      </c>
      <c r="F619" s="32" t="str">
        <f t="shared" si="39"/>
        <v/>
      </c>
      <c r="G619" s="33" t="str">
        <f>IFERROR((VLOOKUP(F619,'Planilha de Cadastro - Previsão'!$A$2:$N$1100,2,FALSE()))," ")</f>
        <v xml:space="preserve"> </v>
      </c>
      <c r="H619" s="32" t="str">
        <f>IFERROR((VLOOKUP(F619,'Planilha de Cadastro - Previsão'!$A$2:$N$1100,3,FALSE()))," ")</f>
        <v xml:space="preserve"> </v>
      </c>
      <c r="I619" s="34" t="str">
        <f>IFERROR((VLOOKUP(F619,'Planilha de Cadastro - Previsão'!$A$2:$N$1100,4,FALSE()))," ")</f>
        <v xml:space="preserve"> </v>
      </c>
      <c r="J619" s="34" t="str">
        <f>IFERROR((VLOOKUP(F619,'Planilha de Cadastro - Previsão'!$A$2:$N$1100,5,FALSE()))," ")</f>
        <v xml:space="preserve"> </v>
      </c>
      <c r="K619" s="36"/>
      <c r="L619" s="34" t="str">
        <f t="shared" si="40"/>
        <v/>
      </c>
      <c r="M619" s="35" t="str">
        <f t="shared" si="41"/>
        <v/>
      </c>
      <c r="N619" s="39"/>
      <c r="O619" s="36"/>
    </row>
    <row r="620" spans="1:15" x14ac:dyDescent="0.25">
      <c r="A620">
        <f>COUNTIF($C$2:C620,C620)</f>
        <v>619</v>
      </c>
      <c r="B620" s="1" t="str">
        <f t="shared" si="38"/>
        <v>619</v>
      </c>
      <c r="C620" s="1" t="str">
        <f>IFERROR(VLOOKUP(D620,'Planilha de Cadastro - Previsão'!$A$2:$O$1000,15,FALSE()),"")</f>
        <v/>
      </c>
      <c r="D620" s="1">
        <v>619</v>
      </c>
      <c r="F620" s="32" t="str">
        <f t="shared" si="39"/>
        <v/>
      </c>
      <c r="G620" s="33" t="str">
        <f>IFERROR((VLOOKUP(F620,'Planilha de Cadastro - Previsão'!$A$2:$N$1100,2,FALSE()))," ")</f>
        <v xml:space="preserve"> </v>
      </c>
      <c r="H620" s="32" t="str">
        <f>IFERROR((VLOOKUP(F620,'Planilha de Cadastro - Previsão'!$A$2:$N$1100,3,FALSE()))," ")</f>
        <v xml:space="preserve"> </v>
      </c>
      <c r="I620" s="34" t="str">
        <f>IFERROR((VLOOKUP(F620,'Planilha de Cadastro - Previsão'!$A$2:$N$1100,4,FALSE()))," ")</f>
        <v xml:space="preserve"> </v>
      </c>
      <c r="J620" s="34" t="str">
        <f>IFERROR((VLOOKUP(F620,'Planilha de Cadastro - Previsão'!$A$2:$N$1100,5,FALSE()))," ")</f>
        <v xml:space="preserve"> </v>
      </c>
      <c r="K620" s="36"/>
      <c r="L620" s="34" t="str">
        <f t="shared" si="40"/>
        <v/>
      </c>
      <c r="M620" s="35" t="str">
        <f t="shared" si="41"/>
        <v/>
      </c>
      <c r="N620" s="39"/>
      <c r="O620" s="36"/>
    </row>
    <row r="621" spans="1:15" x14ac:dyDescent="0.25">
      <c r="A621">
        <f>COUNTIF($C$2:C621,C621)</f>
        <v>620</v>
      </c>
      <c r="B621" s="1" t="str">
        <f t="shared" si="38"/>
        <v>620</v>
      </c>
      <c r="C621" s="1" t="str">
        <f>IFERROR(VLOOKUP(D621,'Planilha de Cadastro - Previsão'!$A$2:$O$1000,15,FALSE()),"")</f>
        <v/>
      </c>
      <c r="D621" s="1">
        <v>620</v>
      </c>
      <c r="F621" s="32" t="str">
        <f t="shared" si="39"/>
        <v/>
      </c>
      <c r="G621" s="33" t="str">
        <f>IFERROR((VLOOKUP(F621,'Planilha de Cadastro - Previsão'!$A$2:$N$1100,2,FALSE()))," ")</f>
        <v xml:space="preserve"> </v>
      </c>
      <c r="H621" s="32" t="str">
        <f>IFERROR((VLOOKUP(F621,'Planilha de Cadastro - Previsão'!$A$2:$N$1100,3,FALSE()))," ")</f>
        <v xml:space="preserve"> </v>
      </c>
      <c r="I621" s="34" t="str">
        <f>IFERROR((VLOOKUP(F621,'Planilha de Cadastro - Previsão'!$A$2:$N$1100,4,FALSE()))," ")</f>
        <v xml:space="preserve"> </v>
      </c>
      <c r="J621" s="34" t="str">
        <f>IFERROR((VLOOKUP(F621,'Planilha de Cadastro - Previsão'!$A$2:$N$1100,5,FALSE()))," ")</f>
        <v xml:space="preserve"> </v>
      </c>
      <c r="K621" s="36"/>
      <c r="L621" s="34" t="str">
        <f t="shared" si="40"/>
        <v/>
      </c>
      <c r="M621" s="35" t="str">
        <f t="shared" si="41"/>
        <v/>
      </c>
      <c r="N621" s="39"/>
      <c r="O621" s="36"/>
    </row>
    <row r="622" spans="1:15" x14ac:dyDescent="0.25">
      <c r="A622">
        <f>COUNTIF($C$2:C622,C622)</f>
        <v>621</v>
      </c>
      <c r="B622" s="1" t="str">
        <f t="shared" si="38"/>
        <v>621</v>
      </c>
      <c r="C622" s="1" t="str">
        <f>IFERROR(VLOOKUP(D622,'Planilha de Cadastro - Previsão'!$A$2:$O$1000,15,FALSE()),"")</f>
        <v/>
      </c>
      <c r="D622" s="1">
        <v>621</v>
      </c>
      <c r="F622" s="32" t="str">
        <f t="shared" si="39"/>
        <v/>
      </c>
      <c r="G622" s="33" t="str">
        <f>IFERROR((VLOOKUP(F622,'Planilha de Cadastro - Previsão'!$A$2:$N$1100,2,FALSE()))," ")</f>
        <v xml:space="preserve"> </v>
      </c>
      <c r="H622" s="32" t="str">
        <f>IFERROR((VLOOKUP(F622,'Planilha de Cadastro - Previsão'!$A$2:$N$1100,3,FALSE()))," ")</f>
        <v xml:space="preserve"> </v>
      </c>
      <c r="I622" s="34" t="str">
        <f>IFERROR((VLOOKUP(F622,'Planilha de Cadastro - Previsão'!$A$2:$N$1100,4,FALSE()))," ")</f>
        <v xml:space="preserve"> </v>
      </c>
      <c r="J622" s="34" t="str">
        <f>IFERROR((VLOOKUP(F622,'Planilha de Cadastro - Previsão'!$A$2:$N$1100,5,FALSE()))," ")</f>
        <v xml:space="preserve"> </v>
      </c>
      <c r="K622" s="36"/>
      <c r="L622" s="34" t="str">
        <f t="shared" si="40"/>
        <v/>
      </c>
      <c r="M622" s="35" t="str">
        <f t="shared" si="41"/>
        <v/>
      </c>
      <c r="N622" s="39"/>
      <c r="O622" s="36"/>
    </row>
    <row r="623" spans="1:15" x14ac:dyDescent="0.25">
      <c r="A623">
        <f>COUNTIF($C$2:C623,C623)</f>
        <v>622</v>
      </c>
      <c r="B623" s="1" t="str">
        <f t="shared" si="38"/>
        <v>622</v>
      </c>
      <c r="C623" s="1" t="str">
        <f>IFERROR(VLOOKUP(D623,'Planilha de Cadastro - Previsão'!$A$2:$O$1000,15,FALSE()),"")</f>
        <v/>
      </c>
      <c r="D623" s="1">
        <v>622</v>
      </c>
      <c r="F623" s="32" t="str">
        <f t="shared" si="39"/>
        <v/>
      </c>
      <c r="G623" s="33" t="str">
        <f>IFERROR((VLOOKUP(F623,'Planilha de Cadastro - Previsão'!$A$2:$N$1100,2,FALSE()))," ")</f>
        <v xml:space="preserve"> </v>
      </c>
      <c r="H623" s="32" t="str">
        <f>IFERROR((VLOOKUP(F623,'Planilha de Cadastro - Previsão'!$A$2:$N$1100,3,FALSE()))," ")</f>
        <v xml:space="preserve"> </v>
      </c>
      <c r="I623" s="34" t="str">
        <f>IFERROR((VLOOKUP(F623,'Planilha de Cadastro - Previsão'!$A$2:$N$1100,4,FALSE()))," ")</f>
        <v xml:space="preserve"> </v>
      </c>
      <c r="J623" s="34" t="str">
        <f>IFERROR((VLOOKUP(F623,'Planilha de Cadastro - Previsão'!$A$2:$N$1100,5,FALSE()))," ")</f>
        <v xml:space="preserve"> </v>
      </c>
      <c r="K623" s="36"/>
      <c r="L623" s="34" t="str">
        <f t="shared" si="40"/>
        <v/>
      </c>
      <c r="M623" s="35" t="str">
        <f t="shared" si="41"/>
        <v/>
      </c>
      <c r="N623" s="39"/>
      <c r="O623" s="36"/>
    </row>
    <row r="624" spans="1:15" x14ac:dyDescent="0.25">
      <c r="A624">
        <f>COUNTIF($C$2:C624,C624)</f>
        <v>623</v>
      </c>
      <c r="B624" s="1" t="str">
        <f t="shared" si="38"/>
        <v>623</v>
      </c>
      <c r="C624" s="1" t="str">
        <f>IFERROR(VLOOKUP(D624,'Planilha de Cadastro - Previsão'!$A$2:$O$1000,15,FALSE()),"")</f>
        <v/>
      </c>
      <c r="D624" s="1">
        <v>623</v>
      </c>
      <c r="F624" s="32" t="str">
        <f t="shared" si="39"/>
        <v/>
      </c>
      <c r="G624" s="33" t="str">
        <f>IFERROR((VLOOKUP(F624,'Planilha de Cadastro - Previsão'!$A$2:$N$1100,2,FALSE()))," ")</f>
        <v xml:space="preserve"> </v>
      </c>
      <c r="H624" s="32" t="str">
        <f>IFERROR((VLOOKUP(F624,'Planilha de Cadastro - Previsão'!$A$2:$N$1100,3,FALSE()))," ")</f>
        <v xml:space="preserve"> </v>
      </c>
      <c r="I624" s="34" t="str">
        <f>IFERROR((VLOOKUP(F624,'Planilha de Cadastro - Previsão'!$A$2:$N$1100,4,FALSE()))," ")</f>
        <v xml:space="preserve"> </v>
      </c>
      <c r="J624" s="34" t="str">
        <f>IFERROR((VLOOKUP(F624,'Planilha de Cadastro - Previsão'!$A$2:$N$1100,5,FALSE()))," ")</f>
        <v xml:space="preserve"> </v>
      </c>
      <c r="K624" s="36"/>
      <c r="L624" s="34" t="str">
        <f t="shared" si="40"/>
        <v/>
      </c>
      <c r="M624" s="35" t="str">
        <f t="shared" si="41"/>
        <v/>
      </c>
      <c r="N624" s="39"/>
      <c r="O624" s="36"/>
    </row>
    <row r="625" spans="1:15" x14ac:dyDescent="0.25">
      <c r="A625">
        <f>COUNTIF($C$2:C625,C625)</f>
        <v>624</v>
      </c>
      <c r="B625" s="1" t="str">
        <f t="shared" si="38"/>
        <v>624</v>
      </c>
      <c r="C625" s="1" t="str">
        <f>IFERROR(VLOOKUP(D625,'Planilha de Cadastro - Previsão'!$A$2:$O$1000,15,FALSE()),"")</f>
        <v/>
      </c>
      <c r="D625" s="1">
        <v>624</v>
      </c>
      <c r="F625" s="32" t="str">
        <f t="shared" si="39"/>
        <v/>
      </c>
      <c r="G625" s="33" t="str">
        <f>IFERROR((VLOOKUP(F625,'Planilha de Cadastro - Previsão'!$A$2:$N$1100,2,FALSE()))," ")</f>
        <v xml:space="preserve"> </v>
      </c>
      <c r="H625" s="32" t="str">
        <f>IFERROR((VLOOKUP(F625,'Planilha de Cadastro - Previsão'!$A$2:$N$1100,3,FALSE()))," ")</f>
        <v xml:space="preserve"> </v>
      </c>
      <c r="I625" s="34" t="str">
        <f>IFERROR((VLOOKUP(F625,'Planilha de Cadastro - Previsão'!$A$2:$N$1100,4,FALSE()))," ")</f>
        <v xml:space="preserve"> </v>
      </c>
      <c r="J625" s="34" t="str">
        <f>IFERROR((VLOOKUP(F625,'Planilha de Cadastro - Previsão'!$A$2:$N$1100,5,FALSE()))," ")</f>
        <v xml:space="preserve"> </v>
      </c>
      <c r="K625" s="36"/>
      <c r="L625" s="34" t="str">
        <f t="shared" si="40"/>
        <v/>
      </c>
      <c r="M625" s="35" t="str">
        <f t="shared" si="41"/>
        <v/>
      </c>
      <c r="N625" s="39"/>
      <c r="O625" s="36"/>
    </row>
    <row r="626" spans="1:15" x14ac:dyDescent="0.25">
      <c r="A626">
        <f>COUNTIF($C$2:C626,C626)</f>
        <v>625</v>
      </c>
      <c r="B626" s="1" t="str">
        <f t="shared" si="38"/>
        <v>625</v>
      </c>
      <c r="C626" s="1" t="str">
        <f>IFERROR(VLOOKUP(D626,'Planilha de Cadastro - Previsão'!$A$2:$O$1000,15,FALSE()),"")</f>
        <v/>
      </c>
      <c r="D626" s="1">
        <v>625</v>
      </c>
      <c r="F626" s="32" t="str">
        <f t="shared" si="39"/>
        <v/>
      </c>
      <c r="G626" s="33" t="str">
        <f>IFERROR((VLOOKUP(F626,'Planilha de Cadastro - Previsão'!$A$2:$N$1100,2,FALSE()))," ")</f>
        <v xml:space="preserve"> </v>
      </c>
      <c r="H626" s="32" t="str">
        <f>IFERROR((VLOOKUP(F626,'Planilha de Cadastro - Previsão'!$A$2:$N$1100,3,FALSE()))," ")</f>
        <v xml:space="preserve"> </v>
      </c>
      <c r="I626" s="34" t="str">
        <f>IFERROR((VLOOKUP(F626,'Planilha de Cadastro - Previsão'!$A$2:$N$1100,4,FALSE()))," ")</f>
        <v xml:space="preserve"> </v>
      </c>
      <c r="J626" s="34" t="str">
        <f>IFERROR((VLOOKUP(F626,'Planilha de Cadastro - Previsão'!$A$2:$N$1100,5,FALSE()))," ")</f>
        <v xml:space="preserve"> </v>
      </c>
      <c r="K626" s="36"/>
      <c r="L626" s="34" t="str">
        <f t="shared" si="40"/>
        <v/>
      </c>
      <c r="M626" s="35" t="str">
        <f t="shared" si="41"/>
        <v/>
      </c>
      <c r="N626" s="39"/>
      <c r="O626" s="36"/>
    </row>
    <row r="627" spans="1:15" x14ac:dyDescent="0.25">
      <c r="A627">
        <f>COUNTIF($C$2:C627,C627)</f>
        <v>626</v>
      </c>
      <c r="B627" s="1" t="str">
        <f t="shared" si="38"/>
        <v>626</v>
      </c>
      <c r="C627" s="1" t="str">
        <f>IFERROR(VLOOKUP(D627,'Planilha de Cadastro - Previsão'!$A$2:$O$1000,15,FALSE()),"")</f>
        <v/>
      </c>
      <c r="D627" s="1">
        <v>626</v>
      </c>
      <c r="F627" s="32" t="str">
        <f t="shared" si="39"/>
        <v/>
      </c>
      <c r="G627" s="33" t="str">
        <f>IFERROR((VLOOKUP(F627,'Planilha de Cadastro - Previsão'!$A$2:$N$1100,2,FALSE()))," ")</f>
        <v xml:space="preserve"> </v>
      </c>
      <c r="H627" s="32" t="str">
        <f>IFERROR((VLOOKUP(F627,'Planilha de Cadastro - Previsão'!$A$2:$N$1100,3,FALSE()))," ")</f>
        <v xml:space="preserve"> </v>
      </c>
      <c r="I627" s="34" t="str">
        <f>IFERROR((VLOOKUP(F627,'Planilha de Cadastro - Previsão'!$A$2:$N$1100,4,FALSE()))," ")</f>
        <v xml:space="preserve"> </v>
      </c>
      <c r="J627" s="34" t="str">
        <f>IFERROR((VLOOKUP(F627,'Planilha de Cadastro - Previsão'!$A$2:$N$1100,5,FALSE()))," ")</f>
        <v xml:space="preserve"> </v>
      </c>
      <c r="K627" s="36"/>
      <c r="L627" s="34" t="str">
        <f t="shared" si="40"/>
        <v/>
      </c>
      <c r="M627" s="35" t="str">
        <f t="shared" si="41"/>
        <v/>
      </c>
      <c r="N627" s="39"/>
      <c r="O627" s="36"/>
    </row>
    <row r="628" spans="1:15" x14ac:dyDescent="0.25">
      <c r="A628">
        <f>COUNTIF($C$2:C628,C628)</f>
        <v>627</v>
      </c>
      <c r="B628" s="1" t="str">
        <f t="shared" si="38"/>
        <v>627</v>
      </c>
      <c r="C628" s="1" t="str">
        <f>IFERROR(VLOOKUP(D628,'Planilha de Cadastro - Previsão'!$A$2:$O$1000,15,FALSE()),"")</f>
        <v/>
      </c>
      <c r="D628" s="1">
        <v>627</v>
      </c>
      <c r="F628" s="32" t="str">
        <f t="shared" si="39"/>
        <v/>
      </c>
      <c r="G628" s="33" t="str">
        <f>IFERROR((VLOOKUP(F628,'Planilha de Cadastro - Previsão'!$A$2:$N$1100,2,FALSE()))," ")</f>
        <v xml:space="preserve"> </v>
      </c>
      <c r="H628" s="32" t="str">
        <f>IFERROR((VLOOKUP(F628,'Planilha de Cadastro - Previsão'!$A$2:$N$1100,3,FALSE()))," ")</f>
        <v xml:space="preserve"> </v>
      </c>
      <c r="I628" s="34" t="str">
        <f>IFERROR((VLOOKUP(F628,'Planilha de Cadastro - Previsão'!$A$2:$N$1100,4,FALSE()))," ")</f>
        <v xml:space="preserve"> </v>
      </c>
      <c r="J628" s="34" t="str">
        <f>IFERROR((VLOOKUP(F628,'Planilha de Cadastro - Previsão'!$A$2:$N$1100,5,FALSE()))," ")</f>
        <v xml:space="preserve"> </v>
      </c>
      <c r="K628" s="36"/>
      <c r="L628" s="34" t="str">
        <f t="shared" si="40"/>
        <v/>
      </c>
      <c r="M628" s="35" t="str">
        <f t="shared" si="41"/>
        <v/>
      </c>
      <c r="N628" s="39"/>
      <c r="O628" s="36"/>
    </row>
    <row r="629" spans="1:15" x14ac:dyDescent="0.25">
      <c r="A629">
        <f>COUNTIF($C$2:C629,C629)</f>
        <v>628</v>
      </c>
      <c r="B629" s="1" t="str">
        <f t="shared" si="38"/>
        <v>628</v>
      </c>
      <c r="C629" s="1" t="str">
        <f>IFERROR(VLOOKUP(D629,'Planilha de Cadastro - Previsão'!$A$2:$O$1000,15,FALSE()),"")</f>
        <v/>
      </c>
      <c r="D629" s="1">
        <v>628</v>
      </c>
      <c r="F629" s="32" t="str">
        <f t="shared" si="39"/>
        <v/>
      </c>
      <c r="G629" s="33" t="str">
        <f>IFERROR((VLOOKUP(F629,'Planilha de Cadastro - Previsão'!$A$2:$N$1100,2,FALSE()))," ")</f>
        <v xml:space="preserve"> </v>
      </c>
      <c r="H629" s="32" t="str">
        <f>IFERROR((VLOOKUP(F629,'Planilha de Cadastro - Previsão'!$A$2:$N$1100,3,FALSE()))," ")</f>
        <v xml:space="preserve"> </v>
      </c>
      <c r="I629" s="34" t="str">
        <f>IFERROR((VLOOKUP(F629,'Planilha de Cadastro - Previsão'!$A$2:$N$1100,4,FALSE()))," ")</f>
        <v xml:space="preserve"> </v>
      </c>
      <c r="J629" s="34" t="str">
        <f>IFERROR((VLOOKUP(F629,'Planilha de Cadastro - Previsão'!$A$2:$N$1100,5,FALSE()))," ")</f>
        <v xml:space="preserve"> </v>
      </c>
      <c r="K629" s="36"/>
      <c r="L629" s="34" t="str">
        <f t="shared" si="40"/>
        <v/>
      </c>
      <c r="M629" s="35" t="str">
        <f t="shared" si="41"/>
        <v/>
      </c>
      <c r="N629" s="39"/>
      <c r="O629" s="36"/>
    </row>
    <row r="630" spans="1:15" x14ac:dyDescent="0.25">
      <c r="A630">
        <f>COUNTIF($C$2:C630,C630)</f>
        <v>629</v>
      </c>
      <c r="B630" s="1" t="str">
        <f t="shared" si="38"/>
        <v>629</v>
      </c>
      <c r="C630" s="1" t="str">
        <f>IFERROR(VLOOKUP(D630,'Planilha de Cadastro - Previsão'!$A$2:$O$1000,15,FALSE()),"")</f>
        <v/>
      </c>
      <c r="D630" s="1">
        <v>629</v>
      </c>
      <c r="F630" s="32" t="str">
        <f t="shared" si="39"/>
        <v/>
      </c>
      <c r="G630" s="33" t="str">
        <f>IFERROR((VLOOKUP(F630,'Planilha de Cadastro - Previsão'!$A$2:$N$1100,2,FALSE()))," ")</f>
        <v xml:space="preserve"> </v>
      </c>
      <c r="H630" s="32" t="str">
        <f>IFERROR((VLOOKUP(F630,'Planilha de Cadastro - Previsão'!$A$2:$N$1100,3,FALSE()))," ")</f>
        <v xml:space="preserve"> </v>
      </c>
      <c r="I630" s="34" t="str">
        <f>IFERROR((VLOOKUP(F630,'Planilha de Cadastro - Previsão'!$A$2:$N$1100,4,FALSE()))," ")</f>
        <v xml:space="preserve"> </v>
      </c>
      <c r="J630" s="34" t="str">
        <f>IFERROR((VLOOKUP(F630,'Planilha de Cadastro - Previsão'!$A$2:$N$1100,5,FALSE()))," ")</f>
        <v xml:space="preserve"> </v>
      </c>
      <c r="K630" s="36"/>
      <c r="L630" s="34" t="str">
        <f t="shared" si="40"/>
        <v/>
      </c>
      <c r="M630" s="35" t="str">
        <f t="shared" si="41"/>
        <v/>
      </c>
      <c r="N630" s="39"/>
      <c r="O630" s="36"/>
    </row>
    <row r="631" spans="1:15" x14ac:dyDescent="0.25">
      <c r="A631">
        <f>COUNTIF($C$2:C631,C631)</f>
        <v>630</v>
      </c>
      <c r="B631" s="1" t="str">
        <f t="shared" si="38"/>
        <v>630</v>
      </c>
      <c r="C631" s="1" t="str">
        <f>IFERROR(VLOOKUP(D631,'Planilha de Cadastro - Previsão'!$A$2:$O$1000,15,FALSE()),"")</f>
        <v/>
      </c>
      <c r="D631" s="1">
        <v>630</v>
      </c>
      <c r="F631" s="32" t="str">
        <f t="shared" si="39"/>
        <v/>
      </c>
      <c r="G631" s="33" t="str">
        <f>IFERROR((VLOOKUP(F631,'Planilha de Cadastro - Previsão'!$A$2:$N$1100,2,FALSE()))," ")</f>
        <v xml:space="preserve"> </v>
      </c>
      <c r="H631" s="32" t="str">
        <f>IFERROR((VLOOKUP(F631,'Planilha de Cadastro - Previsão'!$A$2:$N$1100,3,FALSE()))," ")</f>
        <v xml:space="preserve"> </v>
      </c>
      <c r="I631" s="34" t="str">
        <f>IFERROR((VLOOKUP(F631,'Planilha de Cadastro - Previsão'!$A$2:$N$1100,4,FALSE()))," ")</f>
        <v xml:space="preserve"> </v>
      </c>
      <c r="J631" s="34" t="str">
        <f>IFERROR((VLOOKUP(F631,'Planilha de Cadastro - Previsão'!$A$2:$N$1100,5,FALSE()))," ")</f>
        <v xml:space="preserve"> </v>
      </c>
      <c r="K631" s="36"/>
      <c r="L631" s="34" t="str">
        <f t="shared" si="40"/>
        <v/>
      </c>
      <c r="M631" s="35" t="str">
        <f t="shared" si="41"/>
        <v/>
      </c>
      <c r="N631" s="39"/>
      <c r="O631" s="36"/>
    </row>
    <row r="632" spans="1:15" x14ac:dyDescent="0.25">
      <c r="A632">
        <f>COUNTIF($C$2:C632,C632)</f>
        <v>631</v>
      </c>
      <c r="B632" s="1" t="str">
        <f t="shared" si="38"/>
        <v>631</v>
      </c>
      <c r="C632" s="1" t="str">
        <f>IFERROR(VLOOKUP(D632,'Planilha de Cadastro - Previsão'!$A$2:$O$1000,15,FALSE()),"")</f>
        <v/>
      </c>
      <c r="D632" s="1">
        <v>631</v>
      </c>
      <c r="F632" s="32" t="str">
        <f t="shared" si="39"/>
        <v/>
      </c>
      <c r="G632" s="33" t="str">
        <f>IFERROR((VLOOKUP(F632,'Planilha de Cadastro - Previsão'!$A$2:$N$1100,2,FALSE()))," ")</f>
        <v xml:space="preserve"> </v>
      </c>
      <c r="H632" s="32" t="str">
        <f>IFERROR((VLOOKUP(F632,'Planilha de Cadastro - Previsão'!$A$2:$N$1100,3,FALSE()))," ")</f>
        <v xml:space="preserve"> </v>
      </c>
      <c r="I632" s="34" t="str">
        <f>IFERROR((VLOOKUP(F632,'Planilha de Cadastro - Previsão'!$A$2:$N$1100,4,FALSE()))," ")</f>
        <v xml:space="preserve"> </v>
      </c>
      <c r="J632" s="34" t="str">
        <f>IFERROR((VLOOKUP(F632,'Planilha de Cadastro - Previsão'!$A$2:$N$1100,5,FALSE()))," ")</f>
        <v xml:space="preserve"> </v>
      </c>
      <c r="K632" s="36"/>
      <c r="L632" s="34" t="str">
        <f t="shared" si="40"/>
        <v/>
      </c>
      <c r="M632" s="35" t="str">
        <f t="shared" si="41"/>
        <v/>
      </c>
      <c r="N632" s="39"/>
      <c r="O632" s="36"/>
    </row>
    <row r="633" spans="1:15" x14ac:dyDescent="0.25">
      <c r="A633">
        <f>COUNTIF($C$2:C633,C633)</f>
        <v>632</v>
      </c>
      <c r="B633" s="1" t="str">
        <f t="shared" si="38"/>
        <v>632</v>
      </c>
      <c r="C633" s="1" t="str">
        <f>IFERROR(VLOOKUP(D633,'Planilha de Cadastro - Previsão'!$A$2:$O$1000,15,FALSE()),"")</f>
        <v/>
      </c>
      <c r="D633" s="1">
        <v>632</v>
      </c>
      <c r="F633" s="32" t="str">
        <f t="shared" si="39"/>
        <v/>
      </c>
      <c r="G633" s="33" t="str">
        <f>IFERROR((VLOOKUP(F633,'Planilha de Cadastro - Previsão'!$A$2:$N$1100,2,FALSE()))," ")</f>
        <v xml:space="preserve"> </v>
      </c>
      <c r="H633" s="32" t="str">
        <f>IFERROR((VLOOKUP(F633,'Planilha de Cadastro - Previsão'!$A$2:$N$1100,3,FALSE()))," ")</f>
        <v xml:space="preserve"> </v>
      </c>
      <c r="I633" s="34" t="str">
        <f>IFERROR((VLOOKUP(F633,'Planilha de Cadastro - Previsão'!$A$2:$N$1100,4,FALSE()))," ")</f>
        <v xml:space="preserve"> </v>
      </c>
      <c r="J633" s="34" t="str">
        <f>IFERROR((VLOOKUP(F633,'Planilha de Cadastro - Previsão'!$A$2:$N$1100,5,FALSE()))," ")</f>
        <v xml:space="preserve"> </v>
      </c>
      <c r="K633" s="36"/>
      <c r="L633" s="34" t="str">
        <f t="shared" si="40"/>
        <v/>
      </c>
      <c r="M633" s="35" t="str">
        <f t="shared" si="41"/>
        <v/>
      </c>
      <c r="N633" s="39"/>
      <c r="O633" s="36"/>
    </row>
    <row r="634" spans="1:15" x14ac:dyDescent="0.25">
      <c r="A634">
        <f>COUNTIF($C$2:C634,C634)</f>
        <v>633</v>
      </c>
      <c r="B634" s="1" t="str">
        <f t="shared" si="38"/>
        <v>633</v>
      </c>
      <c r="C634" s="1" t="str">
        <f>IFERROR(VLOOKUP(D634,'Planilha de Cadastro - Previsão'!$A$2:$O$1000,15,FALSE()),"")</f>
        <v/>
      </c>
      <c r="D634" s="1">
        <v>633</v>
      </c>
      <c r="F634" s="32" t="str">
        <f t="shared" si="39"/>
        <v/>
      </c>
      <c r="G634" s="33" t="str">
        <f>IFERROR((VLOOKUP(F634,'Planilha de Cadastro - Previsão'!$A$2:$N$1100,2,FALSE()))," ")</f>
        <v xml:space="preserve"> </v>
      </c>
      <c r="H634" s="32" t="str">
        <f>IFERROR((VLOOKUP(F634,'Planilha de Cadastro - Previsão'!$A$2:$N$1100,3,FALSE()))," ")</f>
        <v xml:space="preserve"> </v>
      </c>
      <c r="I634" s="34" t="str">
        <f>IFERROR((VLOOKUP(F634,'Planilha de Cadastro - Previsão'!$A$2:$N$1100,4,FALSE()))," ")</f>
        <v xml:space="preserve"> </v>
      </c>
      <c r="J634" s="34" t="str">
        <f>IFERROR((VLOOKUP(F634,'Planilha de Cadastro - Previsão'!$A$2:$N$1100,5,FALSE()))," ")</f>
        <v xml:space="preserve"> </v>
      </c>
      <c r="K634" s="36"/>
      <c r="L634" s="34" t="str">
        <f t="shared" si="40"/>
        <v/>
      </c>
      <c r="M634" s="35" t="str">
        <f t="shared" si="41"/>
        <v/>
      </c>
      <c r="N634" s="39"/>
      <c r="O634" s="36"/>
    </row>
    <row r="635" spans="1:15" x14ac:dyDescent="0.25">
      <c r="A635">
        <f>COUNTIF($C$2:C635,C635)</f>
        <v>634</v>
      </c>
      <c r="B635" s="1" t="str">
        <f t="shared" si="38"/>
        <v>634</v>
      </c>
      <c r="C635" s="1" t="str">
        <f>IFERROR(VLOOKUP(D635,'Planilha de Cadastro - Previsão'!$A$2:$O$1000,15,FALSE()),"")</f>
        <v/>
      </c>
      <c r="D635" s="1">
        <v>634</v>
      </c>
      <c r="F635" s="32" t="str">
        <f t="shared" si="39"/>
        <v/>
      </c>
      <c r="G635" s="33" t="str">
        <f>IFERROR((VLOOKUP(F635,'Planilha de Cadastro - Previsão'!$A$2:$N$1100,2,FALSE()))," ")</f>
        <v xml:space="preserve"> </v>
      </c>
      <c r="H635" s="32" t="str">
        <f>IFERROR((VLOOKUP(F635,'Planilha de Cadastro - Previsão'!$A$2:$N$1100,3,FALSE()))," ")</f>
        <v xml:space="preserve"> </v>
      </c>
      <c r="I635" s="34" t="str">
        <f>IFERROR((VLOOKUP(F635,'Planilha de Cadastro - Previsão'!$A$2:$N$1100,4,FALSE()))," ")</f>
        <v xml:space="preserve"> </v>
      </c>
      <c r="J635" s="34" t="str">
        <f>IFERROR((VLOOKUP(F635,'Planilha de Cadastro - Previsão'!$A$2:$N$1100,5,FALSE()))," ")</f>
        <v xml:space="preserve"> </v>
      </c>
      <c r="K635" s="36"/>
      <c r="L635" s="34" t="str">
        <f t="shared" si="40"/>
        <v/>
      </c>
      <c r="M635" s="35" t="str">
        <f t="shared" si="41"/>
        <v/>
      </c>
      <c r="N635" s="39"/>
      <c r="O635" s="36"/>
    </row>
    <row r="636" spans="1:15" x14ac:dyDescent="0.25">
      <c r="A636">
        <f>COUNTIF($C$2:C636,C636)</f>
        <v>635</v>
      </c>
      <c r="B636" s="1" t="str">
        <f t="shared" si="38"/>
        <v>635</v>
      </c>
      <c r="C636" s="1" t="str">
        <f>IFERROR(VLOOKUP(D636,'Planilha de Cadastro - Previsão'!$A$2:$O$1000,15,FALSE()),"")</f>
        <v/>
      </c>
      <c r="D636" s="1">
        <v>635</v>
      </c>
      <c r="F636" s="32" t="str">
        <f t="shared" si="39"/>
        <v/>
      </c>
      <c r="G636" s="33" t="str">
        <f>IFERROR((VLOOKUP(F636,'Planilha de Cadastro - Previsão'!$A$2:$N$1100,2,FALSE()))," ")</f>
        <v xml:space="preserve"> </v>
      </c>
      <c r="H636" s="32" t="str">
        <f>IFERROR((VLOOKUP(F636,'Planilha de Cadastro - Previsão'!$A$2:$N$1100,3,FALSE()))," ")</f>
        <v xml:space="preserve"> </v>
      </c>
      <c r="I636" s="34" t="str">
        <f>IFERROR((VLOOKUP(F636,'Planilha de Cadastro - Previsão'!$A$2:$N$1100,4,FALSE()))," ")</f>
        <v xml:space="preserve"> </v>
      </c>
      <c r="J636" s="34" t="str">
        <f>IFERROR((VLOOKUP(F636,'Planilha de Cadastro - Previsão'!$A$2:$N$1100,5,FALSE()))," ")</f>
        <v xml:space="preserve"> </v>
      </c>
      <c r="K636" s="36"/>
      <c r="L636" s="34" t="str">
        <f t="shared" si="40"/>
        <v/>
      </c>
      <c r="M636" s="35" t="str">
        <f t="shared" si="41"/>
        <v/>
      </c>
      <c r="N636" s="39"/>
      <c r="O636" s="36"/>
    </row>
    <row r="637" spans="1:15" x14ac:dyDescent="0.25">
      <c r="A637">
        <f>COUNTIF($C$2:C637,C637)</f>
        <v>636</v>
      </c>
      <c r="B637" s="1" t="str">
        <f t="shared" si="38"/>
        <v>636</v>
      </c>
      <c r="C637" s="1" t="str">
        <f>IFERROR(VLOOKUP(D637,'Planilha de Cadastro - Previsão'!$A$2:$O$1000,15,FALSE()),"")</f>
        <v/>
      </c>
      <c r="D637" s="1">
        <v>636</v>
      </c>
      <c r="F637" s="32" t="str">
        <f t="shared" si="39"/>
        <v/>
      </c>
      <c r="G637" s="33" t="str">
        <f>IFERROR((VLOOKUP(F637,'Planilha de Cadastro - Previsão'!$A$2:$N$1100,2,FALSE()))," ")</f>
        <v xml:space="preserve"> </v>
      </c>
      <c r="H637" s="32" t="str">
        <f>IFERROR((VLOOKUP(F637,'Planilha de Cadastro - Previsão'!$A$2:$N$1100,3,FALSE()))," ")</f>
        <v xml:space="preserve"> </v>
      </c>
      <c r="I637" s="34" t="str">
        <f>IFERROR((VLOOKUP(F637,'Planilha de Cadastro - Previsão'!$A$2:$N$1100,4,FALSE()))," ")</f>
        <v xml:space="preserve"> </v>
      </c>
      <c r="J637" s="34" t="str">
        <f>IFERROR((VLOOKUP(F637,'Planilha de Cadastro - Previsão'!$A$2:$N$1100,5,FALSE()))," ")</f>
        <v xml:space="preserve"> </v>
      </c>
      <c r="K637" s="36"/>
      <c r="L637" s="34" t="str">
        <f t="shared" si="40"/>
        <v/>
      </c>
      <c r="M637" s="35" t="str">
        <f t="shared" si="41"/>
        <v/>
      </c>
      <c r="N637" s="39"/>
      <c r="O637" s="36"/>
    </row>
    <row r="638" spans="1:15" x14ac:dyDescent="0.25">
      <c r="A638">
        <f>COUNTIF($C$2:C638,C638)</f>
        <v>637</v>
      </c>
      <c r="B638" s="1" t="str">
        <f t="shared" si="38"/>
        <v>637</v>
      </c>
      <c r="C638" s="1" t="str">
        <f>IFERROR(VLOOKUP(D638,'Planilha de Cadastro - Previsão'!$A$2:$O$1000,15,FALSE()),"")</f>
        <v/>
      </c>
      <c r="D638" s="1">
        <v>637</v>
      </c>
      <c r="F638" s="32" t="str">
        <f t="shared" si="39"/>
        <v/>
      </c>
      <c r="G638" s="33" t="str">
        <f>IFERROR((VLOOKUP(F638,'Planilha de Cadastro - Previsão'!$A$2:$N$1100,2,FALSE()))," ")</f>
        <v xml:space="preserve"> </v>
      </c>
      <c r="H638" s="32" t="str">
        <f>IFERROR((VLOOKUP(F638,'Planilha de Cadastro - Previsão'!$A$2:$N$1100,3,FALSE()))," ")</f>
        <v xml:space="preserve"> </v>
      </c>
      <c r="I638" s="34" t="str">
        <f>IFERROR((VLOOKUP(F638,'Planilha de Cadastro - Previsão'!$A$2:$N$1100,4,FALSE()))," ")</f>
        <v xml:space="preserve"> </v>
      </c>
      <c r="J638" s="34" t="str">
        <f>IFERROR((VLOOKUP(F638,'Planilha de Cadastro - Previsão'!$A$2:$N$1100,5,FALSE()))," ")</f>
        <v xml:space="preserve"> </v>
      </c>
      <c r="K638" s="36"/>
      <c r="L638" s="34" t="str">
        <f t="shared" si="40"/>
        <v/>
      </c>
      <c r="M638" s="35" t="str">
        <f t="shared" si="41"/>
        <v/>
      </c>
      <c r="N638" s="39"/>
      <c r="O638" s="36"/>
    </row>
    <row r="639" spans="1:15" x14ac:dyDescent="0.25">
      <c r="A639">
        <f>COUNTIF($C$2:C639,C639)</f>
        <v>638</v>
      </c>
      <c r="B639" s="1" t="str">
        <f t="shared" si="38"/>
        <v>638</v>
      </c>
      <c r="C639" s="1" t="str">
        <f>IFERROR(VLOOKUP(D639,'Planilha de Cadastro - Previsão'!$A$2:$O$1000,15,FALSE()),"")</f>
        <v/>
      </c>
      <c r="D639" s="1">
        <v>638</v>
      </c>
      <c r="F639" s="32" t="str">
        <f t="shared" si="39"/>
        <v/>
      </c>
      <c r="G639" s="33" t="str">
        <f>IFERROR((VLOOKUP(F639,'Planilha de Cadastro - Previsão'!$A$2:$N$1100,2,FALSE()))," ")</f>
        <v xml:space="preserve"> </v>
      </c>
      <c r="H639" s="32" t="str">
        <f>IFERROR((VLOOKUP(F639,'Planilha de Cadastro - Previsão'!$A$2:$N$1100,3,FALSE()))," ")</f>
        <v xml:space="preserve"> </v>
      </c>
      <c r="I639" s="34" t="str">
        <f>IFERROR((VLOOKUP(F639,'Planilha de Cadastro - Previsão'!$A$2:$N$1100,4,FALSE()))," ")</f>
        <v xml:space="preserve"> </v>
      </c>
      <c r="J639" s="34" t="str">
        <f>IFERROR((VLOOKUP(F639,'Planilha de Cadastro - Previsão'!$A$2:$N$1100,5,FALSE()))," ")</f>
        <v xml:space="preserve"> </v>
      </c>
      <c r="K639" s="36"/>
      <c r="L639" s="34" t="str">
        <f t="shared" si="40"/>
        <v/>
      </c>
      <c r="M639" s="35" t="str">
        <f t="shared" si="41"/>
        <v/>
      </c>
      <c r="N639" s="39"/>
      <c r="O639" s="36"/>
    </row>
    <row r="640" spans="1:15" x14ac:dyDescent="0.25">
      <c r="A640">
        <f>COUNTIF($C$2:C640,C640)</f>
        <v>639</v>
      </c>
      <c r="B640" s="1" t="str">
        <f t="shared" si="38"/>
        <v>639</v>
      </c>
      <c r="C640" s="1" t="str">
        <f>IFERROR(VLOOKUP(D640,'Planilha de Cadastro - Previsão'!$A$2:$O$1000,15,FALSE()),"")</f>
        <v/>
      </c>
      <c r="D640" s="1">
        <v>639</v>
      </c>
      <c r="F640" s="32" t="str">
        <f t="shared" si="39"/>
        <v/>
      </c>
      <c r="G640" s="33" t="str">
        <f>IFERROR((VLOOKUP(F640,'Planilha de Cadastro - Previsão'!$A$2:$N$1100,2,FALSE()))," ")</f>
        <v xml:space="preserve"> </v>
      </c>
      <c r="H640" s="32" t="str">
        <f>IFERROR((VLOOKUP(F640,'Planilha de Cadastro - Previsão'!$A$2:$N$1100,3,FALSE()))," ")</f>
        <v xml:space="preserve"> </v>
      </c>
      <c r="I640" s="34" t="str">
        <f>IFERROR((VLOOKUP(F640,'Planilha de Cadastro - Previsão'!$A$2:$N$1100,4,FALSE()))," ")</f>
        <v xml:space="preserve"> </v>
      </c>
      <c r="J640" s="34" t="str">
        <f>IFERROR((VLOOKUP(F640,'Planilha de Cadastro - Previsão'!$A$2:$N$1100,5,FALSE()))," ")</f>
        <v xml:space="preserve"> </v>
      </c>
      <c r="K640" s="36"/>
      <c r="L640" s="34" t="str">
        <f t="shared" si="40"/>
        <v/>
      </c>
      <c r="M640" s="35" t="str">
        <f t="shared" si="41"/>
        <v/>
      </c>
      <c r="N640" s="39"/>
      <c r="O640" s="36"/>
    </row>
    <row r="641" spans="1:15" x14ac:dyDescent="0.25">
      <c r="A641">
        <f>COUNTIF($C$2:C641,C641)</f>
        <v>640</v>
      </c>
      <c r="B641" s="1" t="str">
        <f t="shared" si="38"/>
        <v>640</v>
      </c>
      <c r="C641" s="1" t="str">
        <f>IFERROR(VLOOKUP(D641,'Planilha de Cadastro - Previsão'!$A$2:$O$1000,15,FALSE()),"")</f>
        <v/>
      </c>
      <c r="D641" s="1">
        <v>640</v>
      </c>
      <c r="F641" s="32" t="str">
        <f t="shared" si="39"/>
        <v/>
      </c>
      <c r="G641" s="33" t="str">
        <f>IFERROR((VLOOKUP(F641,'Planilha de Cadastro - Previsão'!$A$2:$N$1100,2,FALSE()))," ")</f>
        <v xml:space="preserve"> </v>
      </c>
      <c r="H641" s="32" t="str">
        <f>IFERROR((VLOOKUP(F641,'Planilha de Cadastro - Previsão'!$A$2:$N$1100,3,FALSE()))," ")</f>
        <v xml:space="preserve"> </v>
      </c>
      <c r="I641" s="34" t="str">
        <f>IFERROR((VLOOKUP(F641,'Planilha de Cadastro - Previsão'!$A$2:$N$1100,4,FALSE()))," ")</f>
        <v xml:space="preserve"> </v>
      </c>
      <c r="J641" s="34" t="str">
        <f>IFERROR((VLOOKUP(F641,'Planilha de Cadastro - Previsão'!$A$2:$N$1100,5,FALSE()))," ")</f>
        <v xml:space="preserve"> </v>
      </c>
      <c r="K641" s="36"/>
      <c r="L641" s="34" t="str">
        <f t="shared" si="40"/>
        <v/>
      </c>
      <c r="M641" s="35" t="str">
        <f t="shared" si="41"/>
        <v/>
      </c>
      <c r="N641" s="39"/>
      <c r="O641" s="36"/>
    </row>
    <row r="642" spans="1:15" x14ac:dyDescent="0.25">
      <c r="A642">
        <f>COUNTIF($C$2:C642,C642)</f>
        <v>641</v>
      </c>
      <c r="B642" s="1" t="str">
        <f t="shared" si="38"/>
        <v>641</v>
      </c>
      <c r="C642" s="1" t="str">
        <f>IFERROR(VLOOKUP(D642,'Planilha de Cadastro - Previsão'!$A$2:$O$1000,15,FALSE()),"")</f>
        <v/>
      </c>
      <c r="D642" s="1">
        <v>641</v>
      </c>
      <c r="F642" s="32" t="str">
        <f t="shared" si="39"/>
        <v/>
      </c>
      <c r="G642" s="33" t="str">
        <f>IFERROR((VLOOKUP(F642,'Planilha de Cadastro - Previsão'!$A$2:$N$1100,2,FALSE()))," ")</f>
        <v xml:space="preserve"> </v>
      </c>
      <c r="H642" s="32" t="str">
        <f>IFERROR((VLOOKUP(F642,'Planilha de Cadastro - Previsão'!$A$2:$N$1100,3,FALSE()))," ")</f>
        <v xml:space="preserve"> </v>
      </c>
      <c r="I642" s="34" t="str">
        <f>IFERROR((VLOOKUP(F642,'Planilha de Cadastro - Previsão'!$A$2:$N$1100,4,FALSE()))," ")</f>
        <v xml:space="preserve"> </v>
      </c>
      <c r="J642" s="34" t="str">
        <f>IFERROR((VLOOKUP(F642,'Planilha de Cadastro - Previsão'!$A$2:$N$1100,5,FALSE()))," ")</f>
        <v xml:space="preserve"> </v>
      </c>
      <c r="K642" s="36"/>
      <c r="L642" s="34" t="str">
        <f t="shared" si="40"/>
        <v/>
      </c>
      <c r="M642" s="35" t="str">
        <f t="shared" si="41"/>
        <v/>
      </c>
      <c r="N642" s="39"/>
      <c r="O642" s="36"/>
    </row>
    <row r="643" spans="1:15" x14ac:dyDescent="0.25">
      <c r="A643">
        <f>COUNTIF($C$2:C643,C643)</f>
        <v>642</v>
      </c>
      <c r="B643" s="1" t="str">
        <f t="shared" ref="B643:B706" si="42">IFERROR(CONCATENATE(C643,A643),"")</f>
        <v>642</v>
      </c>
      <c r="C643" s="1" t="str">
        <f>IFERROR(VLOOKUP(D643,'Planilha de Cadastro - Previsão'!$A$2:$O$1000,15,FALSE()),"")</f>
        <v/>
      </c>
      <c r="D643" s="1">
        <v>642</v>
      </c>
      <c r="F643" s="32" t="str">
        <f t="shared" ref="F643:F706" si="43">IFERROR((VLOOKUP(CONCATENATE("Sim",D643),$B$2:$D$1000,3,FALSE())),"")</f>
        <v/>
      </c>
      <c r="G643" s="33" t="str">
        <f>IFERROR((VLOOKUP(F643,'Planilha de Cadastro - Previsão'!$A$2:$N$1100,2,FALSE()))," ")</f>
        <v xml:space="preserve"> </v>
      </c>
      <c r="H643" s="32" t="str">
        <f>IFERROR((VLOOKUP(F643,'Planilha de Cadastro - Previsão'!$A$2:$N$1100,3,FALSE()))," ")</f>
        <v xml:space="preserve"> </v>
      </c>
      <c r="I643" s="34" t="str">
        <f>IFERROR((VLOOKUP(F643,'Planilha de Cadastro - Previsão'!$A$2:$N$1100,4,FALSE()))," ")</f>
        <v xml:space="preserve"> </v>
      </c>
      <c r="J643" s="34" t="str">
        <f>IFERROR((VLOOKUP(F643,'Planilha de Cadastro - Previsão'!$A$2:$N$1100,5,FALSE()))," ")</f>
        <v xml:space="preserve"> </v>
      </c>
      <c r="K643" s="36"/>
      <c r="L643" s="34" t="str">
        <f t="shared" ref="L643:L706" si="44">IF(K643&gt;0,(K643*H643)-(I643*H643)-(K643*H643*4%),"")</f>
        <v/>
      </c>
      <c r="M643" s="35" t="str">
        <f t="shared" ref="M643:M706" si="45">IFERROR(L643/(K643*H643),"")</f>
        <v/>
      </c>
      <c r="N643" s="39"/>
      <c r="O643" s="36"/>
    </row>
    <row r="644" spans="1:15" x14ac:dyDescent="0.25">
      <c r="A644">
        <f>COUNTIF($C$2:C644,C644)</f>
        <v>643</v>
      </c>
      <c r="B644" s="1" t="str">
        <f t="shared" si="42"/>
        <v>643</v>
      </c>
      <c r="C644" s="1" t="str">
        <f>IFERROR(VLOOKUP(D644,'Planilha de Cadastro - Previsão'!$A$2:$O$1000,15,FALSE()),"")</f>
        <v/>
      </c>
      <c r="D644" s="1">
        <v>643</v>
      </c>
      <c r="F644" s="32" t="str">
        <f t="shared" si="43"/>
        <v/>
      </c>
      <c r="G644" s="33" t="str">
        <f>IFERROR((VLOOKUP(F644,'Planilha de Cadastro - Previsão'!$A$2:$N$1100,2,FALSE()))," ")</f>
        <v xml:space="preserve"> </v>
      </c>
      <c r="H644" s="32" t="str">
        <f>IFERROR((VLOOKUP(F644,'Planilha de Cadastro - Previsão'!$A$2:$N$1100,3,FALSE()))," ")</f>
        <v xml:space="preserve"> </v>
      </c>
      <c r="I644" s="34" t="str">
        <f>IFERROR((VLOOKUP(F644,'Planilha de Cadastro - Previsão'!$A$2:$N$1100,4,FALSE()))," ")</f>
        <v xml:space="preserve"> </v>
      </c>
      <c r="J644" s="34" t="str">
        <f>IFERROR((VLOOKUP(F644,'Planilha de Cadastro - Previsão'!$A$2:$N$1100,5,FALSE()))," ")</f>
        <v xml:space="preserve"> </v>
      </c>
      <c r="K644" s="36"/>
      <c r="L644" s="34" t="str">
        <f t="shared" si="44"/>
        <v/>
      </c>
      <c r="M644" s="35" t="str">
        <f t="shared" si="45"/>
        <v/>
      </c>
      <c r="N644" s="39"/>
      <c r="O644" s="36"/>
    </row>
    <row r="645" spans="1:15" x14ac:dyDescent="0.25">
      <c r="A645">
        <f>COUNTIF($C$2:C645,C645)</f>
        <v>644</v>
      </c>
      <c r="B645" s="1" t="str">
        <f t="shared" si="42"/>
        <v>644</v>
      </c>
      <c r="C645" s="1" t="str">
        <f>IFERROR(VLOOKUP(D645,'Planilha de Cadastro - Previsão'!$A$2:$O$1000,15,FALSE()),"")</f>
        <v/>
      </c>
      <c r="D645" s="1">
        <v>644</v>
      </c>
      <c r="F645" s="32" t="str">
        <f t="shared" si="43"/>
        <v/>
      </c>
      <c r="G645" s="33" t="str">
        <f>IFERROR((VLOOKUP(F645,'Planilha de Cadastro - Previsão'!$A$2:$N$1100,2,FALSE()))," ")</f>
        <v xml:space="preserve"> </v>
      </c>
      <c r="H645" s="32" t="str">
        <f>IFERROR((VLOOKUP(F645,'Planilha de Cadastro - Previsão'!$A$2:$N$1100,3,FALSE()))," ")</f>
        <v xml:space="preserve"> </v>
      </c>
      <c r="I645" s="34" t="str">
        <f>IFERROR((VLOOKUP(F645,'Planilha de Cadastro - Previsão'!$A$2:$N$1100,4,FALSE()))," ")</f>
        <v xml:space="preserve"> </v>
      </c>
      <c r="J645" s="34" t="str">
        <f>IFERROR((VLOOKUP(F645,'Planilha de Cadastro - Previsão'!$A$2:$N$1100,5,FALSE()))," ")</f>
        <v xml:space="preserve"> </v>
      </c>
      <c r="K645" s="36"/>
      <c r="L645" s="34" t="str">
        <f t="shared" si="44"/>
        <v/>
      </c>
      <c r="M645" s="35" t="str">
        <f t="shared" si="45"/>
        <v/>
      </c>
      <c r="N645" s="39"/>
      <c r="O645" s="36"/>
    </row>
    <row r="646" spans="1:15" x14ac:dyDescent="0.25">
      <c r="A646">
        <f>COUNTIF($C$2:C646,C646)</f>
        <v>645</v>
      </c>
      <c r="B646" s="1" t="str">
        <f t="shared" si="42"/>
        <v>645</v>
      </c>
      <c r="C646" s="1" t="str">
        <f>IFERROR(VLOOKUP(D646,'Planilha de Cadastro - Previsão'!$A$2:$O$1000,15,FALSE()),"")</f>
        <v/>
      </c>
      <c r="D646" s="1">
        <v>645</v>
      </c>
      <c r="F646" s="32" t="str">
        <f t="shared" si="43"/>
        <v/>
      </c>
      <c r="G646" s="33" t="str">
        <f>IFERROR((VLOOKUP(F646,'Planilha de Cadastro - Previsão'!$A$2:$N$1100,2,FALSE()))," ")</f>
        <v xml:space="preserve"> </v>
      </c>
      <c r="H646" s="32" t="str">
        <f>IFERROR((VLOOKUP(F646,'Planilha de Cadastro - Previsão'!$A$2:$N$1100,3,FALSE()))," ")</f>
        <v xml:space="preserve"> </v>
      </c>
      <c r="I646" s="34" t="str">
        <f>IFERROR((VLOOKUP(F646,'Planilha de Cadastro - Previsão'!$A$2:$N$1100,4,FALSE()))," ")</f>
        <v xml:space="preserve"> </v>
      </c>
      <c r="J646" s="34" t="str">
        <f>IFERROR((VLOOKUP(F646,'Planilha de Cadastro - Previsão'!$A$2:$N$1100,5,FALSE()))," ")</f>
        <v xml:space="preserve"> </v>
      </c>
      <c r="K646" s="36"/>
      <c r="L646" s="34" t="str">
        <f t="shared" si="44"/>
        <v/>
      </c>
      <c r="M646" s="35" t="str">
        <f t="shared" si="45"/>
        <v/>
      </c>
      <c r="N646" s="39"/>
      <c r="O646" s="36"/>
    </row>
    <row r="647" spans="1:15" x14ac:dyDescent="0.25">
      <c r="A647">
        <f>COUNTIF($C$2:C647,C647)</f>
        <v>646</v>
      </c>
      <c r="B647" s="1" t="str">
        <f t="shared" si="42"/>
        <v>646</v>
      </c>
      <c r="C647" s="1" t="str">
        <f>IFERROR(VLOOKUP(D647,'Planilha de Cadastro - Previsão'!$A$2:$O$1000,15,FALSE()),"")</f>
        <v/>
      </c>
      <c r="D647" s="1">
        <v>646</v>
      </c>
      <c r="F647" s="32" t="str">
        <f t="shared" si="43"/>
        <v/>
      </c>
      <c r="G647" s="33" t="str">
        <f>IFERROR((VLOOKUP(F647,'Planilha de Cadastro - Previsão'!$A$2:$N$1100,2,FALSE()))," ")</f>
        <v xml:space="preserve"> </v>
      </c>
      <c r="H647" s="32" t="str">
        <f>IFERROR((VLOOKUP(F647,'Planilha de Cadastro - Previsão'!$A$2:$N$1100,3,FALSE()))," ")</f>
        <v xml:space="preserve"> </v>
      </c>
      <c r="I647" s="34" t="str">
        <f>IFERROR((VLOOKUP(F647,'Planilha de Cadastro - Previsão'!$A$2:$N$1100,4,FALSE()))," ")</f>
        <v xml:space="preserve"> </v>
      </c>
      <c r="J647" s="34" t="str">
        <f>IFERROR((VLOOKUP(F647,'Planilha de Cadastro - Previsão'!$A$2:$N$1100,5,FALSE()))," ")</f>
        <v xml:space="preserve"> </v>
      </c>
      <c r="K647" s="36"/>
      <c r="L647" s="34" t="str">
        <f t="shared" si="44"/>
        <v/>
      </c>
      <c r="M647" s="35" t="str">
        <f t="shared" si="45"/>
        <v/>
      </c>
      <c r="N647" s="39"/>
      <c r="O647" s="36"/>
    </row>
    <row r="648" spans="1:15" x14ac:dyDescent="0.25">
      <c r="A648">
        <f>COUNTIF($C$2:C648,C648)</f>
        <v>647</v>
      </c>
      <c r="B648" s="1" t="str">
        <f t="shared" si="42"/>
        <v>647</v>
      </c>
      <c r="C648" s="1" t="str">
        <f>IFERROR(VLOOKUP(D648,'Planilha de Cadastro - Previsão'!$A$2:$O$1000,15,FALSE()),"")</f>
        <v/>
      </c>
      <c r="D648" s="1">
        <v>647</v>
      </c>
      <c r="F648" s="32" t="str">
        <f t="shared" si="43"/>
        <v/>
      </c>
      <c r="G648" s="33" t="str">
        <f>IFERROR((VLOOKUP(F648,'Planilha de Cadastro - Previsão'!$A$2:$N$1100,2,FALSE()))," ")</f>
        <v xml:space="preserve"> </v>
      </c>
      <c r="H648" s="32" t="str">
        <f>IFERROR((VLOOKUP(F648,'Planilha de Cadastro - Previsão'!$A$2:$N$1100,3,FALSE()))," ")</f>
        <v xml:space="preserve"> </v>
      </c>
      <c r="I648" s="34" t="str">
        <f>IFERROR((VLOOKUP(F648,'Planilha de Cadastro - Previsão'!$A$2:$N$1100,4,FALSE()))," ")</f>
        <v xml:space="preserve"> </v>
      </c>
      <c r="J648" s="34" t="str">
        <f>IFERROR((VLOOKUP(F648,'Planilha de Cadastro - Previsão'!$A$2:$N$1100,5,FALSE()))," ")</f>
        <v xml:space="preserve"> </v>
      </c>
      <c r="K648" s="36"/>
      <c r="L648" s="34" t="str">
        <f t="shared" si="44"/>
        <v/>
      </c>
      <c r="M648" s="35" t="str">
        <f t="shared" si="45"/>
        <v/>
      </c>
      <c r="N648" s="39"/>
      <c r="O648" s="36"/>
    </row>
    <row r="649" spans="1:15" x14ac:dyDescent="0.25">
      <c r="A649">
        <f>COUNTIF($C$2:C649,C649)</f>
        <v>648</v>
      </c>
      <c r="B649" s="1" t="str">
        <f t="shared" si="42"/>
        <v>648</v>
      </c>
      <c r="C649" s="1" t="str">
        <f>IFERROR(VLOOKUP(D649,'Planilha de Cadastro - Previsão'!$A$2:$O$1000,15,FALSE()),"")</f>
        <v/>
      </c>
      <c r="D649" s="1">
        <v>648</v>
      </c>
      <c r="F649" s="32" t="str">
        <f t="shared" si="43"/>
        <v/>
      </c>
      <c r="G649" s="33" t="str">
        <f>IFERROR((VLOOKUP(F649,'Planilha de Cadastro - Previsão'!$A$2:$N$1100,2,FALSE()))," ")</f>
        <v xml:space="preserve"> </v>
      </c>
      <c r="H649" s="32" t="str">
        <f>IFERROR((VLOOKUP(F649,'Planilha de Cadastro - Previsão'!$A$2:$N$1100,3,FALSE()))," ")</f>
        <v xml:space="preserve"> </v>
      </c>
      <c r="I649" s="34" t="str">
        <f>IFERROR((VLOOKUP(F649,'Planilha de Cadastro - Previsão'!$A$2:$N$1100,4,FALSE()))," ")</f>
        <v xml:space="preserve"> </v>
      </c>
      <c r="J649" s="34" t="str">
        <f>IFERROR((VLOOKUP(F649,'Planilha de Cadastro - Previsão'!$A$2:$N$1100,5,FALSE()))," ")</f>
        <v xml:space="preserve"> </v>
      </c>
      <c r="K649" s="36"/>
      <c r="L649" s="34" t="str">
        <f t="shared" si="44"/>
        <v/>
      </c>
      <c r="M649" s="35" t="str">
        <f t="shared" si="45"/>
        <v/>
      </c>
      <c r="N649" s="39"/>
      <c r="O649" s="36"/>
    </row>
    <row r="650" spans="1:15" x14ac:dyDescent="0.25">
      <c r="A650">
        <f>COUNTIF($C$2:C650,C650)</f>
        <v>649</v>
      </c>
      <c r="B650" s="1" t="str">
        <f t="shared" si="42"/>
        <v>649</v>
      </c>
      <c r="C650" s="1" t="str">
        <f>IFERROR(VLOOKUP(D650,'Planilha de Cadastro - Previsão'!$A$2:$O$1000,15,FALSE()),"")</f>
        <v/>
      </c>
      <c r="D650" s="1">
        <v>649</v>
      </c>
      <c r="F650" s="32" t="str">
        <f t="shared" si="43"/>
        <v/>
      </c>
      <c r="G650" s="33" t="str">
        <f>IFERROR((VLOOKUP(F650,'Planilha de Cadastro - Previsão'!$A$2:$N$1100,2,FALSE()))," ")</f>
        <v xml:space="preserve"> </v>
      </c>
      <c r="H650" s="32" t="str">
        <f>IFERROR((VLOOKUP(F650,'Planilha de Cadastro - Previsão'!$A$2:$N$1100,3,FALSE()))," ")</f>
        <v xml:space="preserve"> </v>
      </c>
      <c r="I650" s="34" t="str">
        <f>IFERROR((VLOOKUP(F650,'Planilha de Cadastro - Previsão'!$A$2:$N$1100,4,FALSE()))," ")</f>
        <v xml:space="preserve"> </v>
      </c>
      <c r="J650" s="34" t="str">
        <f>IFERROR((VLOOKUP(F650,'Planilha de Cadastro - Previsão'!$A$2:$N$1100,5,FALSE()))," ")</f>
        <v xml:space="preserve"> </v>
      </c>
      <c r="K650" s="36"/>
      <c r="L650" s="34" t="str">
        <f t="shared" si="44"/>
        <v/>
      </c>
      <c r="M650" s="35" t="str">
        <f t="shared" si="45"/>
        <v/>
      </c>
      <c r="N650" s="39"/>
      <c r="O650" s="36"/>
    </row>
    <row r="651" spans="1:15" x14ac:dyDescent="0.25">
      <c r="A651">
        <f>COUNTIF($C$2:C651,C651)</f>
        <v>650</v>
      </c>
      <c r="B651" s="1" t="str">
        <f t="shared" si="42"/>
        <v>650</v>
      </c>
      <c r="C651" s="1" t="str">
        <f>IFERROR(VLOOKUP(D651,'Planilha de Cadastro - Previsão'!$A$2:$O$1000,15,FALSE()),"")</f>
        <v/>
      </c>
      <c r="D651" s="1">
        <v>650</v>
      </c>
      <c r="F651" s="32" t="str">
        <f t="shared" si="43"/>
        <v/>
      </c>
      <c r="G651" s="33" t="str">
        <f>IFERROR((VLOOKUP(F651,'Planilha de Cadastro - Previsão'!$A$2:$N$1100,2,FALSE()))," ")</f>
        <v xml:space="preserve"> </v>
      </c>
      <c r="H651" s="32" t="str">
        <f>IFERROR((VLOOKUP(F651,'Planilha de Cadastro - Previsão'!$A$2:$N$1100,3,FALSE()))," ")</f>
        <v xml:space="preserve"> </v>
      </c>
      <c r="I651" s="34" t="str">
        <f>IFERROR((VLOOKUP(F651,'Planilha de Cadastro - Previsão'!$A$2:$N$1100,4,FALSE()))," ")</f>
        <v xml:space="preserve"> </v>
      </c>
      <c r="J651" s="34" t="str">
        <f>IFERROR((VLOOKUP(F651,'Planilha de Cadastro - Previsão'!$A$2:$N$1100,5,FALSE()))," ")</f>
        <v xml:space="preserve"> </v>
      </c>
      <c r="K651" s="36"/>
      <c r="L651" s="34" t="str">
        <f t="shared" si="44"/>
        <v/>
      </c>
      <c r="M651" s="35" t="str">
        <f t="shared" si="45"/>
        <v/>
      </c>
      <c r="N651" s="39"/>
      <c r="O651" s="36"/>
    </row>
    <row r="652" spans="1:15" x14ac:dyDescent="0.25">
      <c r="A652">
        <f>COUNTIF($C$2:C652,C652)</f>
        <v>651</v>
      </c>
      <c r="B652" s="1" t="str">
        <f t="shared" si="42"/>
        <v>651</v>
      </c>
      <c r="C652" s="1" t="str">
        <f>IFERROR(VLOOKUP(D652,'Planilha de Cadastro - Previsão'!$A$2:$O$1000,15,FALSE()),"")</f>
        <v/>
      </c>
      <c r="D652" s="1">
        <v>651</v>
      </c>
      <c r="F652" s="32" t="str">
        <f t="shared" si="43"/>
        <v/>
      </c>
      <c r="G652" s="33" t="str">
        <f>IFERROR((VLOOKUP(F652,'Planilha de Cadastro - Previsão'!$A$2:$N$1100,2,FALSE()))," ")</f>
        <v xml:space="preserve"> </v>
      </c>
      <c r="H652" s="32" t="str">
        <f>IFERROR((VLOOKUP(F652,'Planilha de Cadastro - Previsão'!$A$2:$N$1100,3,FALSE()))," ")</f>
        <v xml:space="preserve"> </v>
      </c>
      <c r="I652" s="34" t="str">
        <f>IFERROR((VLOOKUP(F652,'Planilha de Cadastro - Previsão'!$A$2:$N$1100,4,FALSE()))," ")</f>
        <v xml:space="preserve"> </v>
      </c>
      <c r="J652" s="34" t="str">
        <f>IFERROR((VLOOKUP(F652,'Planilha de Cadastro - Previsão'!$A$2:$N$1100,5,FALSE()))," ")</f>
        <v xml:space="preserve"> </v>
      </c>
      <c r="K652" s="36"/>
      <c r="L652" s="34" t="str">
        <f t="shared" si="44"/>
        <v/>
      </c>
      <c r="M652" s="35" t="str">
        <f t="shared" si="45"/>
        <v/>
      </c>
      <c r="N652" s="39"/>
      <c r="O652" s="36"/>
    </row>
    <row r="653" spans="1:15" x14ac:dyDescent="0.25">
      <c r="A653">
        <f>COUNTIF($C$2:C653,C653)</f>
        <v>652</v>
      </c>
      <c r="B653" s="1" t="str">
        <f t="shared" si="42"/>
        <v>652</v>
      </c>
      <c r="C653" s="1" t="str">
        <f>IFERROR(VLOOKUP(D653,'Planilha de Cadastro - Previsão'!$A$2:$O$1000,15,FALSE()),"")</f>
        <v/>
      </c>
      <c r="D653" s="1">
        <v>652</v>
      </c>
      <c r="F653" s="32" t="str">
        <f t="shared" si="43"/>
        <v/>
      </c>
      <c r="G653" s="33" t="str">
        <f>IFERROR((VLOOKUP(F653,'Planilha de Cadastro - Previsão'!$A$2:$N$1100,2,FALSE()))," ")</f>
        <v xml:space="preserve"> </v>
      </c>
      <c r="H653" s="32" t="str">
        <f>IFERROR((VLOOKUP(F653,'Planilha de Cadastro - Previsão'!$A$2:$N$1100,3,FALSE()))," ")</f>
        <v xml:space="preserve"> </v>
      </c>
      <c r="I653" s="34" t="str">
        <f>IFERROR((VLOOKUP(F653,'Planilha de Cadastro - Previsão'!$A$2:$N$1100,4,FALSE()))," ")</f>
        <v xml:space="preserve"> </v>
      </c>
      <c r="J653" s="34" t="str">
        <f>IFERROR((VLOOKUP(F653,'Planilha de Cadastro - Previsão'!$A$2:$N$1100,5,FALSE()))," ")</f>
        <v xml:space="preserve"> </v>
      </c>
      <c r="K653" s="36"/>
      <c r="L653" s="34" t="str">
        <f t="shared" si="44"/>
        <v/>
      </c>
      <c r="M653" s="35" t="str">
        <f t="shared" si="45"/>
        <v/>
      </c>
      <c r="N653" s="39"/>
      <c r="O653" s="36"/>
    </row>
    <row r="654" spans="1:15" x14ac:dyDescent="0.25">
      <c r="A654">
        <f>COUNTIF($C$2:C654,C654)</f>
        <v>653</v>
      </c>
      <c r="B654" s="1" t="str">
        <f t="shared" si="42"/>
        <v>653</v>
      </c>
      <c r="C654" s="1" t="str">
        <f>IFERROR(VLOOKUP(D654,'Planilha de Cadastro - Previsão'!$A$2:$O$1000,15,FALSE()),"")</f>
        <v/>
      </c>
      <c r="D654" s="1">
        <v>653</v>
      </c>
      <c r="F654" s="32" t="str">
        <f t="shared" si="43"/>
        <v/>
      </c>
      <c r="G654" s="33" t="str">
        <f>IFERROR((VLOOKUP(F654,'Planilha de Cadastro - Previsão'!$A$2:$N$1100,2,FALSE()))," ")</f>
        <v xml:space="preserve"> </v>
      </c>
      <c r="H654" s="32" t="str">
        <f>IFERROR((VLOOKUP(F654,'Planilha de Cadastro - Previsão'!$A$2:$N$1100,3,FALSE()))," ")</f>
        <v xml:space="preserve"> </v>
      </c>
      <c r="I654" s="34" t="str">
        <f>IFERROR((VLOOKUP(F654,'Planilha de Cadastro - Previsão'!$A$2:$N$1100,4,FALSE()))," ")</f>
        <v xml:space="preserve"> </v>
      </c>
      <c r="J654" s="34" t="str">
        <f>IFERROR((VLOOKUP(F654,'Planilha de Cadastro - Previsão'!$A$2:$N$1100,5,FALSE()))," ")</f>
        <v xml:space="preserve"> </v>
      </c>
      <c r="K654" s="36"/>
      <c r="L654" s="34" t="str">
        <f t="shared" si="44"/>
        <v/>
      </c>
      <c r="M654" s="35" t="str">
        <f t="shared" si="45"/>
        <v/>
      </c>
      <c r="N654" s="39"/>
      <c r="O654" s="36"/>
    </row>
    <row r="655" spans="1:15" x14ac:dyDescent="0.25">
      <c r="A655">
        <f>COUNTIF($C$2:C655,C655)</f>
        <v>654</v>
      </c>
      <c r="B655" s="1" t="str">
        <f t="shared" si="42"/>
        <v>654</v>
      </c>
      <c r="C655" s="1" t="str">
        <f>IFERROR(VLOOKUP(D655,'Planilha de Cadastro - Previsão'!$A$2:$O$1000,15,FALSE()),"")</f>
        <v/>
      </c>
      <c r="D655" s="1">
        <v>654</v>
      </c>
      <c r="F655" s="32" t="str">
        <f t="shared" si="43"/>
        <v/>
      </c>
      <c r="G655" s="33" t="str">
        <f>IFERROR((VLOOKUP(F655,'Planilha de Cadastro - Previsão'!$A$2:$N$1100,2,FALSE()))," ")</f>
        <v xml:space="preserve"> </v>
      </c>
      <c r="H655" s="32" t="str">
        <f>IFERROR((VLOOKUP(F655,'Planilha de Cadastro - Previsão'!$A$2:$N$1100,3,FALSE()))," ")</f>
        <v xml:space="preserve"> </v>
      </c>
      <c r="I655" s="34" t="str">
        <f>IFERROR((VLOOKUP(F655,'Planilha de Cadastro - Previsão'!$A$2:$N$1100,4,FALSE()))," ")</f>
        <v xml:space="preserve"> </v>
      </c>
      <c r="J655" s="34" t="str">
        <f>IFERROR((VLOOKUP(F655,'Planilha de Cadastro - Previsão'!$A$2:$N$1100,5,FALSE()))," ")</f>
        <v xml:space="preserve"> </v>
      </c>
      <c r="K655" s="36"/>
      <c r="L655" s="34" t="str">
        <f t="shared" si="44"/>
        <v/>
      </c>
      <c r="M655" s="35" t="str">
        <f t="shared" si="45"/>
        <v/>
      </c>
      <c r="N655" s="39"/>
      <c r="O655" s="36"/>
    </row>
    <row r="656" spans="1:15" x14ac:dyDescent="0.25">
      <c r="A656">
        <f>COUNTIF($C$2:C656,C656)</f>
        <v>655</v>
      </c>
      <c r="B656" s="1" t="str">
        <f t="shared" si="42"/>
        <v>655</v>
      </c>
      <c r="C656" s="1" t="str">
        <f>IFERROR(VLOOKUP(D656,'Planilha de Cadastro - Previsão'!$A$2:$O$1000,15,FALSE()),"")</f>
        <v/>
      </c>
      <c r="D656" s="1">
        <v>655</v>
      </c>
      <c r="F656" s="32" t="str">
        <f t="shared" si="43"/>
        <v/>
      </c>
      <c r="G656" s="33" t="str">
        <f>IFERROR((VLOOKUP(F656,'Planilha de Cadastro - Previsão'!$A$2:$N$1100,2,FALSE()))," ")</f>
        <v xml:space="preserve"> </v>
      </c>
      <c r="H656" s="32" t="str">
        <f>IFERROR((VLOOKUP(F656,'Planilha de Cadastro - Previsão'!$A$2:$N$1100,3,FALSE()))," ")</f>
        <v xml:space="preserve"> </v>
      </c>
      <c r="I656" s="34" t="str">
        <f>IFERROR((VLOOKUP(F656,'Planilha de Cadastro - Previsão'!$A$2:$N$1100,4,FALSE()))," ")</f>
        <v xml:space="preserve"> </v>
      </c>
      <c r="J656" s="34" t="str">
        <f>IFERROR((VLOOKUP(F656,'Planilha de Cadastro - Previsão'!$A$2:$N$1100,5,FALSE()))," ")</f>
        <v xml:space="preserve"> </v>
      </c>
      <c r="K656" s="36"/>
      <c r="L656" s="34" t="str">
        <f t="shared" si="44"/>
        <v/>
      </c>
      <c r="M656" s="35" t="str">
        <f t="shared" si="45"/>
        <v/>
      </c>
      <c r="N656" s="39"/>
      <c r="O656" s="36"/>
    </row>
    <row r="657" spans="1:15" x14ac:dyDescent="0.25">
      <c r="A657">
        <f>COUNTIF($C$2:C657,C657)</f>
        <v>656</v>
      </c>
      <c r="B657" s="1" t="str">
        <f t="shared" si="42"/>
        <v>656</v>
      </c>
      <c r="C657" s="1" t="str">
        <f>IFERROR(VLOOKUP(D657,'Planilha de Cadastro - Previsão'!$A$2:$O$1000,15,FALSE()),"")</f>
        <v/>
      </c>
      <c r="D657" s="1">
        <v>656</v>
      </c>
      <c r="F657" s="32" t="str">
        <f t="shared" si="43"/>
        <v/>
      </c>
      <c r="G657" s="33" t="str">
        <f>IFERROR((VLOOKUP(F657,'Planilha de Cadastro - Previsão'!$A$2:$N$1100,2,FALSE()))," ")</f>
        <v xml:space="preserve"> </v>
      </c>
      <c r="H657" s="32" t="str">
        <f>IFERROR((VLOOKUP(F657,'Planilha de Cadastro - Previsão'!$A$2:$N$1100,3,FALSE()))," ")</f>
        <v xml:space="preserve"> </v>
      </c>
      <c r="I657" s="34" t="str">
        <f>IFERROR((VLOOKUP(F657,'Planilha de Cadastro - Previsão'!$A$2:$N$1100,4,FALSE()))," ")</f>
        <v xml:space="preserve"> </v>
      </c>
      <c r="J657" s="34" t="str">
        <f>IFERROR((VLOOKUP(F657,'Planilha de Cadastro - Previsão'!$A$2:$N$1100,5,FALSE()))," ")</f>
        <v xml:space="preserve"> </v>
      </c>
      <c r="K657" s="36"/>
      <c r="L657" s="34" t="str">
        <f t="shared" si="44"/>
        <v/>
      </c>
      <c r="M657" s="35" t="str">
        <f t="shared" si="45"/>
        <v/>
      </c>
      <c r="N657" s="39"/>
      <c r="O657" s="36"/>
    </row>
    <row r="658" spans="1:15" x14ac:dyDescent="0.25">
      <c r="A658">
        <f>COUNTIF($C$2:C658,C658)</f>
        <v>657</v>
      </c>
      <c r="B658" s="1" t="str">
        <f t="shared" si="42"/>
        <v>657</v>
      </c>
      <c r="C658" s="1" t="str">
        <f>IFERROR(VLOOKUP(D658,'Planilha de Cadastro - Previsão'!$A$2:$O$1000,15,FALSE()),"")</f>
        <v/>
      </c>
      <c r="D658" s="1">
        <v>657</v>
      </c>
      <c r="F658" s="32" t="str">
        <f t="shared" si="43"/>
        <v/>
      </c>
      <c r="G658" s="33" t="str">
        <f>IFERROR((VLOOKUP(F658,'Planilha de Cadastro - Previsão'!$A$2:$N$1100,2,FALSE()))," ")</f>
        <v xml:space="preserve"> </v>
      </c>
      <c r="H658" s="32" t="str">
        <f>IFERROR((VLOOKUP(F658,'Planilha de Cadastro - Previsão'!$A$2:$N$1100,3,FALSE()))," ")</f>
        <v xml:space="preserve"> </v>
      </c>
      <c r="I658" s="34" t="str">
        <f>IFERROR((VLOOKUP(F658,'Planilha de Cadastro - Previsão'!$A$2:$N$1100,4,FALSE()))," ")</f>
        <v xml:space="preserve"> </v>
      </c>
      <c r="J658" s="34" t="str">
        <f>IFERROR((VLOOKUP(F658,'Planilha de Cadastro - Previsão'!$A$2:$N$1100,5,FALSE()))," ")</f>
        <v xml:space="preserve"> </v>
      </c>
      <c r="K658" s="36"/>
      <c r="L658" s="34" t="str">
        <f t="shared" si="44"/>
        <v/>
      </c>
      <c r="M658" s="35" t="str">
        <f t="shared" si="45"/>
        <v/>
      </c>
      <c r="N658" s="39"/>
      <c r="O658" s="36"/>
    </row>
    <row r="659" spans="1:15" x14ac:dyDescent="0.25">
      <c r="A659">
        <f>COUNTIF($C$2:C659,C659)</f>
        <v>658</v>
      </c>
      <c r="B659" s="1" t="str">
        <f t="shared" si="42"/>
        <v>658</v>
      </c>
      <c r="C659" s="1" t="str">
        <f>IFERROR(VLOOKUP(D659,'Planilha de Cadastro - Previsão'!$A$2:$O$1000,15,FALSE()),"")</f>
        <v/>
      </c>
      <c r="D659" s="1">
        <v>658</v>
      </c>
      <c r="F659" s="32" t="str">
        <f t="shared" si="43"/>
        <v/>
      </c>
      <c r="G659" s="33" t="str">
        <f>IFERROR((VLOOKUP(F659,'Planilha de Cadastro - Previsão'!$A$2:$N$1100,2,FALSE()))," ")</f>
        <v xml:space="preserve"> </v>
      </c>
      <c r="H659" s="32" t="str">
        <f>IFERROR((VLOOKUP(F659,'Planilha de Cadastro - Previsão'!$A$2:$N$1100,3,FALSE()))," ")</f>
        <v xml:space="preserve"> </v>
      </c>
      <c r="I659" s="34" t="str">
        <f>IFERROR((VLOOKUP(F659,'Planilha de Cadastro - Previsão'!$A$2:$N$1100,4,FALSE()))," ")</f>
        <v xml:space="preserve"> </v>
      </c>
      <c r="J659" s="34" t="str">
        <f>IFERROR((VLOOKUP(F659,'Planilha de Cadastro - Previsão'!$A$2:$N$1100,5,FALSE()))," ")</f>
        <v xml:space="preserve"> </v>
      </c>
      <c r="K659" s="36"/>
      <c r="L659" s="34" t="str">
        <f t="shared" si="44"/>
        <v/>
      </c>
      <c r="M659" s="35" t="str">
        <f t="shared" si="45"/>
        <v/>
      </c>
      <c r="N659" s="39"/>
      <c r="O659" s="36"/>
    </row>
    <row r="660" spans="1:15" x14ac:dyDescent="0.25">
      <c r="A660">
        <f>COUNTIF($C$2:C660,C660)</f>
        <v>659</v>
      </c>
      <c r="B660" s="1" t="str">
        <f t="shared" si="42"/>
        <v>659</v>
      </c>
      <c r="C660" s="1" t="str">
        <f>IFERROR(VLOOKUP(D660,'Planilha de Cadastro - Previsão'!$A$2:$O$1000,15,FALSE()),"")</f>
        <v/>
      </c>
      <c r="D660" s="1">
        <v>659</v>
      </c>
      <c r="F660" s="32" t="str">
        <f t="shared" si="43"/>
        <v/>
      </c>
      <c r="G660" s="33" t="str">
        <f>IFERROR((VLOOKUP(F660,'Planilha de Cadastro - Previsão'!$A$2:$N$1100,2,FALSE()))," ")</f>
        <v xml:space="preserve"> </v>
      </c>
      <c r="H660" s="32" t="str">
        <f>IFERROR((VLOOKUP(F660,'Planilha de Cadastro - Previsão'!$A$2:$N$1100,3,FALSE()))," ")</f>
        <v xml:space="preserve"> </v>
      </c>
      <c r="I660" s="34" t="str">
        <f>IFERROR((VLOOKUP(F660,'Planilha de Cadastro - Previsão'!$A$2:$N$1100,4,FALSE()))," ")</f>
        <v xml:space="preserve"> </v>
      </c>
      <c r="J660" s="34" t="str">
        <f>IFERROR((VLOOKUP(F660,'Planilha de Cadastro - Previsão'!$A$2:$N$1100,5,FALSE()))," ")</f>
        <v xml:space="preserve"> </v>
      </c>
      <c r="K660" s="36"/>
      <c r="L660" s="34" t="str">
        <f t="shared" si="44"/>
        <v/>
      </c>
      <c r="M660" s="35" t="str">
        <f t="shared" si="45"/>
        <v/>
      </c>
      <c r="N660" s="39"/>
      <c r="O660" s="36"/>
    </row>
    <row r="661" spans="1:15" x14ac:dyDescent="0.25">
      <c r="A661">
        <f>COUNTIF($C$2:C661,C661)</f>
        <v>660</v>
      </c>
      <c r="B661" s="1" t="str">
        <f t="shared" si="42"/>
        <v>660</v>
      </c>
      <c r="C661" s="1" t="str">
        <f>IFERROR(VLOOKUP(D661,'Planilha de Cadastro - Previsão'!$A$2:$O$1000,15,FALSE()),"")</f>
        <v/>
      </c>
      <c r="D661" s="1">
        <v>660</v>
      </c>
      <c r="F661" s="32" t="str">
        <f t="shared" si="43"/>
        <v/>
      </c>
      <c r="G661" s="33" t="str">
        <f>IFERROR((VLOOKUP(F661,'Planilha de Cadastro - Previsão'!$A$2:$N$1100,2,FALSE()))," ")</f>
        <v xml:space="preserve"> </v>
      </c>
      <c r="H661" s="32" t="str">
        <f>IFERROR((VLOOKUP(F661,'Planilha de Cadastro - Previsão'!$A$2:$N$1100,3,FALSE()))," ")</f>
        <v xml:space="preserve"> </v>
      </c>
      <c r="I661" s="34" t="str">
        <f>IFERROR((VLOOKUP(F661,'Planilha de Cadastro - Previsão'!$A$2:$N$1100,4,FALSE()))," ")</f>
        <v xml:space="preserve"> </v>
      </c>
      <c r="J661" s="34" t="str">
        <f>IFERROR((VLOOKUP(F661,'Planilha de Cadastro - Previsão'!$A$2:$N$1100,5,FALSE()))," ")</f>
        <v xml:space="preserve"> </v>
      </c>
      <c r="K661" s="36"/>
      <c r="L661" s="34" t="str">
        <f t="shared" si="44"/>
        <v/>
      </c>
      <c r="M661" s="35" t="str">
        <f t="shared" si="45"/>
        <v/>
      </c>
      <c r="N661" s="39"/>
      <c r="O661" s="36"/>
    </row>
    <row r="662" spans="1:15" x14ac:dyDescent="0.25">
      <c r="A662">
        <f>COUNTIF($C$2:C662,C662)</f>
        <v>661</v>
      </c>
      <c r="B662" s="1" t="str">
        <f t="shared" si="42"/>
        <v>661</v>
      </c>
      <c r="C662" s="1" t="str">
        <f>IFERROR(VLOOKUP(D662,'Planilha de Cadastro - Previsão'!$A$2:$O$1000,15,FALSE()),"")</f>
        <v/>
      </c>
      <c r="D662" s="1">
        <v>661</v>
      </c>
      <c r="F662" s="32" t="str">
        <f t="shared" si="43"/>
        <v/>
      </c>
      <c r="G662" s="33" t="str">
        <f>IFERROR((VLOOKUP(F662,'Planilha de Cadastro - Previsão'!$A$2:$N$1100,2,FALSE()))," ")</f>
        <v xml:space="preserve"> </v>
      </c>
      <c r="H662" s="32" t="str">
        <f>IFERROR((VLOOKUP(F662,'Planilha de Cadastro - Previsão'!$A$2:$N$1100,3,FALSE()))," ")</f>
        <v xml:space="preserve"> </v>
      </c>
      <c r="I662" s="34" t="str">
        <f>IFERROR((VLOOKUP(F662,'Planilha de Cadastro - Previsão'!$A$2:$N$1100,4,FALSE()))," ")</f>
        <v xml:space="preserve"> </v>
      </c>
      <c r="J662" s="34" t="str">
        <f>IFERROR((VLOOKUP(F662,'Planilha de Cadastro - Previsão'!$A$2:$N$1100,5,FALSE()))," ")</f>
        <v xml:space="preserve"> </v>
      </c>
      <c r="K662" s="36"/>
      <c r="L662" s="34" t="str">
        <f t="shared" si="44"/>
        <v/>
      </c>
      <c r="M662" s="35" t="str">
        <f t="shared" si="45"/>
        <v/>
      </c>
      <c r="N662" s="39"/>
      <c r="O662" s="36"/>
    </row>
    <row r="663" spans="1:15" x14ac:dyDescent="0.25">
      <c r="A663">
        <f>COUNTIF($C$2:C663,C663)</f>
        <v>662</v>
      </c>
      <c r="B663" s="1" t="str">
        <f t="shared" si="42"/>
        <v>662</v>
      </c>
      <c r="C663" s="1" t="str">
        <f>IFERROR(VLOOKUP(D663,'Planilha de Cadastro - Previsão'!$A$2:$O$1000,15,FALSE()),"")</f>
        <v/>
      </c>
      <c r="D663" s="1">
        <v>662</v>
      </c>
      <c r="F663" s="32" t="str">
        <f t="shared" si="43"/>
        <v/>
      </c>
      <c r="G663" s="33" t="str">
        <f>IFERROR((VLOOKUP(F663,'Planilha de Cadastro - Previsão'!$A$2:$N$1100,2,FALSE()))," ")</f>
        <v xml:space="preserve"> </v>
      </c>
      <c r="H663" s="32" t="str">
        <f>IFERROR((VLOOKUP(F663,'Planilha de Cadastro - Previsão'!$A$2:$N$1100,3,FALSE()))," ")</f>
        <v xml:space="preserve"> </v>
      </c>
      <c r="I663" s="34" t="str">
        <f>IFERROR((VLOOKUP(F663,'Planilha de Cadastro - Previsão'!$A$2:$N$1100,4,FALSE()))," ")</f>
        <v xml:space="preserve"> </v>
      </c>
      <c r="J663" s="34" t="str">
        <f>IFERROR((VLOOKUP(F663,'Planilha de Cadastro - Previsão'!$A$2:$N$1100,5,FALSE()))," ")</f>
        <v xml:space="preserve"> </v>
      </c>
      <c r="K663" s="36"/>
      <c r="L663" s="34" t="str">
        <f t="shared" si="44"/>
        <v/>
      </c>
      <c r="M663" s="35" t="str">
        <f t="shared" si="45"/>
        <v/>
      </c>
      <c r="N663" s="39"/>
      <c r="O663" s="36"/>
    </row>
    <row r="664" spans="1:15" x14ac:dyDescent="0.25">
      <c r="A664">
        <f>COUNTIF($C$2:C664,C664)</f>
        <v>663</v>
      </c>
      <c r="B664" s="1" t="str">
        <f t="shared" si="42"/>
        <v>663</v>
      </c>
      <c r="C664" s="1" t="str">
        <f>IFERROR(VLOOKUP(D664,'Planilha de Cadastro - Previsão'!$A$2:$O$1000,15,FALSE()),"")</f>
        <v/>
      </c>
      <c r="D664" s="1">
        <v>663</v>
      </c>
      <c r="F664" s="32" t="str">
        <f t="shared" si="43"/>
        <v/>
      </c>
      <c r="G664" s="33" t="str">
        <f>IFERROR((VLOOKUP(F664,'Planilha de Cadastro - Previsão'!$A$2:$N$1100,2,FALSE()))," ")</f>
        <v xml:space="preserve"> </v>
      </c>
      <c r="H664" s="32" t="str">
        <f>IFERROR((VLOOKUP(F664,'Planilha de Cadastro - Previsão'!$A$2:$N$1100,3,FALSE()))," ")</f>
        <v xml:space="preserve"> </v>
      </c>
      <c r="I664" s="34" t="str">
        <f>IFERROR((VLOOKUP(F664,'Planilha de Cadastro - Previsão'!$A$2:$N$1100,4,FALSE()))," ")</f>
        <v xml:space="preserve"> </v>
      </c>
      <c r="J664" s="34" t="str">
        <f>IFERROR((VLOOKUP(F664,'Planilha de Cadastro - Previsão'!$A$2:$N$1100,5,FALSE()))," ")</f>
        <v xml:space="preserve"> </v>
      </c>
      <c r="K664" s="36"/>
      <c r="L664" s="34" t="str">
        <f t="shared" si="44"/>
        <v/>
      </c>
      <c r="M664" s="35" t="str">
        <f t="shared" si="45"/>
        <v/>
      </c>
      <c r="N664" s="39"/>
      <c r="O664" s="36"/>
    </row>
    <row r="665" spans="1:15" x14ac:dyDescent="0.25">
      <c r="A665">
        <f>COUNTIF($C$2:C665,C665)</f>
        <v>664</v>
      </c>
      <c r="B665" s="1" t="str">
        <f t="shared" si="42"/>
        <v>664</v>
      </c>
      <c r="C665" s="1" t="str">
        <f>IFERROR(VLOOKUP(D665,'Planilha de Cadastro - Previsão'!$A$2:$O$1000,15,FALSE()),"")</f>
        <v/>
      </c>
      <c r="D665" s="1">
        <v>664</v>
      </c>
      <c r="F665" s="32" t="str">
        <f t="shared" si="43"/>
        <v/>
      </c>
      <c r="G665" s="33" t="str">
        <f>IFERROR((VLOOKUP(F665,'Planilha de Cadastro - Previsão'!$A$2:$N$1100,2,FALSE()))," ")</f>
        <v xml:space="preserve"> </v>
      </c>
      <c r="H665" s="32" t="str">
        <f>IFERROR((VLOOKUP(F665,'Planilha de Cadastro - Previsão'!$A$2:$N$1100,3,FALSE()))," ")</f>
        <v xml:space="preserve"> </v>
      </c>
      <c r="I665" s="34" t="str">
        <f>IFERROR((VLOOKUP(F665,'Planilha de Cadastro - Previsão'!$A$2:$N$1100,4,FALSE()))," ")</f>
        <v xml:space="preserve"> </v>
      </c>
      <c r="J665" s="34" t="str">
        <f>IFERROR((VLOOKUP(F665,'Planilha de Cadastro - Previsão'!$A$2:$N$1100,5,FALSE()))," ")</f>
        <v xml:space="preserve"> </v>
      </c>
      <c r="K665" s="36"/>
      <c r="L665" s="34" t="str">
        <f t="shared" si="44"/>
        <v/>
      </c>
      <c r="M665" s="35" t="str">
        <f t="shared" si="45"/>
        <v/>
      </c>
      <c r="N665" s="39"/>
      <c r="O665" s="36"/>
    </row>
    <row r="666" spans="1:15" x14ac:dyDescent="0.25">
      <c r="A666">
        <f>COUNTIF($C$2:C666,C666)</f>
        <v>665</v>
      </c>
      <c r="B666" s="1" t="str">
        <f t="shared" si="42"/>
        <v>665</v>
      </c>
      <c r="C666" s="1" t="str">
        <f>IFERROR(VLOOKUP(D666,'Planilha de Cadastro - Previsão'!$A$2:$O$1000,15,FALSE()),"")</f>
        <v/>
      </c>
      <c r="D666" s="1">
        <v>665</v>
      </c>
      <c r="F666" s="32" t="str">
        <f t="shared" si="43"/>
        <v/>
      </c>
      <c r="G666" s="33" t="str">
        <f>IFERROR((VLOOKUP(F666,'Planilha de Cadastro - Previsão'!$A$2:$N$1100,2,FALSE()))," ")</f>
        <v xml:space="preserve"> </v>
      </c>
      <c r="H666" s="32" t="str">
        <f>IFERROR((VLOOKUP(F666,'Planilha de Cadastro - Previsão'!$A$2:$N$1100,3,FALSE()))," ")</f>
        <v xml:space="preserve"> </v>
      </c>
      <c r="I666" s="34" t="str">
        <f>IFERROR((VLOOKUP(F666,'Planilha de Cadastro - Previsão'!$A$2:$N$1100,4,FALSE()))," ")</f>
        <v xml:space="preserve"> </v>
      </c>
      <c r="J666" s="34" t="str">
        <f>IFERROR((VLOOKUP(F666,'Planilha de Cadastro - Previsão'!$A$2:$N$1100,5,FALSE()))," ")</f>
        <v xml:space="preserve"> </v>
      </c>
      <c r="K666" s="36"/>
      <c r="L666" s="34" t="str">
        <f t="shared" si="44"/>
        <v/>
      </c>
      <c r="M666" s="35" t="str">
        <f t="shared" si="45"/>
        <v/>
      </c>
      <c r="N666" s="39"/>
      <c r="O666" s="36"/>
    </row>
    <row r="667" spans="1:15" x14ac:dyDescent="0.25">
      <c r="A667">
        <f>COUNTIF($C$2:C667,C667)</f>
        <v>666</v>
      </c>
      <c r="B667" s="1" t="str">
        <f t="shared" si="42"/>
        <v>666</v>
      </c>
      <c r="C667" s="1" t="str">
        <f>IFERROR(VLOOKUP(D667,'Planilha de Cadastro - Previsão'!$A$2:$O$1000,15,FALSE()),"")</f>
        <v/>
      </c>
      <c r="D667" s="1">
        <v>666</v>
      </c>
      <c r="F667" s="32" t="str">
        <f t="shared" si="43"/>
        <v/>
      </c>
      <c r="G667" s="33" t="str">
        <f>IFERROR((VLOOKUP(F667,'Planilha de Cadastro - Previsão'!$A$2:$N$1100,2,FALSE()))," ")</f>
        <v xml:space="preserve"> </v>
      </c>
      <c r="H667" s="32" t="str">
        <f>IFERROR((VLOOKUP(F667,'Planilha de Cadastro - Previsão'!$A$2:$N$1100,3,FALSE()))," ")</f>
        <v xml:space="preserve"> </v>
      </c>
      <c r="I667" s="34" t="str">
        <f>IFERROR((VLOOKUP(F667,'Planilha de Cadastro - Previsão'!$A$2:$N$1100,4,FALSE()))," ")</f>
        <v xml:space="preserve"> </v>
      </c>
      <c r="J667" s="34" t="str">
        <f>IFERROR((VLOOKUP(F667,'Planilha de Cadastro - Previsão'!$A$2:$N$1100,5,FALSE()))," ")</f>
        <v xml:space="preserve"> </v>
      </c>
      <c r="K667" s="36"/>
      <c r="L667" s="34" t="str">
        <f t="shared" si="44"/>
        <v/>
      </c>
      <c r="M667" s="35" t="str">
        <f t="shared" si="45"/>
        <v/>
      </c>
      <c r="N667" s="39"/>
      <c r="O667" s="36"/>
    </row>
    <row r="668" spans="1:15" x14ac:dyDescent="0.25">
      <c r="A668">
        <f>COUNTIF($C$2:C668,C668)</f>
        <v>667</v>
      </c>
      <c r="B668" s="1" t="str">
        <f t="shared" si="42"/>
        <v>667</v>
      </c>
      <c r="C668" s="1" t="str">
        <f>IFERROR(VLOOKUP(D668,'Planilha de Cadastro - Previsão'!$A$2:$O$1000,15,FALSE()),"")</f>
        <v/>
      </c>
      <c r="D668" s="1">
        <v>667</v>
      </c>
      <c r="F668" s="32" t="str">
        <f t="shared" si="43"/>
        <v/>
      </c>
      <c r="G668" s="33" t="str">
        <f>IFERROR((VLOOKUP(F668,'Planilha de Cadastro - Previsão'!$A$2:$N$1100,2,FALSE()))," ")</f>
        <v xml:space="preserve"> </v>
      </c>
      <c r="H668" s="32" t="str">
        <f>IFERROR((VLOOKUP(F668,'Planilha de Cadastro - Previsão'!$A$2:$N$1100,3,FALSE()))," ")</f>
        <v xml:space="preserve"> </v>
      </c>
      <c r="I668" s="34" t="str">
        <f>IFERROR((VLOOKUP(F668,'Planilha de Cadastro - Previsão'!$A$2:$N$1100,4,FALSE()))," ")</f>
        <v xml:space="preserve"> </v>
      </c>
      <c r="J668" s="34" t="str">
        <f>IFERROR((VLOOKUP(F668,'Planilha de Cadastro - Previsão'!$A$2:$N$1100,5,FALSE()))," ")</f>
        <v xml:space="preserve"> </v>
      </c>
      <c r="K668" s="36"/>
      <c r="L668" s="34" t="str">
        <f t="shared" si="44"/>
        <v/>
      </c>
      <c r="M668" s="35" t="str">
        <f t="shared" si="45"/>
        <v/>
      </c>
      <c r="N668" s="39"/>
      <c r="O668" s="36"/>
    </row>
    <row r="669" spans="1:15" x14ac:dyDescent="0.25">
      <c r="A669">
        <f>COUNTIF($C$2:C669,C669)</f>
        <v>668</v>
      </c>
      <c r="B669" s="1" t="str">
        <f t="shared" si="42"/>
        <v>668</v>
      </c>
      <c r="C669" s="1" t="str">
        <f>IFERROR(VLOOKUP(D669,'Planilha de Cadastro - Previsão'!$A$2:$O$1000,15,FALSE()),"")</f>
        <v/>
      </c>
      <c r="D669" s="1">
        <v>668</v>
      </c>
      <c r="F669" s="32" t="str">
        <f t="shared" si="43"/>
        <v/>
      </c>
      <c r="G669" s="33" t="str">
        <f>IFERROR((VLOOKUP(F669,'Planilha de Cadastro - Previsão'!$A$2:$N$1100,2,FALSE()))," ")</f>
        <v xml:space="preserve"> </v>
      </c>
      <c r="H669" s="32" t="str">
        <f>IFERROR((VLOOKUP(F669,'Planilha de Cadastro - Previsão'!$A$2:$N$1100,3,FALSE()))," ")</f>
        <v xml:space="preserve"> </v>
      </c>
      <c r="I669" s="34" t="str">
        <f>IFERROR((VLOOKUP(F669,'Planilha de Cadastro - Previsão'!$A$2:$N$1100,4,FALSE()))," ")</f>
        <v xml:space="preserve"> </v>
      </c>
      <c r="J669" s="34" t="str">
        <f>IFERROR((VLOOKUP(F669,'Planilha de Cadastro - Previsão'!$A$2:$N$1100,5,FALSE()))," ")</f>
        <v xml:space="preserve"> </v>
      </c>
      <c r="K669" s="36"/>
      <c r="L669" s="34" t="str">
        <f t="shared" si="44"/>
        <v/>
      </c>
      <c r="M669" s="35" t="str">
        <f t="shared" si="45"/>
        <v/>
      </c>
      <c r="N669" s="39"/>
      <c r="O669" s="36"/>
    </row>
    <row r="670" spans="1:15" x14ac:dyDescent="0.25">
      <c r="A670">
        <f>COUNTIF($C$2:C670,C670)</f>
        <v>669</v>
      </c>
      <c r="B670" s="1" t="str">
        <f t="shared" si="42"/>
        <v>669</v>
      </c>
      <c r="C670" s="1" t="str">
        <f>IFERROR(VLOOKUP(D670,'Planilha de Cadastro - Previsão'!$A$2:$O$1000,15,FALSE()),"")</f>
        <v/>
      </c>
      <c r="D670" s="1">
        <v>669</v>
      </c>
      <c r="F670" s="32" t="str">
        <f t="shared" si="43"/>
        <v/>
      </c>
      <c r="G670" s="33" t="str">
        <f>IFERROR((VLOOKUP(F670,'Planilha de Cadastro - Previsão'!$A$2:$N$1100,2,FALSE()))," ")</f>
        <v xml:space="preserve"> </v>
      </c>
      <c r="H670" s="32" t="str">
        <f>IFERROR((VLOOKUP(F670,'Planilha de Cadastro - Previsão'!$A$2:$N$1100,3,FALSE()))," ")</f>
        <v xml:space="preserve"> </v>
      </c>
      <c r="I670" s="34" t="str">
        <f>IFERROR((VLOOKUP(F670,'Planilha de Cadastro - Previsão'!$A$2:$N$1100,4,FALSE()))," ")</f>
        <v xml:space="preserve"> </v>
      </c>
      <c r="J670" s="34" t="str">
        <f>IFERROR((VLOOKUP(F670,'Planilha de Cadastro - Previsão'!$A$2:$N$1100,5,FALSE()))," ")</f>
        <v xml:space="preserve"> </v>
      </c>
      <c r="K670" s="36"/>
      <c r="L670" s="34" t="str">
        <f t="shared" si="44"/>
        <v/>
      </c>
      <c r="M670" s="35" t="str">
        <f t="shared" si="45"/>
        <v/>
      </c>
      <c r="N670" s="39"/>
      <c r="O670" s="36"/>
    </row>
    <row r="671" spans="1:15" x14ac:dyDescent="0.25">
      <c r="A671">
        <f>COUNTIF($C$2:C671,C671)</f>
        <v>670</v>
      </c>
      <c r="B671" s="1" t="str">
        <f t="shared" si="42"/>
        <v>670</v>
      </c>
      <c r="C671" s="1" t="str">
        <f>IFERROR(VLOOKUP(D671,'Planilha de Cadastro - Previsão'!$A$2:$O$1000,15,FALSE()),"")</f>
        <v/>
      </c>
      <c r="D671" s="1">
        <v>670</v>
      </c>
      <c r="F671" s="32" t="str">
        <f t="shared" si="43"/>
        <v/>
      </c>
      <c r="G671" s="33" t="str">
        <f>IFERROR((VLOOKUP(F671,'Planilha de Cadastro - Previsão'!$A$2:$N$1100,2,FALSE()))," ")</f>
        <v xml:space="preserve"> </v>
      </c>
      <c r="H671" s="32" t="str">
        <f>IFERROR((VLOOKUP(F671,'Planilha de Cadastro - Previsão'!$A$2:$N$1100,3,FALSE()))," ")</f>
        <v xml:space="preserve"> </v>
      </c>
      <c r="I671" s="34" t="str">
        <f>IFERROR((VLOOKUP(F671,'Planilha de Cadastro - Previsão'!$A$2:$N$1100,4,FALSE()))," ")</f>
        <v xml:space="preserve"> </v>
      </c>
      <c r="J671" s="34" t="str">
        <f>IFERROR((VLOOKUP(F671,'Planilha de Cadastro - Previsão'!$A$2:$N$1100,5,FALSE()))," ")</f>
        <v xml:space="preserve"> </v>
      </c>
      <c r="K671" s="36"/>
      <c r="L671" s="34" t="str">
        <f t="shared" si="44"/>
        <v/>
      </c>
      <c r="M671" s="35" t="str">
        <f t="shared" si="45"/>
        <v/>
      </c>
      <c r="N671" s="39"/>
      <c r="O671" s="36"/>
    </row>
    <row r="672" spans="1:15" x14ac:dyDescent="0.25">
      <c r="A672">
        <f>COUNTIF($C$2:C672,C672)</f>
        <v>671</v>
      </c>
      <c r="B672" s="1" t="str">
        <f t="shared" si="42"/>
        <v>671</v>
      </c>
      <c r="C672" s="1" t="str">
        <f>IFERROR(VLOOKUP(D672,'Planilha de Cadastro - Previsão'!$A$2:$O$1000,15,FALSE()),"")</f>
        <v/>
      </c>
      <c r="D672" s="1">
        <v>671</v>
      </c>
      <c r="F672" s="32" t="str">
        <f t="shared" si="43"/>
        <v/>
      </c>
      <c r="G672" s="33" t="str">
        <f>IFERROR((VLOOKUP(F672,'Planilha de Cadastro - Previsão'!$A$2:$N$1100,2,FALSE()))," ")</f>
        <v xml:space="preserve"> </v>
      </c>
      <c r="H672" s="32" t="str">
        <f>IFERROR((VLOOKUP(F672,'Planilha de Cadastro - Previsão'!$A$2:$N$1100,3,FALSE()))," ")</f>
        <v xml:space="preserve"> </v>
      </c>
      <c r="I672" s="34" t="str">
        <f>IFERROR((VLOOKUP(F672,'Planilha de Cadastro - Previsão'!$A$2:$N$1100,4,FALSE()))," ")</f>
        <v xml:space="preserve"> </v>
      </c>
      <c r="J672" s="34" t="str">
        <f>IFERROR((VLOOKUP(F672,'Planilha de Cadastro - Previsão'!$A$2:$N$1100,5,FALSE()))," ")</f>
        <v xml:space="preserve"> </v>
      </c>
      <c r="K672" s="36"/>
      <c r="L672" s="34" t="str">
        <f t="shared" si="44"/>
        <v/>
      </c>
      <c r="M672" s="35" t="str">
        <f t="shared" si="45"/>
        <v/>
      </c>
      <c r="N672" s="39"/>
      <c r="O672" s="36"/>
    </row>
    <row r="673" spans="1:15" x14ac:dyDescent="0.25">
      <c r="A673">
        <f>COUNTIF($C$2:C673,C673)</f>
        <v>672</v>
      </c>
      <c r="B673" s="1" t="str">
        <f t="shared" si="42"/>
        <v>672</v>
      </c>
      <c r="C673" s="1" t="str">
        <f>IFERROR(VLOOKUP(D673,'Planilha de Cadastro - Previsão'!$A$2:$O$1000,15,FALSE()),"")</f>
        <v/>
      </c>
      <c r="D673" s="1">
        <v>672</v>
      </c>
      <c r="F673" s="32" t="str">
        <f t="shared" si="43"/>
        <v/>
      </c>
      <c r="G673" s="33" t="str">
        <f>IFERROR((VLOOKUP(F673,'Planilha de Cadastro - Previsão'!$A$2:$N$1100,2,FALSE()))," ")</f>
        <v xml:space="preserve"> </v>
      </c>
      <c r="H673" s="32" t="str">
        <f>IFERROR((VLOOKUP(F673,'Planilha de Cadastro - Previsão'!$A$2:$N$1100,3,FALSE()))," ")</f>
        <v xml:space="preserve"> </v>
      </c>
      <c r="I673" s="34" t="str">
        <f>IFERROR((VLOOKUP(F673,'Planilha de Cadastro - Previsão'!$A$2:$N$1100,4,FALSE()))," ")</f>
        <v xml:space="preserve"> </v>
      </c>
      <c r="J673" s="34" t="str">
        <f>IFERROR((VLOOKUP(F673,'Planilha de Cadastro - Previsão'!$A$2:$N$1100,5,FALSE()))," ")</f>
        <v xml:space="preserve"> </v>
      </c>
      <c r="K673" s="36"/>
      <c r="L673" s="34" t="str">
        <f t="shared" si="44"/>
        <v/>
      </c>
      <c r="M673" s="35" t="str">
        <f t="shared" si="45"/>
        <v/>
      </c>
      <c r="N673" s="39"/>
      <c r="O673" s="36"/>
    </row>
    <row r="674" spans="1:15" x14ac:dyDescent="0.25">
      <c r="A674">
        <f>COUNTIF($C$2:C674,C674)</f>
        <v>673</v>
      </c>
      <c r="B674" s="1" t="str">
        <f t="shared" si="42"/>
        <v>673</v>
      </c>
      <c r="C674" s="1" t="str">
        <f>IFERROR(VLOOKUP(D674,'Planilha de Cadastro - Previsão'!$A$2:$O$1000,15,FALSE()),"")</f>
        <v/>
      </c>
      <c r="D674" s="1">
        <v>673</v>
      </c>
      <c r="F674" s="32" t="str">
        <f t="shared" si="43"/>
        <v/>
      </c>
      <c r="G674" s="33" t="str">
        <f>IFERROR((VLOOKUP(F674,'Planilha de Cadastro - Previsão'!$A$2:$N$1100,2,FALSE()))," ")</f>
        <v xml:space="preserve"> </v>
      </c>
      <c r="H674" s="32" t="str">
        <f>IFERROR((VLOOKUP(F674,'Planilha de Cadastro - Previsão'!$A$2:$N$1100,3,FALSE()))," ")</f>
        <v xml:space="preserve"> </v>
      </c>
      <c r="I674" s="34" t="str">
        <f>IFERROR((VLOOKUP(F674,'Planilha de Cadastro - Previsão'!$A$2:$N$1100,4,FALSE()))," ")</f>
        <v xml:space="preserve"> </v>
      </c>
      <c r="J674" s="34" t="str">
        <f>IFERROR((VLOOKUP(F674,'Planilha de Cadastro - Previsão'!$A$2:$N$1100,5,FALSE()))," ")</f>
        <v xml:space="preserve"> </v>
      </c>
      <c r="K674" s="36"/>
      <c r="L674" s="34" t="str">
        <f t="shared" si="44"/>
        <v/>
      </c>
      <c r="M674" s="35" t="str">
        <f t="shared" si="45"/>
        <v/>
      </c>
      <c r="N674" s="39"/>
      <c r="O674" s="36"/>
    </row>
    <row r="675" spans="1:15" x14ac:dyDescent="0.25">
      <c r="A675">
        <f>COUNTIF($C$2:C675,C675)</f>
        <v>674</v>
      </c>
      <c r="B675" s="1" t="str">
        <f t="shared" si="42"/>
        <v>674</v>
      </c>
      <c r="C675" s="1" t="str">
        <f>IFERROR(VLOOKUP(D675,'Planilha de Cadastro - Previsão'!$A$2:$O$1000,15,FALSE()),"")</f>
        <v/>
      </c>
      <c r="D675" s="1">
        <v>674</v>
      </c>
      <c r="F675" s="32" t="str">
        <f t="shared" si="43"/>
        <v/>
      </c>
      <c r="G675" s="33" t="str">
        <f>IFERROR((VLOOKUP(F675,'Planilha de Cadastro - Previsão'!$A$2:$N$1100,2,FALSE()))," ")</f>
        <v xml:space="preserve"> </v>
      </c>
      <c r="H675" s="32" t="str">
        <f>IFERROR((VLOOKUP(F675,'Planilha de Cadastro - Previsão'!$A$2:$N$1100,3,FALSE()))," ")</f>
        <v xml:space="preserve"> </v>
      </c>
      <c r="I675" s="34" t="str">
        <f>IFERROR((VLOOKUP(F675,'Planilha de Cadastro - Previsão'!$A$2:$N$1100,4,FALSE()))," ")</f>
        <v xml:space="preserve"> </v>
      </c>
      <c r="J675" s="34" t="str">
        <f>IFERROR((VLOOKUP(F675,'Planilha de Cadastro - Previsão'!$A$2:$N$1100,5,FALSE()))," ")</f>
        <v xml:space="preserve"> </v>
      </c>
      <c r="K675" s="36"/>
      <c r="L675" s="34" t="str">
        <f t="shared" si="44"/>
        <v/>
      </c>
      <c r="M675" s="35" t="str">
        <f t="shared" si="45"/>
        <v/>
      </c>
      <c r="N675" s="39"/>
      <c r="O675" s="36"/>
    </row>
    <row r="676" spans="1:15" x14ac:dyDescent="0.25">
      <c r="A676">
        <f>COUNTIF($C$2:C676,C676)</f>
        <v>675</v>
      </c>
      <c r="B676" s="1" t="str">
        <f t="shared" si="42"/>
        <v>675</v>
      </c>
      <c r="C676" s="1" t="str">
        <f>IFERROR(VLOOKUP(D676,'Planilha de Cadastro - Previsão'!$A$2:$O$1000,15,FALSE()),"")</f>
        <v/>
      </c>
      <c r="D676" s="1">
        <v>675</v>
      </c>
      <c r="F676" s="32" t="str">
        <f t="shared" si="43"/>
        <v/>
      </c>
      <c r="G676" s="33" t="str">
        <f>IFERROR((VLOOKUP(F676,'Planilha de Cadastro - Previsão'!$A$2:$N$1100,2,FALSE()))," ")</f>
        <v xml:space="preserve"> </v>
      </c>
      <c r="H676" s="32" t="str">
        <f>IFERROR((VLOOKUP(F676,'Planilha de Cadastro - Previsão'!$A$2:$N$1100,3,FALSE()))," ")</f>
        <v xml:space="preserve"> </v>
      </c>
      <c r="I676" s="34" t="str">
        <f>IFERROR((VLOOKUP(F676,'Planilha de Cadastro - Previsão'!$A$2:$N$1100,4,FALSE()))," ")</f>
        <v xml:space="preserve"> </v>
      </c>
      <c r="J676" s="34" t="str">
        <f>IFERROR((VLOOKUP(F676,'Planilha de Cadastro - Previsão'!$A$2:$N$1100,5,FALSE()))," ")</f>
        <v xml:space="preserve"> </v>
      </c>
      <c r="K676" s="36"/>
      <c r="L676" s="34" t="str">
        <f t="shared" si="44"/>
        <v/>
      </c>
      <c r="M676" s="35" t="str">
        <f t="shared" si="45"/>
        <v/>
      </c>
      <c r="N676" s="39"/>
      <c r="O676" s="36"/>
    </row>
    <row r="677" spans="1:15" x14ac:dyDescent="0.25">
      <c r="A677">
        <f>COUNTIF($C$2:C677,C677)</f>
        <v>676</v>
      </c>
      <c r="B677" s="1" t="str">
        <f t="shared" si="42"/>
        <v>676</v>
      </c>
      <c r="C677" s="1" t="str">
        <f>IFERROR(VLOOKUP(D677,'Planilha de Cadastro - Previsão'!$A$2:$O$1000,15,FALSE()),"")</f>
        <v/>
      </c>
      <c r="D677" s="1">
        <v>676</v>
      </c>
      <c r="F677" s="32" t="str">
        <f t="shared" si="43"/>
        <v/>
      </c>
      <c r="G677" s="33" t="str">
        <f>IFERROR((VLOOKUP(F677,'Planilha de Cadastro - Previsão'!$A$2:$N$1100,2,FALSE()))," ")</f>
        <v xml:space="preserve"> </v>
      </c>
      <c r="H677" s="32" t="str">
        <f>IFERROR((VLOOKUP(F677,'Planilha de Cadastro - Previsão'!$A$2:$N$1100,3,FALSE()))," ")</f>
        <v xml:space="preserve"> </v>
      </c>
      <c r="I677" s="34" t="str">
        <f>IFERROR((VLOOKUP(F677,'Planilha de Cadastro - Previsão'!$A$2:$N$1100,4,FALSE()))," ")</f>
        <v xml:space="preserve"> </v>
      </c>
      <c r="J677" s="34" t="str">
        <f>IFERROR((VLOOKUP(F677,'Planilha de Cadastro - Previsão'!$A$2:$N$1100,5,FALSE()))," ")</f>
        <v xml:space="preserve"> </v>
      </c>
      <c r="K677" s="36"/>
      <c r="L677" s="34" t="str">
        <f t="shared" si="44"/>
        <v/>
      </c>
      <c r="M677" s="35" t="str">
        <f t="shared" si="45"/>
        <v/>
      </c>
      <c r="N677" s="39"/>
      <c r="O677" s="36"/>
    </row>
    <row r="678" spans="1:15" x14ac:dyDescent="0.25">
      <c r="A678">
        <f>COUNTIF($C$2:C678,C678)</f>
        <v>677</v>
      </c>
      <c r="B678" s="1" t="str">
        <f t="shared" si="42"/>
        <v>677</v>
      </c>
      <c r="C678" s="1" t="str">
        <f>IFERROR(VLOOKUP(D678,'Planilha de Cadastro - Previsão'!$A$2:$O$1000,15,FALSE()),"")</f>
        <v/>
      </c>
      <c r="D678" s="1">
        <v>677</v>
      </c>
      <c r="F678" s="32" t="str">
        <f t="shared" si="43"/>
        <v/>
      </c>
      <c r="G678" s="33" t="str">
        <f>IFERROR((VLOOKUP(F678,'Planilha de Cadastro - Previsão'!$A$2:$N$1100,2,FALSE()))," ")</f>
        <v xml:space="preserve"> </v>
      </c>
      <c r="H678" s="32" t="str">
        <f>IFERROR((VLOOKUP(F678,'Planilha de Cadastro - Previsão'!$A$2:$N$1100,3,FALSE()))," ")</f>
        <v xml:space="preserve"> </v>
      </c>
      <c r="I678" s="34" t="str">
        <f>IFERROR((VLOOKUP(F678,'Planilha de Cadastro - Previsão'!$A$2:$N$1100,4,FALSE()))," ")</f>
        <v xml:space="preserve"> </v>
      </c>
      <c r="J678" s="34" t="str">
        <f>IFERROR((VLOOKUP(F678,'Planilha de Cadastro - Previsão'!$A$2:$N$1100,5,FALSE()))," ")</f>
        <v xml:space="preserve"> </v>
      </c>
      <c r="K678" s="36"/>
      <c r="L678" s="34" t="str">
        <f t="shared" si="44"/>
        <v/>
      </c>
      <c r="M678" s="35" t="str">
        <f t="shared" si="45"/>
        <v/>
      </c>
      <c r="N678" s="39"/>
      <c r="O678" s="36"/>
    </row>
    <row r="679" spans="1:15" x14ac:dyDescent="0.25">
      <c r="A679">
        <f>COUNTIF($C$2:C679,C679)</f>
        <v>678</v>
      </c>
      <c r="B679" s="1" t="str">
        <f t="shared" si="42"/>
        <v>678</v>
      </c>
      <c r="C679" s="1" t="str">
        <f>IFERROR(VLOOKUP(D679,'Planilha de Cadastro - Previsão'!$A$2:$O$1000,15,FALSE()),"")</f>
        <v/>
      </c>
      <c r="D679" s="1">
        <v>678</v>
      </c>
      <c r="F679" s="32" t="str">
        <f t="shared" si="43"/>
        <v/>
      </c>
      <c r="G679" s="33" t="str">
        <f>IFERROR((VLOOKUP(F679,'Planilha de Cadastro - Previsão'!$A$2:$N$1100,2,FALSE()))," ")</f>
        <v xml:space="preserve"> </v>
      </c>
      <c r="H679" s="32" t="str">
        <f>IFERROR((VLOOKUP(F679,'Planilha de Cadastro - Previsão'!$A$2:$N$1100,3,FALSE()))," ")</f>
        <v xml:space="preserve"> </v>
      </c>
      <c r="I679" s="34" t="str">
        <f>IFERROR((VLOOKUP(F679,'Planilha de Cadastro - Previsão'!$A$2:$N$1100,4,FALSE()))," ")</f>
        <v xml:space="preserve"> </v>
      </c>
      <c r="J679" s="34" t="str">
        <f>IFERROR((VLOOKUP(F679,'Planilha de Cadastro - Previsão'!$A$2:$N$1100,5,FALSE()))," ")</f>
        <v xml:space="preserve"> </v>
      </c>
      <c r="K679" s="36"/>
      <c r="L679" s="34" t="str">
        <f t="shared" si="44"/>
        <v/>
      </c>
      <c r="M679" s="35" t="str">
        <f t="shared" si="45"/>
        <v/>
      </c>
      <c r="N679" s="39"/>
      <c r="O679" s="36"/>
    </row>
    <row r="680" spans="1:15" x14ac:dyDescent="0.25">
      <c r="A680">
        <f>COUNTIF($C$2:C680,C680)</f>
        <v>679</v>
      </c>
      <c r="B680" s="1" t="str">
        <f t="shared" si="42"/>
        <v>679</v>
      </c>
      <c r="C680" s="1" t="str">
        <f>IFERROR(VLOOKUP(D680,'Planilha de Cadastro - Previsão'!$A$2:$O$1000,15,FALSE()),"")</f>
        <v/>
      </c>
      <c r="D680" s="1">
        <v>679</v>
      </c>
      <c r="F680" s="32" t="str">
        <f t="shared" si="43"/>
        <v/>
      </c>
      <c r="G680" s="33" t="str">
        <f>IFERROR((VLOOKUP(F680,'Planilha de Cadastro - Previsão'!$A$2:$N$1100,2,FALSE()))," ")</f>
        <v xml:space="preserve"> </v>
      </c>
      <c r="H680" s="32" t="str">
        <f>IFERROR((VLOOKUP(F680,'Planilha de Cadastro - Previsão'!$A$2:$N$1100,3,FALSE()))," ")</f>
        <v xml:space="preserve"> </v>
      </c>
      <c r="I680" s="34" t="str">
        <f>IFERROR((VLOOKUP(F680,'Planilha de Cadastro - Previsão'!$A$2:$N$1100,4,FALSE()))," ")</f>
        <v xml:space="preserve"> </v>
      </c>
      <c r="J680" s="34" t="str">
        <f>IFERROR((VLOOKUP(F680,'Planilha de Cadastro - Previsão'!$A$2:$N$1100,5,FALSE()))," ")</f>
        <v xml:space="preserve"> </v>
      </c>
      <c r="K680" s="36"/>
      <c r="L680" s="34" t="str">
        <f t="shared" si="44"/>
        <v/>
      </c>
      <c r="M680" s="35" t="str">
        <f t="shared" si="45"/>
        <v/>
      </c>
      <c r="N680" s="39"/>
      <c r="O680" s="36"/>
    </row>
    <row r="681" spans="1:15" x14ac:dyDescent="0.25">
      <c r="A681">
        <f>COUNTIF($C$2:C681,C681)</f>
        <v>680</v>
      </c>
      <c r="B681" s="1" t="str">
        <f t="shared" si="42"/>
        <v>680</v>
      </c>
      <c r="C681" s="1" t="str">
        <f>IFERROR(VLOOKUP(D681,'Planilha de Cadastro - Previsão'!$A$2:$O$1000,15,FALSE()),"")</f>
        <v/>
      </c>
      <c r="D681" s="1">
        <v>680</v>
      </c>
      <c r="F681" s="32" t="str">
        <f t="shared" si="43"/>
        <v/>
      </c>
      <c r="G681" s="33" t="str">
        <f>IFERROR((VLOOKUP(F681,'Planilha de Cadastro - Previsão'!$A$2:$N$1100,2,FALSE()))," ")</f>
        <v xml:space="preserve"> </v>
      </c>
      <c r="H681" s="32" t="str">
        <f>IFERROR((VLOOKUP(F681,'Planilha de Cadastro - Previsão'!$A$2:$N$1100,3,FALSE()))," ")</f>
        <v xml:space="preserve"> </v>
      </c>
      <c r="I681" s="34" t="str">
        <f>IFERROR((VLOOKUP(F681,'Planilha de Cadastro - Previsão'!$A$2:$N$1100,4,FALSE()))," ")</f>
        <v xml:space="preserve"> </v>
      </c>
      <c r="J681" s="34" t="str">
        <f>IFERROR((VLOOKUP(F681,'Planilha de Cadastro - Previsão'!$A$2:$N$1100,5,FALSE()))," ")</f>
        <v xml:space="preserve"> </v>
      </c>
      <c r="K681" s="36"/>
      <c r="L681" s="34" t="str">
        <f t="shared" si="44"/>
        <v/>
      </c>
      <c r="M681" s="35" t="str">
        <f t="shared" si="45"/>
        <v/>
      </c>
      <c r="N681" s="39"/>
      <c r="O681" s="36"/>
    </row>
    <row r="682" spans="1:15" x14ac:dyDescent="0.25">
      <c r="A682">
        <f>COUNTIF($C$2:C682,C682)</f>
        <v>681</v>
      </c>
      <c r="B682" s="1" t="str">
        <f t="shared" si="42"/>
        <v>681</v>
      </c>
      <c r="C682" s="1" t="str">
        <f>IFERROR(VLOOKUP(D682,'Planilha de Cadastro - Previsão'!$A$2:$O$1000,15,FALSE()),"")</f>
        <v/>
      </c>
      <c r="D682" s="1">
        <v>681</v>
      </c>
      <c r="F682" s="32" t="str">
        <f t="shared" si="43"/>
        <v/>
      </c>
      <c r="G682" s="33" t="str">
        <f>IFERROR((VLOOKUP(F682,'Planilha de Cadastro - Previsão'!$A$2:$N$1100,2,FALSE()))," ")</f>
        <v xml:space="preserve"> </v>
      </c>
      <c r="H682" s="32" t="str">
        <f>IFERROR((VLOOKUP(F682,'Planilha de Cadastro - Previsão'!$A$2:$N$1100,3,FALSE()))," ")</f>
        <v xml:space="preserve"> </v>
      </c>
      <c r="I682" s="34" t="str">
        <f>IFERROR((VLOOKUP(F682,'Planilha de Cadastro - Previsão'!$A$2:$N$1100,4,FALSE()))," ")</f>
        <v xml:space="preserve"> </v>
      </c>
      <c r="J682" s="34" t="str">
        <f>IFERROR((VLOOKUP(F682,'Planilha de Cadastro - Previsão'!$A$2:$N$1100,5,FALSE()))," ")</f>
        <v xml:space="preserve"> </v>
      </c>
      <c r="K682" s="36"/>
      <c r="L682" s="34" t="str">
        <f t="shared" si="44"/>
        <v/>
      </c>
      <c r="M682" s="35" t="str">
        <f t="shared" si="45"/>
        <v/>
      </c>
      <c r="N682" s="39"/>
      <c r="O682" s="36"/>
    </row>
    <row r="683" spans="1:15" x14ac:dyDescent="0.25">
      <c r="A683">
        <f>COUNTIF($C$2:C683,C683)</f>
        <v>682</v>
      </c>
      <c r="B683" s="1" t="str">
        <f t="shared" si="42"/>
        <v>682</v>
      </c>
      <c r="C683" s="1" t="str">
        <f>IFERROR(VLOOKUP(D683,'Planilha de Cadastro - Previsão'!$A$2:$O$1000,15,FALSE()),"")</f>
        <v/>
      </c>
      <c r="D683" s="1">
        <v>682</v>
      </c>
      <c r="F683" s="32" t="str">
        <f t="shared" si="43"/>
        <v/>
      </c>
      <c r="G683" s="33" t="str">
        <f>IFERROR((VLOOKUP(F683,'Planilha de Cadastro - Previsão'!$A$2:$N$1100,2,FALSE()))," ")</f>
        <v xml:space="preserve"> </v>
      </c>
      <c r="H683" s="32" t="str">
        <f>IFERROR((VLOOKUP(F683,'Planilha de Cadastro - Previsão'!$A$2:$N$1100,3,FALSE()))," ")</f>
        <v xml:space="preserve"> </v>
      </c>
      <c r="I683" s="34" t="str">
        <f>IFERROR((VLOOKUP(F683,'Planilha de Cadastro - Previsão'!$A$2:$N$1100,4,FALSE()))," ")</f>
        <v xml:space="preserve"> </v>
      </c>
      <c r="J683" s="34" t="str">
        <f>IFERROR((VLOOKUP(F683,'Planilha de Cadastro - Previsão'!$A$2:$N$1100,5,FALSE()))," ")</f>
        <v xml:space="preserve"> </v>
      </c>
      <c r="K683" s="36"/>
      <c r="L683" s="34" t="str">
        <f t="shared" si="44"/>
        <v/>
      </c>
      <c r="M683" s="35" t="str">
        <f t="shared" si="45"/>
        <v/>
      </c>
      <c r="N683" s="39"/>
      <c r="O683" s="36"/>
    </row>
    <row r="684" spans="1:15" x14ac:dyDescent="0.25">
      <c r="A684">
        <f>COUNTIF($C$2:C684,C684)</f>
        <v>683</v>
      </c>
      <c r="B684" s="1" t="str">
        <f t="shared" si="42"/>
        <v>683</v>
      </c>
      <c r="C684" s="1" t="str">
        <f>IFERROR(VLOOKUP(D684,'Planilha de Cadastro - Previsão'!$A$2:$O$1000,15,FALSE()),"")</f>
        <v/>
      </c>
      <c r="D684" s="1">
        <v>683</v>
      </c>
      <c r="F684" s="32" t="str">
        <f t="shared" si="43"/>
        <v/>
      </c>
      <c r="G684" s="33" t="str">
        <f>IFERROR((VLOOKUP(F684,'Planilha de Cadastro - Previsão'!$A$2:$N$1100,2,FALSE()))," ")</f>
        <v xml:space="preserve"> </v>
      </c>
      <c r="H684" s="32" t="str">
        <f>IFERROR((VLOOKUP(F684,'Planilha de Cadastro - Previsão'!$A$2:$N$1100,3,FALSE()))," ")</f>
        <v xml:space="preserve"> </v>
      </c>
      <c r="I684" s="34" t="str">
        <f>IFERROR((VLOOKUP(F684,'Planilha de Cadastro - Previsão'!$A$2:$N$1100,4,FALSE()))," ")</f>
        <v xml:space="preserve"> </v>
      </c>
      <c r="J684" s="34" t="str">
        <f>IFERROR((VLOOKUP(F684,'Planilha de Cadastro - Previsão'!$A$2:$N$1100,5,FALSE()))," ")</f>
        <v xml:space="preserve"> </v>
      </c>
      <c r="K684" s="36"/>
      <c r="L684" s="34" t="str">
        <f t="shared" si="44"/>
        <v/>
      </c>
      <c r="M684" s="35" t="str">
        <f t="shared" si="45"/>
        <v/>
      </c>
      <c r="N684" s="39"/>
      <c r="O684" s="36"/>
    </row>
    <row r="685" spans="1:15" x14ac:dyDescent="0.25">
      <c r="A685">
        <f>COUNTIF($C$2:C685,C685)</f>
        <v>684</v>
      </c>
      <c r="B685" s="1" t="str">
        <f t="shared" si="42"/>
        <v>684</v>
      </c>
      <c r="C685" s="1" t="str">
        <f>IFERROR(VLOOKUP(D685,'Planilha de Cadastro - Previsão'!$A$2:$O$1000,15,FALSE()),"")</f>
        <v/>
      </c>
      <c r="D685" s="1">
        <v>684</v>
      </c>
      <c r="F685" s="32" t="str">
        <f t="shared" si="43"/>
        <v/>
      </c>
      <c r="G685" s="33" t="str">
        <f>IFERROR((VLOOKUP(F685,'Planilha de Cadastro - Previsão'!$A$2:$N$1100,2,FALSE()))," ")</f>
        <v xml:space="preserve"> </v>
      </c>
      <c r="H685" s="32" t="str">
        <f>IFERROR((VLOOKUP(F685,'Planilha de Cadastro - Previsão'!$A$2:$N$1100,3,FALSE()))," ")</f>
        <v xml:space="preserve"> </v>
      </c>
      <c r="I685" s="34" t="str">
        <f>IFERROR((VLOOKUP(F685,'Planilha de Cadastro - Previsão'!$A$2:$N$1100,4,FALSE()))," ")</f>
        <v xml:space="preserve"> </v>
      </c>
      <c r="J685" s="34" t="str">
        <f>IFERROR((VLOOKUP(F685,'Planilha de Cadastro - Previsão'!$A$2:$N$1100,5,FALSE()))," ")</f>
        <v xml:space="preserve"> </v>
      </c>
      <c r="K685" s="36"/>
      <c r="L685" s="34" t="str">
        <f t="shared" si="44"/>
        <v/>
      </c>
      <c r="M685" s="35" t="str">
        <f t="shared" si="45"/>
        <v/>
      </c>
      <c r="N685" s="39"/>
      <c r="O685" s="36"/>
    </row>
    <row r="686" spans="1:15" x14ac:dyDescent="0.25">
      <c r="A686">
        <f>COUNTIF($C$2:C686,C686)</f>
        <v>685</v>
      </c>
      <c r="B686" s="1" t="str">
        <f t="shared" si="42"/>
        <v>685</v>
      </c>
      <c r="C686" s="1" t="str">
        <f>IFERROR(VLOOKUP(D686,'Planilha de Cadastro - Previsão'!$A$2:$O$1000,15,FALSE()),"")</f>
        <v/>
      </c>
      <c r="D686" s="1">
        <v>685</v>
      </c>
      <c r="F686" s="32" t="str">
        <f t="shared" si="43"/>
        <v/>
      </c>
      <c r="G686" s="33" t="str">
        <f>IFERROR((VLOOKUP(F686,'Planilha de Cadastro - Previsão'!$A$2:$N$1100,2,FALSE()))," ")</f>
        <v xml:space="preserve"> </v>
      </c>
      <c r="H686" s="32" t="str">
        <f>IFERROR((VLOOKUP(F686,'Planilha de Cadastro - Previsão'!$A$2:$N$1100,3,FALSE()))," ")</f>
        <v xml:space="preserve"> </v>
      </c>
      <c r="I686" s="34" t="str">
        <f>IFERROR((VLOOKUP(F686,'Planilha de Cadastro - Previsão'!$A$2:$N$1100,4,FALSE()))," ")</f>
        <v xml:space="preserve"> </v>
      </c>
      <c r="J686" s="34" t="str">
        <f>IFERROR((VLOOKUP(F686,'Planilha de Cadastro - Previsão'!$A$2:$N$1100,5,FALSE()))," ")</f>
        <v xml:space="preserve"> </v>
      </c>
      <c r="K686" s="36"/>
      <c r="L686" s="34" t="str">
        <f t="shared" si="44"/>
        <v/>
      </c>
      <c r="M686" s="35" t="str">
        <f t="shared" si="45"/>
        <v/>
      </c>
      <c r="N686" s="39"/>
      <c r="O686" s="36"/>
    </row>
    <row r="687" spans="1:15" x14ac:dyDescent="0.25">
      <c r="A687">
        <f>COUNTIF($C$2:C687,C687)</f>
        <v>686</v>
      </c>
      <c r="B687" s="1" t="str">
        <f t="shared" si="42"/>
        <v>686</v>
      </c>
      <c r="C687" s="1" t="str">
        <f>IFERROR(VLOOKUP(D687,'Planilha de Cadastro - Previsão'!$A$2:$O$1000,15,FALSE()),"")</f>
        <v/>
      </c>
      <c r="D687" s="1">
        <v>686</v>
      </c>
      <c r="F687" s="32" t="str">
        <f t="shared" si="43"/>
        <v/>
      </c>
      <c r="G687" s="33" t="str">
        <f>IFERROR((VLOOKUP(F687,'Planilha de Cadastro - Previsão'!$A$2:$N$1100,2,FALSE()))," ")</f>
        <v xml:space="preserve"> </v>
      </c>
      <c r="H687" s="32" t="str">
        <f>IFERROR((VLOOKUP(F687,'Planilha de Cadastro - Previsão'!$A$2:$N$1100,3,FALSE()))," ")</f>
        <v xml:space="preserve"> </v>
      </c>
      <c r="I687" s="34" t="str">
        <f>IFERROR((VLOOKUP(F687,'Planilha de Cadastro - Previsão'!$A$2:$N$1100,4,FALSE()))," ")</f>
        <v xml:space="preserve"> </v>
      </c>
      <c r="J687" s="34" t="str">
        <f>IFERROR((VLOOKUP(F687,'Planilha de Cadastro - Previsão'!$A$2:$N$1100,5,FALSE()))," ")</f>
        <v xml:space="preserve"> </v>
      </c>
      <c r="K687" s="36"/>
      <c r="L687" s="34" t="str">
        <f t="shared" si="44"/>
        <v/>
      </c>
      <c r="M687" s="35" t="str">
        <f t="shared" si="45"/>
        <v/>
      </c>
      <c r="N687" s="39"/>
      <c r="O687" s="36"/>
    </row>
    <row r="688" spans="1:15" x14ac:dyDescent="0.25">
      <c r="A688">
        <f>COUNTIF($C$2:C688,C688)</f>
        <v>687</v>
      </c>
      <c r="B688" s="1" t="str">
        <f t="shared" si="42"/>
        <v>687</v>
      </c>
      <c r="C688" s="1" t="str">
        <f>IFERROR(VLOOKUP(D688,'Planilha de Cadastro - Previsão'!$A$2:$O$1000,15,FALSE()),"")</f>
        <v/>
      </c>
      <c r="D688" s="1">
        <v>687</v>
      </c>
      <c r="F688" s="32" t="str">
        <f t="shared" si="43"/>
        <v/>
      </c>
      <c r="G688" s="33" t="str">
        <f>IFERROR((VLOOKUP(F688,'Planilha de Cadastro - Previsão'!$A$2:$N$1100,2,FALSE()))," ")</f>
        <v xml:space="preserve"> </v>
      </c>
      <c r="H688" s="32" t="str">
        <f>IFERROR((VLOOKUP(F688,'Planilha de Cadastro - Previsão'!$A$2:$N$1100,3,FALSE()))," ")</f>
        <v xml:space="preserve"> </v>
      </c>
      <c r="I688" s="34" t="str">
        <f>IFERROR((VLOOKUP(F688,'Planilha de Cadastro - Previsão'!$A$2:$N$1100,4,FALSE()))," ")</f>
        <v xml:space="preserve"> </v>
      </c>
      <c r="J688" s="34" t="str">
        <f>IFERROR((VLOOKUP(F688,'Planilha de Cadastro - Previsão'!$A$2:$N$1100,5,FALSE()))," ")</f>
        <v xml:space="preserve"> </v>
      </c>
      <c r="K688" s="36"/>
      <c r="L688" s="34" t="str">
        <f t="shared" si="44"/>
        <v/>
      </c>
      <c r="M688" s="35" t="str">
        <f t="shared" si="45"/>
        <v/>
      </c>
      <c r="N688" s="39"/>
      <c r="O688" s="36"/>
    </row>
    <row r="689" spans="1:15" x14ac:dyDescent="0.25">
      <c r="A689">
        <f>COUNTIF($C$2:C689,C689)</f>
        <v>688</v>
      </c>
      <c r="B689" s="1" t="str">
        <f t="shared" si="42"/>
        <v>688</v>
      </c>
      <c r="C689" s="1" t="str">
        <f>IFERROR(VLOOKUP(D689,'Planilha de Cadastro - Previsão'!$A$2:$O$1000,15,FALSE()),"")</f>
        <v/>
      </c>
      <c r="D689" s="1">
        <v>688</v>
      </c>
      <c r="F689" s="32" t="str">
        <f t="shared" si="43"/>
        <v/>
      </c>
      <c r="G689" s="33" t="str">
        <f>IFERROR((VLOOKUP(F689,'Planilha de Cadastro - Previsão'!$A$2:$N$1100,2,FALSE()))," ")</f>
        <v xml:space="preserve"> </v>
      </c>
      <c r="H689" s="32" t="str">
        <f>IFERROR((VLOOKUP(F689,'Planilha de Cadastro - Previsão'!$A$2:$N$1100,3,FALSE()))," ")</f>
        <v xml:space="preserve"> </v>
      </c>
      <c r="I689" s="34" t="str">
        <f>IFERROR((VLOOKUP(F689,'Planilha de Cadastro - Previsão'!$A$2:$N$1100,4,FALSE()))," ")</f>
        <v xml:space="preserve"> </v>
      </c>
      <c r="J689" s="34" t="str">
        <f>IFERROR((VLOOKUP(F689,'Planilha de Cadastro - Previsão'!$A$2:$N$1100,5,FALSE()))," ")</f>
        <v xml:space="preserve"> </v>
      </c>
      <c r="K689" s="36"/>
      <c r="L689" s="34" t="str">
        <f t="shared" si="44"/>
        <v/>
      </c>
      <c r="M689" s="35" t="str">
        <f t="shared" si="45"/>
        <v/>
      </c>
      <c r="N689" s="39"/>
      <c r="O689" s="36"/>
    </row>
    <row r="690" spans="1:15" x14ac:dyDescent="0.25">
      <c r="A690">
        <f>COUNTIF($C$2:C690,C690)</f>
        <v>689</v>
      </c>
      <c r="B690" s="1" t="str">
        <f t="shared" si="42"/>
        <v>689</v>
      </c>
      <c r="C690" s="1" t="str">
        <f>IFERROR(VLOOKUP(D690,'Planilha de Cadastro - Previsão'!$A$2:$O$1000,15,FALSE()),"")</f>
        <v/>
      </c>
      <c r="D690" s="1">
        <v>689</v>
      </c>
      <c r="F690" s="32" t="str">
        <f t="shared" si="43"/>
        <v/>
      </c>
      <c r="G690" s="33" t="str">
        <f>IFERROR((VLOOKUP(F690,'Planilha de Cadastro - Previsão'!$A$2:$N$1100,2,FALSE()))," ")</f>
        <v xml:space="preserve"> </v>
      </c>
      <c r="H690" s="32" t="str">
        <f>IFERROR((VLOOKUP(F690,'Planilha de Cadastro - Previsão'!$A$2:$N$1100,3,FALSE()))," ")</f>
        <v xml:space="preserve"> </v>
      </c>
      <c r="I690" s="34" t="str">
        <f>IFERROR((VLOOKUP(F690,'Planilha de Cadastro - Previsão'!$A$2:$N$1100,4,FALSE()))," ")</f>
        <v xml:space="preserve"> </v>
      </c>
      <c r="J690" s="34" t="str">
        <f>IFERROR((VLOOKUP(F690,'Planilha de Cadastro - Previsão'!$A$2:$N$1100,5,FALSE()))," ")</f>
        <v xml:space="preserve"> </v>
      </c>
      <c r="K690" s="36"/>
      <c r="L690" s="34" t="str">
        <f t="shared" si="44"/>
        <v/>
      </c>
      <c r="M690" s="35" t="str">
        <f t="shared" si="45"/>
        <v/>
      </c>
      <c r="N690" s="39"/>
      <c r="O690" s="36"/>
    </row>
    <row r="691" spans="1:15" x14ac:dyDescent="0.25">
      <c r="A691">
        <f>COUNTIF($C$2:C691,C691)</f>
        <v>690</v>
      </c>
      <c r="B691" s="1" t="str">
        <f t="shared" si="42"/>
        <v>690</v>
      </c>
      <c r="C691" s="1" t="str">
        <f>IFERROR(VLOOKUP(D691,'Planilha de Cadastro - Previsão'!$A$2:$O$1000,15,FALSE()),"")</f>
        <v/>
      </c>
      <c r="D691" s="1">
        <v>690</v>
      </c>
      <c r="F691" s="32" t="str">
        <f t="shared" si="43"/>
        <v/>
      </c>
      <c r="G691" s="33" t="str">
        <f>IFERROR((VLOOKUP(F691,'Planilha de Cadastro - Previsão'!$A$2:$N$1100,2,FALSE()))," ")</f>
        <v xml:space="preserve"> </v>
      </c>
      <c r="H691" s="32" t="str">
        <f>IFERROR((VLOOKUP(F691,'Planilha de Cadastro - Previsão'!$A$2:$N$1100,3,FALSE()))," ")</f>
        <v xml:space="preserve"> </v>
      </c>
      <c r="I691" s="34" t="str">
        <f>IFERROR((VLOOKUP(F691,'Planilha de Cadastro - Previsão'!$A$2:$N$1100,4,FALSE()))," ")</f>
        <v xml:space="preserve"> </v>
      </c>
      <c r="J691" s="34" t="str">
        <f>IFERROR((VLOOKUP(F691,'Planilha de Cadastro - Previsão'!$A$2:$N$1100,5,FALSE()))," ")</f>
        <v xml:space="preserve"> </v>
      </c>
      <c r="K691" s="36"/>
      <c r="L691" s="34" t="str">
        <f t="shared" si="44"/>
        <v/>
      </c>
      <c r="M691" s="35" t="str">
        <f t="shared" si="45"/>
        <v/>
      </c>
      <c r="N691" s="39"/>
      <c r="O691" s="36"/>
    </row>
    <row r="692" spans="1:15" x14ac:dyDescent="0.25">
      <c r="A692">
        <f>COUNTIF($C$2:C692,C692)</f>
        <v>691</v>
      </c>
      <c r="B692" s="1" t="str">
        <f t="shared" si="42"/>
        <v>691</v>
      </c>
      <c r="C692" s="1" t="str">
        <f>IFERROR(VLOOKUP(D692,'Planilha de Cadastro - Previsão'!$A$2:$O$1000,15,FALSE()),"")</f>
        <v/>
      </c>
      <c r="D692" s="1">
        <v>691</v>
      </c>
      <c r="F692" s="32" t="str">
        <f t="shared" si="43"/>
        <v/>
      </c>
      <c r="G692" s="33" t="str">
        <f>IFERROR((VLOOKUP(F692,'Planilha de Cadastro - Previsão'!$A$2:$N$1100,2,FALSE()))," ")</f>
        <v xml:space="preserve"> </v>
      </c>
      <c r="H692" s="32" t="str">
        <f>IFERROR((VLOOKUP(F692,'Planilha de Cadastro - Previsão'!$A$2:$N$1100,3,FALSE()))," ")</f>
        <v xml:space="preserve"> </v>
      </c>
      <c r="I692" s="34" t="str">
        <f>IFERROR((VLOOKUP(F692,'Planilha de Cadastro - Previsão'!$A$2:$N$1100,4,FALSE()))," ")</f>
        <v xml:space="preserve"> </v>
      </c>
      <c r="J692" s="34" t="str">
        <f>IFERROR((VLOOKUP(F692,'Planilha de Cadastro - Previsão'!$A$2:$N$1100,5,FALSE()))," ")</f>
        <v xml:space="preserve"> </v>
      </c>
      <c r="K692" s="36"/>
      <c r="L692" s="34" t="str">
        <f t="shared" si="44"/>
        <v/>
      </c>
      <c r="M692" s="35" t="str">
        <f t="shared" si="45"/>
        <v/>
      </c>
      <c r="N692" s="39"/>
      <c r="O692" s="36"/>
    </row>
    <row r="693" spans="1:15" x14ac:dyDescent="0.25">
      <c r="A693">
        <f>COUNTIF($C$2:C693,C693)</f>
        <v>692</v>
      </c>
      <c r="B693" s="1" t="str">
        <f t="shared" si="42"/>
        <v>692</v>
      </c>
      <c r="C693" s="1" t="str">
        <f>IFERROR(VLOOKUP(D693,'Planilha de Cadastro - Previsão'!$A$2:$O$1000,15,FALSE()),"")</f>
        <v/>
      </c>
      <c r="D693" s="1">
        <v>692</v>
      </c>
      <c r="F693" s="32" t="str">
        <f t="shared" si="43"/>
        <v/>
      </c>
      <c r="G693" s="33" t="str">
        <f>IFERROR((VLOOKUP(F693,'Planilha de Cadastro - Previsão'!$A$2:$N$1100,2,FALSE()))," ")</f>
        <v xml:space="preserve"> </v>
      </c>
      <c r="H693" s="32" t="str">
        <f>IFERROR((VLOOKUP(F693,'Planilha de Cadastro - Previsão'!$A$2:$N$1100,3,FALSE()))," ")</f>
        <v xml:space="preserve"> </v>
      </c>
      <c r="I693" s="34" t="str">
        <f>IFERROR((VLOOKUP(F693,'Planilha de Cadastro - Previsão'!$A$2:$N$1100,4,FALSE()))," ")</f>
        <v xml:space="preserve"> </v>
      </c>
      <c r="J693" s="34" t="str">
        <f>IFERROR((VLOOKUP(F693,'Planilha de Cadastro - Previsão'!$A$2:$N$1100,5,FALSE()))," ")</f>
        <v xml:space="preserve"> </v>
      </c>
      <c r="K693" s="36"/>
      <c r="L693" s="34" t="str">
        <f t="shared" si="44"/>
        <v/>
      </c>
      <c r="M693" s="35" t="str">
        <f t="shared" si="45"/>
        <v/>
      </c>
      <c r="N693" s="39"/>
      <c r="O693" s="36"/>
    </row>
    <row r="694" spans="1:15" x14ac:dyDescent="0.25">
      <c r="A694">
        <f>COUNTIF($C$2:C694,C694)</f>
        <v>693</v>
      </c>
      <c r="B694" s="1" t="str">
        <f t="shared" si="42"/>
        <v>693</v>
      </c>
      <c r="C694" s="1" t="str">
        <f>IFERROR(VLOOKUP(D694,'Planilha de Cadastro - Previsão'!$A$2:$O$1000,15,FALSE()),"")</f>
        <v/>
      </c>
      <c r="D694" s="1">
        <v>693</v>
      </c>
      <c r="F694" s="32" t="str">
        <f t="shared" si="43"/>
        <v/>
      </c>
      <c r="G694" s="33" t="str">
        <f>IFERROR((VLOOKUP(F694,'Planilha de Cadastro - Previsão'!$A$2:$N$1100,2,FALSE()))," ")</f>
        <v xml:space="preserve"> </v>
      </c>
      <c r="H694" s="32" t="str">
        <f>IFERROR((VLOOKUP(F694,'Planilha de Cadastro - Previsão'!$A$2:$N$1100,3,FALSE()))," ")</f>
        <v xml:space="preserve"> </v>
      </c>
      <c r="I694" s="34" t="str">
        <f>IFERROR((VLOOKUP(F694,'Planilha de Cadastro - Previsão'!$A$2:$N$1100,4,FALSE()))," ")</f>
        <v xml:space="preserve"> </v>
      </c>
      <c r="J694" s="34" t="str">
        <f>IFERROR((VLOOKUP(F694,'Planilha de Cadastro - Previsão'!$A$2:$N$1100,5,FALSE()))," ")</f>
        <v xml:space="preserve"> </v>
      </c>
      <c r="K694" s="36"/>
      <c r="L694" s="34" t="str">
        <f t="shared" si="44"/>
        <v/>
      </c>
      <c r="M694" s="35" t="str">
        <f t="shared" si="45"/>
        <v/>
      </c>
      <c r="N694" s="39"/>
      <c r="O694" s="36"/>
    </row>
    <row r="695" spans="1:15" x14ac:dyDescent="0.25">
      <c r="A695">
        <f>COUNTIF($C$2:C695,C695)</f>
        <v>694</v>
      </c>
      <c r="B695" s="1" t="str">
        <f t="shared" si="42"/>
        <v>694</v>
      </c>
      <c r="C695" s="1" t="str">
        <f>IFERROR(VLOOKUP(D695,'Planilha de Cadastro - Previsão'!$A$2:$O$1000,15,FALSE()),"")</f>
        <v/>
      </c>
      <c r="D695" s="1">
        <v>694</v>
      </c>
      <c r="F695" s="32" t="str">
        <f t="shared" si="43"/>
        <v/>
      </c>
      <c r="G695" s="33" t="str">
        <f>IFERROR((VLOOKUP(F695,'Planilha de Cadastro - Previsão'!$A$2:$N$1100,2,FALSE()))," ")</f>
        <v xml:space="preserve"> </v>
      </c>
      <c r="H695" s="32" t="str">
        <f>IFERROR((VLOOKUP(F695,'Planilha de Cadastro - Previsão'!$A$2:$N$1100,3,FALSE()))," ")</f>
        <v xml:space="preserve"> </v>
      </c>
      <c r="I695" s="34" t="str">
        <f>IFERROR((VLOOKUP(F695,'Planilha de Cadastro - Previsão'!$A$2:$N$1100,4,FALSE()))," ")</f>
        <v xml:space="preserve"> </v>
      </c>
      <c r="J695" s="34" t="str">
        <f>IFERROR((VLOOKUP(F695,'Planilha de Cadastro - Previsão'!$A$2:$N$1100,5,FALSE()))," ")</f>
        <v xml:space="preserve"> </v>
      </c>
      <c r="K695" s="36"/>
      <c r="L695" s="34" t="str">
        <f t="shared" si="44"/>
        <v/>
      </c>
      <c r="M695" s="35" t="str">
        <f t="shared" si="45"/>
        <v/>
      </c>
      <c r="N695" s="39"/>
      <c r="O695" s="36"/>
    </row>
    <row r="696" spans="1:15" x14ac:dyDescent="0.25">
      <c r="A696">
        <f>COUNTIF($C$2:C696,C696)</f>
        <v>695</v>
      </c>
      <c r="B696" s="1" t="str">
        <f t="shared" si="42"/>
        <v>695</v>
      </c>
      <c r="C696" s="1" t="str">
        <f>IFERROR(VLOOKUP(D696,'Planilha de Cadastro - Previsão'!$A$2:$O$1000,15,FALSE()),"")</f>
        <v/>
      </c>
      <c r="D696" s="1">
        <v>695</v>
      </c>
      <c r="F696" s="32" t="str">
        <f t="shared" si="43"/>
        <v/>
      </c>
      <c r="G696" s="33" t="str">
        <f>IFERROR((VLOOKUP(F696,'Planilha de Cadastro - Previsão'!$A$2:$N$1100,2,FALSE()))," ")</f>
        <v xml:space="preserve"> </v>
      </c>
      <c r="H696" s="32" t="str">
        <f>IFERROR((VLOOKUP(F696,'Planilha de Cadastro - Previsão'!$A$2:$N$1100,3,FALSE()))," ")</f>
        <v xml:space="preserve"> </v>
      </c>
      <c r="I696" s="34" t="str">
        <f>IFERROR((VLOOKUP(F696,'Planilha de Cadastro - Previsão'!$A$2:$N$1100,4,FALSE()))," ")</f>
        <v xml:space="preserve"> </v>
      </c>
      <c r="J696" s="34" t="str">
        <f>IFERROR((VLOOKUP(F696,'Planilha de Cadastro - Previsão'!$A$2:$N$1100,5,FALSE()))," ")</f>
        <v xml:space="preserve"> </v>
      </c>
      <c r="K696" s="36"/>
      <c r="L696" s="34" t="str">
        <f t="shared" si="44"/>
        <v/>
      </c>
      <c r="M696" s="35" t="str">
        <f t="shared" si="45"/>
        <v/>
      </c>
      <c r="N696" s="39"/>
      <c r="O696" s="36"/>
    </row>
    <row r="697" spans="1:15" x14ac:dyDescent="0.25">
      <c r="A697">
        <f>COUNTIF($C$2:C697,C697)</f>
        <v>696</v>
      </c>
      <c r="B697" s="1" t="str">
        <f t="shared" si="42"/>
        <v>696</v>
      </c>
      <c r="C697" s="1" t="str">
        <f>IFERROR(VLOOKUP(D697,'Planilha de Cadastro - Previsão'!$A$2:$O$1000,15,FALSE()),"")</f>
        <v/>
      </c>
      <c r="D697" s="1">
        <v>696</v>
      </c>
      <c r="F697" s="32" t="str">
        <f t="shared" si="43"/>
        <v/>
      </c>
      <c r="G697" s="33" t="str">
        <f>IFERROR((VLOOKUP(F697,'Planilha de Cadastro - Previsão'!$A$2:$N$1100,2,FALSE()))," ")</f>
        <v xml:space="preserve"> </v>
      </c>
      <c r="H697" s="32" t="str">
        <f>IFERROR((VLOOKUP(F697,'Planilha de Cadastro - Previsão'!$A$2:$N$1100,3,FALSE()))," ")</f>
        <v xml:space="preserve"> </v>
      </c>
      <c r="I697" s="34" t="str">
        <f>IFERROR((VLOOKUP(F697,'Planilha de Cadastro - Previsão'!$A$2:$N$1100,4,FALSE()))," ")</f>
        <v xml:space="preserve"> </v>
      </c>
      <c r="J697" s="34" t="str">
        <f>IFERROR((VLOOKUP(F697,'Planilha de Cadastro - Previsão'!$A$2:$N$1100,5,FALSE()))," ")</f>
        <v xml:space="preserve"> </v>
      </c>
      <c r="K697" s="36"/>
      <c r="L697" s="34" t="str">
        <f t="shared" si="44"/>
        <v/>
      </c>
      <c r="M697" s="35" t="str">
        <f t="shared" si="45"/>
        <v/>
      </c>
      <c r="N697" s="39"/>
      <c r="O697" s="36"/>
    </row>
    <row r="698" spans="1:15" x14ac:dyDescent="0.25">
      <c r="A698">
        <f>COUNTIF($C$2:C698,C698)</f>
        <v>697</v>
      </c>
      <c r="B698" s="1" t="str">
        <f t="shared" si="42"/>
        <v>697</v>
      </c>
      <c r="C698" s="1" t="str">
        <f>IFERROR(VLOOKUP(D698,'Planilha de Cadastro - Previsão'!$A$2:$O$1000,15,FALSE()),"")</f>
        <v/>
      </c>
      <c r="D698" s="1">
        <v>697</v>
      </c>
      <c r="F698" s="32" t="str">
        <f t="shared" si="43"/>
        <v/>
      </c>
      <c r="G698" s="33" t="str">
        <f>IFERROR((VLOOKUP(F698,'Planilha de Cadastro - Previsão'!$A$2:$N$1100,2,FALSE()))," ")</f>
        <v xml:space="preserve"> </v>
      </c>
      <c r="H698" s="32" t="str">
        <f>IFERROR((VLOOKUP(F698,'Planilha de Cadastro - Previsão'!$A$2:$N$1100,3,FALSE()))," ")</f>
        <v xml:space="preserve"> </v>
      </c>
      <c r="I698" s="34" t="str">
        <f>IFERROR((VLOOKUP(F698,'Planilha de Cadastro - Previsão'!$A$2:$N$1100,4,FALSE()))," ")</f>
        <v xml:space="preserve"> </v>
      </c>
      <c r="J698" s="34" t="str">
        <f>IFERROR((VLOOKUP(F698,'Planilha de Cadastro - Previsão'!$A$2:$N$1100,5,FALSE()))," ")</f>
        <v xml:space="preserve"> </v>
      </c>
      <c r="K698" s="36"/>
      <c r="L698" s="34" t="str">
        <f t="shared" si="44"/>
        <v/>
      </c>
      <c r="M698" s="35" t="str">
        <f t="shared" si="45"/>
        <v/>
      </c>
      <c r="N698" s="39"/>
      <c r="O698" s="36"/>
    </row>
    <row r="699" spans="1:15" x14ac:dyDescent="0.25">
      <c r="A699">
        <f>COUNTIF($C$2:C699,C699)</f>
        <v>698</v>
      </c>
      <c r="B699" s="1" t="str">
        <f t="shared" si="42"/>
        <v>698</v>
      </c>
      <c r="C699" s="1" t="str">
        <f>IFERROR(VLOOKUP(D699,'Planilha de Cadastro - Previsão'!$A$2:$O$1000,15,FALSE()),"")</f>
        <v/>
      </c>
      <c r="D699" s="1">
        <v>698</v>
      </c>
      <c r="F699" s="32" t="str">
        <f t="shared" si="43"/>
        <v/>
      </c>
      <c r="G699" s="33" t="str">
        <f>IFERROR((VLOOKUP(F699,'Planilha de Cadastro - Previsão'!$A$2:$N$1100,2,FALSE()))," ")</f>
        <v xml:space="preserve"> </v>
      </c>
      <c r="H699" s="32" t="str">
        <f>IFERROR((VLOOKUP(F699,'Planilha de Cadastro - Previsão'!$A$2:$N$1100,3,FALSE()))," ")</f>
        <v xml:space="preserve"> </v>
      </c>
      <c r="I699" s="34" t="str">
        <f>IFERROR((VLOOKUP(F699,'Planilha de Cadastro - Previsão'!$A$2:$N$1100,4,FALSE()))," ")</f>
        <v xml:space="preserve"> </v>
      </c>
      <c r="J699" s="34" t="str">
        <f>IFERROR((VLOOKUP(F699,'Planilha de Cadastro - Previsão'!$A$2:$N$1100,5,FALSE()))," ")</f>
        <v xml:space="preserve"> </v>
      </c>
      <c r="K699" s="36"/>
      <c r="L699" s="34" t="str">
        <f t="shared" si="44"/>
        <v/>
      </c>
      <c r="M699" s="35" t="str">
        <f t="shared" si="45"/>
        <v/>
      </c>
      <c r="N699" s="39"/>
      <c r="O699" s="36"/>
    </row>
    <row r="700" spans="1:15" x14ac:dyDescent="0.25">
      <c r="A700">
        <f>COUNTIF($C$2:C700,C700)</f>
        <v>699</v>
      </c>
      <c r="B700" s="1" t="str">
        <f t="shared" si="42"/>
        <v>699</v>
      </c>
      <c r="C700" s="1" t="str">
        <f>IFERROR(VLOOKUP(D700,'Planilha de Cadastro - Previsão'!$A$2:$O$1000,15,FALSE()),"")</f>
        <v/>
      </c>
      <c r="D700" s="1">
        <v>699</v>
      </c>
      <c r="F700" s="32" t="str">
        <f t="shared" si="43"/>
        <v/>
      </c>
      <c r="G700" s="33" t="str">
        <f>IFERROR((VLOOKUP(F700,'Planilha de Cadastro - Previsão'!$A$2:$N$1100,2,FALSE()))," ")</f>
        <v xml:space="preserve"> </v>
      </c>
      <c r="H700" s="32" t="str">
        <f>IFERROR((VLOOKUP(F700,'Planilha de Cadastro - Previsão'!$A$2:$N$1100,3,FALSE()))," ")</f>
        <v xml:space="preserve"> </v>
      </c>
      <c r="I700" s="34" t="str">
        <f>IFERROR((VLOOKUP(F700,'Planilha de Cadastro - Previsão'!$A$2:$N$1100,4,FALSE()))," ")</f>
        <v xml:space="preserve"> </v>
      </c>
      <c r="J700" s="34" t="str">
        <f>IFERROR((VLOOKUP(F700,'Planilha de Cadastro - Previsão'!$A$2:$N$1100,5,FALSE()))," ")</f>
        <v xml:space="preserve"> </v>
      </c>
      <c r="K700" s="36"/>
      <c r="L700" s="34" t="str">
        <f t="shared" si="44"/>
        <v/>
      </c>
      <c r="M700" s="35" t="str">
        <f t="shared" si="45"/>
        <v/>
      </c>
      <c r="N700" s="39"/>
      <c r="O700" s="36"/>
    </row>
    <row r="701" spans="1:15" x14ac:dyDescent="0.25">
      <c r="A701">
        <f>COUNTIF($C$2:C701,C701)</f>
        <v>700</v>
      </c>
      <c r="B701" s="1" t="str">
        <f t="shared" si="42"/>
        <v>700</v>
      </c>
      <c r="C701" s="1" t="str">
        <f>IFERROR(VLOOKUP(D701,'Planilha de Cadastro - Previsão'!$A$2:$O$1000,15,FALSE()),"")</f>
        <v/>
      </c>
      <c r="D701" s="1">
        <v>700</v>
      </c>
      <c r="F701" s="32" t="str">
        <f t="shared" si="43"/>
        <v/>
      </c>
      <c r="G701" s="33" t="str">
        <f>IFERROR((VLOOKUP(F701,'Planilha de Cadastro - Previsão'!$A$2:$N$1100,2,FALSE()))," ")</f>
        <v xml:space="preserve"> </v>
      </c>
      <c r="H701" s="32" t="str">
        <f>IFERROR((VLOOKUP(F701,'Planilha de Cadastro - Previsão'!$A$2:$N$1100,3,FALSE()))," ")</f>
        <v xml:space="preserve"> </v>
      </c>
      <c r="I701" s="34" t="str">
        <f>IFERROR((VLOOKUP(F701,'Planilha de Cadastro - Previsão'!$A$2:$N$1100,4,FALSE()))," ")</f>
        <v xml:space="preserve"> </v>
      </c>
      <c r="J701" s="34" t="str">
        <f>IFERROR((VLOOKUP(F701,'Planilha de Cadastro - Previsão'!$A$2:$N$1100,5,FALSE()))," ")</f>
        <v xml:space="preserve"> </v>
      </c>
      <c r="K701" s="36"/>
      <c r="L701" s="34" t="str">
        <f t="shared" si="44"/>
        <v/>
      </c>
      <c r="M701" s="35" t="str">
        <f t="shared" si="45"/>
        <v/>
      </c>
      <c r="N701" s="39"/>
      <c r="O701" s="36"/>
    </row>
    <row r="702" spans="1:15" x14ac:dyDescent="0.25">
      <c r="A702">
        <f>COUNTIF($C$2:C702,C702)</f>
        <v>701</v>
      </c>
      <c r="B702" s="1" t="str">
        <f t="shared" si="42"/>
        <v>701</v>
      </c>
      <c r="C702" s="1" t="str">
        <f>IFERROR(VLOOKUP(D702,'Planilha de Cadastro - Previsão'!$A$2:$O$1000,15,FALSE()),"")</f>
        <v/>
      </c>
      <c r="D702" s="1">
        <v>701</v>
      </c>
      <c r="F702" s="32" t="str">
        <f t="shared" si="43"/>
        <v/>
      </c>
      <c r="G702" s="33" t="str">
        <f>IFERROR((VLOOKUP(F702,'Planilha de Cadastro - Previsão'!$A$2:$N$1100,2,FALSE()))," ")</f>
        <v xml:space="preserve"> </v>
      </c>
      <c r="H702" s="32" t="str">
        <f>IFERROR((VLOOKUP(F702,'Planilha de Cadastro - Previsão'!$A$2:$N$1100,3,FALSE()))," ")</f>
        <v xml:space="preserve"> </v>
      </c>
      <c r="I702" s="34" t="str">
        <f>IFERROR((VLOOKUP(F702,'Planilha de Cadastro - Previsão'!$A$2:$N$1100,4,FALSE()))," ")</f>
        <v xml:space="preserve"> </v>
      </c>
      <c r="J702" s="34" t="str">
        <f>IFERROR((VLOOKUP(F702,'Planilha de Cadastro - Previsão'!$A$2:$N$1100,5,FALSE()))," ")</f>
        <v xml:space="preserve"> </v>
      </c>
      <c r="K702" s="36"/>
      <c r="L702" s="34" t="str">
        <f t="shared" si="44"/>
        <v/>
      </c>
      <c r="M702" s="35" t="str">
        <f t="shared" si="45"/>
        <v/>
      </c>
      <c r="N702" s="39"/>
      <c r="O702" s="36"/>
    </row>
    <row r="703" spans="1:15" x14ac:dyDescent="0.25">
      <c r="A703">
        <f>COUNTIF($C$2:C703,C703)</f>
        <v>702</v>
      </c>
      <c r="B703" s="1" t="str">
        <f t="shared" si="42"/>
        <v>702</v>
      </c>
      <c r="C703" s="1" t="str">
        <f>IFERROR(VLOOKUP(D703,'Planilha de Cadastro - Previsão'!$A$2:$O$1000,15,FALSE()),"")</f>
        <v/>
      </c>
      <c r="D703" s="1">
        <v>702</v>
      </c>
      <c r="F703" s="32" t="str">
        <f t="shared" si="43"/>
        <v/>
      </c>
      <c r="G703" s="33" t="str">
        <f>IFERROR((VLOOKUP(F703,'Planilha de Cadastro - Previsão'!$A$2:$N$1100,2,FALSE()))," ")</f>
        <v xml:space="preserve"> </v>
      </c>
      <c r="H703" s="32" t="str">
        <f>IFERROR((VLOOKUP(F703,'Planilha de Cadastro - Previsão'!$A$2:$N$1100,3,FALSE()))," ")</f>
        <v xml:space="preserve"> </v>
      </c>
      <c r="I703" s="34" t="str">
        <f>IFERROR((VLOOKUP(F703,'Planilha de Cadastro - Previsão'!$A$2:$N$1100,4,FALSE()))," ")</f>
        <v xml:space="preserve"> </v>
      </c>
      <c r="J703" s="34" t="str">
        <f>IFERROR((VLOOKUP(F703,'Planilha de Cadastro - Previsão'!$A$2:$N$1100,5,FALSE()))," ")</f>
        <v xml:space="preserve"> </v>
      </c>
      <c r="K703" s="36"/>
      <c r="L703" s="34" t="str">
        <f t="shared" si="44"/>
        <v/>
      </c>
      <c r="M703" s="35" t="str">
        <f t="shared" si="45"/>
        <v/>
      </c>
      <c r="N703" s="39"/>
      <c r="O703" s="36"/>
    </row>
    <row r="704" spans="1:15" x14ac:dyDescent="0.25">
      <c r="A704">
        <f>COUNTIF($C$2:C704,C704)</f>
        <v>703</v>
      </c>
      <c r="B704" s="1" t="str">
        <f t="shared" si="42"/>
        <v>703</v>
      </c>
      <c r="C704" s="1" t="str">
        <f>IFERROR(VLOOKUP(D704,'Planilha de Cadastro - Previsão'!$A$2:$O$1000,15,FALSE()),"")</f>
        <v/>
      </c>
      <c r="D704" s="1">
        <v>703</v>
      </c>
      <c r="F704" s="32" t="str">
        <f t="shared" si="43"/>
        <v/>
      </c>
      <c r="G704" s="33" t="str">
        <f>IFERROR((VLOOKUP(F704,'Planilha de Cadastro - Previsão'!$A$2:$N$1100,2,FALSE()))," ")</f>
        <v xml:space="preserve"> </v>
      </c>
      <c r="H704" s="32" t="str">
        <f>IFERROR((VLOOKUP(F704,'Planilha de Cadastro - Previsão'!$A$2:$N$1100,3,FALSE()))," ")</f>
        <v xml:space="preserve"> </v>
      </c>
      <c r="I704" s="34" t="str">
        <f>IFERROR((VLOOKUP(F704,'Planilha de Cadastro - Previsão'!$A$2:$N$1100,4,FALSE()))," ")</f>
        <v xml:space="preserve"> </v>
      </c>
      <c r="J704" s="34" t="str">
        <f>IFERROR((VLOOKUP(F704,'Planilha de Cadastro - Previsão'!$A$2:$N$1100,5,FALSE()))," ")</f>
        <v xml:space="preserve"> </v>
      </c>
      <c r="K704" s="36"/>
      <c r="L704" s="34" t="str">
        <f t="shared" si="44"/>
        <v/>
      </c>
      <c r="M704" s="35" t="str">
        <f t="shared" si="45"/>
        <v/>
      </c>
      <c r="N704" s="39"/>
      <c r="O704" s="36"/>
    </row>
    <row r="705" spans="1:15" x14ac:dyDescent="0.25">
      <c r="A705">
        <f>COUNTIF($C$2:C705,C705)</f>
        <v>704</v>
      </c>
      <c r="B705" s="1" t="str">
        <f t="shared" si="42"/>
        <v>704</v>
      </c>
      <c r="C705" s="1" t="str">
        <f>IFERROR(VLOOKUP(D705,'Planilha de Cadastro - Previsão'!$A$2:$O$1000,15,FALSE()),"")</f>
        <v/>
      </c>
      <c r="D705" s="1">
        <v>704</v>
      </c>
      <c r="F705" s="32" t="str">
        <f t="shared" si="43"/>
        <v/>
      </c>
      <c r="G705" s="33" t="str">
        <f>IFERROR((VLOOKUP(F705,'Planilha de Cadastro - Previsão'!$A$2:$N$1100,2,FALSE()))," ")</f>
        <v xml:space="preserve"> </v>
      </c>
      <c r="H705" s="32" t="str">
        <f>IFERROR((VLOOKUP(F705,'Planilha de Cadastro - Previsão'!$A$2:$N$1100,3,FALSE()))," ")</f>
        <v xml:space="preserve"> </v>
      </c>
      <c r="I705" s="34" t="str">
        <f>IFERROR((VLOOKUP(F705,'Planilha de Cadastro - Previsão'!$A$2:$N$1100,4,FALSE()))," ")</f>
        <v xml:space="preserve"> </v>
      </c>
      <c r="J705" s="34" t="str">
        <f>IFERROR((VLOOKUP(F705,'Planilha de Cadastro - Previsão'!$A$2:$N$1100,5,FALSE()))," ")</f>
        <v xml:space="preserve"> </v>
      </c>
      <c r="K705" s="36"/>
      <c r="L705" s="34" t="str">
        <f t="shared" si="44"/>
        <v/>
      </c>
      <c r="M705" s="35" t="str">
        <f t="shared" si="45"/>
        <v/>
      </c>
      <c r="N705" s="39"/>
      <c r="O705" s="36"/>
    </row>
    <row r="706" spans="1:15" x14ac:dyDescent="0.25">
      <c r="A706">
        <f>COUNTIF($C$2:C706,C706)</f>
        <v>705</v>
      </c>
      <c r="B706" s="1" t="str">
        <f t="shared" si="42"/>
        <v>705</v>
      </c>
      <c r="C706" s="1" t="str">
        <f>IFERROR(VLOOKUP(D706,'Planilha de Cadastro - Previsão'!$A$2:$O$1000,15,FALSE()),"")</f>
        <v/>
      </c>
      <c r="D706" s="1">
        <v>705</v>
      </c>
      <c r="F706" s="32" t="str">
        <f t="shared" si="43"/>
        <v/>
      </c>
      <c r="G706" s="33" t="str">
        <f>IFERROR((VLOOKUP(F706,'Planilha de Cadastro - Previsão'!$A$2:$N$1100,2,FALSE()))," ")</f>
        <v xml:space="preserve"> </v>
      </c>
      <c r="H706" s="32" t="str">
        <f>IFERROR((VLOOKUP(F706,'Planilha de Cadastro - Previsão'!$A$2:$N$1100,3,FALSE()))," ")</f>
        <v xml:space="preserve"> </v>
      </c>
      <c r="I706" s="34" t="str">
        <f>IFERROR((VLOOKUP(F706,'Planilha de Cadastro - Previsão'!$A$2:$N$1100,4,FALSE()))," ")</f>
        <v xml:space="preserve"> </v>
      </c>
      <c r="J706" s="34" t="str">
        <f>IFERROR((VLOOKUP(F706,'Planilha de Cadastro - Previsão'!$A$2:$N$1100,5,FALSE()))," ")</f>
        <v xml:space="preserve"> </v>
      </c>
      <c r="K706" s="36"/>
      <c r="L706" s="34" t="str">
        <f t="shared" si="44"/>
        <v/>
      </c>
      <c r="M706" s="35" t="str">
        <f t="shared" si="45"/>
        <v/>
      </c>
      <c r="N706" s="39"/>
      <c r="O706" s="36"/>
    </row>
    <row r="707" spans="1:15" x14ac:dyDescent="0.25">
      <c r="A707">
        <f>COUNTIF($C$2:C707,C707)</f>
        <v>706</v>
      </c>
      <c r="B707" s="1" t="str">
        <f t="shared" ref="B707:B770" si="46">IFERROR(CONCATENATE(C707,A707),"")</f>
        <v>706</v>
      </c>
      <c r="C707" s="1" t="str">
        <f>IFERROR(VLOOKUP(D707,'Planilha de Cadastro - Previsão'!$A$2:$O$1000,15,FALSE()),"")</f>
        <v/>
      </c>
      <c r="D707" s="1">
        <v>706</v>
      </c>
      <c r="F707" s="32" t="str">
        <f t="shared" ref="F707:F770" si="47">IFERROR((VLOOKUP(CONCATENATE("Sim",D707),$B$2:$D$1000,3,FALSE())),"")</f>
        <v/>
      </c>
      <c r="G707" s="33" t="str">
        <f>IFERROR((VLOOKUP(F707,'Planilha de Cadastro - Previsão'!$A$2:$N$1100,2,FALSE()))," ")</f>
        <v xml:space="preserve"> </v>
      </c>
      <c r="H707" s="32" t="str">
        <f>IFERROR((VLOOKUP(F707,'Planilha de Cadastro - Previsão'!$A$2:$N$1100,3,FALSE()))," ")</f>
        <v xml:space="preserve"> </v>
      </c>
      <c r="I707" s="34" t="str">
        <f>IFERROR((VLOOKUP(F707,'Planilha de Cadastro - Previsão'!$A$2:$N$1100,4,FALSE()))," ")</f>
        <v xml:space="preserve"> </v>
      </c>
      <c r="J707" s="34" t="str">
        <f>IFERROR((VLOOKUP(F707,'Planilha de Cadastro - Previsão'!$A$2:$N$1100,5,FALSE()))," ")</f>
        <v xml:space="preserve"> </v>
      </c>
      <c r="K707" s="36"/>
      <c r="L707" s="34" t="str">
        <f t="shared" ref="L707:L770" si="48">IF(K707&gt;0,(K707*H707)-(I707*H707)-(K707*H707*4%),"")</f>
        <v/>
      </c>
      <c r="M707" s="35" t="str">
        <f t="shared" ref="M707:M770" si="49">IFERROR(L707/(K707*H707),"")</f>
        <v/>
      </c>
      <c r="N707" s="39"/>
      <c r="O707" s="36"/>
    </row>
    <row r="708" spans="1:15" x14ac:dyDescent="0.25">
      <c r="A708">
        <f>COUNTIF($C$2:C708,C708)</f>
        <v>707</v>
      </c>
      <c r="B708" s="1" t="str">
        <f t="shared" si="46"/>
        <v>707</v>
      </c>
      <c r="C708" s="1" t="str">
        <f>IFERROR(VLOOKUP(D708,'Planilha de Cadastro - Previsão'!$A$2:$O$1000,15,FALSE()),"")</f>
        <v/>
      </c>
      <c r="D708" s="1">
        <v>707</v>
      </c>
      <c r="F708" s="32" t="str">
        <f t="shared" si="47"/>
        <v/>
      </c>
      <c r="G708" s="33" t="str">
        <f>IFERROR((VLOOKUP(F708,'Planilha de Cadastro - Previsão'!$A$2:$N$1100,2,FALSE()))," ")</f>
        <v xml:space="preserve"> </v>
      </c>
      <c r="H708" s="32" t="str">
        <f>IFERROR((VLOOKUP(F708,'Planilha de Cadastro - Previsão'!$A$2:$N$1100,3,FALSE()))," ")</f>
        <v xml:space="preserve"> </v>
      </c>
      <c r="I708" s="34" t="str">
        <f>IFERROR((VLOOKUP(F708,'Planilha de Cadastro - Previsão'!$A$2:$N$1100,4,FALSE()))," ")</f>
        <v xml:space="preserve"> </v>
      </c>
      <c r="J708" s="34" t="str">
        <f>IFERROR((VLOOKUP(F708,'Planilha de Cadastro - Previsão'!$A$2:$N$1100,5,FALSE()))," ")</f>
        <v xml:space="preserve"> </v>
      </c>
      <c r="K708" s="36"/>
      <c r="L708" s="34" t="str">
        <f t="shared" si="48"/>
        <v/>
      </c>
      <c r="M708" s="35" t="str">
        <f t="shared" si="49"/>
        <v/>
      </c>
      <c r="N708" s="39"/>
      <c r="O708" s="36"/>
    </row>
    <row r="709" spans="1:15" x14ac:dyDescent="0.25">
      <c r="A709">
        <f>COUNTIF($C$2:C709,C709)</f>
        <v>708</v>
      </c>
      <c r="B709" s="1" t="str">
        <f t="shared" si="46"/>
        <v>708</v>
      </c>
      <c r="C709" s="1" t="str">
        <f>IFERROR(VLOOKUP(D709,'Planilha de Cadastro - Previsão'!$A$2:$O$1000,15,FALSE()),"")</f>
        <v/>
      </c>
      <c r="D709" s="1">
        <v>708</v>
      </c>
      <c r="F709" s="32" t="str">
        <f t="shared" si="47"/>
        <v/>
      </c>
      <c r="G709" s="33" t="str">
        <f>IFERROR((VLOOKUP(F709,'Planilha de Cadastro - Previsão'!$A$2:$N$1100,2,FALSE()))," ")</f>
        <v xml:space="preserve"> </v>
      </c>
      <c r="H709" s="32" t="str">
        <f>IFERROR((VLOOKUP(F709,'Planilha de Cadastro - Previsão'!$A$2:$N$1100,3,FALSE()))," ")</f>
        <v xml:space="preserve"> </v>
      </c>
      <c r="I709" s="34" t="str">
        <f>IFERROR((VLOOKUP(F709,'Planilha de Cadastro - Previsão'!$A$2:$N$1100,4,FALSE()))," ")</f>
        <v xml:space="preserve"> </v>
      </c>
      <c r="J709" s="34" t="str">
        <f>IFERROR((VLOOKUP(F709,'Planilha de Cadastro - Previsão'!$A$2:$N$1100,5,FALSE()))," ")</f>
        <v xml:space="preserve"> </v>
      </c>
      <c r="K709" s="36"/>
      <c r="L709" s="34" t="str">
        <f t="shared" si="48"/>
        <v/>
      </c>
      <c r="M709" s="35" t="str">
        <f t="shared" si="49"/>
        <v/>
      </c>
      <c r="N709" s="39"/>
      <c r="O709" s="36"/>
    </row>
    <row r="710" spans="1:15" x14ac:dyDescent="0.25">
      <c r="A710">
        <f>COUNTIF($C$2:C710,C710)</f>
        <v>709</v>
      </c>
      <c r="B710" s="1" t="str">
        <f t="shared" si="46"/>
        <v>709</v>
      </c>
      <c r="C710" s="1" t="str">
        <f>IFERROR(VLOOKUP(D710,'Planilha de Cadastro - Previsão'!$A$2:$O$1000,15,FALSE()),"")</f>
        <v/>
      </c>
      <c r="D710" s="1">
        <v>709</v>
      </c>
      <c r="F710" s="32" t="str">
        <f t="shared" si="47"/>
        <v/>
      </c>
      <c r="G710" s="33" t="str">
        <f>IFERROR((VLOOKUP(F710,'Planilha de Cadastro - Previsão'!$A$2:$N$1100,2,FALSE()))," ")</f>
        <v xml:space="preserve"> </v>
      </c>
      <c r="H710" s="32" t="str">
        <f>IFERROR((VLOOKUP(F710,'Planilha de Cadastro - Previsão'!$A$2:$N$1100,3,FALSE()))," ")</f>
        <v xml:space="preserve"> </v>
      </c>
      <c r="I710" s="34" t="str">
        <f>IFERROR((VLOOKUP(F710,'Planilha de Cadastro - Previsão'!$A$2:$N$1100,4,FALSE()))," ")</f>
        <v xml:space="preserve"> </v>
      </c>
      <c r="J710" s="34" t="str">
        <f>IFERROR((VLOOKUP(F710,'Planilha de Cadastro - Previsão'!$A$2:$N$1100,5,FALSE()))," ")</f>
        <v xml:space="preserve"> </v>
      </c>
      <c r="K710" s="36"/>
      <c r="L710" s="34" t="str">
        <f t="shared" si="48"/>
        <v/>
      </c>
      <c r="M710" s="35" t="str">
        <f t="shared" si="49"/>
        <v/>
      </c>
      <c r="N710" s="39"/>
      <c r="O710" s="36"/>
    </row>
    <row r="711" spans="1:15" x14ac:dyDescent="0.25">
      <c r="A711">
        <f>COUNTIF($C$2:C711,C711)</f>
        <v>710</v>
      </c>
      <c r="B711" s="1" t="str">
        <f t="shared" si="46"/>
        <v>710</v>
      </c>
      <c r="C711" s="1" t="str">
        <f>IFERROR(VLOOKUP(D711,'Planilha de Cadastro - Previsão'!$A$2:$O$1000,15,FALSE()),"")</f>
        <v/>
      </c>
      <c r="D711" s="1">
        <v>710</v>
      </c>
      <c r="F711" s="32" t="str">
        <f t="shared" si="47"/>
        <v/>
      </c>
      <c r="G711" s="33" t="str">
        <f>IFERROR((VLOOKUP(F711,'Planilha de Cadastro - Previsão'!$A$2:$N$1100,2,FALSE()))," ")</f>
        <v xml:space="preserve"> </v>
      </c>
      <c r="H711" s="32" t="str">
        <f>IFERROR((VLOOKUP(F711,'Planilha de Cadastro - Previsão'!$A$2:$N$1100,3,FALSE()))," ")</f>
        <v xml:space="preserve"> </v>
      </c>
      <c r="I711" s="34" t="str">
        <f>IFERROR((VLOOKUP(F711,'Planilha de Cadastro - Previsão'!$A$2:$N$1100,4,FALSE()))," ")</f>
        <v xml:space="preserve"> </v>
      </c>
      <c r="J711" s="34" t="str">
        <f>IFERROR((VLOOKUP(F711,'Planilha de Cadastro - Previsão'!$A$2:$N$1100,5,FALSE()))," ")</f>
        <v xml:space="preserve"> </v>
      </c>
      <c r="K711" s="36"/>
      <c r="L711" s="34" t="str">
        <f t="shared" si="48"/>
        <v/>
      </c>
      <c r="M711" s="35" t="str">
        <f t="shared" si="49"/>
        <v/>
      </c>
      <c r="N711" s="39"/>
      <c r="O711" s="36"/>
    </row>
    <row r="712" spans="1:15" x14ac:dyDescent="0.25">
      <c r="A712">
        <f>COUNTIF($C$2:C712,C712)</f>
        <v>711</v>
      </c>
      <c r="B712" s="1" t="str">
        <f t="shared" si="46"/>
        <v>711</v>
      </c>
      <c r="C712" s="1" t="str">
        <f>IFERROR(VLOOKUP(D712,'Planilha de Cadastro - Previsão'!$A$2:$O$1000,15,FALSE()),"")</f>
        <v/>
      </c>
      <c r="D712" s="1">
        <v>711</v>
      </c>
      <c r="F712" s="32" t="str">
        <f t="shared" si="47"/>
        <v/>
      </c>
      <c r="G712" s="33" t="str">
        <f>IFERROR((VLOOKUP(F712,'Planilha de Cadastro - Previsão'!$A$2:$N$1100,2,FALSE()))," ")</f>
        <v xml:space="preserve"> </v>
      </c>
      <c r="H712" s="32" t="str">
        <f>IFERROR((VLOOKUP(F712,'Planilha de Cadastro - Previsão'!$A$2:$N$1100,3,FALSE()))," ")</f>
        <v xml:space="preserve"> </v>
      </c>
      <c r="I712" s="34" t="str">
        <f>IFERROR((VLOOKUP(F712,'Planilha de Cadastro - Previsão'!$A$2:$N$1100,4,FALSE()))," ")</f>
        <v xml:space="preserve"> </v>
      </c>
      <c r="J712" s="34" t="str">
        <f>IFERROR((VLOOKUP(F712,'Planilha de Cadastro - Previsão'!$A$2:$N$1100,5,FALSE()))," ")</f>
        <v xml:space="preserve"> </v>
      </c>
      <c r="K712" s="36"/>
      <c r="L712" s="34" t="str">
        <f t="shared" si="48"/>
        <v/>
      </c>
      <c r="M712" s="35" t="str">
        <f t="shared" si="49"/>
        <v/>
      </c>
      <c r="N712" s="39"/>
      <c r="O712" s="36"/>
    </row>
    <row r="713" spans="1:15" x14ac:dyDescent="0.25">
      <c r="A713">
        <f>COUNTIF($C$2:C713,C713)</f>
        <v>712</v>
      </c>
      <c r="B713" s="1" t="str">
        <f t="shared" si="46"/>
        <v>712</v>
      </c>
      <c r="C713" s="1" t="str">
        <f>IFERROR(VLOOKUP(D713,'Planilha de Cadastro - Previsão'!$A$2:$O$1000,15,FALSE()),"")</f>
        <v/>
      </c>
      <c r="D713" s="1">
        <v>712</v>
      </c>
      <c r="F713" s="32" t="str">
        <f t="shared" si="47"/>
        <v/>
      </c>
      <c r="G713" s="33" t="str">
        <f>IFERROR((VLOOKUP(F713,'Planilha de Cadastro - Previsão'!$A$2:$N$1100,2,FALSE()))," ")</f>
        <v xml:space="preserve"> </v>
      </c>
      <c r="H713" s="32" t="str">
        <f>IFERROR((VLOOKUP(F713,'Planilha de Cadastro - Previsão'!$A$2:$N$1100,3,FALSE()))," ")</f>
        <v xml:space="preserve"> </v>
      </c>
      <c r="I713" s="34" t="str">
        <f>IFERROR((VLOOKUP(F713,'Planilha de Cadastro - Previsão'!$A$2:$N$1100,4,FALSE()))," ")</f>
        <v xml:space="preserve"> </v>
      </c>
      <c r="J713" s="34" t="str">
        <f>IFERROR((VLOOKUP(F713,'Planilha de Cadastro - Previsão'!$A$2:$N$1100,5,FALSE()))," ")</f>
        <v xml:space="preserve"> </v>
      </c>
      <c r="K713" s="36"/>
      <c r="L713" s="34" t="str">
        <f t="shared" si="48"/>
        <v/>
      </c>
      <c r="M713" s="35" t="str">
        <f t="shared" si="49"/>
        <v/>
      </c>
      <c r="N713" s="39"/>
      <c r="O713" s="36"/>
    </row>
    <row r="714" spans="1:15" x14ac:dyDescent="0.25">
      <c r="A714">
        <f>COUNTIF($C$2:C714,C714)</f>
        <v>713</v>
      </c>
      <c r="B714" s="1" t="str">
        <f t="shared" si="46"/>
        <v>713</v>
      </c>
      <c r="C714" s="1" t="str">
        <f>IFERROR(VLOOKUP(D714,'Planilha de Cadastro - Previsão'!$A$2:$O$1000,15,FALSE()),"")</f>
        <v/>
      </c>
      <c r="D714" s="1">
        <v>713</v>
      </c>
      <c r="F714" s="32" t="str">
        <f t="shared" si="47"/>
        <v/>
      </c>
      <c r="G714" s="33" t="str">
        <f>IFERROR((VLOOKUP(F714,'Planilha de Cadastro - Previsão'!$A$2:$N$1100,2,FALSE()))," ")</f>
        <v xml:space="preserve"> </v>
      </c>
      <c r="H714" s="32" t="str">
        <f>IFERROR((VLOOKUP(F714,'Planilha de Cadastro - Previsão'!$A$2:$N$1100,3,FALSE()))," ")</f>
        <v xml:space="preserve"> </v>
      </c>
      <c r="I714" s="34" t="str">
        <f>IFERROR((VLOOKUP(F714,'Planilha de Cadastro - Previsão'!$A$2:$N$1100,4,FALSE()))," ")</f>
        <v xml:space="preserve"> </v>
      </c>
      <c r="J714" s="34" t="str">
        <f>IFERROR((VLOOKUP(F714,'Planilha de Cadastro - Previsão'!$A$2:$N$1100,5,FALSE()))," ")</f>
        <v xml:space="preserve"> </v>
      </c>
      <c r="K714" s="36"/>
      <c r="L714" s="34" t="str">
        <f t="shared" si="48"/>
        <v/>
      </c>
      <c r="M714" s="35" t="str">
        <f t="shared" si="49"/>
        <v/>
      </c>
      <c r="N714" s="39"/>
      <c r="O714" s="36"/>
    </row>
    <row r="715" spans="1:15" x14ac:dyDescent="0.25">
      <c r="A715">
        <f>COUNTIF($C$2:C715,C715)</f>
        <v>714</v>
      </c>
      <c r="B715" s="1" t="str">
        <f t="shared" si="46"/>
        <v>714</v>
      </c>
      <c r="C715" s="1" t="str">
        <f>IFERROR(VLOOKUP(D715,'Planilha de Cadastro - Previsão'!$A$2:$O$1000,15,FALSE()),"")</f>
        <v/>
      </c>
      <c r="D715" s="1">
        <v>714</v>
      </c>
      <c r="F715" s="32" t="str">
        <f t="shared" si="47"/>
        <v/>
      </c>
      <c r="G715" s="33" t="str">
        <f>IFERROR((VLOOKUP(F715,'Planilha de Cadastro - Previsão'!$A$2:$N$1100,2,FALSE()))," ")</f>
        <v xml:space="preserve"> </v>
      </c>
      <c r="H715" s="32" t="str">
        <f>IFERROR((VLOOKUP(F715,'Planilha de Cadastro - Previsão'!$A$2:$N$1100,3,FALSE()))," ")</f>
        <v xml:space="preserve"> </v>
      </c>
      <c r="I715" s="34" t="str">
        <f>IFERROR((VLOOKUP(F715,'Planilha de Cadastro - Previsão'!$A$2:$N$1100,4,FALSE()))," ")</f>
        <v xml:space="preserve"> </v>
      </c>
      <c r="J715" s="34" t="str">
        <f>IFERROR((VLOOKUP(F715,'Planilha de Cadastro - Previsão'!$A$2:$N$1100,5,FALSE()))," ")</f>
        <v xml:space="preserve"> </v>
      </c>
      <c r="K715" s="36"/>
      <c r="L715" s="34" t="str">
        <f t="shared" si="48"/>
        <v/>
      </c>
      <c r="M715" s="35" t="str">
        <f t="shared" si="49"/>
        <v/>
      </c>
      <c r="N715" s="39"/>
      <c r="O715" s="36"/>
    </row>
    <row r="716" spans="1:15" x14ac:dyDescent="0.25">
      <c r="A716">
        <f>COUNTIF($C$2:C716,C716)</f>
        <v>715</v>
      </c>
      <c r="B716" s="1" t="str">
        <f t="shared" si="46"/>
        <v>715</v>
      </c>
      <c r="C716" s="1" t="str">
        <f>IFERROR(VLOOKUP(D716,'Planilha de Cadastro - Previsão'!$A$2:$O$1000,15,FALSE()),"")</f>
        <v/>
      </c>
      <c r="D716" s="1">
        <v>715</v>
      </c>
      <c r="F716" s="32" t="str">
        <f t="shared" si="47"/>
        <v/>
      </c>
      <c r="G716" s="33" t="str">
        <f>IFERROR((VLOOKUP(F716,'Planilha de Cadastro - Previsão'!$A$2:$N$1100,2,FALSE()))," ")</f>
        <v xml:space="preserve"> </v>
      </c>
      <c r="H716" s="32" t="str">
        <f>IFERROR((VLOOKUP(F716,'Planilha de Cadastro - Previsão'!$A$2:$N$1100,3,FALSE()))," ")</f>
        <v xml:space="preserve"> </v>
      </c>
      <c r="I716" s="34" t="str">
        <f>IFERROR((VLOOKUP(F716,'Planilha de Cadastro - Previsão'!$A$2:$N$1100,4,FALSE()))," ")</f>
        <v xml:space="preserve"> </v>
      </c>
      <c r="J716" s="34" t="str">
        <f>IFERROR((VLOOKUP(F716,'Planilha de Cadastro - Previsão'!$A$2:$N$1100,5,FALSE()))," ")</f>
        <v xml:space="preserve"> </v>
      </c>
      <c r="K716" s="36"/>
      <c r="L716" s="34" t="str">
        <f t="shared" si="48"/>
        <v/>
      </c>
      <c r="M716" s="35" t="str">
        <f t="shared" si="49"/>
        <v/>
      </c>
      <c r="N716" s="39"/>
      <c r="O716" s="36"/>
    </row>
    <row r="717" spans="1:15" x14ac:dyDescent="0.25">
      <c r="A717">
        <f>COUNTIF($C$2:C717,C717)</f>
        <v>716</v>
      </c>
      <c r="B717" s="1" t="str">
        <f t="shared" si="46"/>
        <v>716</v>
      </c>
      <c r="C717" s="1" t="str">
        <f>IFERROR(VLOOKUP(D717,'Planilha de Cadastro - Previsão'!$A$2:$O$1000,15,FALSE()),"")</f>
        <v/>
      </c>
      <c r="D717" s="1">
        <v>716</v>
      </c>
      <c r="F717" s="32" t="str">
        <f t="shared" si="47"/>
        <v/>
      </c>
      <c r="G717" s="33" t="str">
        <f>IFERROR((VLOOKUP(F717,'Planilha de Cadastro - Previsão'!$A$2:$N$1100,2,FALSE()))," ")</f>
        <v xml:space="preserve"> </v>
      </c>
      <c r="H717" s="32" t="str">
        <f>IFERROR((VLOOKUP(F717,'Planilha de Cadastro - Previsão'!$A$2:$N$1100,3,FALSE()))," ")</f>
        <v xml:space="preserve"> </v>
      </c>
      <c r="I717" s="34" t="str">
        <f>IFERROR((VLOOKUP(F717,'Planilha de Cadastro - Previsão'!$A$2:$N$1100,4,FALSE()))," ")</f>
        <v xml:space="preserve"> </v>
      </c>
      <c r="J717" s="34" t="str">
        <f>IFERROR((VLOOKUP(F717,'Planilha de Cadastro - Previsão'!$A$2:$N$1100,5,FALSE()))," ")</f>
        <v xml:space="preserve"> </v>
      </c>
      <c r="K717" s="36"/>
      <c r="L717" s="34" t="str">
        <f t="shared" si="48"/>
        <v/>
      </c>
      <c r="M717" s="35" t="str">
        <f t="shared" si="49"/>
        <v/>
      </c>
      <c r="N717" s="39"/>
      <c r="O717" s="36"/>
    </row>
    <row r="718" spans="1:15" x14ac:dyDescent="0.25">
      <c r="A718">
        <f>COUNTIF($C$2:C718,C718)</f>
        <v>717</v>
      </c>
      <c r="B718" s="1" t="str">
        <f t="shared" si="46"/>
        <v>717</v>
      </c>
      <c r="C718" s="1" t="str">
        <f>IFERROR(VLOOKUP(D718,'Planilha de Cadastro - Previsão'!$A$2:$O$1000,15,FALSE()),"")</f>
        <v/>
      </c>
      <c r="D718" s="1">
        <v>717</v>
      </c>
      <c r="F718" s="32" t="str">
        <f t="shared" si="47"/>
        <v/>
      </c>
      <c r="G718" s="33" t="str">
        <f>IFERROR((VLOOKUP(F718,'Planilha de Cadastro - Previsão'!$A$2:$N$1100,2,FALSE()))," ")</f>
        <v xml:space="preserve"> </v>
      </c>
      <c r="H718" s="32" t="str">
        <f>IFERROR((VLOOKUP(F718,'Planilha de Cadastro - Previsão'!$A$2:$N$1100,3,FALSE()))," ")</f>
        <v xml:space="preserve"> </v>
      </c>
      <c r="I718" s="34" t="str">
        <f>IFERROR((VLOOKUP(F718,'Planilha de Cadastro - Previsão'!$A$2:$N$1100,4,FALSE()))," ")</f>
        <v xml:space="preserve"> </v>
      </c>
      <c r="J718" s="34" t="str">
        <f>IFERROR((VLOOKUP(F718,'Planilha de Cadastro - Previsão'!$A$2:$N$1100,5,FALSE()))," ")</f>
        <v xml:space="preserve"> </v>
      </c>
      <c r="K718" s="36"/>
      <c r="L718" s="34" t="str">
        <f t="shared" si="48"/>
        <v/>
      </c>
      <c r="M718" s="35" t="str">
        <f t="shared" si="49"/>
        <v/>
      </c>
      <c r="N718" s="39"/>
      <c r="O718" s="36"/>
    </row>
    <row r="719" spans="1:15" x14ac:dyDescent="0.25">
      <c r="A719">
        <f>COUNTIF($C$2:C719,C719)</f>
        <v>718</v>
      </c>
      <c r="B719" s="1" t="str">
        <f t="shared" si="46"/>
        <v>718</v>
      </c>
      <c r="C719" s="1" t="str">
        <f>IFERROR(VLOOKUP(D719,'Planilha de Cadastro - Previsão'!$A$2:$O$1000,15,FALSE()),"")</f>
        <v/>
      </c>
      <c r="D719" s="1">
        <v>718</v>
      </c>
      <c r="F719" s="32" t="str">
        <f t="shared" si="47"/>
        <v/>
      </c>
      <c r="G719" s="33" t="str">
        <f>IFERROR((VLOOKUP(F719,'Planilha de Cadastro - Previsão'!$A$2:$N$1100,2,FALSE()))," ")</f>
        <v xml:space="preserve"> </v>
      </c>
      <c r="H719" s="32" t="str">
        <f>IFERROR((VLOOKUP(F719,'Planilha de Cadastro - Previsão'!$A$2:$N$1100,3,FALSE()))," ")</f>
        <v xml:space="preserve"> </v>
      </c>
      <c r="I719" s="34" t="str">
        <f>IFERROR((VLOOKUP(F719,'Planilha de Cadastro - Previsão'!$A$2:$N$1100,4,FALSE()))," ")</f>
        <v xml:space="preserve"> </v>
      </c>
      <c r="J719" s="34" t="str">
        <f>IFERROR((VLOOKUP(F719,'Planilha de Cadastro - Previsão'!$A$2:$N$1100,5,FALSE()))," ")</f>
        <v xml:space="preserve"> </v>
      </c>
      <c r="K719" s="36"/>
      <c r="L719" s="34" t="str">
        <f t="shared" si="48"/>
        <v/>
      </c>
      <c r="M719" s="35" t="str">
        <f t="shared" si="49"/>
        <v/>
      </c>
      <c r="N719" s="39"/>
      <c r="O719" s="36"/>
    </row>
    <row r="720" spans="1:15" x14ac:dyDescent="0.25">
      <c r="A720">
        <f>COUNTIF($C$2:C720,C720)</f>
        <v>719</v>
      </c>
      <c r="B720" s="1" t="str">
        <f t="shared" si="46"/>
        <v>719</v>
      </c>
      <c r="C720" s="1" t="str">
        <f>IFERROR(VLOOKUP(D720,'Planilha de Cadastro - Previsão'!$A$2:$O$1000,15,FALSE()),"")</f>
        <v/>
      </c>
      <c r="D720" s="1">
        <v>719</v>
      </c>
      <c r="F720" s="32" t="str">
        <f t="shared" si="47"/>
        <v/>
      </c>
      <c r="G720" s="33" t="str">
        <f>IFERROR((VLOOKUP(F720,'Planilha de Cadastro - Previsão'!$A$2:$N$1100,2,FALSE()))," ")</f>
        <v xml:space="preserve"> </v>
      </c>
      <c r="H720" s="32" t="str">
        <f>IFERROR((VLOOKUP(F720,'Planilha de Cadastro - Previsão'!$A$2:$N$1100,3,FALSE()))," ")</f>
        <v xml:space="preserve"> </v>
      </c>
      <c r="I720" s="34" t="str">
        <f>IFERROR((VLOOKUP(F720,'Planilha de Cadastro - Previsão'!$A$2:$N$1100,4,FALSE()))," ")</f>
        <v xml:space="preserve"> </v>
      </c>
      <c r="J720" s="34" t="str">
        <f>IFERROR((VLOOKUP(F720,'Planilha de Cadastro - Previsão'!$A$2:$N$1100,5,FALSE()))," ")</f>
        <v xml:space="preserve"> </v>
      </c>
      <c r="K720" s="36"/>
      <c r="L720" s="34" t="str">
        <f t="shared" si="48"/>
        <v/>
      </c>
      <c r="M720" s="35" t="str">
        <f t="shared" si="49"/>
        <v/>
      </c>
      <c r="N720" s="39"/>
      <c r="O720" s="36"/>
    </row>
    <row r="721" spans="1:15" x14ac:dyDescent="0.25">
      <c r="A721">
        <f>COUNTIF($C$2:C721,C721)</f>
        <v>720</v>
      </c>
      <c r="B721" s="1" t="str">
        <f t="shared" si="46"/>
        <v>720</v>
      </c>
      <c r="C721" s="1" t="str">
        <f>IFERROR(VLOOKUP(D721,'Planilha de Cadastro - Previsão'!$A$2:$O$1000,15,FALSE()),"")</f>
        <v/>
      </c>
      <c r="D721" s="1">
        <v>720</v>
      </c>
      <c r="F721" s="32" t="str">
        <f t="shared" si="47"/>
        <v/>
      </c>
      <c r="G721" s="33" t="str">
        <f>IFERROR((VLOOKUP(F721,'Planilha de Cadastro - Previsão'!$A$2:$N$1100,2,FALSE()))," ")</f>
        <v xml:space="preserve"> </v>
      </c>
      <c r="H721" s="32" t="str">
        <f>IFERROR((VLOOKUP(F721,'Planilha de Cadastro - Previsão'!$A$2:$N$1100,3,FALSE()))," ")</f>
        <v xml:space="preserve"> </v>
      </c>
      <c r="I721" s="34" t="str">
        <f>IFERROR((VLOOKUP(F721,'Planilha de Cadastro - Previsão'!$A$2:$N$1100,4,FALSE()))," ")</f>
        <v xml:space="preserve"> </v>
      </c>
      <c r="J721" s="34" t="str">
        <f>IFERROR((VLOOKUP(F721,'Planilha de Cadastro - Previsão'!$A$2:$N$1100,5,FALSE()))," ")</f>
        <v xml:space="preserve"> </v>
      </c>
      <c r="K721" s="36"/>
      <c r="L721" s="34" t="str">
        <f t="shared" si="48"/>
        <v/>
      </c>
      <c r="M721" s="35" t="str">
        <f t="shared" si="49"/>
        <v/>
      </c>
      <c r="N721" s="39"/>
      <c r="O721" s="36"/>
    </row>
    <row r="722" spans="1:15" x14ac:dyDescent="0.25">
      <c r="A722">
        <f>COUNTIF($C$2:C722,C722)</f>
        <v>721</v>
      </c>
      <c r="B722" s="1" t="str">
        <f t="shared" si="46"/>
        <v>721</v>
      </c>
      <c r="C722" s="1" t="str">
        <f>IFERROR(VLOOKUP(D722,'Planilha de Cadastro - Previsão'!$A$2:$O$1000,15,FALSE()),"")</f>
        <v/>
      </c>
      <c r="D722" s="1">
        <v>721</v>
      </c>
      <c r="F722" s="32" t="str">
        <f t="shared" si="47"/>
        <v/>
      </c>
      <c r="G722" s="33" t="str">
        <f>IFERROR((VLOOKUP(F722,'Planilha de Cadastro - Previsão'!$A$2:$N$1100,2,FALSE()))," ")</f>
        <v xml:space="preserve"> </v>
      </c>
      <c r="H722" s="32" t="str">
        <f>IFERROR((VLOOKUP(F722,'Planilha de Cadastro - Previsão'!$A$2:$N$1100,3,FALSE()))," ")</f>
        <v xml:space="preserve"> </v>
      </c>
      <c r="I722" s="34" t="str">
        <f>IFERROR((VLOOKUP(F722,'Planilha de Cadastro - Previsão'!$A$2:$N$1100,4,FALSE()))," ")</f>
        <v xml:space="preserve"> </v>
      </c>
      <c r="J722" s="34" t="str">
        <f>IFERROR((VLOOKUP(F722,'Planilha de Cadastro - Previsão'!$A$2:$N$1100,5,FALSE()))," ")</f>
        <v xml:space="preserve"> </v>
      </c>
      <c r="K722" s="36"/>
      <c r="L722" s="34" t="str">
        <f t="shared" si="48"/>
        <v/>
      </c>
      <c r="M722" s="35" t="str">
        <f t="shared" si="49"/>
        <v/>
      </c>
      <c r="N722" s="39"/>
      <c r="O722" s="36"/>
    </row>
    <row r="723" spans="1:15" x14ac:dyDescent="0.25">
      <c r="A723">
        <f>COUNTIF($C$2:C723,C723)</f>
        <v>722</v>
      </c>
      <c r="B723" s="1" t="str">
        <f t="shared" si="46"/>
        <v>722</v>
      </c>
      <c r="C723" s="1" t="str">
        <f>IFERROR(VLOOKUP(D723,'Planilha de Cadastro - Previsão'!$A$2:$O$1000,15,FALSE()),"")</f>
        <v/>
      </c>
      <c r="D723" s="1">
        <v>722</v>
      </c>
      <c r="F723" s="32" t="str">
        <f t="shared" si="47"/>
        <v/>
      </c>
      <c r="G723" s="33" t="str">
        <f>IFERROR((VLOOKUP(F723,'Planilha de Cadastro - Previsão'!$A$2:$N$1100,2,FALSE()))," ")</f>
        <v xml:space="preserve"> </v>
      </c>
      <c r="H723" s="32" t="str">
        <f>IFERROR((VLOOKUP(F723,'Planilha de Cadastro - Previsão'!$A$2:$N$1100,3,FALSE()))," ")</f>
        <v xml:space="preserve"> </v>
      </c>
      <c r="I723" s="34" t="str">
        <f>IFERROR((VLOOKUP(F723,'Planilha de Cadastro - Previsão'!$A$2:$N$1100,4,FALSE()))," ")</f>
        <v xml:space="preserve"> </v>
      </c>
      <c r="J723" s="34" t="str">
        <f>IFERROR((VLOOKUP(F723,'Planilha de Cadastro - Previsão'!$A$2:$N$1100,5,FALSE()))," ")</f>
        <v xml:space="preserve"> </v>
      </c>
      <c r="K723" s="36"/>
      <c r="L723" s="34" t="str">
        <f t="shared" si="48"/>
        <v/>
      </c>
      <c r="M723" s="35" t="str">
        <f t="shared" si="49"/>
        <v/>
      </c>
      <c r="N723" s="39"/>
      <c r="O723" s="36"/>
    </row>
    <row r="724" spans="1:15" x14ac:dyDescent="0.25">
      <c r="A724">
        <f>COUNTIF($C$2:C724,C724)</f>
        <v>723</v>
      </c>
      <c r="B724" s="1" t="str">
        <f t="shared" si="46"/>
        <v>723</v>
      </c>
      <c r="C724" s="1" t="str">
        <f>IFERROR(VLOOKUP(D724,'Planilha de Cadastro - Previsão'!$A$2:$O$1000,15,FALSE()),"")</f>
        <v/>
      </c>
      <c r="D724" s="1">
        <v>723</v>
      </c>
      <c r="F724" s="32" t="str">
        <f t="shared" si="47"/>
        <v/>
      </c>
      <c r="G724" s="33" t="str">
        <f>IFERROR((VLOOKUP(F724,'Planilha de Cadastro - Previsão'!$A$2:$N$1100,2,FALSE()))," ")</f>
        <v xml:space="preserve"> </v>
      </c>
      <c r="H724" s="32" t="str">
        <f>IFERROR((VLOOKUP(F724,'Planilha de Cadastro - Previsão'!$A$2:$N$1100,3,FALSE()))," ")</f>
        <v xml:space="preserve"> </v>
      </c>
      <c r="I724" s="34" t="str">
        <f>IFERROR((VLOOKUP(F724,'Planilha de Cadastro - Previsão'!$A$2:$N$1100,4,FALSE()))," ")</f>
        <v xml:space="preserve"> </v>
      </c>
      <c r="J724" s="34" t="str">
        <f>IFERROR((VLOOKUP(F724,'Planilha de Cadastro - Previsão'!$A$2:$N$1100,5,FALSE()))," ")</f>
        <v xml:space="preserve"> </v>
      </c>
      <c r="K724" s="36"/>
      <c r="L724" s="34" t="str">
        <f t="shared" si="48"/>
        <v/>
      </c>
      <c r="M724" s="35" t="str">
        <f t="shared" si="49"/>
        <v/>
      </c>
      <c r="N724" s="39"/>
      <c r="O724" s="36"/>
    </row>
    <row r="725" spans="1:15" x14ac:dyDescent="0.25">
      <c r="A725">
        <f>COUNTIF($C$2:C725,C725)</f>
        <v>724</v>
      </c>
      <c r="B725" s="1" t="str">
        <f t="shared" si="46"/>
        <v>724</v>
      </c>
      <c r="C725" s="1" t="str">
        <f>IFERROR(VLOOKUP(D725,'Planilha de Cadastro - Previsão'!$A$2:$O$1000,15,FALSE()),"")</f>
        <v/>
      </c>
      <c r="D725" s="1">
        <v>724</v>
      </c>
      <c r="F725" s="32" t="str">
        <f t="shared" si="47"/>
        <v/>
      </c>
      <c r="G725" s="33" t="str">
        <f>IFERROR((VLOOKUP(F725,'Planilha de Cadastro - Previsão'!$A$2:$N$1100,2,FALSE()))," ")</f>
        <v xml:space="preserve"> </v>
      </c>
      <c r="H725" s="32" t="str">
        <f>IFERROR((VLOOKUP(F725,'Planilha de Cadastro - Previsão'!$A$2:$N$1100,3,FALSE()))," ")</f>
        <v xml:space="preserve"> </v>
      </c>
      <c r="I725" s="34" t="str">
        <f>IFERROR((VLOOKUP(F725,'Planilha de Cadastro - Previsão'!$A$2:$N$1100,4,FALSE()))," ")</f>
        <v xml:space="preserve"> </v>
      </c>
      <c r="J725" s="34" t="str">
        <f>IFERROR((VLOOKUP(F725,'Planilha de Cadastro - Previsão'!$A$2:$N$1100,5,FALSE()))," ")</f>
        <v xml:space="preserve"> </v>
      </c>
      <c r="K725" s="36"/>
      <c r="L725" s="34" t="str">
        <f t="shared" si="48"/>
        <v/>
      </c>
      <c r="M725" s="35" t="str">
        <f t="shared" si="49"/>
        <v/>
      </c>
      <c r="N725" s="39"/>
      <c r="O725" s="36"/>
    </row>
    <row r="726" spans="1:15" x14ac:dyDescent="0.25">
      <c r="A726">
        <f>COUNTIF($C$2:C726,C726)</f>
        <v>725</v>
      </c>
      <c r="B726" s="1" t="str">
        <f t="shared" si="46"/>
        <v>725</v>
      </c>
      <c r="C726" s="1" t="str">
        <f>IFERROR(VLOOKUP(D726,'Planilha de Cadastro - Previsão'!$A$2:$O$1000,15,FALSE()),"")</f>
        <v/>
      </c>
      <c r="D726" s="1">
        <v>725</v>
      </c>
      <c r="F726" s="32" t="str">
        <f t="shared" si="47"/>
        <v/>
      </c>
      <c r="G726" s="33" t="str">
        <f>IFERROR((VLOOKUP(F726,'Planilha de Cadastro - Previsão'!$A$2:$N$1100,2,FALSE()))," ")</f>
        <v xml:space="preserve"> </v>
      </c>
      <c r="H726" s="32" t="str">
        <f>IFERROR((VLOOKUP(F726,'Planilha de Cadastro - Previsão'!$A$2:$N$1100,3,FALSE()))," ")</f>
        <v xml:space="preserve"> </v>
      </c>
      <c r="I726" s="34" t="str">
        <f>IFERROR((VLOOKUP(F726,'Planilha de Cadastro - Previsão'!$A$2:$N$1100,4,FALSE()))," ")</f>
        <v xml:space="preserve"> </v>
      </c>
      <c r="J726" s="34" t="str">
        <f>IFERROR((VLOOKUP(F726,'Planilha de Cadastro - Previsão'!$A$2:$N$1100,5,FALSE()))," ")</f>
        <v xml:space="preserve"> </v>
      </c>
      <c r="K726" s="36"/>
      <c r="L726" s="34" t="str">
        <f t="shared" si="48"/>
        <v/>
      </c>
      <c r="M726" s="35" t="str">
        <f t="shared" si="49"/>
        <v/>
      </c>
      <c r="N726" s="39"/>
      <c r="O726" s="36"/>
    </row>
    <row r="727" spans="1:15" x14ac:dyDescent="0.25">
      <c r="A727">
        <f>COUNTIF($C$2:C727,C727)</f>
        <v>726</v>
      </c>
      <c r="B727" s="1" t="str">
        <f t="shared" si="46"/>
        <v>726</v>
      </c>
      <c r="C727" s="1" t="str">
        <f>IFERROR(VLOOKUP(D727,'Planilha de Cadastro - Previsão'!$A$2:$O$1000,15,FALSE()),"")</f>
        <v/>
      </c>
      <c r="D727" s="1">
        <v>726</v>
      </c>
      <c r="F727" s="32" t="str">
        <f t="shared" si="47"/>
        <v/>
      </c>
      <c r="G727" s="33" t="str">
        <f>IFERROR((VLOOKUP(F727,'Planilha de Cadastro - Previsão'!$A$2:$N$1100,2,FALSE()))," ")</f>
        <v xml:space="preserve"> </v>
      </c>
      <c r="H727" s="32" t="str">
        <f>IFERROR((VLOOKUP(F727,'Planilha de Cadastro - Previsão'!$A$2:$N$1100,3,FALSE()))," ")</f>
        <v xml:space="preserve"> </v>
      </c>
      <c r="I727" s="34" t="str">
        <f>IFERROR((VLOOKUP(F727,'Planilha de Cadastro - Previsão'!$A$2:$N$1100,4,FALSE()))," ")</f>
        <v xml:space="preserve"> </v>
      </c>
      <c r="J727" s="34" t="str">
        <f>IFERROR((VLOOKUP(F727,'Planilha de Cadastro - Previsão'!$A$2:$N$1100,5,FALSE()))," ")</f>
        <v xml:space="preserve"> </v>
      </c>
      <c r="K727" s="36"/>
      <c r="L727" s="34" t="str">
        <f t="shared" si="48"/>
        <v/>
      </c>
      <c r="M727" s="35" t="str">
        <f t="shared" si="49"/>
        <v/>
      </c>
      <c r="N727" s="39"/>
      <c r="O727" s="36"/>
    </row>
    <row r="728" spans="1:15" x14ac:dyDescent="0.25">
      <c r="A728">
        <f>COUNTIF($C$2:C728,C728)</f>
        <v>727</v>
      </c>
      <c r="B728" s="1" t="str">
        <f t="shared" si="46"/>
        <v>727</v>
      </c>
      <c r="C728" s="1" t="str">
        <f>IFERROR(VLOOKUP(D728,'Planilha de Cadastro - Previsão'!$A$2:$O$1000,15,FALSE()),"")</f>
        <v/>
      </c>
      <c r="D728" s="1">
        <v>727</v>
      </c>
      <c r="F728" s="32" t="str">
        <f t="shared" si="47"/>
        <v/>
      </c>
      <c r="G728" s="33" t="str">
        <f>IFERROR((VLOOKUP(F728,'Planilha de Cadastro - Previsão'!$A$2:$N$1100,2,FALSE()))," ")</f>
        <v xml:space="preserve"> </v>
      </c>
      <c r="H728" s="32" t="str">
        <f>IFERROR((VLOOKUP(F728,'Planilha de Cadastro - Previsão'!$A$2:$N$1100,3,FALSE()))," ")</f>
        <v xml:space="preserve"> </v>
      </c>
      <c r="I728" s="34" t="str">
        <f>IFERROR((VLOOKUP(F728,'Planilha de Cadastro - Previsão'!$A$2:$N$1100,4,FALSE()))," ")</f>
        <v xml:space="preserve"> </v>
      </c>
      <c r="J728" s="34" t="str">
        <f>IFERROR((VLOOKUP(F728,'Planilha de Cadastro - Previsão'!$A$2:$N$1100,5,FALSE()))," ")</f>
        <v xml:space="preserve"> </v>
      </c>
      <c r="K728" s="36"/>
      <c r="L728" s="34" t="str">
        <f t="shared" si="48"/>
        <v/>
      </c>
      <c r="M728" s="35" t="str">
        <f t="shared" si="49"/>
        <v/>
      </c>
      <c r="N728" s="39"/>
      <c r="O728" s="36"/>
    </row>
    <row r="729" spans="1:15" x14ac:dyDescent="0.25">
      <c r="A729">
        <f>COUNTIF($C$2:C729,C729)</f>
        <v>728</v>
      </c>
      <c r="B729" s="1" t="str">
        <f t="shared" si="46"/>
        <v>728</v>
      </c>
      <c r="C729" s="1" t="str">
        <f>IFERROR(VLOOKUP(D729,'Planilha de Cadastro - Previsão'!$A$2:$O$1000,15,FALSE()),"")</f>
        <v/>
      </c>
      <c r="D729" s="1">
        <v>728</v>
      </c>
      <c r="F729" s="32" t="str">
        <f t="shared" si="47"/>
        <v/>
      </c>
      <c r="G729" s="33" t="str">
        <f>IFERROR((VLOOKUP(F729,'Planilha de Cadastro - Previsão'!$A$2:$N$1100,2,FALSE()))," ")</f>
        <v xml:space="preserve"> </v>
      </c>
      <c r="H729" s="32" t="str">
        <f>IFERROR((VLOOKUP(F729,'Planilha de Cadastro - Previsão'!$A$2:$N$1100,3,FALSE()))," ")</f>
        <v xml:space="preserve"> </v>
      </c>
      <c r="I729" s="34" t="str">
        <f>IFERROR((VLOOKUP(F729,'Planilha de Cadastro - Previsão'!$A$2:$N$1100,4,FALSE()))," ")</f>
        <v xml:space="preserve"> </v>
      </c>
      <c r="J729" s="34" t="str">
        <f>IFERROR((VLOOKUP(F729,'Planilha de Cadastro - Previsão'!$A$2:$N$1100,5,FALSE()))," ")</f>
        <v xml:space="preserve"> </v>
      </c>
      <c r="K729" s="36"/>
      <c r="L729" s="34" t="str">
        <f t="shared" si="48"/>
        <v/>
      </c>
      <c r="M729" s="35" t="str">
        <f t="shared" si="49"/>
        <v/>
      </c>
      <c r="N729" s="39"/>
      <c r="O729" s="36"/>
    </row>
    <row r="730" spans="1:15" x14ac:dyDescent="0.25">
      <c r="A730">
        <f>COUNTIF($C$2:C730,C730)</f>
        <v>729</v>
      </c>
      <c r="B730" s="1" t="str">
        <f t="shared" si="46"/>
        <v>729</v>
      </c>
      <c r="C730" s="1" t="str">
        <f>IFERROR(VLOOKUP(D730,'Planilha de Cadastro - Previsão'!$A$2:$O$1000,15,FALSE()),"")</f>
        <v/>
      </c>
      <c r="D730" s="1">
        <v>729</v>
      </c>
      <c r="F730" s="32" t="str">
        <f t="shared" si="47"/>
        <v/>
      </c>
      <c r="G730" s="33" t="str">
        <f>IFERROR((VLOOKUP(F730,'Planilha de Cadastro - Previsão'!$A$2:$N$1100,2,FALSE()))," ")</f>
        <v xml:space="preserve"> </v>
      </c>
      <c r="H730" s="32" t="str">
        <f>IFERROR((VLOOKUP(F730,'Planilha de Cadastro - Previsão'!$A$2:$N$1100,3,FALSE()))," ")</f>
        <v xml:space="preserve"> </v>
      </c>
      <c r="I730" s="34" t="str">
        <f>IFERROR((VLOOKUP(F730,'Planilha de Cadastro - Previsão'!$A$2:$N$1100,4,FALSE()))," ")</f>
        <v xml:space="preserve"> </v>
      </c>
      <c r="J730" s="34" t="str">
        <f>IFERROR((VLOOKUP(F730,'Planilha de Cadastro - Previsão'!$A$2:$N$1100,5,FALSE()))," ")</f>
        <v xml:space="preserve"> </v>
      </c>
      <c r="K730" s="36"/>
      <c r="L730" s="34" t="str">
        <f t="shared" si="48"/>
        <v/>
      </c>
      <c r="M730" s="35" t="str">
        <f t="shared" si="49"/>
        <v/>
      </c>
      <c r="N730" s="39"/>
      <c r="O730" s="36"/>
    </row>
    <row r="731" spans="1:15" x14ac:dyDescent="0.25">
      <c r="A731">
        <f>COUNTIF($C$2:C731,C731)</f>
        <v>730</v>
      </c>
      <c r="B731" s="1" t="str">
        <f t="shared" si="46"/>
        <v>730</v>
      </c>
      <c r="C731" s="1" t="str">
        <f>IFERROR(VLOOKUP(D731,'Planilha de Cadastro - Previsão'!$A$2:$O$1000,15,FALSE()),"")</f>
        <v/>
      </c>
      <c r="D731" s="1">
        <v>730</v>
      </c>
      <c r="F731" s="32" t="str">
        <f t="shared" si="47"/>
        <v/>
      </c>
      <c r="G731" s="33" t="str">
        <f>IFERROR((VLOOKUP(F731,'Planilha de Cadastro - Previsão'!$A$2:$N$1100,2,FALSE()))," ")</f>
        <v xml:space="preserve"> </v>
      </c>
      <c r="H731" s="32" t="str">
        <f>IFERROR((VLOOKUP(F731,'Planilha de Cadastro - Previsão'!$A$2:$N$1100,3,FALSE()))," ")</f>
        <v xml:space="preserve"> </v>
      </c>
      <c r="I731" s="34" t="str">
        <f>IFERROR((VLOOKUP(F731,'Planilha de Cadastro - Previsão'!$A$2:$N$1100,4,FALSE()))," ")</f>
        <v xml:space="preserve"> </v>
      </c>
      <c r="J731" s="34" t="str">
        <f>IFERROR((VLOOKUP(F731,'Planilha de Cadastro - Previsão'!$A$2:$N$1100,5,FALSE()))," ")</f>
        <v xml:space="preserve"> </v>
      </c>
      <c r="K731" s="36"/>
      <c r="L731" s="34" t="str">
        <f t="shared" si="48"/>
        <v/>
      </c>
      <c r="M731" s="35" t="str">
        <f t="shared" si="49"/>
        <v/>
      </c>
      <c r="N731" s="39"/>
      <c r="O731" s="36"/>
    </row>
    <row r="732" spans="1:15" x14ac:dyDescent="0.25">
      <c r="A732">
        <f>COUNTIF($C$2:C732,C732)</f>
        <v>731</v>
      </c>
      <c r="B732" s="1" t="str">
        <f t="shared" si="46"/>
        <v>731</v>
      </c>
      <c r="C732" s="1" t="str">
        <f>IFERROR(VLOOKUP(D732,'Planilha de Cadastro - Previsão'!$A$2:$O$1000,15,FALSE()),"")</f>
        <v/>
      </c>
      <c r="D732" s="1">
        <v>731</v>
      </c>
      <c r="F732" s="32" t="str">
        <f t="shared" si="47"/>
        <v/>
      </c>
      <c r="G732" s="33" t="str">
        <f>IFERROR((VLOOKUP(F732,'Planilha de Cadastro - Previsão'!$A$2:$N$1100,2,FALSE()))," ")</f>
        <v xml:space="preserve"> </v>
      </c>
      <c r="H732" s="32" t="str">
        <f>IFERROR((VLOOKUP(F732,'Planilha de Cadastro - Previsão'!$A$2:$N$1100,3,FALSE()))," ")</f>
        <v xml:space="preserve"> </v>
      </c>
      <c r="I732" s="34" t="str">
        <f>IFERROR((VLOOKUP(F732,'Planilha de Cadastro - Previsão'!$A$2:$N$1100,4,FALSE()))," ")</f>
        <v xml:space="preserve"> </v>
      </c>
      <c r="J732" s="34" t="str">
        <f>IFERROR((VLOOKUP(F732,'Planilha de Cadastro - Previsão'!$A$2:$N$1100,5,FALSE()))," ")</f>
        <v xml:space="preserve"> </v>
      </c>
      <c r="K732" s="36"/>
      <c r="L732" s="34" t="str">
        <f t="shared" si="48"/>
        <v/>
      </c>
      <c r="M732" s="35" t="str">
        <f t="shared" si="49"/>
        <v/>
      </c>
      <c r="N732" s="39"/>
      <c r="O732" s="36"/>
    </row>
    <row r="733" spans="1:15" x14ac:dyDescent="0.25">
      <c r="A733">
        <f>COUNTIF($C$2:C733,C733)</f>
        <v>732</v>
      </c>
      <c r="B733" s="1" t="str">
        <f t="shared" si="46"/>
        <v>732</v>
      </c>
      <c r="C733" s="1" t="str">
        <f>IFERROR(VLOOKUP(D733,'Planilha de Cadastro - Previsão'!$A$2:$O$1000,15,FALSE()),"")</f>
        <v/>
      </c>
      <c r="D733" s="1">
        <v>732</v>
      </c>
      <c r="F733" s="32" t="str">
        <f t="shared" si="47"/>
        <v/>
      </c>
      <c r="G733" s="33" t="str">
        <f>IFERROR((VLOOKUP(F733,'Planilha de Cadastro - Previsão'!$A$2:$N$1100,2,FALSE()))," ")</f>
        <v xml:space="preserve"> </v>
      </c>
      <c r="H733" s="32" t="str">
        <f>IFERROR((VLOOKUP(F733,'Planilha de Cadastro - Previsão'!$A$2:$N$1100,3,FALSE()))," ")</f>
        <v xml:space="preserve"> </v>
      </c>
      <c r="I733" s="34" t="str">
        <f>IFERROR((VLOOKUP(F733,'Planilha de Cadastro - Previsão'!$A$2:$N$1100,4,FALSE()))," ")</f>
        <v xml:space="preserve"> </v>
      </c>
      <c r="J733" s="34" t="str">
        <f>IFERROR((VLOOKUP(F733,'Planilha de Cadastro - Previsão'!$A$2:$N$1100,5,FALSE()))," ")</f>
        <v xml:space="preserve"> </v>
      </c>
      <c r="K733" s="36"/>
      <c r="L733" s="34" t="str">
        <f t="shared" si="48"/>
        <v/>
      </c>
      <c r="M733" s="35" t="str">
        <f t="shared" si="49"/>
        <v/>
      </c>
      <c r="N733" s="39"/>
      <c r="O733" s="36"/>
    </row>
    <row r="734" spans="1:15" x14ac:dyDescent="0.25">
      <c r="A734">
        <f>COUNTIF($C$2:C734,C734)</f>
        <v>733</v>
      </c>
      <c r="B734" s="1" t="str">
        <f t="shared" si="46"/>
        <v>733</v>
      </c>
      <c r="C734" s="1" t="str">
        <f>IFERROR(VLOOKUP(D734,'Planilha de Cadastro - Previsão'!$A$2:$O$1000,15,FALSE()),"")</f>
        <v/>
      </c>
      <c r="D734" s="1">
        <v>733</v>
      </c>
      <c r="F734" s="32" t="str">
        <f t="shared" si="47"/>
        <v/>
      </c>
      <c r="G734" s="33" t="str">
        <f>IFERROR((VLOOKUP(F734,'Planilha de Cadastro - Previsão'!$A$2:$N$1100,2,FALSE()))," ")</f>
        <v xml:space="preserve"> </v>
      </c>
      <c r="H734" s="32" t="str">
        <f>IFERROR((VLOOKUP(F734,'Planilha de Cadastro - Previsão'!$A$2:$N$1100,3,FALSE()))," ")</f>
        <v xml:space="preserve"> </v>
      </c>
      <c r="I734" s="34" t="str">
        <f>IFERROR((VLOOKUP(F734,'Planilha de Cadastro - Previsão'!$A$2:$N$1100,4,FALSE()))," ")</f>
        <v xml:space="preserve"> </v>
      </c>
      <c r="J734" s="34" t="str">
        <f>IFERROR((VLOOKUP(F734,'Planilha de Cadastro - Previsão'!$A$2:$N$1100,5,FALSE()))," ")</f>
        <v xml:space="preserve"> </v>
      </c>
      <c r="K734" s="36"/>
      <c r="L734" s="34" t="str">
        <f t="shared" si="48"/>
        <v/>
      </c>
      <c r="M734" s="35" t="str">
        <f t="shared" si="49"/>
        <v/>
      </c>
      <c r="N734" s="39"/>
      <c r="O734" s="36"/>
    </row>
    <row r="735" spans="1:15" x14ac:dyDescent="0.25">
      <c r="A735">
        <f>COUNTIF($C$2:C735,C735)</f>
        <v>734</v>
      </c>
      <c r="B735" s="1" t="str">
        <f t="shared" si="46"/>
        <v>734</v>
      </c>
      <c r="C735" s="1" t="str">
        <f>IFERROR(VLOOKUP(D735,'Planilha de Cadastro - Previsão'!$A$2:$O$1000,15,FALSE()),"")</f>
        <v/>
      </c>
      <c r="D735" s="1">
        <v>734</v>
      </c>
      <c r="F735" s="32" t="str">
        <f t="shared" si="47"/>
        <v/>
      </c>
      <c r="G735" s="33" t="str">
        <f>IFERROR((VLOOKUP(F735,'Planilha de Cadastro - Previsão'!$A$2:$N$1100,2,FALSE()))," ")</f>
        <v xml:space="preserve"> </v>
      </c>
      <c r="H735" s="32" t="str">
        <f>IFERROR((VLOOKUP(F735,'Planilha de Cadastro - Previsão'!$A$2:$N$1100,3,FALSE()))," ")</f>
        <v xml:space="preserve"> </v>
      </c>
      <c r="I735" s="34" t="str">
        <f>IFERROR((VLOOKUP(F735,'Planilha de Cadastro - Previsão'!$A$2:$N$1100,4,FALSE()))," ")</f>
        <v xml:space="preserve"> </v>
      </c>
      <c r="J735" s="34" t="str">
        <f>IFERROR((VLOOKUP(F735,'Planilha de Cadastro - Previsão'!$A$2:$N$1100,5,FALSE()))," ")</f>
        <v xml:space="preserve"> </v>
      </c>
      <c r="K735" s="36"/>
      <c r="L735" s="34" t="str">
        <f t="shared" si="48"/>
        <v/>
      </c>
      <c r="M735" s="35" t="str">
        <f t="shared" si="49"/>
        <v/>
      </c>
      <c r="N735" s="39"/>
      <c r="O735" s="36"/>
    </row>
    <row r="736" spans="1:15" x14ac:dyDescent="0.25">
      <c r="A736">
        <f>COUNTIF($C$2:C736,C736)</f>
        <v>735</v>
      </c>
      <c r="B736" s="1" t="str">
        <f t="shared" si="46"/>
        <v>735</v>
      </c>
      <c r="C736" s="1" t="str">
        <f>IFERROR(VLOOKUP(D736,'Planilha de Cadastro - Previsão'!$A$2:$O$1000,15,FALSE()),"")</f>
        <v/>
      </c>
      <c r="D736" s="1">
        <v>735</v>
      </c>
      <c r="F736" s="32" t="str">
        <f t="shared" si="47"/>
        <v/>
      </c>
      <c r="G736" s="33" t="str">
        <f>IFERROR((VLOOKUP(F736,'Planilha de Cadastro - Previsão'!$A$2:$N$1100,2,FALSE()))," ")</f>
        <v xml:space="preserve"> </v>
      </c>
      <c r="H736" s="32" t="str">
        <f>IFERROR((VLOOKUP(F736,'Planilha de Cadastro - Previsão'!$A$2:$N$1100,3,FALSE()))," ")</f>
        <v xml:space="preserve"> </v>
      </c>
      <c r="I736" s="34" t="str">
        <f>IFERROR((VLOOKUP(F736,'Planilha de Cadastro - Previsão'!$A$2:$N$1100,4,FALSE()))," ")</f>
        <v xml:space="preserve"> </v>
      </c>
      <c r="J736" s="34" t="str">
        <f>IFERROR((VLOOKUP(F736,'Planilha de Cadastro - Previsão'!$A$2:$N$1100,5,FALSE()))," ")</f>
        <v xml:space="preserve"> </v>
      </c>
      <c r="K736" s="36"/>
      <c r="L736" s="34" t="str">
        <f t="shared" si="48"/>
        <v/>
      </c>
      <c r="M736" s="35" t="str">
        <f t="shared" si="49"/>
        <v/>
      </c>
      <c r="N736" s="39"/>
      <c r="O736" s="36"/>
    </row>
    <row r="737" spans="1:15" x14ac:dyDescent="0.25">
      <c r="A737">
        <f>COUNTIF($C$2:C737,C737)</f>
        <v>736</v>
      </c>
      <c r="B737" s="1" t="str">
        <f t="shared" si="46"/>
        <v>736</v>
      </c>
      <c r="C737" s="1" t="str">
        <f>IFERROR(VLOOKUP(D737,'Planilha de Cadastro - Previsão'!$A$2:$O$1000,15,FALSE()),"")</f>
        <v/>
      </c>
      <c r="D737" s="1">
        <v>736</v>
      </c>
      <c r="F737" s="32" t="str">
        <f t="shared" si="47"/>
        <v/>
      </c>
      <c r="G737" s="33" t="str">
        <f>IFERROR((VLOOKUP(F737,'Planilha de Cadastro - Previsão'!$A$2:$N$1100,2,FALSE()))," ")</f>
        <v xml:space="preserve"> </v>
      </c>
      <c r="H737" s="32" t="str">
        <f>IFERROR((VLOOKUP(F737,'Planilha de Cadastro - Previsão'!$A$2:$N$1100,3,FALSE()))," ")</f>
        <v xml:space="preserve"> </v>
      </c>
      <c r="I737" s="34" t="str">
        <f>IFERROR((VLOOKUP(F737,'Planilha de Cadastro - Previsão'!$A$2:$N$1100,4,FALSE()))," ")</f>
        <v xml:space="preserve"> </v>
      </c>
      <c r="J737" s="34" t="str">
        <f>IFERROR((VLOOKUP(F737,'Planilha de Cadastro - Previsão'!$A$2:$N$1100,5,FALSE()))," ")</f>
        <v xml:space="preserve"> </v>
      </c>
      <c r="K737" s="36"/>
      <c r="L737" s="34" t="str">
        <f t="shared" si="48"/>
        <v/>
      </c>
      <c r="M737" s="35" t="str">
        <f t="shared" si="49"/>
        <v/>
      </c>
      <c r="N737" s="39"/>
      <c r="O737" s="36"/>
    </row>
    <row r="738" spans="1:15" x14ac:dyDescent="0.25">
      <c r="A738">
        <f>COUNTIF($C$2:C738,C738)</f>
        <v>737</v>
      </c>
      <c r="B738" s="1" t="str">
        <f t="shared" si="46"/>
        <v>737</v>
      </c>
      <c r="C738" s="1" t="str">
        <f>IFERROR(VLOOKUP(D738,'Planilha de Cadastro - Previsão'!$A$2:$O$1000,15,FALSE()),"")</f>
        <v/>
      </c>
      <c r="D738" s="1">
        <v>737</v>
      </c>
      <c r="F738" s="32" t="str">
        <f t="shared" si="47"/>
        <v/>
      </c>
      <c r="G738" s="33" t="str">
        <f>IFERROR((VLOOKUP(F738,'Planilha de Cadastro - Previsão'!$A$2:$N$1100,2,FALSE()))," ")</f>
        <v xml:space="preserve"> </v>
      </c>
      <c r="H738" s="32" t="str">
        <f>IFERROR((VLOOKUP(F738,'Planilha de Cadastro - Previsão'!$A$2:$N$1100,3,FALSE()))," ")</f>
        <v xml:space="preserve"> </v>
      </c>
      <c r="I738" s="34" t="str">
        <f>IFERROR((VLOOKUP(F738,'Planilha de Cadastro - Previsão'!$A$2:$N$1100,4,FALSE()))," ")</f>
        <v xml:space="preserve"> </v>
      </c>
      <c r="J738" s="34" t="str">
        <f>IFERROR((VLOOKUP(F738,'Planilha de Cadastro - Previsão'!$A$2:$N$1100,5,FALSE()))," ")</f>
        <v xml:space="preserve"> </v>
      </c>
      <c r="K738" s="36"/>
      <c r="L738" s="34" t="str">
        <f t="shared" si="48"/>
        <v/>
      </c>
      <c r="M738" s="35" t="str">
        <f t="shared" si="49"/>
        <v/>
      </c>
      <c r="N738" s="39"/>
      <c r="O738" s="36"/>
    </row>
    <row r="739" spans="1:15" x14ac:dyDescent="0.25">
      <c r="A739">
        <f>COUNTIF($C$2:C739,C739)</f>
        <v>738</v>
      </c>
      <c r="B739" s="1" t="str">
        <f t="shared" si="46"/>
        <v>738</v>
      </c>
      <c r="C739" s="1" t="str">
        <f>IFERROR(VLOOKUP(D739,'Planilha de Cadastro - Previsão'!$A$2:$O$1000,15,FALSE()),"")</f>
        <v/>
      </c>
      <c r="D739" s="1">
        <v>738</v>
      </c>
      <c r="F739" s="32" t="str">
        <f t="shared" si="47"/>
        <v/>
      </c>
      <c r="G739" s="33" t="str">
        <f>IFERROR((VLOOKUP(F739,'Planilha de Cadastro - Previsão'!$A$2:$N$1100,2,FALSE()))," ")</f>
        <v xml:space="preserve"> </v>
      </c>
      <c r="H739" s="32" t="str">
        <f>IFERROR((VLOOKUP(F739,'Planilha de Cadastro - Previsão'!$A$2:$N$1100,3,FALSE()))," ")</f>
        <v xml:space="preserve"> </v>
      </c>
      <c r="I739" s="34" t="str">
        <f>IFERROR((VLOOKUP(F739,'Planilha de Cadastro - Previsão'!$A$2:$N$1100,4,FALSE()))," ")</f>
        <v xml:space="preserve"> </v>
      </c>
      <c r="J739" s="34" t="str">
        <f>IFERROR((VLOOKUP(F739,'Planilha de Cadastro - Previsão'!$A$2:$N$1100,5,FALSE()))," ")</f>
        <v xml:space="preserve"> </v>
      </c>
      <c r="K739" s="36"/>
      <c r="L739" s="34" t="str">
        <f t="shared" si="48"/>
        <v/>
      </c>
      <c r="M739" s="35" t="str">
        <f t="shared" si="49"/>
        <v/>
      </c>
      <c r="N739" s="39"/>
      <c r="O739" s="36"/>
    </row>
    <row r="740" spans="1:15" x14ac:dyDescent="0.25">
      <c r="A740">
        <f>COUNTIF($C$2:C740,C740)</f>
        <v>739</v>
      </c>
      <c r="B740" s="1" t="str">
        <f t="shared" si="46"/>
        <v>739</v>
      </c>
      <c r="C740" s="1" t="str">
        <f>IFERROR(VLOOKUP(D740,'Planilha de Cadastro - Previsão'!$A$2:$O$1000,15,FALSE()),"")</f>
        <v/>
      </c>
      <c r="D740" s="1">
        <v>739</v>
      </c>
      <c r="F740" s="32" t="str">
        <f t="shared" si="47"/>
        <v/>
      </c>
      <c r="G740" s="33" t="str">
        <f>IFERROR((VLOOKUP(F740,'Planilha de Cadastro - Previsão'!$A$2:$N$1100,2,FALSE()))," ")</f>
        <v xml:space="preserve"> </v>
      </c>
      <c r="H740" s="32" t="str">
        <f>IFERROR((VLOOKUP(F740,'Planilha de Cadastro - Previsão'!$A$2:$N$1100,3,FALSE()))," ")</f>
        <v xml:space="preserve"> </v>
      </c>
      <c r="I740" s="34" t="str">
        <f>IFERROR((VLOOKUP(F740,'Planilha de Cadastro - Previsão'!$A$2:$N$1100,4,FALSE()))," ")</f>
        <v xml:space="preserve"> </v>
      </c>
      <c r="J740" s="34" t="str">
        <f>IFERROR((VLOOKUP(F740,'Planilha de Cadastro - Previsão'!$A$2:$N$1100,5,FALSE()))," ")</f>
        <v xml:space="preserve"> </v>
      </c>
      <c r="K740" s="36"/>
      <c r="L740" s="34" t="str">
        <f t="shared" si="48"/>
        <v/>
      </c>
      <c r="M740" s="35" t="str">
        <f t="shared" si="49"/>
        <v/>
      </c>
      <c r="N740" s="39"/>
      <c r="O740" s="36"/>
    </row>
    <row r="741" spans="1:15" x14ac:dyDescent="0.25">
      <c r="A741">
        <f>COUNTIF($C$2:C741,C741)</f>
        <v>740</v>
      </c>
      <c r="B741" s="1" t="str">
        <f t="shared" si="46"/>
        <v>740</v>
      </c>
      <c r="C741" s="1" t="str">
        <f>IFERROR(VLOOKUP(D741,'Planilha de Cadastro - Previsão'!$A$2:$O$1000,15,FALSE()),"")</f>
        <v/>
      </c>
      <c r="D741" s="1">
        <v>740</v>
      </c>
      <c r="F741" s="32" t="str">
        <f t="shared" si="47"/>
        <v/>
      </c>
      <c r="G741" s="33" t="str">
        <f>IFERROR((VLOOKUP(F741,'Planilha de Cadastro - Previsão'!$A$2:$N$1100,2,FALSE()))," ")</f>
        <v xml:space="preserve"> </v>
      </c>
      <c r="H741" s="32" t="str">
        <f>IFERROR((VLOOKUP(F741,'Planilha de Cadastro - Previsão'!$A$2:$N$1100,3,FALSE()))," ")</f>
        <v xml:space="preserve"> </v>
      </c>
      <c r="I741" s="34" t="str">
        <f>IFERROR((VLOOKUP(F741,'Planilha de Cadastro - Previsão'!$A$2:$N$1100,4,FALSE()))," ")</f>
        <v xml:space="preserve"> </v>
      </c>
      <c r="J741" s="34" t="str">
        <f>IFERROR((VLOOKUP(F741,'Planilha de Cadastro - Previsão'!$A$2:$N$1100,5,FALSE()))," ")</f>
        <v xml:space="preserve"> </v>
      </c>
      <c r="K741" s="36"/>
      <c r="L741" s="34" t="str">
        <f t="shared" si="48"/>
        <v/>
      </c>
      <c r="M741" s="35" t="str">
        <f t="shared" si="49"/>
        <v/>
      </c>
      <c r="N741" s="39"/>
      <c r="O741" s="36"/>
    </row>
    <row r="742" spans="1:15" x14ac:dyDescent="0.25">
      <c r="A742">
        <f>COUNTIF($C$2:C742,C742)</f>
        <v>741</v>
      </c>
      <c r="B742" s="1" t="str">
        <f t="shared" si="46"/>
        <v>741</v>
      </c>
      <c r="C742" s="1" t="str">
        <f>IFERROR(VLOOKUP(D742,'Planilha de Cadastro - Previsão'!$A$2:$O$1000,15,FALSE()),"")</f>
        <v/>
      </c>
      <c r="D742" s="1">
        <v>741</v>
      </c>
      <c r="F742" s="32" t="str">
        <f t="shared" si="47"/>
        <v/>
      </c>
      <c r="G742" s="33" t="str">
        <f>IFERROR((VLOOKUP(F742,'Planilha de Cadastro - Previsão'!$A$2:$N$1100,2,FALSE()))," ")</f>
        <v xml:space="preserve"> </v>
      </c>
      <c r="H742" s="32" t="str">
        <f>IFERROR((VLOOKUP(F742,'Planilha de Cadastro - Previsão'!$A$2:$N$1100,3,FALSE()))," ")</f>
        <v xml:space="preserve"> </v>
      </c>
      <c r="I742" s="34" t="str">
        <f>IFERROR((VLOOKUP(F742,'Planilha de Cadastro - Previsão'!$A$2:$N$1100,4,FALSE()))," ")</f>
        <v xml:space="preserve"> </v>
      </c>
      <c r="J742" s="34" t="str">
        <f>IFERROR((VLOOKUP(F742,'Planilha de Cadastro - Previsão'!$A$2:$N$1100,5,FALSE()))," ")</f>
        <v xml:space="preserve"> </v>
      </c>
      <c r="K742" s="36"/>
      <c r="L742" s="34" t="str">
        <f t="shared" si="48"/>
        <v/>
      </c>
      <c r="M742" s="35" t="str">
        <f t="shared" si="49"/>
        <v/>
      </c>
      <c r="N742" s="39"/>
      <c r="O742" s="36"/>
    </row>
    <row r="743" spans="1:15" x14ac:dyDescent="0.25">
      <c r="A743">
        <f>COUNTIF($C$2:C743,C743)</f>
        <v>742</v>
      </c>
      <c r="B743" s="1" t="str">
        <f t="shared" si="46"/>
        <v>742</v>
      </c>
      <c r="C743" s="1" t="str">
        <f>IFERROR(VLOOKUP(D743,'Planilha de Cadastro - Previsão'!$A$2:$O$1000,15,FALSE()),"")</f>
        <v/>
      </c>
      <c r="D743" s="1">
        <v>742</v>
      </c>
      <c r="F743" s="32" t="str">
        <f t="shared" si="47"/>
        <v/>
      </c>
      <c r="G743" s="33" t="str">
        <f>IFERROR((VLOOKUP(F743,'Planilha de Cadastro - Previsão'!$A$2:$N$1100,2,FALSE()))," ")</f>
        <v xml:space="preserve"> </v>
      </c>
      <c r="H743" s="32" t="str">
        <f>IFERROR((VLOOKUP(F743,'Planilha de Cadastro - Previsão'!$A$2:$N$1100,3,FALSE()))," ")</f>
        <v xml:space="preserve"> </v>
      </c>
      <c r="I743" s="34" t="str">
        <f>IFERROR((VLOOKUP(F743,'Planilha de Cadastro - Previsão'!$A$2:$N$1100,4,FALSE()))," ")</f>
        <v xml:space="preserve"> </v>
      </c>
      <c r="J743" s="34" t="str">
        <f>IFERROR((VLOOKUP(F743,'Planilha de Cadastro - Previsão'!$A$2:$N$1100,5,FALSE()))," ")</f>
        <v xml:space="preserve"> </v>
      </c>
      <c r="K743" s="36"/>
      <c r="L743" s="34" t="str">
        <f t="shared" si="48"/>
        <v/>
      </c>
      <c r="M743" s="35" t="str">
        <f t="shared" si="49"/>
        <v/>
      </c>
      <c r="N743" s="39"/>
      <c r="O743" s="36"/>
    </row>
    <row r="744" spans="1:15" x14ac:dyDescent="0.25">
      <c r="A744">
        <f>COUNTIF($C$2:C744,C744)</f>
        <v>743</v>
      </c>
      <c r="B744" s="1" t="str">
        <f t="shared" si="46"/>
        <v>743</v>
      </c>
      <c r="C744" s="1" t="str">
        <f>IFERROR(VLOOKUP(D744,'Planilha de Cadastro - Previsão'!$A$2:$O$1000,15,FALSE()),"")</f>
        <v/>
      </c>
      <c r="D744" s="1">
        <v>743</v>
      </c>
      <c r="F744" s="32" t="str">
        <f t="shared" si="47"/>
        <v/>
      </c>
      <c r="G744" s="33" t="str">
        <f>IFERROR((VLOOKUP(F744,'Planilha de Cadastro - Previsão'!$A$2:$N$1100,2,FALSE()))," ")</f>
        <v xml:space="preserve"> </v>
      </c>
      <c r="H744" s="32" t="str">
        <f>IFERROR((VLOOKUP(F744,'Planilha de Cadastro - Previsão'!$A$2:$N$1100,3,FALSE()))," ")</f>
        <v xml:space="preserve"> </v>
      </c>
      <c r="I744" s="34" t="str">
        <f>IFERROR((VLOOKUP(F744,'Planilha de Cadastro - Previsão'!$A$2:$N$1100,4,FALSE()))," ")</f>
        <v xml:space="preserve"> </v>
      </c>
      <c r="J744" s="34" t="str">
        <f>IFERROR((VLOOKUP(F744,'Planilha de Cadastro - Previsão'!$A$2:$N$1100,5,FALSE()))," ")</f>
        <v xml:space="preserve"> </v>
      </c>
      <c r="K744" s="36"/>
      <c r="L744" s="34" t="str">
        <f t="shared" si="48"/>
        <v/>
      </c>
      <c r="M744" s="35" t="str">
        <f t="shared" si="49"/>
        <v/>
      </c>
      <c r="N744" s="39"/>
      <c r="O744" s="36"/>
    </row>
    <row r="745" spans="1:15" x14ac:dyDescent="0.25">
      <c r="A745">
        <f>COUNTIF($C$2:C745,C745)</f>
        <v>744</v>
      </c>
      <c r="B745" s="1" t="str">
        <f t="shared" si="46"/>
        <v>744</v>
      </c>
      <c r="C745" s="1" t="str">
        <f>IFERROR(VLOOKUP(D745,'Planilha de Cadastro - Previsão'!$A$2:$O$1000,15,FALSE()),"")</f>
        <v/>
      </c>
      <c r="D745" s="1">
        <v>744</v>
      </c>
      <c r="F745" s="32" t="str">
        <f t="shared" si="47"/>
        <v/>
      </c>
      <c r="G745" s="33" t="str">
        <f>IFERROR((VLOOKUP(F745,'Planilha de Cadastro - Previsão'!$A$2:$N$1100,2,FALSE()))," ")</f>
        <v xml:space="preserve"> </v>
      </c>
      <c r="H745" s="32" t="str">
        <f>IFERROR((VLOOKUP(F745,'Planilha de Cadastro - Previsão'!$A$2:$N$1100,3,FALSE()))," ")</f>
        <v xml:space="preserve"> </v>
      </c>
      <c r="I745" s="34" t="str">
        <f>IFERROR((VLOOKUP(F745,'Planilha de Cadastro - Previsão'!$A$2:$N$1100,4,FALSE()))," ")</f>
        <v xml:space="preserve"> </v>
      </c>
      <c r="J745" s="34" t="str">
        <f>IFERROR((VLOOKUP(F745,'Planilha de Cadastro - Previsão'!$A$2:$N$1100,5,FALSE()))," ")</f>
        <v xml:space="preserve"> </v>
      </c>
      <c r="K745" s="36"/>
      <c r="L745" s="34" t="str">
        <f t="shared" si="48"/>
        <v/>
      </c>
      <c r="M745" s="35" t="str">
        <f t="shared" si="49"/>
        <v/>
      </c>
      <c r="N745" s="39"/>
      <c r="O745" s="36"/>
    </row>
    <row r="746" spans="1:15" x14ac:dyDescent="0.25">
      <c r="A746">
        <f>COUNTIF($C$2:C746,C746)</f>
        <v>745</v>
      </c>
      <c r="B746" s="1" t="str">
        <f t="shared" si="46"/>
        <v>745</v>
      </c>
      <c r="C746" s="1" t="str">
        <f>IFERROR(VLOOKUP(D746,'Planilha de Cadastro - Previsão'!$A$2:$O$1000,15,FALSE()),"")</f>
        <v/>
      </c>
      <c r="D746" s="1">
        <v>745</v>
      </c>
      <c r="F746" s="32" t="str">
        <f t="shared" si="47"/>
        <v/>
      </c>
      <c r="G746" s="33" t="str">
        <f>IFERROR((VLOOKUP(F746,'Planilha de Cadastro - Previsão'!$A$2:$N$1100,2,FALSE()))," ")</f>
        <v xml:space="preserve"> </v>
      </c>
      <c r="H746" s="32" t="str">
        <f>IFERROR((VLOOKUP(F746,'Planilha de Cadastro - Previsão'!$A$2:$N$1100,3,FALSE()))," ")</f>
        <v xml:space="preserve"> </v>
      </c>
      <c r="I746" s="34" t="str">
        <f>IFERROR((VLOOKUP(F746,'Planilha de Cadastro - Previsão'!$A$2:$N$1100,4,FALSE()))," ")</f>
        <v xml:space="preserve"> </v>
      </c>
      <c r="J746" s="34" t="str">
        <f>IFERROR((VLOOKUP(F746,'Planilha de Cadastro - Previsão'!$A$2:$N$1100,5,FALSE()))," ")</f>
        <v xml:space="preserve"> </v>
      </c>
      <c r="K746" s="36"/>
      <c r="L746" s="34" t="str">
        <f t="shared" si="48"/>
        <v/>
      </c>
      <c r="M746" s="35" t="str">
        <f t="shared" si="49"/>
        <v/>
      </c>
      <c r="N746" s="39"/>
      <c r="O746" s="36"/>
    </row>
    <row r="747" spans="1:15" x14ac:dyDescent="0.25">
      <c r="A747">
        <f>COUNTIF($C$2:C747,C747)</f>
        <v>746</v>
      </c>
      <c r="B747" s="1" t="str">
        <f t="shared" si="46"/>
        <v>746</v>
      </c>
      <c r="C747" s="1" t="str">
        <f>IFERROR(VLOOKUP(D747,'Planilha de Cadastro - Previsão'!$A$2:$O$1000,15,FALSE()),"")</f>
        <v/>
      </c>
      <c r="D747" s="1">
        <v>746</v>
      </c>
      <c r="F747" s="32" t="str">
        <f t="shared" si="47"/>
        <v/>
      </c>
      <c r="G747" s="33" t="str">
        <f>IFERROR((VLOOKUP(F747,'Planilha de Cadastro - Previsão'!$A$2:$N$1100,2,FALSE()))," ")</f>
        <v xml:space="preserve"> </v>
      </c>
      <c r="H747" s="32" t="str">
        <f>IFERROR((VLOOKUP(F747,'Planilha de Cadastro - Previsão'!$A$2:$N$1100,3,FALSE()))," ")</f>
        <v xml:space="preserve"> </v>
      </c>
      <c r="I747" s="34" t="str">
        <f>IFERROR((VLOOKUP(F747,'Planilha de Cadastro - Previsão'!$A$2:$N$1100,4,FALSE()))," ")</f>
        <v xml:space="preserve"> </v>
      </c>
      <c r="J747" s="34" t="str">
        <f>IFERROR((VLOOKUP(F747,'Planilha de Cadastro - Previsão'!$A$2:$N$1100,5,FALSE()))," ")</f>
        <v xml:space="preserve"> </v>
      </c>
      <c r="K747" s="36"/>
      <c r="L747" s="34" t="str">
        <f t="shared" si="48"/>
        <v/>
      </c>
      <c r="M747" s="35" t="str">
        <f t="shared" si="49"/>
        <v/>
      </c>
      <c r="N747" s="39"/>
      <c r="O747" s="36"/>
    </row>
    <row r="748" spans="1:15" x14ac:dyDescent="0.25">
      <c r="A748">
        <f>COUNTIF($C$2:C748,C748)</f>
        <v>747</v>
      </c>
      <c r="B748" s="1" t="str">
        <f t="shared" si="46"/>
        <v>747</v>
      </c>
      <c r="C748" s="1" t="str">
        <f>IFERROR(VLOOKUP(D748,'Planilha de Cadastro - Previsão'!$A$2:$O$1000,15,FALSE()),"")</f>
        <v/>
      </c>
      <c r="D748" s="1">
        <v>747</v>
      </c>
      <c r="F748" s="32" t="str">
        <f t="shared" si="47"/>
        <v/>
      </c>
      <c r="G748" s="33" t="str">
        <f>IFERROR((VLOOKUP(F748,'Planilha de Cadastro - Previsão'!$A$2:$N$1100,2,FALSE()))," ")</f>
        <v xml:space="preserve"> </v>
      </c>
      <c r="H748" s="32" t="str">
        <f>IFERROR((VLOOKUP(F748,'Planilha de Cadastro - Previsão'!$A$2:$N$1100,3,FALSE()))," ")</f>
        <v xml:space="preserve"> </v>
      </c>
      <c r="I748" s="34" t="str">
        <f>IFERROR((VLOOKUP(F748,'Planilha de Cadastro - Previsão'!$A$2:$N$1100,4,FALSE()))," ")</f>
        <v xml:space="preserve"> </v>
      </c>
      <c r="J748" s="34" t="str">
        <f>IFERROR((VLOOKUP(F748,'Planilha de Cadastro - Previsão'!$A$2:$N$1100,5,FALSE()))," ")</f>
        <v xml:space="preserve"> </v>
      </c>
      <c r="K748" s="36"/>
      <c r="L748" s="34" t="str">
        <f t="shared" si="48"/>
        <v/>
      </c>
      <c r="M748" s="35" t="str">
        <f t="shared" si="49"/>
        <v/>
      </c>
      <c r="N748" s="39"/>
      <c r="O748" s="36"/>
    </row>
    <row r="749" spans="1:15" x14ac:dyDescent="0.25">
      <c r="A749">
        <f>COUNTIF($C$2:C749,C749)</f>
        <v>748</v>
      </c>
      <c r="B749" s="1" t="str">
        <f t="shared" si="46"/>
        <v>748</v>
      </c>
      <c r="C749" s="1" t="str">
        <f>IFERROR(VLOOKUP(D749,'Planilha de Cadastro - Previsão'!$A$2:$O$1000,15,FALSE()),"")</f>
        <v/>
      </c>
      <c r="D749" s="1">
        <v>748</v>
      </c>
      <c r="F749" s="32" t="str">
        <f t="shared" si="47"/>
        <v/>
      </c>
      <c r="G749" s="33" t="str">
        <f>IFERROR((VLOOKUP(F749,'Planilha de Cadastro - Previsão'!$A$2:$N$1100,2,FALSE()))," ")</f>
        <v xml:space="preserve"> </v>
      </c>
      <c r="H749" s="32" t="str">
        <f>IFERROR((VLOOKUP(F749,'Planilha de Cadastro - Previsão'!$A$2:$N$1100,3,FALSE()))," ")</f>
        <v xml:space="preserve"> </v>
      </c>
      <c r="I749" s="34" t="str">
        <f>IFERROR((VLOOKUP(F749,'Planilha de Cadastro - Previsão'!$A$2:$N$1100,4,FALSE()))," ")</f>
        <v xml:space="preserve"> </v>
      </c>
      <c r="J749" s="34" t="str">
        <f>IFERROR((VLOOKUP(F749,'Planilha de Cadastro - Previsão'!$A$2:$N$1100,5,FALSE()))," ")</f>
        <v xml:space="preserve"> </v>
      </c>
      <c r="K749" s="36"/>
      <c r="L749" s="34" t="str">
        <f t="shared" si="48"/>
        <v/>
      </c>
      <c r="M749" s="35" t="str">
        <f t="shared" si="49"/>
        <v/>
      </c>
      <c r="N749" s="39"/>
      <c r="O749" s="36"/>
    </row>
    <row r="750" spans="1:15" x14ac:dyDescent="0.25">
      <c r="A750">
        <f>COUNTIF($C$2:C750,C750)</f>
        <v>749</v>
      </c>
      <c r="B750" s="1" t="str">
        <f t="shared" si="46"/>
        <v>749</v>
      </c>
      <c r="C750" s="1" t="str">
        <f>IFERROR(VLOOKUP(D750,'Planilha de Cadastro - Previsão'!$A$2:$O$1000,15,FALSE()),"")</f>
        <v/>
      </c>
      <c r="D750" s="1">
        <v>749</v>
      </c>
      <c r="F750" s="32" t="str">
        <f t="shared" si="47"/>
        <v/>
      </c>
      <c r="G750" s="33" t="str">
        <f>IFERROR((VLOOKUP(F750,'Planilha de Cadastro - Previsão'!$A$2:$N$1100,2,FALSE()))," ")</f>
        <v xml:space="preserve"> </v>
      </c>
      <c r="H750" s="32" t="str">
        <f>IFERROR((VLOOKUP(F750,'Planilha de Cadastro - Previsão'!$A$2:$N$1100,3,FALSE()))," ")</f>
        <v xml:space="preserve"> </v>
      </c>
      <c r="I750" s="34" t="str">
        <f>IFERROR((VLOOKUP(F750,'Planilha de Cadastro - Previsão'!$A$2:$N$1100,4,FALSE()))," ")</f>
        <v xml:space="preserve"> </v>
      </c>
      <c r="J750" s="34" t="str">
        <f>IFERROR((VLOOKUP(F750,'Planilha de Cadastro - Previsão'!$A$2:$N$1100,5,FALSE()))," ")</f>
        <v xml:space="preserve"> </v>
      </c>
      <c r="K750" s="36"/>
      <c r="L750" s="34" t="str">
        <f t="shared" si="48"/>
        <v/>
      </c>
      <c r="M750" s="35" t="str">
        <f t="shared" si="49"/>
        <v/>
      </c>
      <c r="N750" s="39"/>
      <c r="O750" s="36"/>
    </row>
    <row r="751" spans="1:15" x14ac:dyDescent="0.25">
      <c r="A751">
        <f>COUNTIF($C$2:C751,C751)</f>
        <v>750</v>
      </c>
      <c r="B751" s="1" t="str">
        <f t="shared" si="46"/>
        <v>750</v>
      </c>
      <c r="C751" s="1" t="str">
        <f>IFERROR(VLOOKUP(D751,'Planilha de Cadastro - Previsão'!$A$2:$O$1000,15,FALSE()),"")</f>
        <v/>
      </c>
      <c r="D751" s="1">
        <v>750</v>
      </c>
      <c r="F751" s="32" t="str">
        <f t="shared" si="47"/>
        <v/>
      </c>
      <c r="G751" s="33" t="str">
        <f>IFERROR((VLOOKUP(F751,'Planilha de Cadastro - Previsão'!$A$2:$N$1100,2,FALSE()))," ")</f>
        <v xml:space="preserve"> </v>
      </c>
      <c r="H751" s="32" t="str">
        <f>IFERROR((VLOOKUP(F751,'Planilha de Cadastro - Previsão'!$A$2:$N$1100,3,FALSE()))," ")</f>
        <v xml:space="preserve"> </v>
      </c>
      <c r="I751" s="34" t="str">
        <f>IFERROR((VLOOKUP(F751,'Planilha de Cadastro - Previsão'!$A$2:$N$1100,4,FALSE()))," ")</f>
        <v xml:space="preserve"> </v>
      </c>
      <c r="J751" s="34" t="str">
        <f>IFERROR((VLOOKUP(F751,'Planilha de Cadastro - Previsão'!$A$2:$N$1100,5,FALSE()))," ")</f>
        <v xml:space="preserve"> </v>
      </c>
      <c r="K751" s="36"/>
      <c r="L751" s="34" t="str">
        <f t="shared" si="48"/>
        <v/>
      </c>
      <c r="M751" s="35" t="str">
        <f t="shared" si="49"/>
        <v/>
      </c>
      <c r="N751" s="39"/>
      <c r="O751" s="36"/>
    </row>
    <row r="752" spans="1:15" x14ac:dyDescent="0.25">
      <c r="A752">
        <f>COUNTIF($C$2:C752,C752)</f>
        <v>751</v>
      </c>
      <c r="B752" s="1" t="str">
        <f t="shared" si="46"/>
        <v>751</v>
      </c>
      <c r="C752" s="1" t="str">
        <f>IFERROR(VLOOKUP(D752,'Planilha de Cadastro - Previsão'!$A$2:$O$1000,15,FALSE()),"")</f>
        <v/>
      </c>
      <c r="D752" s="1">
        <v>751</v>
      </c>
      <c r="F752" s="32" t="str">
        <f t="shared" si="47"/>
        <v/>
      </c>
      <c r="G752" s="33" t="str">
        <f>IFERROR((VLOOKUP(F752,'Planilha de Cadastro - Previsão'!$A$2:$N$1100,2,FALSE()))," ")</f>
        <v xml:space="preserve"> </v>
      </c>
      <c r="H752" s="32" t="str">
        <f>IFERROR((VLOOKUP(F752,'Planilha de Cadastro - Previsão'!$A$2:$N$1100,3,FALSE()))," ")</f>
        <v xml:space="preserve"> </v>
      </c>
      <c r="I752" s="34" t="str">
        <f>IFERROR((VLOOKUP(F752,'Planilha de Cadastro - Previsão'!$A$2:$N$1100,4,FALSE()))," ")</f>
        <v xml:space="preserve"> </v>
      </c>
      <c r="J752" s="34" t="str">
        <f>IFERROR((VLOOKUP(F752,'Planilha de Cadastro - Previsão'!$A$2:$N$1100,5,FALSE()))," ")</f>
        <v xml:space="preserve"> </v>
      </c>
      <c r="K752" s="36"/>
      <c r="L752" s="34" t="str">
        <f t="shared" si="48"/>
        <v/>
      </c>
      <c r="M752" s="35" t="str">
        <f t="shared" si="49"/>
        <v/>
      </c>
      <c r="N752" s="39"/>
      <c r="O752" s="36"/>
    </row>
    <row r="753" spans="1:15" x14ac:dyDescent="0.25">
      <c r="A753">
        <f>COUNTIF($C$2:C753,C753)</f>
        <v>752</v>
      </c>
      <c r="B753" s="1" t="str">
        <f t="shared" si="46"/>
        <v>752</v>
      </c>
      <c r="C753" s="1" t="str">
        <f>IFERROR(VLOOKUP(D753,'Planilha de Cadastro - Previsão'!$A$2:$O$1000,15,FALSE()),"")</f>
        <v/>
      </c>
      <c r="D753" s="1">
        <v>752</v>
      </c>
      <c r="F753" s="32" t="str">
        <f t="shared" si="47"/>
        <v/>
      </c>
      <c r="G753" s="33" t="str">
        <f>IFERROR((VLOOKUP(F753,'Planilha de Cadastro - Previsão'!$A$2:$N$1100,2,FALSE()))," ")</f>
        <v xml:space="preserve"> </v>
      </c>
      <c r="H753" s="32" t="str">
        <f>IFERROR((VLOOKUP(F753,'Planilha de Cadastro - Previsão'!$A$2:$N$1100,3,FALSE()))," ")</f>
        <v xml:space="preserve"> </v>
      </c>
      <c r="I753" s="34" t="str">
        <f>IFERROR((VLOOKUP(F753,'Planilha de Cadastro - Previsão'!$A$2:$N$1100,4,FALSE()))," ")</f>
        <v xml:space="preserve"> </v>
      </c>
      <c r="J753" s="34" t="str">
        <f>IFERROR((VLOOKUP(F753,'Planilha de Cadastro - Previsão'!$A$2:$N$1100,5,FALSE()))," ")</f>
        <v xml:space="preserve"> </v>
      </c>
      <c r="K753" s="36"/>
      <c r="L753" s="34" t="str">
        <f t="shared" si="48"/>
        <v/>
      </c>
      <c r="M753" s="35" t="str">
        <f t="shared" si="49"/>
        <v/>
      </c>
      <c r="N753" s="39"/>
      <c r="O753" s="36"/>
    </row>
    <row r="754" spans="1:15" x14ac:dyDescent="0.25">
      <c r="A754">
        <f>COUNTIF($C$2:C754,C754)</f>
        <v>753</v>
      </c>
      <c r="B754" s="1" t="str">
        <f t="shared" si="46"/>
        <v>753</v>
      </c>
      <c r="C754" s="1" t="str">
        <f>IFERROR(VLOOKUP(D754,'Planilha de Cadastro - Previsão'!$A$2:$O$1000,15,FALSE()),"")</f>
        <v/>
      </c>
      <c r="D754" s="1">
        <v>753</v>
      </c>
      <c r="F754" s="32" t="str">
        <f t="shared" si="47"/>
        <v/>
      </c>
      <c r="G754" s="33" t="str">
        <f>IFERROR((VLOOKUP(F754,'Planilha de Cadastro - Previsão'!$A$2:$N$1100,2,FALSE()))," ")</f>
        <v xml:space="preserve"> </v>
      </c>
      <c r="H754" s="32" t="str">
        <f>IFERROR((VLOOKUP(F754,'Planilha de Cadastro - Previsão'!$A$2:$N$1100,3,FALSE()))," ")</f>
        <v xml:space="preserve"> </v>
      </c>
      <c r="I754" s="34" t="str">
        <f>IFERROR((VLOOKUP(F754,'Planilha de Cadastro - Previsão'!$A$2:$N$1100,4,FALSE()))," ")</f>
        <v xml:space="preserve"> </v>
      </c>
      <c r="J754" s="34" t="str">
        <f>IFERROR((VLOOKUP(F754,'Planilha de Cadastro - Previsão'!$A$2:$N$1100,5,FALSE()))," ")</f>
        <v xml:space="preserve"> </v>
      </c>
      <c r="K754" s="36"/>
      <c r="L754" s="34" t="str">
        <f t="shared" si="48"/>
        <v/>
      </c>
      <c r="M754" s="35" t="str">
        <f t="shared" si="49"/>
        <v/>
      </c>
      <c r="N754" s="39"/>
      <c r="O754" s="36"/>
    </row>
    <row r="755" spans="1:15" x14ac:dyDescent="0.25">
      <c r="A755">
        <f>COUNTIF($C$2:C755,C755)</f>
        <v>754</v>
      </c>
      <c r="B755" s="1" t="str">
        <f t="shared" si="46"/>
        <v>754</v>
      </c>
      <c r="C755" s="1" t="str">
        <f>IFERROR(VLOOKUP(D755,'Planilha de Cadastro - Previsão'!$A$2:$O$1000,15,FALSE()),"")</f>
        <v/>
      </c>
      <c r="D755" s="1">
        <v>754</v>
      </c>
      <c r="F755" s="32" t="str">
        <f t="shared" si="47"/>
        <v/>
      </c>
      <c r="G755" s="33" t="str">
        <f>IFERROR((VLOOKUP(F755,'Planilha de Cadastro - Previsão'!$A$2:$N$1100,2,FALSE()))," ")</f>
        <v xml:space="preserve"> </v>
      </c>
      <c r="H755" s="32" t="str">
        <f>IFERROR((VLOOKUP(F755,'Planilha de Cadastro - Previsão'!$A$2:$N$1100,3,FALSE()))," ")</f>
        <v xml:space="preserve"> </v>
      </c>
      <c r="I755" s="34" t="str">
        <f>IFERROR((VLOOKUP(F755,'Planilha de Cadastro - Previsão'!$A$2:$N$1100,4,FALSE()))," ")</f>
        <v xml:space="preserve"> </v>
      </c>
      <c r="J755" s="34" t="str">
        <f>IFERROR((VLOOKUP(F755,'Planilha de Cadastro - Previsão'!$A$2:$N$1100,5,FALSE()))," ")</f>
        <v xml:space="preserve"> </v>
      </c>
      <c r="K755" s="36"/>
      <c r="L755" s="34" t="str">
        <f t="shared" si="48"/>
        <v/>
      </c>
      <c r="M755" s="35" t="str">
        <f t="shared" si="49"/>
        <v/>
      </c>
      <c r="N755" s="39"/>
      <c r="O755" s="36"/>
    </row>
    <row r="756" spans="1:15" x14ac:dyDescent="0.25">
      <c r="A756">
        <f>COUNTIF($C$2:C756,C756)</f>
        <v>755</v>
      </c>
      <c r="B756" s="1" t="str">
        <f t="shared" si="46"/>
        <v>755</v>
      </c>
      <c r="C756" s="1" t="str">
        <f>IFERROR(VLOOKUP(D756,'Planilha de Cadastro - Previsão'!$A$2:$O$1000,15,FALSE()),"")</f>
        <v/>
      </c>
      <c r="D756" s="1">
        <v>755</v>
      </c>
      <c r="F756" s="32" t="str">
        <f t="shared" si="47"/>
        <v/>
      </c>
      <c r="G756" s="33" t="str">
        <f>IFERROR((VLOOKUP(F756,'Planilha de Cadastro - Previsão'!$A$2:$N$1100,2,FALSE()))," ")</f>
        <v xml:space="preserve"> </v>
      </c>
      <c r="H756" s="32" t="str">
        <f>IFERROR((VLOOKUP(F756,'Planilha de Cadastro - Previsão'!$A$2:$N$1100,3,FALSE()))," ")</f>
        <v xml:space="preserve"> </v>
      </c>
      <c r="I756" s="34" t="str">
        <f>IFERROR((VLOOKUP(F756,'Planilha de Cadastro - Previsão'!$A$2:$N$1100,4,FALSE()))," ")</f>
        <v xml:space="preserve"> </v>
      </c>
      <c r="J756" s="34" t="str">
        <f>IFERROR((VLOOKUP(F756,'Planilha de Cadastro - Previsão'!$A$2:$N$1100,5,FALSE()))," ")</f>
        <v xml:space="preserve"> </v>
      </c>
      <c r="K756" s="36"/>
      <c r="L756" s="34" t="str">
        <f t="shared" si="48"/>
        <v/>
      </c>
      <c r="M756" s="35" t="str">
        <f t="shared" si="49"/>
        <v/>
      </c>
      <c r="N756" s="39"/>
      <c r="O756" s="36"/>
    </row>
    <row r="757" spans="1:15" x14ac:dyDescent="0.25">
      <c r="A757">
        <f>COUNTIF($C$2:C757,C757)</f>
        <v>756</v>
      </c>
      <c r="B757" s="1" t="str">
        <f t="shared" si="46"/>
        <v>756</v>
      </c>
      <c r="C757" s="1" t="str">
        <f>IFERROR(VLOOKUP(D757,'Planilha de Cadastro - Previsão'!$A$2:$O$1000,15,FALSE()),"")</f>
        <v/>
      </c>
      <c r="D757" s="1">
        <v>756</v>
      </c>
      <c r="F757" s="32" t="str">
        <f t="shared" si="47"/>
        <v/>
      </c>
      <c r="G757" s="33" t="str">
        <f>IFERROR((VLOOKUP(F757,'Planilha de Cadastro - Previsão'!$A$2:$N$1100,2,FALSE()))," ")</f>
        <v xml:space="preserve"> </v>
      </c>
      <c r="H757" s="32" t="str">
        <f>IFERROR((VLOOKUP(F757,'Planilha de Cadastro - Previsão'!$A$2:$N$1100,3,FALSE()))," ")</f>
        <v xml:space="preserve"> </v>
      </c>
      <c r="I757" s="34" t="str">
        <f>IFERROR((VLOOKUP(F757,'Planilha de Cadastro - Previsão'!$A$2:$N$1100,4,FALSE()))," ")</f>
        <v xml:space="preserve"> </v>
      </c>
      <c r="J757" s="34" t="str">
        <f>IFERROR((VLOOKUP(F757,'Planilha de Cadastro - Previsão'!$A$2:$N$1100,5,FALSE()))," ")</f>
        <v xml:space="preserve"> </v>
      </c>
      <c r="K757" s="36"/>
      <c r="L757" s="34" t="str">
        <f t="shared" si="48"/>
        <v/>
      </c>
      <c r="M757" s="35" t="str">
        <f t="shared" si="49"/>
        <v/>
      </c>
      <c r="N757" s="39"/>
      <c r="O757" s="36"/>
    </row>
    <row r="758" spans="1:15" x14ac:dyDescent="0.25">
      <c r="A758">
        <f>COUNTIF($C$2:C758,C758)</f>
        <v>757</v>
      </c>
      <c r="B758" s="1" t="str">
        <f t="shared" si="46"/>
        <v>757</v>
      </c>
      <c r="C758" s="1" t="str">
        <f>IFERROR(VLOOKUP(D758,'Planilha de Cadastro - Previsão'!$A$2:$O$1000,15,FALSE()),"")</f>
        <v/>
      </c>
      <c r="D758" s="1">
        <v>757</v>
      </c>
      <c r="F758" s="32" t="str">
        <f t="shared" si="47"/>
        <v/>
      </c>
      <c r="G758" s="33" t="str">
        <f>IFERROR((VLOOKUP(F758,'Planilha de Cadastro - Previsão'!$A$2:$N$1100,2,FALSE()))," ")</f>
        <v xml:space="preserve"> </v>
      </c>
      <c r="H758" s="32" t="str">
        <f>IFERROR((VLOOKUP(F758,'Planilha de Cadastro - Previsão'!$A$2:$N$1100,3,FALSE()))," ")</f>
        <v xml:space="preserve"> </v>
      </c>
      <c r="I758" s="34" t="str">
        <f>IFERROR((VLOOKUP(F758,'Planilha de Cadastro - Previsão'!$A$2:$N$1100,4,FALSE()))," ")</f>
        <v xml:space="preserve"> </v>
      </c>
      <c r="J758" s="34" t="str">
        <f>IFERROR((VLOOKUP(F758,'Planilha de Cadastro - Previsão'!$A$2:$N$1100,5,FALSE()))," ")</f>
        <v xml:space="preserve"> </v>
      </c>
      <c r="K758" s="36"/>
      <c r="L758" s="34" t="str">
        <f t="shared" si="48"/>
        <v/>
      </c>
      <c r="M758" s="35" t="str">
        <f t="shared" si="49"/>
        <v/>
      </c>
      <c r="N758" s="39"/>
      <c r="O758" s="36"/>
    </row>
    <row r="759" spans="1:15" x14ac:dyDescent="0.25">
      <c r="A759">
        <f>COUNTIF($C$2:C759,C759)</f>
        <v>758</v>
      </c>
      <c r="B759" s="1" t="str">
        <f t="shared" si="46"/>
        <v>758</v>
      </c>
      <c r="C759" s="1" t="str">
        <f>IFERROR(VLOOKUP(D759,'Planilha de Cadastro - Previsão'!$A$2:$O$1000,15,FALSE()),"")</f>
        <v/>
      </c>
      <c r="D759" s="1">
        <v>758</v>
      </c>
      <c r="F759" s="32" t="str">
        <f t="shared" si="47"/>
        <v/>
      </c>
      <c r="G759" s="33" t="str">
        <f>IFERROR((VLOOKUP(F759,'Planilha de Cadastro - Previsão'!$A$2:$N$1100,2,FALSE()))," ")</f>
        <v xml:space="preserve"> </v>
      </c>
      <c r="H759" s="32" t="str">
        <f>IFERROR((VLOOKUP(F759,'Planilha de Cadastro - Previsão'!$A$2:$N$1100,3,FALSE()))," ")</f>
        <v xml:space="preserve"> </v>
      </c>
      <c r="I759" s="34" t="str">
        <f>IFERROR((VLOOKUP(F759,'Planilha de Cadastro - Previsão'!$A$2:$N$1100,4,FALSE()))," ")</f>
        <v xml:space="preserve"> </v>
      </c>
      <c r="J759" s="34" t="str">
        <f>IFERROR((VLOOKUP(F759,'Planilha de Cadastro - Previsão'!$A$2:$N$1100,5,FALSE()))," ")</f>
        <v xml:space="preserve"> </v>
      </c>
      <c r="K759" s="36"/>
      <c r="L759" s="34" t="str">
        <f t="shared" si="48"/>
        <v/>
      </c>
      <c r="M759" s="35" t="str">
        <f t="shared" si="49"/>
        <v/>
      </c>
      <c r="N759" s="39"/>
      <c r="O759" s="36"/>
    </row>
    <row r="760" spans="1:15" x14ac:dyDescent="0.25">
      <c r="A760">
        <f>COUNTIF($C$2:C760,C760)</f>
        <v>759</v>
      </c>
      <c r="B760" s="1" t="str">
        <f t="shared" si="46"/>
        <v>759</v>
      </c>
      <c r="C760" s="1" t="str">
        <f>IFERROR(VLOOKUP(D760,'Planilha de Cadastro - Previsão'!$A$2:$O$1000,15,FALSE()),"")</f>
        <v/>
      </c>
      <c r="D760" s="1">
        <v>759</v>
      </c>
      <c r="F760" s="32" t="str">
        <f t="shared" si="47"/>
        <v/>
      </c>
      <c r="G760" s="33" t="str">
        <f>IFERROR((VLOOKUP(F760,'Planilha de Cadastro - Previsão'!$A$2:$N$1100,2,FALSE()))," ")</f>
        <v xml:space="preserve"> </v>
      </c>
      <c r="H760" s="32" t="str">
        <f>IFERROR((VLOOKUP(F760,'Planilha de Cadastro - Previsão'!$A$2:$N$1100,3,FALSE()))," ")</f>
        <v xml:space="preserve"> </v>
      </c>
      <c r="I760" s="34" t="str">
        <f>IFERROR((VLOOKUP(F760,'Planilha de Cadastro - Previsão'!$A$2:$N$1100,4,FALSE()))," ")</f>
        <v xml:space="preserve"> </v>
      </c>
      <c r="J760" s="34" t="str">
        <f>IFERROR((VLOOKUP(F760,'Planilha de Cadastro - Previsão'!$A$2:$N$1100,5,FALSE()))," ")</f>
        <v xml:space="preserve"> </v>
      </c>
      <c r="K760" s="36"/>
      <c r="L760" s="34" t="str">
        <f t="shared" si="48"/>
        <v/>
      </c>
      <c r="M760" s="35" t="str">
        <f t="shared" si="49"/>
        <v/>
      </c>
      <c r="N760" s="39"/>
      <c r="O760" s="36"/>
    </row>
    <row r="761" spans="1:15" x14ac:dyDescent="0.25">
      <c r="A761">
        <f>COUNTIF($C$2:C761,C761)</f>
        <v>760</v>
      </c>
      <c r="B761" s="1" t="str">
        <f t="shared" si="46"/>
        <v>760</v>
      </c>
      <c r="C761" s="1" t="str">
        <f>IFERROR(VLOOKUP(D761,'Planilha de Cadastro - Previsão'!$A$2:$O$1000,15,FALSE()),"")</f>
        <v/>
      </c>
      <c r="D761" s="1">
        <v>760</v>
      </c>
      <c r="F761" s="32" t="str">
        <f t="shared" si="47"/>
        <v/>
      </c>
      <c r="G761" s="33" t="str">
        <f>IFERROR((VLOOKUP(F761,'Planilha de Cadastro - Previsão'!$A$2:$N$1100,2,FALSE()))," ")</f>
        <v xml:space="preserve"> </v>
      </c>
      <c r="H761" s="32" t="str">
        <f>IFERROR((VLOOKUP(F761,'Planilha de Cadastro - Previsão'!$A$2:$N$1100,3,FALSE()))," ")</f>
        <v xml:space="preserve"> </v>
      </c>
      <c r="I761" s="34" t="str">
        <f>IFERROR((VLOOKUP(F761,'Planilha de Cadastro - Previsão'!$A$2:$N$1100,4,FALSE()))," ")</f>
        <v xml:space="preserve"> </v>
      </c>
      <c r="J761" s="34" t="str">
        <f>IFERROR((VLOOKUP(F761,'Planilha de Cadastro - Previsão'!$A$2:$N$1100,5,FALSE()))," ")</f>
        <v xml:space="preserve"> </v>
      </c>
      <c r="K761" s="36"/>
      <c r="L761" s="34" t="str">
        <f t="shared" si="48"/>
        <v/>
      </c>
      <c r="M761" s="35" t="str">
        <f t="shared" si="49"/>
        <v/>
      </c>
      <c r="N761" s="39"/>
      <c r="O761" s="36"/>
    </row>
    <row r="762" spans="1:15" x14ac:dyDescent="0.25">
      <c r="A762">
        <f>COUNTIF($C$2:C762,C762)</f>
        <v>761</v>
      </c>
      <c r="B762" s="1" t="str">
        <f t="shared" si="46"/>
        <v>761</v>
      </c>
      <c r="C762" s="1" t="str">
        <f>IFERROR(VLOOKUP(D762,'Planilha de Cadastro - Previsão'!$A$2:$O$1000,15,FALSE()),"")</f>
        <v/>
      </c>
      <c r="D762" s="1">
        <v>761</v>
      </c>
      <c r="F762" s="32" t="str">
        <f t="shared" si="47"/>
        <v/>
      </c>
      <c r="G762" s="33" t="str">
        <f>IFERROR((VLOOKUP(F762,'Planilha de Cadastro - Previsão'!$A$2:$N$1100,2,FALSE()))," ")</f>
        <v xml:space="preserve"> </v>
      </c>
      <c r="H762" s="32" t="str">
        <f>IFERROR((VLOOKUP(F762,'Planilha de Cadastro - Previsão'!$A$2:$N$1100,3,FALSE()))," ")</f>
        <v xml:space="preserve"> </v>
      </c>
      <c r="I762" s="34" t="str">
        <f>IFERROR((VLOOKUP(F762,'Planilha de Cadastro - Previsão'!$A$2:$N$1100,4,FALSE()))," ")</f>
        <v xml:space="preserve"> </v>
      </c>
      <c r="J762" s="34" t="str">
        <f>IFERROR((VLOOKUP(F762,'Planilha de Cadastro - Previsão'!$A$2:$N$1100,5,FALSE()))," ")</f>
        <v xml:space="preserve"> </v>
      </c>
      <c r="K762" s="36"/>
      <c r="L762" s="34" t="str">
        <f t="shared" si="48"/>
        <v/>
      </c>
      <c r="M762" s="35" t="str">
        <f t="shared" si="49"/>
        <v/>
      </c>
      <c r="N762" s="39"/>
      <c r="O762" s="36"/>
    </row>
    <row r="763" spans="1:15" x14ac:dyDescent="0.25">
      <c r="A763">
        <f>COUNTIF($C$2:C763,C763)</f>
        <v>762</v>
      </c>
      <c r="B763" s="1" t="str">
        <f t="shared" si="46"/>
        <v>762</v>
      </c>
      <c r="C763" s="1" t="str">
        <f>IFERROR(VLOOKUP(D763,'Planilha de Cadastro - Previsão'!$A$2:$O$1000,15,FALSE()),"")</f>
        <v/>
      </c>
      <c r="D763" s="1">
        <v>762</v>
      </c>
      <c r="F763" s="32" t="str">
        <f t="shared" si="47"/>
        <v/>
      </c>
      <c r="G763" s="33" t="str">
        <f>IFERROR((VLOOKUP(F763,'Planilha de Cadastro - Previsão'!$A$2:$N$1100,2,FALSE()))," ")</f>
        <v xml:space="preserve"> </v>
      </c>
      <c r="H763" s="32" t="str">
        <f>IFERROR((VLOOKUP(F763,'Planilha de Cadastro - Previsão'!$A$2:$N$1100,3,FALSE()))," ")</f>
        <v xml:space="preserve"> </v>
      </c>
      <c r="I763" s="34" t="str">
        <f>IFERROR((VLOOKUP(F763,'Planilha de Cadastro - Previsão'!$A$2:$N$1100,4,FALSE()))," ")</f>
        <v xml:space="preserve"> </v>
      </c>
      <c r="J763" s="34" t="str">
        <f>IFERROR((VLOOKUP(F763,'Planilha de Cadastro - Previsão'!$A$2:$N$1100,5,FALSE()))," ")</f>
        <v xml:space="preserve"> </v>
      </c>
      <c r="K763" s="36"/>
      <c r="L763" s="34" t="str">
        <f t="shared" si="48"/>
        <v/>
      </c>
      <c r="M763" s="35" t="str">
        <f t="shared" si="49"/>
        <v/>
      </c>
      <c r="N763" s="39"/>
      <c r="O763" s="36"/>
    </row>
    <row r="764" spans="1:15" x14ac:dyDescent="0.25">
      <c r="A764">
        <f>COUNTIF($C$2:C764,C764)</f>
        <v>763</v>
      </c>
      <c r="B764" s="1" t="str">
        <f t="shared" si="46"/>
        <v>763</v>
      </c>
      <c r="C764" s="1" t="str">
        <f>IFERROR(VLOOKUP(D764,'Planilha de Cadastro - Previsão'!$A$2:$O$1000,15,FALSE()),"")</f>
        <v/>
      </c>
      <c r="D764" s="1">
        <v>763</v>
      </c>
      <c r="F764" s="32" t="str">
        <f t="shared" si="47"/>
        <v/>
      </c>
      <c r="G764" s="33" t="str">
        <f>IFERROR((VLOOKUP(F764,'Planilha de Cadastro - Previsão'!$A$2:$N$1100,2,FALSE()))," ")</f>
        <v xml:space="preserve"> </v>
      </c>
      <c r="H764" s="32" t="str">
        <f>IFERROR((VLOOKUP(F764,'Planilha de Cadastro - Previsão'!$A$2:$N$1100,3,FALSE()))," ")</f>
        <v xml:space="preserve"> </v>
      </c>
      <c r="I764" s="34" t="str">
        <f>IFERROR((VLOOKUP(F764,'Planilha de Cadastro - Previsão'!$A$2:$N$1100,4,FALSE()))," ")</f>
        <v xml:space="preserve"> </v>
      </c>
      <c r="J764" s="34" t="str">
        <f>IFERROR((VLOOKUP(F764,'Planilha de Cadastro - Previsão'!$A$2:$N$1100,5,FALSE()))," ")</f>
        <v xml:space="preserve"> </v>
      </c>
      <c r="K764" s="36"/>
      <c r="L764" s="34" t="str">
        <f t="shared" si="48"/>
        <v/>
      </c>
      <c r="M764" s="35" t="str">
        <f t="shared" si="49"/>
        <v/>
      </c>
      <c r="N764" s="39"/>
      <c r="O764" s="36"/>
    </row>
    <row r="765" spans="1:15" x14ac:dyDescent="0.25">
      <c r="A765">
        <f>COUNTIF($C$2:C765,C765)</f>
        <v>764</v>
      </c>
      <c r="B765" s="1" t="str">
        <f t="shared" si="46"/>
        <v>764</v>
      </c>
      <c r="C765" s="1" t="str">
        <f>IFERROR(VLOOKUP(D765,'Planilha de Cadastro - Previsão'!$A$2:$O$1000,15,FALSE()),"")</f>
        <v/>
      </c>
      <c r="D765" s="1">
        <v>764</v>
      </c>
      <c r="F765" s="32" t="str">
        <f t="shared" si="47"/>
        <v/>
      </c>
      <c r="G765" s="33" t="str">
        <f>IFERROR((VLOOKUP(F765,'Planilha de Cadastro - Previsão'!$A$2:$N$1100,2,FALSE()))," ")</f>
        <v xml:space="preserve"> </v>
      </c>
      <c r="H765" s="32" t="str">
        <f>IFERROR((VLOOKUP(F765,'Planilha de Cadastro - Previsão'!$A$2:$N$1100,3,FALSE()))," ")</f>
        <v xml:space="preserve"> </v>
      </c>
      <c r="I765" s="34" t="str">
        <f>IFERROR((VLOOKUP(F765,'Planilha de Cadastro - Previsão'!$A$2:$N$1100,4,FALSE()))," ")</f>
        <v xml:space="preserve"> </v>
      </c>
      <c r="J765" s="34" t="str">
        <f>IFERROR((VLOOKUP(F765,'Planilha de Cadastro - Previsão'!$A$2:$N$1100,5,FALSE()))," ")</f>
        <v xml:space="preserve"> </v>
      </c>
      <c r="K765" s="36"/>
      <c r="L765" s="34" t="str">
        <f t="shared" si="48"/>
        <v/>
      </c>
      <c r="M765" s="35" t="str">
        <f t="shared" si="49"/>
        <v/>
      </c>
      <c r="N765" s="39"/>
      <c r="O765" s="36"/>
    </row>
    <row r="766" spans="1:15" x14ac:dyDescent="0.25">
      <c r="A766">
        <f>COUNTIF($C$2:C766,C766)</f>
        <v>765</v>
      </c>
      <c r="B766" s="1" t="str">
        <f t="shared" si="46"/>
        <v>765</v>
      </c>
      <c r="C766" s="1" t="str">
        <f>IFERROR(VLOOKUP(D766,'Planilha de Cadastro - Previsão'!$A$2:$O$1000,15,FALSE()),"")</f>
        <v/>
      </c>
      <c r="D766" s="1">
        <v>765</v>
      </c>
      <c r="F766" s="32" t="str">
        <f t="shared" si="47"/>
        <v/>
      </c>
      <c r="G766" s="33" t="str">
        <f>IFERROR((VLOOKUP(F766,'Planilha de Cadastro - Previsão'!$A$2:$N$1100,2,FALSE()))," ")</f>
        <v xml:space="preserve"> </v>
      </c>
      <c r="H766" s="32" t="str">
        <f>IFERROR((VLOOKUP(F766,'Planilha de Cadastro - Previsão'!$A$2:$N$1100,3,FALSE()))," ")</f>
        <v xml:space="preserve"> </v>
      </c>
      <c r="I766" s="34" t="str">
        <f>IFERROR((VLOOKUP(F766,'Planilha de Cadastro - Previsão'!$A$2:$N$1100,4,FALSE()))," ")</f>
        <v xml:space="preserve"> </v>
      </c>
      <c r="J766" s="34" t="str">
        <f>IFERROR((VLOOKUP(F766,'Planilha de Cadastro - Previsão'!$A$2:$N$1100,5,FALSE()))," ")</f>
        <v xml:space="preserve"> </v>
      </c>
      <c r="K766" s="36"/>
      <c r="L766" s="34" t="str">
        <f t="shared" si="48"/>
        <v/>
      </c>
      <c r="M766" s="35" t="str">
        <f t="shared" si="49"/>
        <v/>
      </c>
      <c r="N766" s="39"/>
      <c r="O766" s="36"/>
    </row>
    <row r="767" spans="1:15" x14ac:dyDescent="0.25">
      <c r="A767">
        <f>COUNTIF($C$2:C767,C767)</f>
        <v>766</v>
      </c>
      <c r="B767" s="1" t="str">
        <f t="shared" si="46"/>
        <v>766</v>
      </c>
      <c r="C767" s="1" t="str">
        <f>IFERROR(VLOOKUP(D767,'Planilha de Cadastro - Previsão'!$A$2:$O$1000,15,FALSE()),"")</f>
        <v/>
      </c>
      <c r="D767" s="1">
        <v>766</v>
      </c>
      <c r="F767" s="32" t="str">
        <f t="shared" si="47"/>
        <v/>
      </c>
      <c r="G767" s="33" t="str">
        <f>IFERROR((VLOOKUP(F767,'Planilha de Cadastro - Previsão'!$A$2:$N$1100,2,FALSE()))," ")</f>
        <v xml:space="preserve"> </v>
      </c>
      <c r="H767" s="32" t="str">
        <f>IFERROR((VLOOKUP(F767,'Planilha de Cadastro - Previsão'!$A$2:$N$1100,3,FALSE()))," ")</f>
        <v xml:space="preserve"> </v>
      </c>
      <c r="I767" s="34" t="str">
        <f>IFERROR((VLOOKUP(F767,'Planilha de Cadastro - Previsão'!$A$2:$N$1100,4,FALSE()))," ")</f>
        <v xml:space="preserve"> </v>
      </c>
      <c r="J767" s="34" t="str">
        <f>IFERROR((VLOOKUP(F767,'Planilha de Cadastro - Previsão'!$A$2:$N$1100,5,FALSE()))," ")</f>
        <v xml:space="preserve"> </v>
      </c>
      <c r="K767" s="36"/>
      <c r="L767" s="34" t="str">
        <f t="shared" si="48"/>
        <v/>
      </c>
      <c r="M767" s="35" t="str">
        <f t="shared" si="49"/>
        <v/>
      </c>
      <c r="N767" s="39"/>
      <c r="O767" s="36"/>
    </row>
    <row r="768" spans="1:15" x14ac:dyDescent="0.25">
      <c r="A768">
        <f>COUNTIF($C$2:C768,C768)</f>
        <v>767</v>
      </c>
      <c r="B768" s="1" t="str">
        <f t="shared" si="46"/>
        <v>767</v>
      </c>
      <c r="C768" s="1" t="str">
        <f>IFERROR(VLOOKUP(D768,'Planilha de Cadastro - Previsão'!$A$2:$O$1000,15,FALSE()),"")</f>
        <v/>
      </c>
      <c r="D768" s="1">
        <v>767</v>
      </c>
      <c r="F768" s="32" t="str">
        <f t="shared" si="47"/>
        <v/>
      </c>
      <c r="G768" s="33" t="str">
        <f>IFERROR((VLOOKUP(F768,'Planilha de Cadastro - Previsão'!$A$2:$N$1100,2,FALSE()))," ")</f>
        <v xml:space="preserve"> </v>
      </c>
      <c r="H768" s="32" t="str">
        <f>IFERROR((VLOOKUP(F768,'Planilha de Cadastro - Previsão'!$A$2:$N$1100,3,FALSE()))," ")</f>
        <v xml:space="preserve"> </v>
      </c>
      <c r="I768" s="34" t="str">
        <f>IFERROR((VLOOKUP(F768,'Planilha de Cadastro - Previsão'!$A$2:$N$1100,4,FALSE()))," ")</f>
        <v xml:space="preserve"> </v>
      </c>
      <c r="J768" s="34" t="str">
        <f>IFERROR((VLOOKUP(F768,'Planilha de Cadastro - Previsão'!$A$2:$N$1100,5,FALSE()))," ")</f>
        <v xml:space="preserve"> </v>
      </c>
      <c r="K768" s="36"/>
      <c r="L768" s="34" t="str">
        <f t="shared" si="48"/>
        <v/>
      </c>
      <c r="M768" s="35" t="str">
        <f t="shared" si="49"/>
        <v/>
      </c>
      <c r="N768" s="39"/>
      <c r="O768" s="36"/>
    </row>
    <row r="769" spans="1:15" x14ac:dyDescent="0.25">
      <c r="A769">
        <f>COUNTIF($C$2:C769,C769)</f>
        <v>768</v>
      </c>
      <c r="B769" s="1" t="str">
        <f t="shared" si="46"/>
        <v>768</v>
      </c>
      <c r="C769" s="1" t="str">
        <f>IFERROR(VLOOKUP(D769,'Planilha de Cadastro - Previsão'!$A$2:$O$1000,15,FALSE()),"")</f>
        <v/>
      </c>
      <c r="D769" s="1">
        <v>768</v>
      </c>
      <c r="F769" s="32" t="str">
        <f t="shared" si="47"/>
        <v/>
      </c>
      <c r="G769" s="33" t="str">
        <f>IFERROR((VLOOKUP(F769,'Planilha de Cadastro - Previsão'!$A$2:$N$1100,2,FALSE()))," ")</f>
        <v xml:space="preserve"> </v>
      </c>
      <c r="H769" s="32" t="str">
        <f>IFERROR((VLOOKUP(F769,'Planilha de Cadastro - Previsão'!$A$2:$N$1100,3,FALSE()))," ")</f>
        <v xml:space="preserve"> </v>
      </c>
      <c r="I769" s="34" t="str">
        <f>IFERROR((VLOOKUP(F769,'Planilha de Cadastro - Previsão'!$A$2:$N$1100,4,FALSE()))," ")</f>
        <v xml:space="preserve"> </v>
      </c>
      <c r="J769" s="34" t="str">
        <f>IFERROR((VLOOKUP(F769,'Planilha de Cadastro - Previsão'!$A$2:$N$1100,5,FALSE()))," ")</f>
        <v xml:space="preserve"> </v>
      </c>
      <c r="K769" s="36"/>
      <c r="L769" s="34" t="str">
        <f t="shared" si="48"/>
        <v/>
      </c>
      <c r="M769" s="35" t="str">
        <f t="shared" si="49"/>
        <v/>
      </c>
      <c r="N769" s="39"/>
      <c r="O769" s="36"/>
    </row>
    <row r="770" spans="1:15" x14ac:dyDescent="0.25">
      <c r="A770">
        <f>COUNTIF($C$2:C770,C770)</f>
        <v>769</v>
      </c>
      <c r="B770" s="1" t="str">
        <f t="shared" si="46"/>
        <v>769</v>
      </c>
      <c r="C770" s="1" t="str">
        <f>IFERROR(VLOOKUP(D770,'Planilha de Cadastro - Previsão'!$A$2:$O$1000,15,FALSE()),"")</f>
        <v/>
      </c>
      <c r="D770" s="1">
        <v>769</v>
      </c>
      <c r="F770" s="32" t="str">
        <f t="shared" si="47"/>
        <v/>
      </c>
      <c r="G770" s="33" t="str">
        <f>IFERROR((VLOOKUP(F770,'Planilha de Cadastro - Previsão'!$A$2:$N$1100,2,FALSE()))," ")</f>
        <v xml:space="preserve"> </v>
      </c>
      <c r="H770" s="32" t="str">
        <f>IFERROR((VLOOKUP(F770,'Planilha de Cadastro - Previsão'!$A$2:$N$1100,3,FALSE()))," ")</f>
        <v xml:space="preserve"> </v>
      </c>
      <c r="I770" s="34" t="str">
        <f>IFERROR((VLOOKUP(F770,'Planilha de Cadastro - Previsão'!$A$2:$N$1100,4,FALSE()))," ")</f>
        <v xml:space="preserve"> </v>
      </c>
      <c r="J770" s="34" t="str">
        <f>IFERROR((VLOOKUP(F770,'Planilha de Cadastro - Previsão'!$A$2:$N$1100,5,FALSE()))," ")</f>
        <v xml:space="preserve"> </v>
      </c>
      <c r="K770" s="36"/>
      <c r="L770" s="34" t="str">
        <f t="shared" si="48"/>
        <v/>
      </c>
      <c r="M770" s="35" t="str">
        <f t="shared" si="49"/>
        <v/>
      </c>
      <c r="N770" s="39"/>
      <c r="O770" s="36"/>
    </row>
    <row r="771" spans="1:15" x14ac:dyDescent="0.25">
      <c r="A771">
        <f>COUNTIF($C$2:C771,C771)</f>
        <v>770</v>
      </c>
      <c r="B771" s="1" t="str">
        <f t="shared" ref="B771:B834" si="50">IFERROR(CONCATENATE(C771,A771),"")</f>
        <v>770</v>
      </c>
      <c r="C771" s="1" t="str">
        <f>IFERROR(VLOOKUP(D771,'Planilha de Cadastro - Previsão'!$A$2:$O$1000,15,FALSE()),"")</f>
        <v/>
      </c>
      <c r="D771" s="1">
        <v>770</v>
      </c>
      <c r="F771" s="32" t="str">
        <f t="shared" ref="F771:F834" si="51">IFERROR((VLOOKUP(CONCATENATE("Sim",D771),$B$2:$D$1000,3,FALSE())),"")</f>
        <v/>
      </c>
      <c r="G771" s="33" t="str">
        <f>IFERROR((VLOOKUP(F771,'Planilha de Cadastro - Previsão'!$A$2:$N$1100,2,FALSE()))," ")</f>
        <v xml:space="preserve"> </v>
      </c>
      <c r="H771" s="32" t="str">
        <f>IFERROR((VLOOKUP(F771,'Planilha de Cadastro - Previsão'!$A$2:$N$1100,3,FALSE()))," ")</f>
        <v xml:space="preserve"> </v>
      </c>
      <c r="I771" s="34" t="str">
        <f>IFERROR((VLOOKUP(F771,'Planilha de Cadastro - Previsão'!$A$2:$N$1100,4,FALSE()))," ")</f>
        <v xml:space="preserve"> </v>
      </c>
      <c r="J771" s="34" t="str">
        <f>IFERROR((VLOOKUP(F771,'Planilha de Cadastro - Previsão'!$A$2:$N$1100,5,FALSE()))," ")</f>
        <v xml:space="preserve"> </v>
      </c>
      <c r="K771" s="36"/>
      <c r="L771" s="34" t="str">
        <f t="shared" ref="L771:L834" si="52">IF(K771&gt;0,(K771*H771)-(I771*H771)-(K771*H771*4%),"")</f>
        <v/>
      </c>
      <c r="M771" s="35" t="str">
        <f t="shared" ref="M771:M834" si="53">IFERROR(L771/(K771*H771),"")</f>
        <v/>
      </c>
      <c r="N771" s="39"/>
      <c r="O771" s="36"/>
    </row>
    <row r="772" spans="1:15" x14ac:dyDescent="0.25">
      <c r="A772">
        <f>COUNTIF($C$2:C772,C772)</f>
        <v>771</v>
      </c>
      <c r="B772" s="1" t="str">
        <f t="shared" si="50"/>
        <v>771</v>
      </c>
      <c r="C772" s="1" t="str">
        <f>IFERROR(VLOOKUP(D772,'Planilha de Cadastro - Previsão'!$A$2:$O$1000,15,FALSE()),"")</f>
        <v/>
      </c>
      <c r="D772" s="1">
        <v>771</v>
      </c>
      <c r="F772" s="32" t="str">
        <f t="shared" si="51"/>
        <v/>
      </c>
      <c r="G772" s="33" t="str">
        <f>IFERROR((VLOOKUP(F772,'Planilha de Cadastro - Previsão'!$A$2:$N$1100,2,FALSE()))," ")</f>
        <v xml:space="preserve"> </v>
      </c>
      <c r="H772" s="32" t="str">
        <f>IFERROR((VLOOKUP(F772,'Planilha de Cadastro - Previsão'!$A$2:$N$1100,3,FALSE()))," ")</f>
        <v xml:space="preserve"> </v>
      </c>
      <c r="I772" s="34" t="str">
        <f>IFERROR((VLOOKUP(F772,'Planilha de Cadastro - Previsão'!$A$2:$N$1100,4,FALSE()))," ")</f>
        <v xml:space="preserve"> </v>
      </c>
      <c r="J772" s="34" t="str">
        <f>IFERROR((VLOOKUP(F772,'Planilha de Cadastro - Previsão'!$A$2:$N$1100,5,FALSE()))," ")</f>
        <v xml:space="preserve"> </v>
      </c>
      <c r="K772" s="36"/>
      <c r="L772" s="34" t="str">
        <f t="shared" si="52"/>
        <v/>
      </c>
      <c r="M772" s="35" t="str">
        <f t="shared" si="53"/>
        <v/>
      </c>
      <c r="N772" s="39"/>
      <c r="O772" s="36"/>
    </row>
    <row r="773" spans="1:15" x14ac:dyDescent="0.25">
      <c r="A773">
        <f>COUNTIF($C$2:C773,C773)</f>
        <v>772</v>
      </c>
      <c r="B773" s="1" t="str">
        <f t="shared" si="50"/>
        <v>772</v>
      </c>
      <c r="C773" s="1" t="str">
        <f>IFERROR(VLOOKUP(D773,'Planilha de Cadastro - Previsão'!$A$2:$O$1000,15,FALSE()),"")</f>
        <v/>
      </c>
      <c r="D773" s="1">
        <v>772</v>
      </c>
      <c r="F773" s="32" t="str">
        <f t="shared" si="51"/>
        <v/>
      </c>
      <c r="G773" s="33" t="str">
        <f>IFERROR((VLOOKUP(F773,'Planilha de Cadastro - Previsão'!$A$2:$N$1100,2,FALSE()))," ")</f>
        <v xml:space="preserve"> </v>
      </c>
      <c r="H773" s="32" t="str">
        <f>IFERROR((VLOOKUP(F773,'Planilha de Cadastro - Previsão'!$A$2:$N$1100,3,FALSE()))," ")</f>
        <v xml:space="preserve"> </v>
      </c>
      <c r="I773" s="34" t="str">
        <f>IFERROR((VLOOKUP(F773,'Planilha de Cadastro - Previsão'!$A$2:$N$1100,4,FALSE()))," ")</f>
        <v xml:space="preserve"> </v>
      </c>
      <c r="J773" s="34" t="str">
        <f>IFERROR((VLOOKUP(F773,'Planilha de Cadastro - Previsão'!$A$2:$N$1100,5,FALSE()))," ")</f>
        <v xml:space="preserve"> </v>
      </c>
      <c r="K773" s="36"/>
      <c r="L773" s="34" t="str">
        <f t="shared" si="52"/>
        <v/>
      </c>
      <c r="M773" s="35" t="str">
        <f t="shared" si="53"/>
        <v/>
      </c>
      <c r="N773" s="39"/>
      <c r="O773" s="36"/>
    </row>
    <row r="774" spans="1:15" x14ac:dyDescent="0.25">
      <c r="A774">
        <f>COUNTIF($C$2:C774,C774)</f>
        <v>773</v>
      </c>
      <c r="B774" s="1" t="str">
        <f t="shared" si="50"/>
        <v>773</v>
      </c>
      <c r="C774" s="1" t="str">
        <f>IFERROR(VLOOKUP(D774,'Planilha de Cadastro - Previsão'!$A$2:$O$1000,15,FALSE()),"")</f>
        <v/>
      </c>
      <c r="D774" s="1">
        <v>773</v>
      </c>
      <c r="F774" s="32" t="str">
        <f t="shared" si="51"/>
        <v/>
      </c>
      <c r="G774" s="33" t="str">
        <f>IFERROR((VLOOKUP(F774,'Planilha de Cadastro - Previsão'!$A$2:$N$1100,2,FALSE()))," ")</f>
        <v xml:space="preserve"> </v>
      </c>
      <c r="H774" s="32" t="str">
        <f>IFERROR((VLOOKUP(F774,'Planilha de Cadastro - Previsão'!$A$2:$N$1100,3,FALSE()))," ")</f>
        <v xml:space="preserve"> </v>
      </c>
      <c r="I774" s="34" t="str">
        <f>IFERROR((VLOOKUP(F774,'Planilha de Cadastro - Previsão'!$A$2:$N$1100,4,FALSE()))," ")</f>
        <v xml:space="preserve"> </v>
      </c>
      <c r="J774" s="34" t="str">
        <f>IFERROR((VLOOKUP(F774,'Planilha de Cadastro - Previsão'!$A$2:$N$1100,5,FALSE()))," ")</f>
        <v xml:space="preserve"> </v>
      </c>
      <c r="K774" s="36"/>
      <c r="L774" s="34" t="str">
        <f t="shared" si="52"/>
        <v/>
      </c>
      <c r="M774" s="35" t="str">
        <f t="shared" si="53"/>
        <v/>
      </c>
      <c r="N774" s="39"/>
      <c r="O774" s="36"/>
    </row>
    <row r="775" spans="1:15" x14ac:dyDescent="0.25">
      <c r="A775">
        <f>COUNTIF($C$2:C775,C775)</f>
        <v>774</v>
      </c>
      <c r="B775" s="1" t="str">
        <f t="shared" si="50"/>
        <v>774</v>
      </c>
      <c r="C775" s="1" t="str">
        <f>IFERROR(VLOOKUP(D775,'Planilha de Cadastro - Previsão'!$A$2:$O$1000,15,FALSE()),"")</f>
        <v/>
      </c>
      <c r="D775" s="1">
        <v>774</v>
      </c>
      <c r="F775" s="32" t="str">
        <f t="shared" si="51"/>
        <v/>
      </c>
      <c r="G775" s="33" t="str">
        <f>IFERROR((VLOOKUP(F775,'Planilha de Cadastro - Previsão'!$A$2:$N$1100,2,FALSE()))," ")</f>
        <v xml:space="preserve"> </v>
      </c>
      <c r="H775" s="32" t="str">
        <f>IFERROR((VLOOKUP(F775,'Planilha de Cadastro - Previsão'!$A$2:$N$1100,3,FALSE()))," ")</f>
        <v xml:space="preserve"> </v>
      </c>
      <c r="I775" s="34" t="str">
        <f>IFERROR((VLOOKUP(F775,'Planilha de Cadastro - Previsão'!$A$2:$N$1100,4,FALSE()))," ")</f>
        <v xml:space="preserve"> </v>
      </c>
      <c r="J775" s="34" t="str">
        <f>IFERROR((VLOOKUP(F775,'Planilha de Cadastro - Previsão'!$A$2:$N$1100,5,FALSE()))," ")</f>
        <v xml:space="preserve"> </v>
      </c>
      <c r="K775" s="36"/>
      <c r="L775" s="34" t="str">
        <f t="shared" si="52"/>
        <v/>
      </c>
      <c r="M775" s="35" t="str">
        <f t="shared" si="53"/>
        <v/>
      </c>
      <c r="N775" s="39"/>
      <c r="O775" s="36"/>
    </row>
    <row r="776" spans="1:15" x14ac:dyDescent="0.25">
      <c r="A776">
        <f>COUNTIF($C$2:C776,C776)</f>
        <v>775</v>
      </c>
      <c r="B776" s="1" t="str">
        <f t="shared" si="50"/>
        <v>775</v>
      </c>
      <c r="C776" s="1" t="str">
        <f>IFERROR(VLOOKUP(D776,'Planilha de Cadastro - Previsão'!$A$2:$O$1000,15,FALSE()),"")</f>
        <v/>
      </c>
      <c r="D776" s="1">
        <v>775</v>
      </c>
      <c r="F776" s="32" t="str">
        <f t="shared" si="51"/>
        <v/>
      </c>
      <c r="G776" s="33" t="str">
        <f>IFERROR((VLOOKUP(F776,'Planilha de Cadastro - Previsão'!$A$2:$N$1100,2,FALSE()))," ")</f>
        <v xml:space="preserve"> </v>
      </c>
      <c r="H776" s="32" t="str">
        <f>IFERROR((VLOOKUP(F776,'Planilha de Cadastro - Previsão'!$A$2:$N$1100,3,FALSE()))," ")</f>
        <v xml:space="preserve"> </v>
      </c>
      <c r="I776" s="34" t="str">
        <f>IFERROR((VLOOKUP(F776,'Planilha de Cadastro - Previsão'!$A$2:$N$1100,4,FALSE()))," ")</f>
        <v xml:space="preserve"> </v>
      </c>
      <c r="J776" s="34" t="str">
        <f>IFERROR((VLOOKUP(F776,'Planilha de Cadastro - Previsão'!$A$2:$N$1100,5,FALSE()))," ")</f>
        <v xml:space="preserve"> </v>
      </c>
      <c r="K776" s="36"/>
      <c r="L776" s="34" t="str">
        <f t="shared" si="52"/>
        <v/>
      </c>
      <c r="M776" s="35" t="str">
        <f t="shared" si="53"/>
        <v/>
      </c>
      <c r="N776" s="39"/>
      <c r="O776" s="36"/>
    </row>
    <row r="777" spans="1:15" x14ac:dyDescent="0.25">
      <c r="A777">
        <f>COUNTIF($C$2:C777,C777)</f>
        <v>776</v>
      </c>
      <c r="B777" s="1" t="str">
        <f t="shared" si="50"/>
        <v>776</v>
      </c>
      <c r="C777" s="1" t="str">
        <f>IFERROR(VLOOKUP(D777,'Planilha de Cadastro - Previsão'!$A$2:$O$1000,15,FALSE()),"")</f>
        <v/>
      </c>
      <c r="D777" s="1">
        <v>776</v>
      </c>
      <c r="F777" s="32" t="str">
        <f t="shared" si="51"/>
        <v/>
      </c>
      <c r="G777" s="33" t="str">
        <f>IFERROR((VLOOKUP(F777,'Planilha de Cadastro - Previsão'!$A$2:$N$1100,2,FALSE()))," ")</f>
        <v xml:space="preserve"> </v>
      </c>
      <c r="H777" s="32" t="str">
        <f>IFERROR((VLOOKUP(F777,'Planilha de Cadastro - Previsão'!$A$2:$N$1100,3,FALSE()))," ")</f>
        <v xml:space="preserve"> </v>
      </c>
      <c r="I777" s="34" t="str">
        <f>IFERROR((VLOOKUP(F777,'Planilha de Cadastro - Previsão'!$A$2:$N$1100,4,FALSE()))," ")</f>
        <v xml:space="preserve"> </v>
      </c>
      <c r="J777" s="34" t="str">
        <f>IFERROR((VLOOKUP(F777,'Planilha de Cadastro - Previsão'!$A$2:$N$1100,5,FALSE()))," ")</f>
        <v xml:space="preserve"> </v>
      </c>
      <c r="K777" s="36"/>
      <c r="L777" s="34" t="str">
        <f t="shared" si="52"/>
        <v/>
      </c>
      <c r="M777" s="35" t="str">
        <f t="shared" si="53"/>
        <v/>
      </c>
      <c r="N777" s="39"/>
      <c r="O777" s="36"/>
    </row>
    <row r="778" spans="1:15" x14ac:dyDescent="0.25">
      <c r="A778">
        <f>COUNTIF($C$2:C778,C778)</f>
        <v>777</v>
      </c>
      <c r="B778" s="1" t="str">
        <f t="shared" si="50"/>
        <v>777</v>
      </c>
      <c r="C778" s="1" t="str">
        <f>IFERROR(VLOOKUP(D778,'Planilha de Cadastro - Previsão'!$A$2:$O$1000,15,FALSE()),"")</f>
        <v/>
      </c>
      <c r="D778" s="1">
        <v>777</v>
      </c>
      <c r="F778" s="32" t="str">
        <f t="shared" si="51"/>
        <v/>
      </c>
      <c r="G778" s="33" t="str">
        <f>IFERROR((VLOOKUP(F778,'Planilha de Cadastro - Previsão'!$A$2:$N$1100,2,FALSE()))," ")</f>
        <v xml:space="preserve"> </v>
      </c>
      <c r="H778" s="32" t="str">
        <f>IFERROR((VLOOKUP(F778,'Planilha de Cadastro - Previsão'!$A$2:$N$1100,3,FALSE()))," ")</f>
        <v xml:space="preserve"> </v>
      </c>
      <c r="I778" s="34" t="str">
        <f>IFERROR((VLOOKUP(F778,'Planilha de Cadastro - Previsão'!$A$2:$N$1100,4,FALSE()))," ")</f>
        <v xml:space="preserve"> </v>
      </c>
      <c r="J778" s="34" t="str">
        <f>IFERROR((VLOOKUP(F778,'Planilha de Cadastro - Previsão'!$A$2:$N$1100,5,FALSE()))," ")</f>
        <v xml:space="preserve"> </v>
      </c>
      <c r="K778" s="36"/>
      <c r="L778" s="34" t="str">
        <f t="shared" si="52"/>
        <v/>
      </c>
      <c r="M778" s="35" t="str">
        <f t="shared" si="53"/>
        <v/>
      </c>
      <c r="N778" s="39"/>
      <c r="O778" s="36"/>
    </row>
    <row r="779" spans="1:15" x14ac:dyDescent="0.25">
      <c r="A779">
        <f>COUNTIF($C$2:C779,C779)</f>
        <v>778</v>
      </c>
      <c r="B779" s="1" t="str">
        <f t="shared" si="50"/>
        <v>778</v>
      </c>
      <c r="C779" s="1" t="str">
        <f>IFERROR(VLOOKUP(D779,'Planilha de Cadastro - Previsão'!$A$2:$O$1000,15,FALSE()),"")</f>
        <v/>
      </c>
      <c r="D779" s="1">
        <v>778</v>
      </c>
      <c r="F779" s="32" t="str">
        <f t="shared" si="51"/>
        <v/>
      </c>
      <c r="G779" s="33" t="str">
        <f>IFERROR((VLOOKUP(F779,'Planilha de Cadastro - Previsão'!$A$2:$N$1100,2,FALSE()))," ")</f>
        <v xml:space="preserve"> </v>
      </c>
      <c r="H779" s="32" t="str">
        <f>IFERROR((VLOOKUP(F779,'Planilha de Cadastro - Previsão'!$A$2:$N$1100,3,FALSE()))," ")</f>
        <v xml:space="preserve"> </v>
      </c>
      <c r="I779" s="34" t="str">
        <f>IFERROR((VLOOKUP(F779,'Planilha de Cadastro - Previsão'!$A$2:$N$1100,4,FALSE()))," ")</f>
        <v xml:space="preserve"> </v>
      </c>
      <c r="J779" s="34" t="str">
        <f>IFERROR((VLOOKUP(F779,'Planilha de Cadastro - Previsão'!$A$2:$N$1100,5,FALSE()))," ")</f>
        <v xml:space="preserve"> </v>
      </c>
      <c r="K779" s="36"/>
      <c r="L779" s="34" t="str">
        <f t="shared" si="52"/>
        <v/>
      </c>
      <c r="M779" s="35" t="str">
        <f t="shared" si="53"/>
        <v/>
      </c>
      <c r="N779" s="39"/>
      <c r="O779" s="36"/>
    </row>
    <row r="780" spans="1:15" x14ac:dyDescent="0.25">
      <c r="A780">
        <f>COUNTIF($C$2:C780,C780)</f>
        <v>779</v>
      </c>
      <c r="B780" s="1" t="str">
        <f t="shared" si="50"/>
        <v>779</v>
      </c>
      <c r="C780" s="1" t="str">
        <f>IFERROR(VLOOKUP(D780,'Planilha de Cadastro - Previsão'!$A$2:$O$1000,15,FALSE()),"")</f>
        <v/>
      </c>
      <c r="D780" s="1">
        <v>779</v>
      </c>
      <c r="F780" s="32" t="str">
        <f t="shared" si="51"/>
        <v/>
      </c>
      <c r="G780" s="33" t="str">
        <f>IFERROR((VLOOKUP(F780,'Planilha de Cadastro - Previsão'!$A$2:$N$1100,2,FALSE()))," ")</f>
        <v xml:space="preserve"> </v>
      </c>
      <c r="H780" s="32" t="str">
        <f>IFERROR((VLOOKUP(F780,'Planilha de Cadastro - Previsão'!$A$2:$N$1100,3,FALSE()))," ")</f>
        <v xml:space="preserve"> </v>
      </c>
      <c r="I780" s="34" t="str">
        <f>IFERROR((VLOOKUP(F780,'Planilha de Cadastro - Previsão'!$A$2:$N$1100,4,FALSE()))," ")</f>
        <v xml:space="preserve"> </v>
      </c>
      <c r="J780" s="34" t="str">
        <f>IFERROR((VLOOKUP(F780,'Planilha de Cadastro - Previsão'!$A$2:$N$1100,5,FALSE()))," ")</f>
        <v xml:space="preserve"> </v>
      </c>
      <c r="K780" s="36"/>
      <c r="L780" s="34" t="str">
        <f t="shared" si="52"/>
        <v/>
      </c>
      <c r="M780" s="35" t="str">
        <f t="shared" si="53"/>
        <v/>
      </c>
      <c r="N780" s="39"/>
      <c r="O780" s="36"/>
    </row>
    <row r="781" spans="1:15" x14ac:dyDescent="0.25">
      <c r="A781">
        <f>COUNTIF($C$2:C781,C781)</f>
        <v>780</v>
      </c>
      <c r="B781" s="1" t="str">
        <f t="shared" si="50"/>
        <v>780</v>
      </c>
      <c r="C781" s="1" t="str">
        <f>IFERROR(VLOOKUP(D781,'Planilha de Cadastro - Previsão'!$A$2:$O$1000,15,FALSE()),"")</f>
        <v/>
      </c>
      <c r="D781" s="1">
        <v>780</v>
      </c>
      <c r="F781" s="32" t="str">
        <f t="shared" si="51"/>
        <v/>
      </c>
      <c r="G781" s="33" t="str">
        <f>IFERROR((VLOOKUP(F781,'Planilha de Cadastro - Previsão'!$A$2:$N$1100,2,FALSE()))," ")</f>
        <v xml:space="preserve"> </v>
      </c>
      <c r="H781" s="32" t="str">
        <f>IFERROR((VLOOKUP(F781,'Planilha de Cadastro - Previsão'!$A$2:$N$1100,3,FALSE()))," ")</f>
        <v xml:space="preserve"> </v>
      </c>
      <c r="I781" s="34" t="str">
        <f>IFERROR((VLOOKUP(F781,'Planilha de Cadastro - Previsão'!$A$2:$N$1100,4,FALSE()))," ")</f>
        <v xml:space="preserve"> </v>
      </c>
      <c r="J781" s="34" t="str">
        <f>IFERROR((VLOOKUP(F781,'Planilha de Cadastro - Previsão'!$A$2:$N$1100,5,FALSE()))," ")</f>
        <v xml:space="preserve"> </v>
      </c>
      <c r="K781" s="36"/>
      <c r="L781" s="34" t="str">
        <f t="shared" si="52"/>
        <v/>
      </c>
      <c r="M781" s="35" t="str">
        <f t="shared" si="53"/>
        <v/>
      </c>
      <c r="N781" s="39"/>
      <c r="O781" s="36"/>
    </row>
    <row r="782" spans="1:15" x14ac:dyDescent="0.25">
      <c r="A782">
        <f>COUNTIF($C$2:C782,C782)</f>
        <v>781</v>
      </c>
      <c r="B782" s="1" t="str">
        <f t="shared" si="50"/>
        <v>781</v>
      </c>
      <c r="C782" s="1" t="str">
        <f>IFERROR(VLOOKUP(D782,'Planilha de Cadastro - Previsão'!$A$2:$O$1000,15,FALSE()),"")</f>
        <v/>
      </c>
      <c r="D782" s="1">
        <v>781</v>
      </c>
      <c r="F782" s="32" t="str">
        <f t="shared" si="51"/>
        <v/>
      </c>
      <c r="G782" s="33" t="str">
        <f>IFERROR((VLOOKUP(F782,'Planilha de Cadastro - Previsão'!$A$2:$N$1100,2,FALSE()))," ")</f>
        <v xml:space="preserve"> </v>
      </c>
      <c r="H782" s="32" t="str">
        <f>IFERROR((VLOOKUP(F782,'Planilha de Cadastro - Previsão'!$A$2:$N$1100,3,FALSE()))," ")</f>
        <v xml:space="preserve"> </v>
      </c>
      <c r="I782" s="34" t="str">
        <f>IFERROR((VLOOKUP(F782,'Planilha de Cadastro - Previsão'!$A$2:$N$1100,4,FALSE()))," ")</f>
        <v xml:space="preserve"> </v>
      </c>
      <c r="J782" s="34" t="str">
        <f>IFERROR((VLOOKUP(F782,'Planilha de Cadastro - Previsão'!$A$2:$N$1100,5,FALSE()))," ")</f>
        <v xml:space="preserve"> </v>
      </c>
      <c r="K782" s="36"/>
      <c r="L782" s="34" t="str">
        <f t="shared" si="52"/>
        <v/>
      </c>
      <c r="M782" s="35" t="str">
        <f t="shared" si="53"/>
        <v/>
      </c>
      <c r="N782" s="39"/>
      <c r="O782" s="36"/>
    </row>
    <row r="783" spans="1:15" x14ac:dyDescent="0.25">
      <c r="A783">
        <f>COUNTIF($C$2:C783,C783)</f>
        <v>782</v>
      </c>
      <c r="B783" s="1" t="str">
        <f t="shared" si="50"/>
        <v>782</v>
      </c>
      <c r="C783" s="1" t="str">
        <f>IFERROR(VLOOKUP(D783,'Planilha de Cadastro - Previsão'!$A$2:$O$1000,15,FALSE()),"")</f>
        <v/>
      </c>
      <c r="D783" s="1">
        <v>782</v>
      </c>
      <c r="F783" s="32" t="str">
        <f t="shared" si="51"/>
        <v/>
      </c>
      <c r="G783" s="33" t="str">
        <f>IFERROR((VLOOKUP(F783,'Planilha de Cadastro - Previsão'!$A$2:$N$1100,2,FALSE()))," ")</f>
        <v xml:space="preserve"> </v>
      </c>
      <c r="H783" s="32" t="str">
        <f>IFERROR((VLOOKUP(F783,'Planilha de Cadastro - Previsão'!$A$2:$N$1100,3,FALSE()))," ")</f>
        <v xml:space="preserve"> </v>
      </c>
      <c r="I783" s="34" t="str">
        <f>IFERROR((VLOOKUP(F783,'Planilha de Cadastro - Previsão'!$A$2:$N$1100,4,FALSE()))," ")</f>
        <v xml:space="preserve"> </v>
      </c>
      <c r="J783" s="34" t="str">
        <f>IFERROR((VLOOKUP(F783,'Planilha de Cadastro - Previsão'!$A$2:$N$1100,5,FALSE()))," ")</f>
        <v xml:space="preserve"> </v>
      </c>
      <c r="K783" s="36"/>
      <c r="L783" s="34" t="str">
        <f t="shared" si="52"/>
        <v/>
      </c>
      <c r="M783" s="35" t="str">
        <f t="shared" si="53"/>
        <v/>
      </c>
      <c r="N783" s="39"/>
      <c r="O783" s="36"/>
    </row>
    <row r="784" spans="1:15" x14ac:dyDescent="0.25">
      <c r="A784">
        <f>COUNTIF($C$2:C784,C784)</f>
        <v>783</v>
      </c>
      <c r="B784" s="1" t="str">
        <f t="shared" si="50"/>
        <v>783</v>
      </c>
      <c r="C784" s="1" t="str">
        <f>IFERROR(VLOOKUP(D784,'Planilha de Cadastro - Previsão'!$A$2:$O$1000,15,FALSE()),"")</f>
        <v/>
      </c>
      <c r="D784" s="1">
        <v>783</v>
      </c>
      <c r="F784" s="32" t="str">
        <f t="shared" si="51"/>
        <v/>
      </c>
      <c r="G784" s="33" t="str">
        <f>IFERROR((VLOOKUP(F784,'Planilha de Cadastro - Previsão'!$A$2:$N$1100,2,FALSE()))," ")</f>
        <v xml:space="preserve"> </v>
      </c>
      <c r="H784" s="32" t="str">
        <f>IFERROR((VLOOKUP(F784,'Planilha de Cadastro - Previsão'!$A$2:$N$1100,3,FALSE()))," ")</f>
        <v xml:space="preserve"> </v>
      </c>
      <c r="I784" s="34" t="str">
        <f>IFERROR((VLOOKUP(F784,'Planilha de Cadastro - Previsão'!$A$2:$N$1100,4,FALSE()))," ")</f>
        <v xml:space="preserve"> </v>
      </c>
      <c r="J784" s="34" t="str">
        <f>IFERROR((VLOOKUP(F784,'Planilha de Cadastro - Previsão'!$A$2:$N$1100,5,FALSE()))," ")</f>
        <v xml:space="preserve"> </v>
      </c>
      <c r="K784" s="36"/>
      <c r="L784" s="34" t="str">
        <f t="shared" si="52"/>
        <v/>
      </c>
      <c r="M784" s="35" t="str">
        <f t="shared" si="53"/>
        <v/>
      </c>
      <c r="N784" s="39"/>
      <c r="O784" s="36"/>
    </row>
    <row r="785" spans="1:15" x14ac:dyDescent="0.25">
      <c r="A785">
        <f>COUNTIF($C$2:C785,C785)</f>
        <v>784</v>
      </c>
      <c r="B785" s="1" t="str">
        <f t="shared" si="50"/>
        <v>784</v>
      </c>
      <c r="C785" s="1" t="str">
        <f>IFERROR(VLOOKUP(D785,'Planilha de Cadastro - Previsão'!$A$2:$O$1000,15,FALSE()),"")</f>
        <v/>
      </c>
      <c r="D785" s="1">
        <v>784</v>
      </c>
      <c r="F785" s="32" t="str">
        <f t="shared" si="51"/>
        <v/>
      </c>
      <c r="G785" s="33" t="str">
        <f>IFERROR((VLOOKUP(F785,'Planilha de Cadastro - Previsão'!$A$2:$N$1100,2,FALSE()))," ")</f>
        <v xml:space="preserve"> </v>
      </c>
      <c r="H785" s="32" t="str">
        <f>IFERROR((VLOOKUP(F785,'Planilha de Cadastro - Previsão'!$A$2:$N$1100,3,FALSE()))," ")</f>
        <v xml:space="preserve"> </v>
      </c>
      <c r="I785" s="34" t="str">
        <f>IFERROR((VLOOKUP(F785,'Planilha de Cadastro - Previsão'!$A$2:$N$1100,4,FALSE()))," ")</f>
        <v xml:space="preserve"> </v>
      </c>
      <c r="J785" s="34" t="str">
        <f>IFERROR((VLOOKUP(F785,'Planilha de Cadastro - Previsão'!$A$2:$N$1100,5,FALSE()))," ")</f>
        <v xml:space="preserve"> </v>
      </c>
      <c r="K785" s="36"/>
      <c r="L785" s="34" t="str">
        <f t="shared" si="52"/>
        <v/>
      </c>
      <c r="M785" s="35" t="str">
        <f t="shared" si="53"/>
        <v/>
      </c>
      <c r="N785" s="39"/>
      <c r="O785" s="36"/>
    </row>
    <row r="786" spans="1:15" x14ac:dyDescent="0.25">
      <c r="A786">
        <f>COUNTIF($C$2:C786,C786)</f>
        <v>785</v>
      </c>
      <c r="B786" s="1" t="str">
        <f t="shared" si="50"/>
        <v>785</v>
      </c>
      <c r="C786" s="1" t="str">
        <f>IFERROR(VLOOKUP(D786,'Planilha de Cadastro - Previsão'!$A$2:$O$1000,15,FALSE()),"")</f>
        <v/>
      </c>
      <c r="D786" s="1">
        <v>785</v>
      </c>
      <c r="F786" s="32" t="str">
        <f t="shared" si="51"/>
        <v/>
      </c>
      <c r="G786" s="33" t="str">
        <f>IFERROR((VLOOKUP(F786,'Planilha de Cadastro - Previsão'!$A$2:$N$1100,2,FALSE()))," ")</f>
        <v xml:space="preserve"> </v>
      </c>
      <c r="H786" s="32" t="str">
        <f>IFERROR((VLOOKUP(F786,'Planilha de Cadastro - Previsão'!$A$2:$N$1100,3,FALSE()))," ")</f>
        <v xml:space="preserve"> </v>
      </c>
      <c r="I786" s="34" t="str">
        <f>IFERROR((VLOOKUP(F786,'Planilha de Cadastro - Previsão'!$A$2:$N$1100,4,FALSE()))," ")</f>
        <v xml:space="preserve"> </v>
      </c>
      <c r="J786" s="34" t="str">
        <f>IFERROR((VLOOKUP(F786,'Planilha de Cadastro - Previsão'!$A$2:$N$1100,5,FALSE()))," ")</f>
        <v xml:space="preserve"> </v>
      </c>
      <c r="K786" s="36"/>
      <c r="L786" s="34" t="str">
        <f t="shared" si="52"/>
        <v/>
      </c>
      <c r="M786" s="35" t="str">
        <f t="shared" si="53"/>
        <v/>
      </c>
      <c r="N786" s="39"/>
      <c r="O786" s="36"/>
    </row>
    <row r="787" spans="1:15" x14ac:dyDescent="0.25">
      <c r="A787">
        <f>COUNTIF($C$2:C787,C787)</f>
        <v>786</v>
      </c>
      <c r="B787" s="1" t="str">
        <f t="shared" si="50"/>
        <v>786</v>
      </c>
      <c r="C787" s="1" t="str">
        <f>IFERROR(VLOOKUP(D787,'Planilha de Cadastro - Previsão'!$A$2:$O$1000,15,FALSE()),"")</f>
        <v/>
      </c>
      <c r="D787" s="1">
        <v>786</v>
      </c>
      <c r="F787" s="32" t="str">
        <f t="shared" si="51"/>
        <v/>
      </c>
      <c r="G787" s="33" t="str">
        <f>IFERROR((VLOOKUP(F787,'Planilha de Cadastro - Previsão'!$A$2:$N$1100,2,FALSE()))," ")</f>
        <v xml:space="preserve"> </v>
      </c>
      <c r="H787" s="32" t="str">
        <f>IFERROR((VLOOKUP(F787,'Planilha de Cadastro - Previsão'!$A$2:$N$1100,3,FALSE()))," ")</f>
        <v xml:space="preserve"> </v>
      </c>
      <c r="I787" s="34" t="str">
        <f>IFERROR((VLOOKUP(F787,'Planilha de Cadastro - Previsão'!$A$2:$N$1100,4,FALSE()))," ")</f>
        <v xml:space="preserve"> </v>
      </c>
      <c r="J787" s="34" t="str">
        <f>IFERROR((VLOOKUP(F787,'Planilha de Cadastro - Previsão'!$A$2:$N$1100,5,FALSE()))," ")</f>
        <v xml:space="preserve"> </v>
      </c>
      <c r="K787" s="36"/>
      <c r="L787" s="34" t="str">
        <f t="shared" si="52"/>
        <v/>
      </c>
      <c r="M787" s="35" t="str">
        <f t="shared" si="53"/>
        <v/>
      </c>
      <c r="N787" s="39"/>
      <c r="O787" s="36"/>
    </row>
    <row r="788" spans="1:15" x14ac:dyDescent="0.25">
      <c r="A788">
        <f>COUNTIF($C$2:C788,C788)</f>
        <v>787</v>
      </c>
      <c r="B788" s="1" t="str">
        <f t="shared" si="50"/>
        <v>787</v>
      </c>
      <c r="C788" s="1" t="str">
        <f>IFERROR(VLOOKUP(D788,'Planilha de Cadastro - Previsão'!$A$2:$O$1000,15,FALSE()),"")</f>
        <v/>
      </c>
      <c r="D788" s="1">
        <v>787</v>
      </c>
      <c r="F788" s="32" t="str">
        <f t="shared" si="51"/>
        <v/>
      </c>
      <c r="G788" s="33" t="str">
        <f>IFERROR((VLOOKUP(F788,'Planilha de Cadastro - Previsão'!$A$2:$N$1100,2,FALSE()))," ")</f>
        <v xml:space="preserve"> </v>
      </c>
      <c r="H788" s="32" t="str">
        <f>IFERROR((VLOOKUP(F788,'Planilha de Cadastro - Previsão'!$A$2:$N$1100,3,FALSE()))," ")</f>
        <v xml:space="preserve"> </v>
      </c>
      <c r="I788" s="34" t="str">
        <f>IFERROR((VLOOKUP(F788,'Planilha de Cadastro - Previsão'!$A$2:$N$1100,4,FALSE()))," ")</f>
        <v xml:space="preserve"> </v>
      </c>
      <c r="J788" s="34" t="str">
        <f>IFERROR((VLOOKUP(F788,'Planilha de Cadastro - Previsão'!$A$2:$N$1100,5,FALSE()))," ")</f>
        <v xml:space="preserve"> </v>
      </c>
      <c r="K788" s="36"/>
      <c r="L788" s="34" t="str">
        <f t="shared" si="52"/>
        <v/>
      </c>
      <c r="M788" s="35" t="str">
        <f t="shared" si="53"/>
        <v/>
      </c>
      <c r="N788" s="39"/>
      <c r="O788" s="36"/>
    </row>
    <row r="789" spans="1:15" x14ac:dyDescent="0.25">
      <c r="A789">
        <f>COUNTIF($C$2:C789,C789)</f>
        <v>788</v>
      </c>
      <c r="B789" s="1" t="str">
        <f t="shared" si="50"/>
        <v>788</v>
      </c>
      <c r="C789" s="1" t="str">
        <f>IFERROR(VLOOKUP(D789,'Planilha de Cadastro - Previsão'!$A$2:$O$1000,15,FALSE()),"")</f>
        <v/>
      </c>
      <c r="D789" s="1">
        <v>788</v>
      </c>
      <c r="F789" s="32" t="str">
        <f t="shared" si="51"/>
        <v/>
      </c>
      <c r="G789" s="33" t="str">
        <f>IFERROR((VLOOKUP(F789,'Planilha de Cadastro - Previsão'!$A$2:$N$1100,2,FALSE()))," ")</f>
        <v xml:space="preserve"> </v>
      </c>
      <c r="H789" s="32" t="str">
        <f>IFERROR((VLOOKUP(F789,'Planilha de Cadastro - Previsão'!$A$2:$N$1100,3,FALSE()))," ")</f>
        <v xml:space="preserve"> </v>
      </c>
      <c r="I789" s="34" t="str">
        <f>IFERROR((VLOOKUP(F789,'Planilha de Cadastro - Previsão'!$A$2:$N$1100,4,FALSE()))," ")</f>
        <v xml:space="preserve"> </v>
      </c>
      <c r="J789" s="34" t="str">
        <f>IFERROR((VLOOKUP(F789,'Planilha de Cadastro - Previsão'!$A$2:$N$1100,5,FALSE()))," ")</f>
        <v xml:space="preserve"> </v>
      </c>
      <c r="K789" s="36"/>
      <c r="L789" s="34" t="str">
        <f t="shared" si="52"/>
        <v/>
      </c>
      <c r="M789" s="35" t="str">
        <f t="shared" si="53"/>
        <v/>
      </c>
      <c r="N789" s="39"/>
      <c r="O789" s="36"/>
    </row>
    <row r="790" spans="1:15" x14ac:dyDescent="0.25">
      <c r="A790">
        <f>COUNTIF($C$2:C790,C790)</f>
        <v>789</v>
      </c>
      <c r="B790" s="1" t="str">
        <f t="shared" si="50"/>
        <v>789</v>
      </c>
      <c r="C790" s="1" t="str">
        <f>IFERROR(VLOOKUP(D790,'Planilha de Cadastro - Previsão'!$A$2:$O$1000,15,FALSE()),"")</f>
        <v/>
      </c>
      <c r="D790" s="1">
        <v>789</v>
      </c>
      <c r="F790" s="32" t="str">
        <f t="shared" si="51"/>
        <v/>
      </c>
      <c r="G790" s="33" t="str">
        <f>IFERROR((VLOOKUP(F790,'Planilha de Cadastro - Previsão'!$A$2:$N$1100,2,FALSE()))," ")</f>
        <v xml:space="preserve"> </v>
      </c>
      <c r="H790" s="32" t="str">
        <f>IFERROR((VLOOKUP(F790,'Planilha de Cadastro - Previsão'!$A$2:$N$1100,3,FALSE()))," ")</f>
        <v xml:space="preserve"> </v>
      </c>
      <c r="I790" s="34" t="str">
        <f>IFERROR((VLOOKUP(F790,'Planilha de Cadastro - Previsão'!$A$2:$N$1100,4,FALSE()))," ")</f>
        <v xml:space="preserve"> </v>
      </c>
      <c r="J790" s="34" t="str">
        <f>IFERROR((VLOOKUP(F790,'Planilha de Cadastro - Previsão'!$A$2:$N$1100,5,FALSE()))," ")</f>
        <v xml:space="preserve"> </v>
      </c>
      <c r="K790" s="36"/>
      <c r="L790" s="34" t="str">
        <f t="shared" si="52"/>
        <v/>
      </c>
      <c r="M790" s="35" t="str">
        <f t="shared" si="53"/>
        <v/>
      </c>
      <c r="N790" s="39"/>
      <c r="O790" s="36"/>
    </row>
    <row r="791" spans="1:15" x14ac:dyDescent="0.25">
      <c r="A791">
        <f>COUNTIF($C$2:C791,C791)</f>
        <v>790</v>
      </c>
      <c r="B791" s="1" t="str">
        <f t="shared" si="50"/>
        <v>790</v>
      </c>
      <c r="C791" s="1" t="str">
        <f>IFERROR(VLOOKUP(D791,'Planilha de Cadastro - Previsão'!$A$2:$O$1000,15,FALSE()),"")</f>
        <v/>
      </c>
      <c r="D791" s="1">
        <v>790</v>
      </c>
      <c r="F791" s="32" t="str">
        <f t="shared" si="51"/>
        <v/>
      </c>
      <c r="G791" s="33" t="str">
        <f>IFERROR((VLOOKUP(F791,'Planilha de Cadastro - Previsão'!$A$2:$N$1100,2,FALSE()))," ")</f>
        <v xml:space="preserve"> </v>
      </c>
      <c r="H791" s="32" t="str">
        <f>IFERROR((VLOOKUP(F791,'Planilha de Cadastro - Previsão'!$A$2:$N$1100,3,FALSE()))," ")</f>
        <v xml:space="preserve"> </v>
      </c>
      <c r="I791" s="34" t="str">
        <f>IFERROR((VLOOKUP(F791,'Planilha de Cadastro - Previsão'!$A$2:$N$1100,4,FALSE()))," ")</f>
        <v xml:space="preserve"> </v>
      </c>
      <c r="J791" s="34" t="str">
        <f>IFERROR((VLOOKUP(F791,'Planilha de Cadastro - Previsão'!$A$2:$N$1100,5,FALSE()))," ")</f>
        <v xml:space="preserve"> </v>
      </c>
      <c r="K791" s="36"/>
      <c r="L791" s="34" t="str">
        <f t="shared" si="52"/>
        <v/>
      </c>
      <c r="M791" s="35" t="str">
        <f t="shared" si="53"/>
        <v/>
      </c>
      <c r="N791" s="39"/>
      <c r="O791" s="36"/>
    </row>
    <row r="792" spans="1:15" x14ac:dyDescent="0.25">
      <c r="A792">
        <f>COUNTIF($C$2:C792,C792)</f>
        <v>791</v>
      </c>
      <c r="B792" s="1" t="str">
        <f t="shared" si="50"/>
        <v>791</v>
      </c>
      <c r="C792" s="1" t="str">
        <f>IFERROR(VLOOKUP(D792,'Planilha de Cadastro - Previsão'!$A$2:$O$1000,15,FALSE()),"")</f>
        <v/>
      </c>
      <c r="D792" s="1">
        <v>791</v>
      </c>
      <c r="F792" s="32" t="str">
        <f t="shared" si="51"/>
        <v/>
      </c>
      <c r="G792" s="33" t="str">
        <f>IFERROR((VLOOKUP(F792,'Planilha de Cadastro - Previsão'!$A$2:$N$1100,2,FALSE()))," ")</f>
        <v xml:space="preserve"> </v>
      </c>
      <c r="H792" s="32" t="str">
        <f>IFERROR((VLOOKUP(F792,'Planilha de Cadastro - Previsão'!$A$2:$N$1100,3,FALSE()))," ")</f>
        <v xml:space="preserve"> </v>
      </c>
      <c r="I792" s="34" t="str">
        <f>IFERROR((VLOOKUP(F792,'Planilha de Cadastro - Previsão'!$A$2:$N$1100,4,FALSE()))," ")</f>
        <v xml:space="preserve"> </v>
      </c>
      <c r="J792" s="34" t="str">
        <f>IFERROR((VLOOKUP(F792,'Planilha de Cadastro - Previsão'!$A$2:$N$1100,5,FALSE()))," ")</f>
        <v xml:space="preserve"> </v>
      </c>
      <c r="K792" s="36"/>
      <c r="L792" s="34" t="str">
        <f t="shared" si="52"/>
        <v/>
      </c>
      <c r="M792" s="35" t="str">
        <f t="shared" si="53"/>
        <v/>
      </c>
      <c r="N792" s="39"/>
      <c r="O792" s="36"/>
    </row>
    <row r="793" spans="1:15" x14ac:dyDescent="0.25">
      <c r="A793">
        <f>COUNTIF($C$2:C793,C793)</f>
        <v>792</v>
      </c>
      <c r="B793" s="1" t="str">
        <f t="shared" si="50"/>
        <v>792</v>
      </c>
      <c r="C793" s="1" t="str">
        <f>IFERROR(VLOOKUP(D793,'Planilha de Cadastro - Previsão'!$A$2:$O$1000,15,FALSE()),"")</f>
        <v/>
      </c>
      <c r="D793" s="1">
        <v>792</v>
      </c>
      <c r="F793" s="32" t="str">
        <f t="shared" si="51"/>
        <v/>
      </c>
      <c r="G793" s="33" t="str">
        <f>IFERROR((VLOOKUP(F793,'Planilha de Cadastro - Previsão'!$A$2:$N$1100,2,FALSE()))," ")</f>
        <v xml:space="preserve"> </v>
      </c>
      <c r="H793" s="32" t="str">
        <f>IFERROR((VLOOKUP(F793,'Planilha de Cadastro - Previsão'!$A$2:$N$1100,3,FALSE()))," ")</f>
        <v xml:space="preserve"> </v>
      </c>
      <c r="I793" s="34" t="str">
        <f>IFERROR((VLOOKUP(F793,'Planilha de Cadastro - Previsão'!$A$2:$N$1100,4,FALSE()))," ")</f>
        <v xml:space="preserve"> </v>
      </c>
      <c r="J793" s="34" t="str">
        <f>IFERROR((VLOOKUP(F793,'Planilha de Cadastro - Previsão'!$A$2:$N$1100,5,FALSE()))," ")</f>
        <v xml:space="preserve"> </v>
      </c>
      <c r="K793" s="36"/>
      <c r="L793" s="34" t="str">
        <f t="shared" si="52"/>
        <v/>
      </c>
      <c r="M793" s="35" t="str">
        <f t="shared" si="53"/>
        <v/>
      </c>
      <c r="N793" s="39"/>
      <c r="O793" s="36"/>
    </row>
    <row r="794" spans="1:15" x14ac:dyDescent="0.25">
      <c r="A794">
        <f>COUNTIF($C$2:C794,C794)</f>
        <v>793</v>
      </c>
      <c r="B794" s="1" t="str">
        <f t="shared" si="50"/>
        <v>793</v>
      </c>
      <c r="C794" s="1" t="str">
        <f>IFERROR(VLOOKUP(D794,'Planilha de Cadastro - Previsão'!$A$2:$O$1000,15,FALSE()),"")</f>
        <v/>
      </c>
      <c r="D794" s="1">
        <v>793</v>
      </c>
      <c r="F794" s="32" t="str">
        <f t="shared" si="51"/>
        <v/>
      </c>
      <c r="G794" s="33" t="str">
        <f>IFERROR((VLOOKUP(F794,'Planilha de Cadastro - Previsão'!$A$2:$N$1100,2,FALSE()))," ")</f>
        <v xml:space="preserve"> </v>
      </c>
      <c r="H794" s="32" t="str">
        <f>IFERROR((VLOOKUP(F794,'Planilha de Cadastro - Previsão'!$A$2:$N$1100,3,FALSE()))," ")</f>
        <v xml:space="preserve"> </v>
      </c>
      <c r="I794" s="34" t="str">
        <f>IFERROR((VLOOKUP(F794,'Planilha de Cadastro - Previsão'!$A$2:$N$1100,4,FALSE()))," ")</f>
        <v xml:space="preserve"> </v>
      </c>
      <c r="J794" s="34" t="str">
        <f>IFERROR((VLOOKUP(F794,'Planilha de Cadastro - Previsão'!$A$2:$N$1100,5,FALSE()))," ")</f>
        <v xml:space="preserve"> </v>
      </c>
      <c r="K794" s="36"/>
      <c r="L794" s="34" t="str">
        <f t="shared" si="52"/>
        <v/>
      </c>
      <c r="M794" s="35" t="str">
        <f t="shared" si="53"/>
        <v/>
      </c>
      <c r="N794" s="39"/>
      <c r="O794" s="36"/>
    </row>
    <row r="795" spans="1:15" x14ac:dyDescent="0.25">
      <c r="A795">
        <f>COUNTIF($C$2:C795,C795)</f>
        <v>794</v>
      </c>
      <c r="B795" s="1" t="str">
        <f t="shared" si="50"/>
        <v>794</v>
      </c>
      <c r="C795" s="1" t="str">
        <f>IFERROR(VLOOKUP(D795,'Planilha de Cadastro - Previsão'!$A$2:$O$1000,15,FALSE()),"")</f>
        <v/>
      </c>
      <c r="D795" s="1">
        <v>794</v>
      </c>
      <c r="F795" s="32" t="str">
        <f t="shared" si="51"/>
        <v/>
      </c>
      <c r="G795" s="33" t="str">
        <f>IFERROR((VLOOKUP(F795,'Planilha de Cadastro - Previsão'!$A$2:$N$1100,2,FALSE()))," ")</f>
        <v xml:space="preserve"> </v>
      </c>
      <c r="H795" s="32" t="str">
        <f>IFERROR((VLOOKUP(F795,'Planilha de Cadastro - Previsão'!$A$2:$N$1100,3,FALSE()))," ")</f>
        <v xml:space="preserve"> </v>
      </c>
      <c r="I795" s="34" t="str">
        <f>IFERROR((VLOOKUP(F795,'Planilha de Cadastro - Previsão'!$A$2:$N$1100,4,FALSE()))," ")</f>
        <v xml:space="preserve"> </v>
      </c>
      <c r="J795" s="34" t="str">
        <f>IFERROR((VLOOKUP(F795,'Planilha de Cadastro - Previsão'!$A$2:$N$1100,5,FALSE()))," ")</f>
        <v xml:space="preserve"> </v>
      </c>
      <c r="K795" s="36"/>
      <c r="L795" s="34" t="str">
        <f t="shared" si="52"/>
        <v/>
      </c>
      <c r="M795" s="35" t="str">
        <f t="shared" si="53"/>
        <v/>
      </c>
      <c r="N795" s="39"/>
      <c r="O795" s="36"/>
    </row>
    <row r="796" spans="1:15" x14ac:dyDescent="0.25">
      <c r="A796">
        <f>COUNTIF($C$2:C796,C796)</f>
        <v>795</v>
      </c>
      <c r="B796" s="1" t="str">
        <f t="shared" si="50"/>
        <v>795</v>
      </c>
      <c r="C796" s="1" t="str">
        <f>IFERROR(VLOOKUP(D796,'Planilha de Cadastro - Previsão'!$A$2:$O$1000,15,FALSE()),"")</f>
        <v/>
      </c>
      <c r="D796" s="1">
        <v>795</v>
      </c>
      <c r="F796" s="32" t="str">
        <f t="shared" si="51"/>
        <v/>
      </c>
      <c r="G796" s="33" t="str">
        <f>IFERROR((VLOOKUP(F796,'Planilha de Cadastro - Previsão'!$A$2:$N$1100,2,FALSE()))," ")</f>
        <v xml:space="preserve"> </v>
      </c>
      <c r="H796" s="32" t="str">
        <f>IFERROR((VLOOKUP(F796,'Planilha de Cadastro - Previsão'!$A$2:$N$1100,3,FALSE()))," ")</f>
        <v xml:space="preserve"> </v>
      </c>
      <c r="I796" s="34" t="str">
        <f>IFERROR((VLOOKUP(F796,'Planilha de Cadastro - Previsão'!$A$2:$N$1100,4,FALSE()))," ")</f>
        <v xml:space="preserve"> </v>
      </c>
      <c r="J796" s="34" t="str">
        <f>IFERROR((VLOOKUP(F796,'Planilha de Cadastro - Previsão'!$A$2:$N$1100,5,FALSE()))," ")</f>
        <v xml:space="preserve"> </v>
      </c>
      <c r="K796" s="36"/>
      <c r="L796" s="34" t="str">
        <f t="shared" si="52"/>
        <v/>
      </c>
      <c r="M796" s="35" t="str">
        <f t="shared" si="53"/>
        <v/>
      </c>
      <c r="N796" s="39"/>
      <c r="O796" s="36"/>
    </row>
    <row r="797" spans="1:15" x14ac:dyDescent="0.25">
      <c r="A797">
        <f>COUNTIF($C$2:C797,C797)</f>
        <v>796</v>
      </c>
      <c r="B797" s="1" t="str">
        <f t="shared" si="50"/>
        <v>796</v>
      </c>
      <c r="C797" s="1" t="str">
        <f>IFERROR(VLOOKUP(D797,'Planilha de Cadastro - Previsão'!$A$2:$O$1000,15,FALSE()),"")</f>
        <v/>
      </c>
      <c r="D797" s="1">
        <v>796</v>
      </c>
      <c r="F797" s="32" t="str">
        <f t="shared" si="51"/>
        <v/>
      </c>
      <c r="G797" s="33" t="str">
        <f>IFERROR((VLOOKUP(F797,'Planilha de Cadastro - Previsão'!$A$2:$N$1100,2,FALSE()))," ")</f>
        <v xml:space="preserve"> </v>
      </c>
      <c r="H797" s="32" t="str">
        <f>IFERROR((VLOOKUP(F797,'Planilha de Cadastro - Previsão'!$A$2:$N$1100,3,FALSE()))," ")</f>
        <v xml:space="preserve"> </v>
      </c>
      <c r="I797" s="34" t="str">
        <f>IFERROR((VLOOKUP(F797,'Planilha de Cadastro - Previsão'!$A$2:$N$1100,4,FALSE()))," ")</f>
        <v xml:space="preserve"> </v>
      </c>
      <c r="J797" s="34" t="str">
        <f>IFERROR((VLOOKUP(F797,'Planilha de Cadastro - Previsão'!$A$2:$N$1100,5,FALSE()))," ")</f>
        <v xml:space="preserve"> </v>
      </c>
      <c r="K797" s="36"/>
      <c r="L797" s="34" t="str">
        <f t="shared" si="52"/>
        <v/>
      </c>
      <c r="M797" s="35" t="str">
        <f t="shared" si="53"/>
        <v/>
      </c>
      <c r="N797" s="39"/>
      <c r="O797" s="36"/>
    </row>
    <row r="798" spans="1:15" x14ac:dyDescent="0.25">
      <c r="A798">
        <f>COUNTIF($C$2:C798,C798)</f>
        <v>797</v>
      </c>
      <c r="B798" s="1" t="str">
        <f t="shared" si="50"/>
        <v>797</v>
      </c>
      <c r="C798" s="1" t="str">
        <f>IFERROR(VLOOKUP(D798,'Planilha de Cadastro - Previsão'!$A$2:$O$1000,15,FALSE()),"")</f>
        <v/>
      </c>
      <c r="D798" s="1">
        <v>797</v>
      </c>
      <c r="F798" s="32" t="str">
        <f t="shared" si="51"/>
        <v/>
      </c>
      <c r="G798" s="33" t="str">
        <f>IFERROR((VLOOKUP(F798,'Planilha de Cadastro - Previsão'!$A$2:$N$1100,2,FALSE()))," ")</f>
        <v xml:space="preserve"> </v>
      </c>
      <c r="H798" s="32" t="str">
        <f>IFERROR((VLOOKUP(F798,'Planilha de Cadastro - Previsão'!$A$2:$N$1100,3,FALSE()))," ")</f>
        <v xml:space="preserve"> </v>
      </c>
      <c r="I798" s="34" t="str">
        <f>IFERROR((VLOOKUP(F798,'Planilha de Cadastro - Previsão'!$A$2:$N$1100,4,FALSE()))," ")</f>
        <v xml:space="preserve"> </v>
      </c>
      <c r="J798" s="34" t="str">
        <f>IFERROR((VLOOKUP(F798,'Planilha de Cadastro - Previsão'!$A$2:$N$1100,5,FALSE()))," ")</f>
        <v xml:space="preserve"> </v>
      </c>
      <c r="K798" s="36"/>
      <c r="L798" s="34" t="str">
        <f t="shared" si="52"/>
        <v/>
      </c>
      <c r="M798" s="35" t="str">
        <f t="shared" si="53"/>
        <v/>
      </c>
      <c r="N798" s="39"/>
      <c r="O798" s="36"/>
    </row>
    <row r="799" spans="1:15" x14ac:dyDescent="0.25">
      <c r="A799">
        <f>COUNTIF($C$2:C799,C799)</f>
        <v>798</v>
      </c>
      <c r="B799" s="1" t="str">
        <f t="shared" si="50"/>
        <v>798</v>
      </c>
      <c r="C799" s="1" t="str">
        <f>IFERROR(VLOOKUP(D799,'Planilha de Cadastro - Previsão'!$A$2:$O$1000,15,FALSE()),"")</f>
        <v/>
      </c>
      <c r="D799" s="1">
        <v>798</v>
      </c>
      <c r="F799" s="32" t="str">
        <f t="shared" si="51"/>
        <v/>
      </c>
      <c r="G799" s="33" t="str">
        <f>IFERROR((VLOOKUP(F799,'Planilha de Cadastro - Previsão'!$A$2:$N$1100,2,FALSE()))," ")</f>
        <v xml:space="preserve"> </v>
      </c>
      <c r="H799" s="32" t="str">
        <f>IFERROR((VLOOKUP(F799,'Planilha de Cadastro - Previsão'!$A$2:$N$1100,3,FALSE()))," ")</f>
        <v xml:space="preserve"> </v>
      </c>
      <c r="I799" s="34" t="str">
        <f>IFERROR((VLOOKUP(F799,'Planilha de Cadastro - Previsão'!$A$2:$N$1100,4,FALSE()))," ")</f>
        <v xml:space="preserve"> </v>
      </c>
      <c r="J799" s="34" t="str">
        <f>IFERROR((VLOOKUP(F799,'Planilha de Cadastro - Previsão'!$A$2:$N$1100,5,FALSE()))," ")</f>
        <v xml:space="preserve"> </v>
      </c>
      <c r="K799" s="36"/>
      <c r="L799" s="34" t="str">
        <f t="shared" si="52"/>
        <v/>
      </c>
      <c r="M799" s="35" t="str">
        <f t="shared" si="53"/>
        <v/>
      </c>
      <c r="N799" s="39"/>
      <c r="O799" s="36"/>
    </row>
    <row r="800" spans="1:15" x14ac:dyDescent="0.25">
      <c r="A800">
        <f>COUNTIF($C$2:C800,C800)</f>
        <v>799</v>
      </c>
      <c r="B800" s="1" t="str">
        <f t="shared" si="50"/>
        <v>799</v>
      </c>
      <c r="C800" s="1" t="str">
        <f>IFERROR(VLOOKUP(D800,'Planilha de Cadastro - Previsão'!$A$2:$O$1000,15,FALSE()),"")</f>
        <v/>
      </c>
      <c r="D800" s="1">
        <v>799</v>
      </c>
      <c r="F800" s="32" t="str">
        <f t="shared" si="51"/>
        <v/>
      </c>
      <c r="G800" s="33" t="str">
        <f>IFERROR((VLOOKUP(F800,'Planilha de Cadastro - Previsão'!$A$2:$N$1100,2,FALSE()))," ")</f>
        <v xml:space="preserve"> </v>
      </c>
      <c r="H800" s="32" t="str">
        <f>IFERROR((VLOOKUP(F800,'Planilha de Cadastro - Previsão'!$A$2:$N$1100,3,FALSE()))," ")</f>
        <v xml:space="preserve"> </v>
      </c>
      <c r="I800" s="34" t="str">
        <f>IFERROR((VLOOKUP(F800,'Planilha de Cadastro - Previsão'!$A$2:$N$1100,4,FALSE()))," ")</f>
        <v xml:space="preserve"> </v>
      </c>
      <c r="J800" s="34" t="str">
        <f>IFERROR((VLOOKUP(F800,'Planilha de Cadastro - Previsão'!$A$2:$N$1100,5,FALSE()))," ")</f>
        <v xml:space="preserve"> </v>
      </c>
      <c r="K800" s="36"/>
      <c r="L800" s="34" t="str">
        <f t="shared" si="52"/>
        <v/>
      </c>
      <c r="M800" s="35" t="str">
        <f t="shared" si="53"/>
        <v/>
      </c>
      <c r="N800" s="39"/>
      <c r="O800" s="36"/>
    </row>
    <row r="801" spans="1:15" x14ac:dyDescent="0.25">
      <c r="A801">
        <f>COUNTIF($C$2:C801,C801)</f>
        <v>800</v>
      </c>
      <c r="B801" s="1" t="str">
        <f t="shared" si="50"/>
        <v>800</v>
      </c>
      <c r="C801" s="1" t="str">
        <f>IFERROR(VLOOKUP(D801,'Planilha de Cadastro - Previsão'!$A$2:$O$1000,15,FALSE()),"")</f>
        <v/>
      </c>
      <c r="D801" s="1">
        <v>800</v>
      </c>
      <c r="F801" s="32" t="str">
        <f t="shared" si="51"/>
        <v/>
      </c>
      <c r="G801" s="33" t="str">
        <f>IFERROR((VLOOKUP(F801,'Planilha de Cadastro - Previsão'!$A$2:$N$1100,2,FALSE()))," ")</f>
        <v xml:space="preserve"> </v>
      </c>
      <c r="H801" s="32" t="str">
        <f>IFERROR((VLOOKUP(F801,'Planilha de Cadastro - Previsão'!$A$2:$N$1100,3,FALSE()))," ")</f>
        <v xml:space="preserve"> </v>
      </c>
      <c r="I801" s="34" t="str">
        <f>IFERROR((VLOOKUP(F801,'Planilha de Cadastro - Previsão'!$A$2:$N$1100,4,FALSE()))," ")</f>
        <v xml:space="preserve"> </v>
      </c>
      <c r="J801" s="34" t="str">
        <f>IFERROR((VLOOKUP(F801,'Planilha de Cadastro - Previsão'!$A$2:$N$1100,5,FALSE()))," ")</f>
        <v xml:space="preserve"> </v>
      </c>
      <c r="K801" s="36"/>
      <c r="L801" s="34" t="str">
        <f t="shared" si="52"/>
        <v/>
      </c>
      <c r="M801" s="35" t="str">
        <f t="shared" si="53"/>
        <v/>
      </c>
      <c r="N801" s="39"/>
      <c r="O801" s="36"/>
    </row>
    <row r="802" spans="1:15" x14ac:dyDescent="0.25">
      <c r="A802">
        <f>COUNTIF($C$2:C802,C802)</f>
        <v>801</v>
      </c>
      <c r="B802" s="1" t="str">
        <f t="shared" si="50"/>
        <v>801</v>
      </c>
      <c r="C802" s="1" t="str">
        <f>IFERROR(VLOOKUP(D802,'Planilha de Cadastro - Previsão'!$A$2:$O$1000,15,FALSE()),"")</f>
        <v/>
      </c>
      <c r="D802" s="1">
        <v>801</v>
      </c>
      <c r="F802" s="32" t="str">
        <f t="shared" si="51"/>
        <v/>
      </c>
      <c r="G802" s="33" t="str">
        <f>IFERROR((VLOOKUP(F802,'Planilha de Cadastro - Previsão'!$A$2:$N$1100,2,FALSE()))," ")</f>
        <v xml:space="preserve"> </v>
      </c>
      <c r="H802" s="32" t="str">
        <f>IFERROR((VLOOKUP(F802,'Planilha de Cadastro - Previsão'!$A$2:$N$1100,3,FALSE()))," ")</f>
        <v xml:space="preserve"> </v>
      </c>
      <c r="I802" s="34" t="str">
        <f>IFERROR((VLOOKUP(F802,'Planilha de Cadastro - Previsão'!$A$2:$N$1100,4,FALSE()))," ")</f>
        <v xml:space="preserve"> </v>
      </c>
      <c r="J802" s="34" t="str">
        <f>IFERROR((VLOOKUP(F802,'Planilha de Cadastro - Previsão'!$A$2:$N$1100,5,FALSE()))," ")</f>
        <v xml:space="preserve"> </v>
      </c>
      <c r="K802" s="36"/>
      <c r="L802" s="34" t="str">
        <f t="shared" si="52"/>
        <v/>
      </c>
      <c r="M802" s="35" t="str">
        <f t="shared" si="53"/>
        <v/>
      </c>
      <c r="N802" s="39"/>
      <c r="O802" s="36"/>
    </row>
    <row r="803" spans="1:15" x14ac:dyDescent="0.25">
      <c r="A803">
        <f>COUNTIF($C$2:C803,C803)</f>
        <v>802</v>
      </c>
      <c r="B803" s="1" t="str">
        <f t="shared" si="50"/>
        <v>802</v>
      </c>
      <c r="C803" s="1" t="str">
        <f>IFERROR(VLOOKUP(D803,'Planilha de Cadastro - Previsão'!$A$2:$O$1000,15,FALSE()),"")</f>
        <v/>
      </c>
      <c r="D803" s="1">
        <v>802</v>
      </c>
      <c r="F803" s="32" t="str">
        <f t="shared" si="51"/>
        <v/>
      </c>
      <c r="G803" s="33" t="str">
        <f>IFERROR((VLOOKUP(F803,'Planilha de Cadastro - Previsão'!$A$2:$N$1100,2,FALSE()))," ")</f>
        <v xml:space="preserve"> </v>
      </c>
      <c r="H803" s="32" t="str">
        <f>IFERROR((VLOOKUP(F803,'Planilha de Cadastro - Previsão'!$A$2:$N$1100,3,FALSE()))," ")</f>
        <v xml:space="preserve"> </v>
      </c>
      <c r="I803" s="34" t="str">
        <f>IFERROR((VLOOKUP(F803,'Planilha de Cadastro - Previsão'!$A$2:$N$1100,4,FALSE()))," ")</f>
        <v xml:space="preserve"> </v>
      </c>
      <c r="J803" s="34" t="str">
        <f>IFERROR((VLOOKUP(F803,'Planilha de Cadastro - Previsão'!$A$2:$N$1100,5,FALSE()))," ")</f>
        <v xml:space="preserve"> </v>
      </c>
      <c r="K803" s="36"/>
      <c r="L803" s="34" t="str">
        <f t="shared" si="52"/>
        <v/>
      </c>
      <c r="M803" s="35" t="str">
        <f t="shared" si="53"/>
        <v/>
      </c>
      <c r="N803" s="39"/>
      <c r="O803" s="36"/>
    </row>
    <row r="804" spans="1:15" x14ac:dyDescent="0.25">
      <c r="A804">
        <f>COUNTIF($C$2:C804,C804)</f>
        <v>803</v>
      </c>
      <c r="B804" s="1" t="str">
        <f t="shared" si="50"/>
        <v>803</v>
      </c>
      <c r="C804" s="1" t="str">
        <f>IFERROR(VLOOKUP(D804,'Planilha de Cadastro - Previsão'!$A$2:$O$1000,15,FALSE()),"")</f>
        <v/>
      </c>
      <c r="D804" s="1">
        <v>803</v>
      </c>
      <c r="F804" s="32" t="str">
        <f t="shared" si="51"/>
        <v/>
      </c>
      <c r="G804" s="33" t="str">
        <f>IFERROR((VLOOKUP(F804,'Planilha de Cadastro - Previsão'!$A$2:$N$1100,2,FALSE()))," ")</f>
        <v xml:space="preserve"> </v>
      </c>
      <c r="H804" s="32" t="str">
        <f>IFERROR((VLOOKUP(F804,'Planilha de Cadastro - Previsão'!$A$2:$N$1100,3,FALSE()))," ")</f>
        <v xml:space="preserve"> </v>
      </c>
      <c r="I804" s="34" t="str">
        <f>IFERROR((VLOOKUP(F804,'Planilha de Cadastro - Previsão'!$A$2:$N$1100,4,FALSE()))," ")</f>
        <v xml:space="preserve"> </v>
      </c>
      <c r="J804" s="34" t="str">
        <f>IFERROR((VLOOKUP(F804,'Planilha de Cadastro - Previsão'!$A$2:$N$1100,5,FALSE()))," ")</f>
        <v xml:space="preserve"> </v>
      </c>
      <c r="K804" s="36"/>
      <c r="L804" s="34" t="str">
        <f t="shared" si="52"/>
        <v/>
      </c>
      <c r="M804" s="35" t="str">
        <f t="shared" si="53"/>
        <v/>
      </c>
      <c r="N804" s="39"/>
      <c r="O804" s="36"/>
    </row>
    <row r="805" spans="1:15" x14ac:dyDescent="0.25">
      <c r="A805">
        <f>COUNTIF($C$2:C805,C805)</f>
        <v>804</v>
      </c>
      <c r="B805" s="1" t="str">
        <f t="shared" si="50"/>
        <v>804</v>
      </c>
      <c r="C805" s="1" t="str">
        <f>IFERROR(VLOOKUP(D805,'Planilha de Cadastro - Previsão'!$A$2:$O$1000,15,FALSE()),"")</f>
        <v/>
      </c>
      <c r="D805" s="1">
        <v>804</v>
      </c>
      <c r="F805" s="32" t="str">
        <f t="shared" si="51"/>
        <v/>
      </c>
      <c r="G805" s="33" t="str">
        <f>IFERROR((VLOOKUP(F805,'Planilha de Cadastro - Previsão'!$A$2:$N$1100,2,FALSE()))," ")</f>
        <v xml:space="preserve"> </v>
      </c>
      <c r="H805" s="32" t="str">
        <f>IFERROR((VLOOKUP(F805,'Planilha de Cadastro - Previsão'!$A$2:$N$1100,3,FALSE()))," ")</f>
        <v xml:space="preserve"> </v>
      </c>
      <c r="I805" s="34" t="str">
        <f>IFERROR((VLOOKUP(F805,'Planilha de Cadastro - Previsão'!$A$2:$N$1100,4,FALSE()))," ")</f>
        <v xml:space="preserve"> </v>
      </c>
      <c r="J805" s="34" t="str">
        <f>IFERROR((VLOOKUP(F805,'Planilha de Cadastro - Previsão'!$A$2:$N$1100,5,FALSE()))," ")</f>
        <v xml:space="preserve"> </v>
      </c>
      <c r="K805" s="36"/>
      <c r="L805" s="34" t="str">
        <f t="shared" si="52"/>
        <v/>
      </c>
      <c r="M805" s="35" t="str">
        <f t="shared" si="53"/>
        <v/>
      </c>
      <c r="N805" s="39"/>
      <c r="O805" s="36"/>
    </row>
    <row r="806" spans="1:15" x14ac:dyDescent="0.25">
      <c r="A806">
        <f>COUNTIF($C$2:C806,C806)</f>
        <v>805</v>
      </c>
      <c r="B806" s="1" t="str">
        <f t="shared" si="50"/>
        <v>805</v>
      </c>
      <c r="C806" s="1" t="str">
        <f>IFERROR(VLOOKUP(D806,'Planilha de Cadastro - Previsão'!$A$2:$O$1000,15,FALSE()),"")</f>
        <v/>
      </c>
      <c r="D806" s="1">
        <v>805</v>
      </c>
      <c r="F806" s="32" t="str">
        <f t="shared" si="51"/>
        <v/>
      </c>
      <c r="G806" s="33" t="str">
        <f>IFERROR((VLOOKUP(F806,'Planilha de Cadastro - Previsão'!$A$2:$N$1100,2,FALSE()))," ")</f>
        <v xml:space="preserve"> </v>
      </c>
      <c r="H806" s="32" t="str">
        <f>IFERROR((VLOOKUP(F806,'Planilha de Cadastro - Previsão'!$A$2:$N$1100,3,FALSE()))," ")</f>
        <v xml:space="preserve"> </v>
      </c>
      <c r="I806" s="34" t="str">
        <f>IFERROR((VLOOKUP(F806,'Planilha de Cadastro - Previsão'!$A$2:$N$1100,4,FALSE()))," ")</f>
        <v xml:space="preserve"> </v>
      </c>
      <c r="J806" s="34" t="str">
        <f>IFERROR((VLOOKUP(F806,'Planilha de Cadastro - Previsão'!$A$2:$N$1100,5,FALSE()))," ")</f>
        <v xml:space="preserve"> </v>
      </c>
      <c r="K806" s="36"/>
      <c r="L806" s="34" t="str">
        <f t="shared" si="52"/>
        <v/>
      </c>
      <c r="M806" s="35" t="str">
        <f t="shared" si="53"/>
        <v/>
      </c>
      <c r="N806" s="39"/>
      <c r="O806" s="36"/>
    </row>
    <row r="807" spans="1:15" x14ac:dyDescent="0.25">
      <c r="A807">
        <f>COUNTIF($C$2:C807,C807)</f>
        <v>806</v>
      </c>
      <c r="B807" s="1" t="str">
        <f t="shared" si="50"/>
        <v>806</v>
      </c>
      <c r="C807" s="1" t="str">
        <f>IFERROR(VLOOKUP(D807,'Planilha de Cadastro - Previsão'!$A$2:$O$1000,15,FALSE()),"")</f>
        <v/>
      </c>
      <c r="D807" s="1">
        <v>806</v>
      </c>
      <c r="F807" s="32" t="str">
        <f t="shared" si="51"/>
        <v/>
      </c>
      <c r="G807" s="33" t="str">
        <f>IFERROR((VLOOKUP(F807,'Planilha de Cadastro - Previsão'!$A$2:$N$1100,2,FALSE()))," ")</f>
        <v xml:space="preserve"> </v>
      </c>
      <c r="H807" s="32" t="str">
        <f>IFERROR((VLOOKUP(F807,'Planilha de Cadastro - Previsão'!$A$2:$N$1100,3,FALSE()))," ")</f>
        <v xml:space="preserve"> </v>
      </c>
      <c r="I807" s="34" t="str">
        <f>IFERROR((VLOOKUP(F807,'Planilha de Cadastro - Previsão'!$A$2:$N$1100,4,FALSE()))," ")</f>
        <v xml:space="preserve"> </v>
      </c>
      <c r="J807" s="34" t="str">
        <f>IFERROR((VLOOKUP(F807,'Planilha de Cadastro - Previsão'!$A$2:$N$1100,5,FALSE()))," ")</f>
        <v xml:space="preserve"> </v>
      </c>
      <c r="K807" s="36"/>
      <c r="L807" s="34" t="str">
        <f t="shared" si="52"/>
        <v/>
      </c>
      <c r="M807" s="35" t="str">
        <f t="shared" si="53"/>
        <v/>
      </c>
      <c r="N807" s="39"/>
      <c r="O807" s="36"/>
    </row>
    <row r="808" spans="1:15" x14ac:dyDescent="0.25">
      <c r="A808">
        <f>COUNTIF($C$2:C808,C808)</f>
        <v>807</v>
      </c>
      <c r="B808" s="1" t="str">
        <f t="shared" si="50"/>
        <v>807</v>
      </c>
      <c r="C808" s="1" t="str">
        <f>IFERROR(VLOOKUP(D808,'Planilha de Cadastro - Previsão'!$A$2:$O$1000,15,FALSE()),"")</f>
        <v/>
      </c>
      <c r="D808" s="1">
        <v>807</v>
      </c>
      <c r="F808" s="32" t="str">
        <f t="shared" si="51"/>
        <v/>
      </c>
      <c r="G808" s="33" t="str">
        <f>IFERROR((VLOOKUP(F808,'Planilha de Cadastro - Previsão'!$A$2:$N$1100,2,FALSE()))," ")</f>
        <v xml:space="preserve"> </v>
      </c>
      <c r="H808" s="32" t="str">
        <f>IFERROR((VLOOKUP(F808,'Planilha de Cadastro - Previsão'!$A$2:$N$1100,3,FALSE()))," ")</f>
        <v xml:space="preserve"> </v>
      </c>
      <c r="I808" s="34" t="str">
        <f>IFERROR((VLOOKUP(F808,'Planilha de Cadastro - Previsão'!$A$2:$N$1100,4,FALSE()))," ")</f>
        <v xml:space="preserve"> </v>
      </c>
      <c r="J808" s="34" t="str">
        <f>IFERROR((VLOOKUP(F808,'Planilha de Cadastro - Previsão'!$A$2:$N$1100,5,FALSE()))," ")</f>
        <v xml:space="preserve"> </v>
      </c>
      <c r="K808" s="36"/>
      <c r="L808" s="34" t="str">
        <f t="shared" si="52"/>
        <v/>
      </c>
      <c r="M808" s="35" t="str">
        <f t="shared" si="53"/>
        <v/>
      </c>
      <c r="N808" s="39"/>
      <c r="O808" s="36"/>
    </row>
    <row r="809" spans="1:15" x14ac:dyDescent="0.25">
      <c r="A809">
        <f>COUNTIF($C$2:C809,C809)</f>
        <v>808</v>
      </c>
      <c r="B809" s="1" t="str">
        <f t="shared" si="50"/>
        <v>808</v>
      </c>
      <c r="C809" s="1" t="str">
        <f>IFERROR(VLOOKUP(D809,'Planilha de Cadastro - Previsão'!$A$2:$O$1000,15,FALSE()),"")</f>
        <v/>
      </c>
      <c r="D809" s="1">
        <v>808</v>
      </c>
      <c r="F809" s="32" t="str">
        <f t="shared" si="51"/>
        <v/>
      </c>
      <c r="G809" s="33" t="str">
        <f>IFERROR((VLOOKUP(F809,'Planilha de Cadastro - Previsão'!$A$2:$N$1100,2,FALSE()))," ")</f>
        <v xml:space="preserve"> </v>
      </c>
      <c r="H809" s="32" t="str">
        <f>IFERROR((VLOOKUP(F809,'Planilha de Cadastro - Previsão'!$A$2:$N$1100,3,FALSE()))," ")</f>
        <v xml:space="preserve"> </v>
      </c>
      <c r="I809" s="34" t="str">
        <f>IFERROR((VLOOKUP(F809,'Planilha de Cadastro - Previsão'!$A$2:$N$1100,4,FALSE()))," ")</f>
        <v xml:space="preserve"> </v>
      </c>
      <c r="J809" s="34" t="str">
        <f>IFERROR((VLOOKUP(F809,'Planilha de Cadastro - Previsão'!$A$2:$N$1100,5,FALSE()))," ")</f>
        <v xml:space="preserve"> </v>
      </c>
      <c r="K809" s="36"/>
      <c r="L809" s="34" t="str">
        <f t="shared" si="52"/>
        <v/>
      </c>
      <c r="M809" s="35" t="str">
        <f t="shared" si="53"/>
        <v/>
      </c>
      <c r="N809" s="39"/>
      <c r="O809" s="36"/>
    </row>
    <row r="810" spans="1:15" x14ac:dyDescent="0.25">
      <c r="A810">
        <f>COUNTIF($C$2:C810,C810)</f>
        <v>809</v>
      </c>
      <c r="B810" s="1" t="str">
        <f t="shared" si="50"/>
        <v>809</v>
      </c>
      <c r="C810" s="1" t="str">
        <f>IFERROR(VLOOKUP(D810,'Planilha de Cadastro - Previsão'!$A$2:$O$1000,15,FALSE()),"")</f>
        <v/>
      </c>
      <c r="D810" s="1">
        <v>809</v>
      </c>
      <c r="F810" s="32" t="str">
        <f t="shared" si="51"/>
        <v/>
      </c>
      <c r="G810" s="33" t="str">
        <f>IFERROR((VLOOKUP(F810,'Planilha de Cadastro - Previsão'!$A$2:$N$1100,2,FALSE()))," ")</f>
        <v xml:space="preserve"> </v>
      </c>
      <c r="H810" s="32" t="str">
        <f>IFERROR((VLOOKUP(F810,'Planilha de Cadastro - Previsão'!$A$2:$N$1100,3,FALSE()))," ")</f>
        <v xml:space="preserve"> </v>
      </c>
      <c r="I810" s="34" t="str">
        <f>IFERROR((VLOOKUP(F810,'Planilha de Cadastro - Previsão'!$A$2:$N$1100,4,FALSE()))," ")</f>
        <v xml:space="preserve"> </v>
      </c>
      <c r="J810" s="34" t="str">
        <f>IFERROR((VLOOKUP(F810,'Planilha de Cadastro - Previsão'!$A$2:$N$1100,5,FALSE()))," ")</f>
        <v xml:space="preserve"> </v>
      </c>
      <c r="K810" s="36"/>
      <c r="L810" s="34" t="str">
        <f t="shared" si="52"/>
        <v/>
      </c>
      <c r="M810" s="35" t="str">
        <f t="shared" si="53"/>
        <v/>
      </c>
      <c r="N810" s="39"/>
      <c r="O810" s="36"/>
    </row>
    <row r="811" spans="1:15" x14ac:dyDescent="0.25">
      <c r="A811">
        <f>COUNTIF($C$2:C811,C811)</f>
        <v>810</v>
      </c>
      <c r="B811" s="1" t="str">
        <f t="shared" si="50"/>
        <v>810</v>
      </c>
      <c r="C811" s="1" t="str">
        <f>IFERROR(VLOOKUP(D811,'Planilha de Cadastro - Previsão'!$A$2:$O$1000,15,FALSE()),"")</f>
        <v/>
      </c>
      <c r="D811" s="1">
        <v>810</v>
      </c>
      <c r="F811" s="32" t="str">
        <f t="shared" si="51"/>
        <v/>
      </c>
      <c r="G811" s="33" t="str">
        <f>IFERROR((VLOOKUP(F811,'Planilha de Cadastro - Previsão'!$A$2:$N$1100,2,FALSE()))," ")</f>
        <v xml:space="preserve"> </v>
      </c>
      <c r="H811" s="32" t="str">
        <f>IFERROR((VLOOKUP(F811,'Planilha de Cadastro - Previsão'!$A$2:$N$1100,3,FALSE()))," ")</f>
        <v xml:space="preserve"> </v>
      </c>
      <c r="I811" s="34" t="str">
        <f>IFERROR((VLOOKUP(F811,'Planilha de Cadastro - Previsão'!$A$2:$N$1100,4,FALSE()))," ")</f>
        <v xml:space="preserve"> </v>
      </c>
      <c r="J811" s="34" t="str">
        <f>IFERROR((VLOOKUP(F811,'Planilha de Cadastro - Previsão'!$A$2:$N$1100,5,FALSE()))," ")</f>
        <v xml:space="preserve"> </v>
      </c>
      <c r="K811" s="36"/>
      <c r="L811" s="34" t="str">
        <f t="shared" si="52"/>
        <v/>
      </c>
      <c r="M811" s="35" t="str">
        <f t="shared" si="53"/>
        <v/>
      </c>
      <c r="N811" s="39"/>
      <c r="O811" s="36"/>
    </row>
    <row r="812" spans="1:15" x14ac:dyDescent="0.25">
      <c r="A812">
        <f>COUNTIF($C$2:C812,C812)</f>
        <v>811</v>
      </c>
      <c r="B812" s="1" t="str">
        <f t="shared" si="50"/>
        <v>811</v>
      </c>
      <c r="C812" s="1" t="str">
        <f>IFERROR(VLOOKUP(D812,'Planilha de Cadastro - Previsão'!$A$2:$O$1000,15,FALSE()),"")</f>
        <v/>
      </c>
      <c r="D812" s="1">
        <v>811</v>
      </c>
      <c r="F812" s="32" t="str">
        <f t="shared" si="51"/>
        <v/>
      </c>
      <c r="G812" s="33" t="str">
        <f>IFERROR((VLOOKUP(F812,'Planilha de Cadastro - Previsão'!$A$2:$N$1100,2,FALSE()))," ")</f>
        <v xml:space="preserve"> </v>
      </c>
      <c r="H812" s="32" t="str">
        <f>IFERROR((VLOOKUP(F812,'Planilha de Cadastro - Previsão'!$A$2:$N$1100,3,FALSE()))," ")</f>
        <v xml:space="preserve"> </v>
      </c>
      <c r="I812" s="34" t="str">
        <f>IFERROR((VLOOKUP(F812,'Planilha de Cadastro - Previsão'!$A$2:$N$1100,4,FALSE()))," ")</f>
        <v xml:space="preserve"> </v>
      </c>
      <c r="J812" s="34" t="str">
        <f>IFERROR((VLOOKUP(F812,'Planilha de Cadastro - Previsão'!$A$2:$N$1100,5,FALSE()))," ")</f>
        <v xml:space="preserve"> </v>
      </c>
      <c r="K812" s="36"/>
      <c r="L812" s="34" t="str">
        <f t="shared" si="52"/>
        <v/>
      </c>
      <c r="M812" s="35" t="str">
        <f t="shared" si="53"/>
        <v/>
      </c>
      <c r="N812" s="39"/>
      <c r="O812" s="36"/>
    </row>
    <row r="813" spans="1:15" x14ac:dyDescent="0.25">
      <c r="A813">
        <f>COUNTIF($C$2:C813,C813)</f>
        <v>812</v>
      </c>
      <c r="B813" s="1" t="str">
        <f t="shared" si="50"/>
        <v>812</v>
      </c>
      <c r="C813" s="1" t="str">
        <f>IFERROR(VLOOKUP(D813,'Planilha de Cadastro - Previsão'!$A$2:$O$1000,15,FALSE()),"")</f>
        <v/>
      </c>
      <c r="D813" s="1">
        <v>812</v>
      </c>
      <c r="F813" s="32" t="str">
        <f t="shared" si="51"/>
        <v/>
      </c>
      <c r="G813" s="33" t="str">
        <f>IFERROR((VLOOKUP(F813,'Planilha de Cadastro - Previsão'!$A$2:$N$1100,2,FALSE()))," ")</f>
        <v xml:space="preserve"> </v>
      </c>
      <c r="H813" s="32" t="str">
        <f>IFERROR((VLOOKUP(F813,'Planilha de Cadastro - Previsão'!$A$2:$N$1100,3,FALSE()))," ")</f>
        <v xml:space="preserve"> </v>
      </c>
      <c r="I813" s="34" t="str">
        <f>IFERROR((VLOOKUP(F813,'Planilha de Cadastro - Previsão'!$A$2:$N$1100,4,FALSE()))," ")</f>
        <v xml:space="preserve"> </v>
      </c>
      <c r="J813" s="34" t="str">
        <f>IFERROR((VLOOKUP(F813,'Planilha de Cadastro - Previsão'!$A$2:$N$1100,5,FALSE()))," ")</f>
        <v xml:space="preserve"> </v>
      </c>
      <c r="K813" s="36"/>
      <c r="L813" s="34" t="str">
        <f t="shared" si="52"/>
        <v/>
      </c>
      <c r="M813" s="35" t="str">
        <f t="shared" si="53"/>
        <v/>
      </c>
      <c r="N813" s="39"/>
      <c r="O813" s="36"/>
    </row>
    <row r="814" spans="1:15" x14ac:dyDescent="0.25">
      <c r="A814">
        <f>COUNTIF($C$2:C814,C814)</f>
        <v>813</v>
      </c>
      <c r="B814" s="1" t="str">
        <f t="shared" si="50"/>
        <v>813</v>
      </c>
      <c r="C814" s="1" t="str">
        <f>IFERROR(VLOOKUP(D814,'Planilha de Cadastro - Previsão'!$A$2:$O$1000,15,FALSE()),"")</f>
        <v/>
      </c>
      <c r="D814" s="1">
        <v>813</v>
      </c>
      <c r="F814" s="32" t="str">
        <f t="shared" si="51"/>
        <v/>
      </c>
      <c r="G814" s="33" t="str">
        <f>IFERROR((VLOOKUP(F814,'Planilha de Cadastro - Previsão'!$A$2:$N$1100,2,FALSE()))," ")</f>
        <v xml:space="preserve"> </v>
      </c>
      <c r="H814" s="32" t="str">
        <f>IFERROR((VLOOKUP(F814,'Planilha de Cadastro - Previsão'!$A$2:$N$1100,3,FALSE()))," ")</f>
        <v xml:space="preserve"> </v>
      </c>
      <c r="I814" s="34" t="str">
        <f>IFERROR((VLOOKUP(F814,'Planilha de Cadastro - Previsão'!$A$2:$N$1100,4,FALSE()))," ")</f>
        <v xml:space="preserve"> </v>
      </c>
      <c r="J814" s="34" t="str">
        <f>IFERROR((VLOOKUP(F814,'Planilha de Cadastro - Previsão'!$A$2:$N$1100,5,FALSE()))," ")</f>
        <v xml:space="preserve"> </v>
      </c>
      <c r="K814" s="36"/>
      <c r="L814" s="34" t="str">
        <f t="shared" si="52"/>
        <v/>
      </c>
      <c r="M814" s="35" t="str">
        <f t="shared" si="53"/>
        <v/>
      </c>
      <c r="N814" s="39"/>
      <c r="O814" s="36"/>
    </row>
    <row r="815" spans="1:15" x14ac:dyDescent="0.25">
      <c r="A815">
        <f>COUNTIF($C$2:C815,C815)</f>
        <v>814</v>
      </c>
      <c r="B815" s="1" t="str">
        <f t="shared" si="50"/>
        <v>814</v>
      </c>
      <c r="C815" s="1" t="str">
        <f>IFERROR(VLOOKUP(D815,'Planilha de Cadastro - Previsão'!$A$2:$O$1000,15,FALSE()),"")</f>
        <v/>
      </c>
      <c r="D815" s="1">
        <v>814</v>
      </c>
      <c r="F815" s="32" t="str">
        <f t="shared" si="51"/>
        <v/>
      </c>
      <c r="G815" s="33" t="str">
        <f>IFERROR((VLOOKUP(F815,'Planilha de Cadastro - Previsão'!$A$2:$N$1100,2,FALSE()))," ")</f>
        <v xml:space="preserve"> </v>
      </c>
      <c r="H815" s="32" t="str">
        <f>IFERROR((VLOOKUP(F815,'Planilha de Cadastro - Previsão'!$A$2:$N$1100,3,FALSE()))," ")</f>
        <v xml:space="preserve"> </v>
      </c>
      <c r="I815" s="34" t="str">
        <f>IFERROR((VLOOKUP(F815,'Planilha de Cadastro - Previsão'!$A$2:$N$1100,4,FALSE()))," ")</f>
        <v xml:space="preserve"> </v>
      </c>
      <c r="J815" s="34" t="str">
        <f>IFERROR((VLOOKUP(F815,'Planilha de Cadastro - Previsão'!$A$2:$N$1100,5,FALSE()))," ")</f>
        <v xml:space="preserve"> </v>
      </c>
      <c r="K815" s="36"/>
      <c r="L815" s="34" t="str">
        <f t="shared" si="52"/>
        <v/>
      </c>
      <c r="M815" s="35" t="str">
        <f t="shared" si="53"/>
        <v/>
      </c>
      <c r="N815" s="39"/>
      <c r="O815" s="36"/>
    </row>
    <row r="816" spans="1:15" x14ac:dyDescent="0.25">
      <c r="A816">
        <f>COUNTIF($C$2:C816,C816)</f>
        <v>815</v>
      </c>
      <c r="B816" s="1" t="str">
        <f t="shared" si="50"/>
        <v>815</v>
      </c>
      <c r="C816" s="1" t="str">
        <f>IFERROR(VLOOKUP(D816,'Planilha de Cadastro - Previsão'!$A$2:$O$1000,15,FALSE()),"")</f>
        <v/>
      </c>
      <c r="D816" s="1">
        <v>815</v>
      </c>
      <c r="F816" s="32" t="str">
        <f t="shared" si="51"/>
        <v/>
      </c>
      <c r="G816" s="33" t="str">
        <f>IFERROR((VLOOKUP(F816,'Planilha de Cadastro - Previsão'!$A$2:$N$1100,2,FALSE()))," ")</f>
        <v xml:space="preserve"> </v>
      </c>
      <c r="H816" s="32" t="str">
        <f>IFERROR((VLOOKUP(F816,'Planilha de Cadastro - Previsão'!$A$2:$N$1100,3,FALSE()))," ")</f>
        <v xml:space="preserve"> </v>
      </c>
      <c r="I816" s="34" t="str">
        <f>IFERROR((VLOOKUP(F816,'Planilha de Cadastro - Previsão'!$A$2:$N$1100,4,FALSE()))," ")</f>
        <v xml:space="preserve"> </v>
      </c>
      <c r="J816" s="34" t="str">
        <f>IFERROR((VLOOKUP(F816,'Planilha de Cadastro - Previsão'!$A$2:$N$1100,5,FALSE()))," ")</f>
        <v xml:space="preserve"> </v>
      </c>
      <c r="K816" s="36"/>
      <c r="L816" s="34" t="str">
        <f t="shared" si="52"/>
        <v/>
      </c>
      <c r="M816" s="35" t="str">
        <f t="shared" si="53"/>
        <v/>
      </c>
      <c r="N816" s="39"/>
      <c r="O816" s="36"/>
    </row>
    <row r="817" spans="1:15" x14ac:dyDescent="0.25">
      <c r="A817">
        <f>COUNTIF($C$2:C817,C817)</f>
        <v>816</v>
      </c>
      <c r="B817" s="1" t="str">
        <f t="shared" si="50"/>
        <v>816</v>
      </c>
      <c r="C817" s="1" t="str">
        <f>IFERROR(VLOOKUP(D817,'Planilha de Cadastro - Previsão'!$A$2:$O$1000,15,FALSE()),"")</f>
        <v/>
      </c>
      <c r="D817" s="1">
        <v>816</v>
      </c>
      <c r="F817" s="32" t="str">
        <f t="shared" si="51"/>
        <v/>
      </c>
      <c r="G817" s="33" t="str">
        <f>IFERROR((VLOOKUP(F817,'Planilha de Cadastro - Previsão'!$A$2:$N$1100,2,FALSE()))," ")</f>
        <v xml:space="preserve"> </v>
      </c>
      <c r="H817" s="32" t="str">
        <f>IFERROR((VLOOKUP(F817,'Planilha de Cadastro - Previsão'!$A$2:$N$1100,3,FALSE()))," ")</f>
        <v xml:space="preserve"> </v>
      </c>
      <c r="I817" s="34" t="str">
        <f>IFERROR((VLOOKUP(F817,'Planilha de Cadastro - Previsão'!$A$2:$N$1100,4,FALSE()))," ")</f>
        <v xml:space="preserve"> </v>
      </c>
      <c r="J817" s="34" t="str">
        <f>IFERROR((VLOOKUP(F817,'Planilha de Cadastro - Previsão'!$A$2:$N$1100,5,FALSE()))," ")</f>
        <v xml:space="preserve"> </v>
      </c>
      <c r="K817" s="36"/>
      <c r="L817" s="34" t="str">
        <f t="shared" si="52"/>
        <v/>
      </c>
      <c r="M817" s="35" t="str">
        <f t="shared" si="53"/>
        <v/>
      </c>
      <c r="N817" s="39"/>
      <c r="O817" s="36"/>
    </row>
    <row r="818" spans="1:15" x14ac:dyDescent="0.25">
      <c r="A818">
        <f>COUNTIF($C$2:C818,C818)</f>
        <v>817</v>
      </c>
      <c r="B818" s="1" t="str">
        <f t="shared" si="50"/>
        <v>817</v>
      </c>
      <c r="C818" s="1" t="str">
        <f>IFERROR(VLOOKUP(D818,'Planilha de Cadastro - Previsão'!$A$2:$O$1000,15,FALSE()),"")</f>
        <v/>
      </c>
      <c r="D818" s="1">
        <v>817</v>
      </c>
      <c r="F818" s="32" t="str">
        <f t="shared" si="51"/>
        <v/>
      </c>
      <c r="G818" s="33" t="str">
        <f>IFERROR((VLOOKUP(F818,'Planilha de Cadastro - Previsão'!$A$2:$N$1100,2,FALSE()))," ")</f>
        <v xml:space="preserve"> </v>
      </c>
      <c r="H818" s="32" t="str">
        <f>IFERROR((VLOOKUP(F818,'Planilha de Cadastro - Previsão'!$A$2:$N$1100,3,FALSE()))," ")</f>
        <v xml:space="preserve"> </v>
      </c>
      <c r="I818" s="34" t="str">
        <f>IFERROR((VLOOKUP(F818,'Planilha de Cadastro - Previsão'!$A$2:$N$1100,4,FALSE()))," ")</f>
        <v xml:space="preserve"> </v>
      </c>
      <c r="J818" s="34" t="str">
        <f>IFERROR((VLOOKUP(F818,'Planilha de Cadastro - Previsão'!$A$2:$N$1100,5,FALSE()))," ")</f>
        <v xml:space="preserve"> </v>
      </c>
      <c r="K818" s="36"/>
      <c r="L818" s="34" t="str">
        <f t="shared" si="52"/>
        <v/>
      </c>
      <c r="M818" s="35" t="str">
        <f t="shared" si="53"/>
        <v/>
      </c>
      <c r="N818" s="39"/>
      <c r="O818" s="36"/>
    </row>
    <row r="819" spans="1:15" x14ac:dyDescent="0.25">
      <c r="A819">
        <f>COUNTIF($C$2:C819,C819)</f>
        <v>818</v>
      </c>
      <c r="B819" s="1" t="str">
        <f t="shared" si="50"/>
        <v>818</v>
      </c>
      <c r="C819" s="1" t="str">
        <f>IFERROR(VLOOKUP(D819,'Planilha de Cadastro - Previsão'!$A$2:$O$1000,15,FALSE()),"")</f>
        <v/>
      </c>
      <c r="D819" s="1">
        <v>818</v>
      </c>
      <c r="F819" s="32" t="str">
        <f t="shared" si="51"/>
        <v/>
      </c>
      <c r="G819" s="33" t="str">
        <f>IFERROR((VLOOKUP(F819,'Planilha de Cadastro - Previsão'!$A$2:$N$1100,2,FALSE()))," ")</f>
        <v xml:space="preserve"> </v>
      </c>
      <c r="H819" s="32" t="str">
        <f>IFERROR((VLOOKUP(F819,'Planilha de Cadastro - Previsão'!$A$2:$N$1100,3,FALSE()))," ")</f>
        <v xml:space="preserve"> </v>
      </c>
      <c r="I819" s="34" t="str">
        <f>IFERROR((VLOOKUP(F819,'Planilha de Cadastro - Previsão'!$A$2:$N$1100,4,FALSE()))," ")</f>
        <v xml:space="preserve"> </v>
      </c>
      <c r="J819" s="34" t="str">
        <f>IFERROR((VLOOKUP(F819,'Planilha de Cadastro - Previsão'!$A$2:$N$1100,5,FALSE()))," ")</f>
        <v xml:space="preserve"> </v>
      </c>
      <c r="K819" s="36"/>
      <c r="L819" s="34" t="str">
        <f t="shared" si="52"/>
        <v/>
      </c>
      <c r="M819" s="35" t="str">
        <f t="shared" si="53"/>
        <v/>
      </c>
      <c r="N819" s="39"/>
      <c r="O819" s="36"/>
    </row>
    <row r="820" spans="1:15" x14ac:dyDescent="0.25">
      <c r="A820">
        <f>COUNTIF($C$2:C820,C820)</f>
        <v>819</v>
      </c>
      <c r="B820" s="1" t="str">
        <f t="shared" si="50"/>
        <v>819</v>
      </c>
      <c r="C820" s="1" t="str">
        <f>IFERROR(VLOOKUP(D820,'Planilha de Cadastro - Previsão'!$A$2:$O$1000,15,FALSE()),"")</f>
        <v/>
      </c>
      <c r="D820" s="1">
        <v>819</v>
      </c>
      <c r="F820" s="32" t="str">
        <f t="shared" si="51"/>
        <v/>
      </c>
      <c r="G820" s="33" t="str">
        <f>IFERROR((VLOOKUP(F820,'Planilha de Cadastro - Previsão'!$A$2:$N$1100,2,FALSE()))," ")</f>
        <v xml:space="preserve"> </v>
      </c>
      <c r="H820" s="32" t="str">
        <f>IFERROR((VLOOKUP(F820,'Planilha de Cadastro - Previsão'!$A$2:$N$1100,3,FALSE()))," ")</f>
        <v xml:space="preserve"> </v>
      </c>
      <c r="I820" s="34" t="str">
        <f>IFERROR((VLOOKUP(F820,'Planilha de Cadastro - Previsão'!$A$2:$N$1100,4,FALSE()))," ")</f>
        <v xml:space="preserve"> </v>
      </c>
      <c r="J820" s="34" t="str">
        <f>IFERROR((VLOOKUP(F820,'Planilha de Cadastro - Previsão'!$A$2:$N$1100,5,FALSE()))," ")</f>
        <v xml:space="preserve"> </v>
      </c>
      <c r="K820" s="36"/>
      <c r="L820" s="34" t="str">
        <f t="shared" si="52"/>
        <v/>
      </c>
      <c r="M820" s="35" t="str">
        <f t="shared" si="53"/>
        <v/>
      </c>
      <c r="N820" s="39"/>
      <c r="O820" s="36"/>
    </row>
    <row r="821" spans="1:15" x14ac:dyDescent="0.25">
      <c r="A821">
        <f>COUNTIF($C$2:C821,C821)</f>
        <v>820</v>
      </c>
      <c r="B821" s="1" t="str">
        <f t="shared" si="50"/>
        <v>820</v>
      </c>
      <c r="C821" s="1" t="str">
        <f>IFERROR(VLOOKUP(D821,'Planilha de Cadastro - Previsão'!$A$2:$O$1000,15,FALSE()),"")</f>
        <v/>
      </c>
      <c r="D821" s="1">
        <v>820</v>
      </c>
      <c r="F821" s="32" t="str">
        <f t="shared" si="51"/>
        <v/>
      </c>
      <c r="G821" s="33" t="str">
        <f>IFERROR((VLOOKUP(F821,'Planilha de Cadastro - Previsão'!$A$2:$N$1100,2,FALSE()))," ")</f>
        <v xml:space="preserve"> </v>
      </c>
      <c r="H821" s="32" t="str">
        <f>IFERROR((VLOOKUP(F821,'Planilha de Cadastro - Previsão'!$A$2:$N$1100,3,FALSE()))," ")</f>
        <v xml:space="preserve"> </v>
      </c>
      <c r="I821" s="34" t="str">
        <f>IFERROR((VLOOKUP(F821,'Planilha de Cadastro - Previsão'!$A$2:$N$1100,4,FALSE()))," ")</f>
        <v xml:space="preserve"> </v>
      </c>
      <c r="J821" s="34" t="str">
        <f>IFERROR((VLOOKUP(F821,'Planilha de Cadastro - Previsão'!$A$2:$N$1100,5,FALSE()))," ")</f>
        <v xml:space="preserve"> </v>
      </c>
      <c r="K821" s="36"/>
      <c r="L821" s="34" t="str">
        <f t="shared" si="52"/>
        <v/>
      </c>
      <c r="M821" s="35" t="str">
        <f t="shared" si="53"/>
        <v/>
      </c>
      <c r="N821" s="39"/>
      <c r="O821" s="36"/>
    </row>
    <row r="822" spans="1:15" x14ac:dyDescent="0.25">
      <c r="A822">
        <f>COUNTIF($C$2:C822,C822)</f>
        <v>821</v>
      </c>
      <c r="B822" s="1" t="str">
        <f t="shared" si="50"/>
        <v>821</v>
      </c>
      <c r="C822" s="1" t="str">
        <f>IFERROR(VLOOKUP(D822,'Planilha de Cadastro - Previsão'!$A$2:$O$1000,15,FALSE()),"")</f>
        <v/>
      </c>
      <c r="D822" s="1">
        <v>821</v>
      </c>
      <c r="F822" s="32" t="str">
        <f t="shared" si="51"/>
        <v/>
      </c>
      <c r="G822" s="33" t="str">
        <f>IFERROR((VLOOKUP(F822,'Planilha de Cadastro - Previsão'!$A$2:$N$1100,2,FALSE()))," ")</f>
        <v xml:space="preserve"> </v>
      </c>
      <c r="H822" s="32" t="str">
        <f>IFERROR((VLOOKUP(F822,'Planilha de Cadastro - Previsão'!$A$2:$N$1100,3,FALSE()))," ")</f>
        <v xml:space="preserve"> </v>
      </c>
      <c r="I822" s="34" t="str">
        <f>IFERROR((VLOOKUP(F822,'Planilha de Cadastro - Previsão'!$A$2:$N$1100,4,FALSE()))," ")</f>
        <v xml:space="preserve"> </v>
      </c>
      <c r="J822" s="34" t="str">
        <f>IFERROR((VLOOKUP(F822,'Planilha de Cadastro - Previsão'!$A$2:$N$1100,5,FALSE()))," ")</f>
        <v xml:space="preserve"> </v>
      </c>
      <c r="K822" s="36"/>
      <c r="L822" s="34" t="str">
        <f t="shared" si="52"/>
        <v/>
      </c>
      <c r="M822" s="35" t="str">
        <f t="shared" si="53"/>
        <v/>
      </c>
      <c r="N822" s="39"/>
      <c r="O822" s="36"/>
    </row>
    <row r="823" spans="1:15" x14ac:dyDescent="0.25">
      <c r="A823">
        <f>COUNTIF($C$2:C823,C823)</f>
        <v>822</v>
      </c>
      <c r="B823" s="1" t="str">
        <f t="shared" si="50"/>
        <v>822</v>
      </c>
      <c r="C823" s="1" t="str">
        <f>IFERROR(VLOOKUP(D823,'Planilha de Cadastro - Previsão'!$A$2:$O$1000,15,FALSE()),"")</f>
        <v/>
      </c>
      <c r="D823" s="1">
        <v>822</v>
      </c>
      <c r="F823" s="32" t="str">
        <f t="shared" si="51"/>
        <v/>
      </c>
      <c r="G823" s="33" t="str">
        <f>IFERROR((VLOOKUP(F823,'Planilha de Cadastro - Previsão'!$A$2:$N$1100,2,FALSE()))," ")</f>
        <v xml:space="preserve"> </v>
      </c>
      <c r="H823" s="32" t="str">
        <f>IFERROR((VLOOKUP(F823,'Planilha de Cadastro - Previsão'!$A$2:$N$1100,3,FALSE()))," ")</f>
        <v xml:space="preserve"> </v>
      </c>
      <c r="I823" s="34" t="str">
        <f>IFERROR((VLOOKUP(F823,'Planilha de Cadastro - Previsão'!$A$2:$N$1100,4,FALSE()))," ")</f>
        <v xml:space="preserve"> </v>
      </c>
      <c r="J823" s="34" t="str">
        <f>IFERROR((VLOOKUP(F823,'Planilha de Cadastro - Previsão'!$A$2:$N$1100,5,FALSE()))," ")</f>
        <v xml:space="preserve"> </v>
      </c>
      <c r="K823" s="36"/>
      <c r="L823" s="34" t="str">
        <f t="shared" si="52"/>
        <v/>
      </c>
      <c r="M823" s="35" t="str">
        <f t="shared" si="53"/>
        <v/>
      </c>
      <c r="N823" s="39"/>
      <c r="O823" s="36"/>
    </row>
    <row r="824" spans="1:15" x14ac:dyDescent="0.25">
      <c r="A824">
        <f>COUNTIF($C$2:C824,C824)</f>
        <v>823</v>
      </c>
      <c r="B824" s="1" t="str">
        <f t="shared" si="50"/>
        <v>823</v>
      </c>
      <c r="C824" s="1" t="str">
        <f>IFERROR(VLOOKUP(D824,'Planilha de Cadastro - Previsão'!$A$2:$O$1000,15,FALSE()),"")</f>
        <v/>
      </c>
      <c r="D824" s="1">
        <v>823</v>
      </c>
      <c r="F824" s="32" t="str">
        <f t="shared" si="51"/>
        <v/>
      </c>
      <c r="G824" s="33" t="str">
        <f>IFERROR((VLOOKUP(F824,'Planilha de Cadastro - Previsão'!$A$2:$N$1100,2,FALSE()))," ")</f>
        <v xml:space="preserve"> </v>
      </c>
      <c r="H824" s="32" t="str">
        <f>IFERROR((VLOOKUP(F824,'Planilha de Cadastro - Previsão'!$A$2:$N$1100,3,FALSE()))," ")</f>
        <v xml:space="preserve"> </v>
      </c>
      <c r="I824" s="34" t="str">
        <f>IFERROR((VLOOKUP(F824,'Planilha de Cadastro - Previsão'!$A$2:$N$1100,4,FALSE()))," ")</f>
        <v xml:space="preserve"> </v>
      </c>
      <c r="J824" s="34" t="str">
        <f>IFERROR((VLOOKUP(F824,'Planilha de Cadastro - Previsão'!$A$2:$N$1100,5,FALSE()))," ")</f>
        <v xml:space="preserve"> </v>
      </c>
      <c r="K824" s="36"/>
      <c r="L824" s="34" t="str">
        <f t="shared" si="52"/>
        <v/>
      </c>
      <c r="M824" s="35" t="str">
        <f t="shared" si="53"/>
        <v/>
      </c>
      <c r="N824" s="39"/>
      <c r="O824" s="36"/>
    </row>
    <row r="825" spans="1:15" x14ac:dyDescent="0.25">
      <c r="A825">
        <f>COUNTIF($C$2:C825,C825)</f>
        <v>824</v>
      </c>
      <c r="B825" s="1" t="str">
        <f t="shared" si="50"/>
        <v>824</v>
      </c>
      <c r="C825" s="1" t="str">
        <f>IFERROR(VLOOKUP(D825,'Planilha de Cadastro - Previsão'!$A$2:$O$1000,15,FALSE()),"")</f>
        <v/>
      </c>
      <c r="D825" s="1">
        <v>824</v>
      </c>
      <c r="F825" s="32" t="str">
        <f t="shared" si="51"/>
        <v/>
      </c>
      <c r="G825" s="33" t="str">
        <f>IFERROR((VLOOKUP(F825,'Planilha de Cadastro - Previsão'!$A$2:$N$1100,2,FALSE()))," ")</f>
        <v xml:space="preserve"> </v>
      </c>
      <c r="H825" s="32" t="str">
        <f>IFERROR((VLOOKUP(F825,'Planilha de Cadastro - Previsão'!$A$2:$N$1100,3,FALSE()))," ")</f>
        <v xml:space="preserve"> </v>
      </c>
      <c r="I825" s="34" t="str">
        <f>IFERROR((VLOOKUP(F825,'Planilha de Cadastro - Previsão'!$A$2:$N$1100,4,FALSE()))," ")</f>
        <v xml:space="preserve"> </v>
      </c>
      <c r="J825" s="34" t="str">
        <f>IFERROR((VLOOKUP(F825,'Planilha de Cadastro - Previsão'!$A$2:$N$1100,5,FALSE()))," ")</f>
        <v xml:space="preserve"> </v>
      </c>
      <c r="K825" s="36"/>
      <c r="L825" s="34" t="str">
        <f t="shared" si="52"/>
        <v/>
      </c>
      <c r="M825" s="35" t="str">
        <f t="shared" si="53"/>
        <v/>
      </c>
      <c r="N825" s="39"/>
      <c r="O825" s="36"/>
    </row>
    <row r="826" spans="1:15" x14ac:dyDescent="0.25">
      <c r="A826">
        <f>COUNTIF($C$2:C826,C826)</f>
        <v>825</v>
      </c>
      <c r="B826" s="1" t="str">
        <f t="shared" si="50"/>
        <v>825</v>
      </c>
      <c r="C826" s="1" t="str">
        <f>IFERROR(VLOOKUP(D826,'Planilha de Cadastro - Previsão'!$A$2:$O$1000,15,FALSE()),"")</f>
        <v/>
      </c>
      <c r="D826" s="1">
        <v>825</v>
      </c>
      <c r="F826" s="32" t="str">
        <f t="shared" si="51"/>
        <v/>
      </c>
      <c r="G826" s="33" t="str">
        <f>IFERROR((VLOOKUP(F826,'Planilha de Cadastro - Previsão'!$A$2:$N$1100,2,FALSE()))," ")</f>
        <v xml:space="preserve"> </v>
      </c>
      <c r="H826" s="32" t="str">
        <f>IFERROR((VLOOKUP(F826,'Planilha de Cadastro - Previsão'!$A$2:$N$1100,3,FALSE()))," ")</f>
        <v xml:space="preserve"> </v>
      </c>
      <c r="I826" s="34" t="str">
        <f>IFERROR((VLOOKUP(F826,'Planilha de Cadastro - Previsão'!$A$2:$N$1100,4,FALSE()))," ")</f>
        <v xml:space="preserve"> </v>
      </c>
      <c r="J826" s="34" t="str">
        <f>IFERROR((VLOOKUP(F826,'Planilha de Cadastro - Previsão'!$A$2:$N$1100,5,FALSE()))," ")</f>
        <v xml:space="preserve"> </v>
      </c>
      <c r="K826" s="36"/>
      <c r="L826" s="34" t="str">
        <f t="shared" si="52"/>
        <v/>
      </c>
      <c r="M826" s="35" t="str">
        <f t="shared" si="53"/>
        <v/>
      </c>
      <c r="N826" s="39"/>
      <c r="O826" s="36"/>
    </row>
    <row r="827" spans="1:15" x14ac:dyDescent="0.25">
      <c r="A827">
        <f>COUNTIF($C$2:C827,C827)</f>
        <v>826</v>
      </c>
      <c r="B827" s="1" t="str">
        <f t="shared" si="50"/>
        <v>826</v>
      </c>
      <c r="C827" s="1" t="str">
        <f>IFERROR(VLOOKUP(D827,'Planilha de Cadastro - Previsão'!$A$2:$O$1000,15,FALSE()),"")</f>
        <v/>
      </c>
      <c r="D827" s="1">
        <v>826</v>
      </c>
      <c r="F827" s="32" t="str">
        <f t="shared" si="51"/>
        <v/>
      </c>
      <c r="G827" s="33" t="str">
        <f>IFERROR((VLOOKUP(F827,'Planilha de Cadastro - Previsão'!$A$2:$N$1100,2,FALSE()))," ")</f>
        <v xml:space="preserve"> </v>
      </c>
      <c r="H827" s="32" t="str">
        <f>IFERROR((VLOOKUP(F827,'Planilha de Cadastro - Previsão'!$A$2:$N$1100,3,FALSE()))," ")</f>
        <v xml:space="preserve"> </v>
      </c>
      <c r="I827" s="34" t="str">
        <f>IFERROR((VLOOKUP(F827,'Planilha de Cadastro - Previsão'!$A$2:$N$1100,4,FALSE()))," ")</f>
        <v xml:space="preserve"> </v>
      </c>
      <c r="J827" s="34" t="str">
        <f>IFERROR((VLOOKUP(F827,'Planilha de Cadastro - Previsão'!$A$2:$N$1100,5,FALSE()))," ")</f>
        <v xml:space="preserve"> </v>
      </c>
      <c r="K827" s="36"/>
      <c r="L827" s="34" t="str">
        <f t="shared" si="52"/>
        <v/>
      </c>
      <c r="M827" s="35" t="str">
        <f t="shared" si="53"/>
        <v/>
      </c>
      <c r="N827" s="39"/>
      <c r="O827" s="36"/>
    </row>
    <row r="828" spans="1:15" x14ac:dyDescent="0.25">
      <c r="A828">
        <f>COUNTIF($C$2:C828,C828)</f>
        <v>827</v>
      </c>
      <c r="B828" s="1" t="str">
        <f t="shared" si="50"/>
        <v>827</v>
      </c>
      <c r="C828" s="1" t="str">
        <f>IFERROR(VLOOKUP(D828,'Planilha de Cadastro - Previsão'!$A$2:$O$1000,15,FALSE()),"")</f>
        <v/>
      </c>
      <c r="D828" s="1">
        <v>827</v>
      </c>
      <c r="F828" s="32" t="str">
        <f t="shared" si="51"/>
        <v/>
      </c>
      <c r="G828" s="33" t="str">
        <f>IFERROR((VLOOKUP(F828,'Planilha de Cadastro - Previsão'!$A$2:$N$1100,2,FALSE()))," ")</f>
        <v xml:space="preserve"> </v>
      </c>
      <c r="H828" s="32" t="str">
        <f>IFERROR((VLOOKUP(F828,'Planilha de Cadastro - Previsão'!$A$2:$N$1100,3,FALSE()))," ")</f>
        <v xml:space="preserve"> </v>
      </c>
      <c r="I828" s="34" t="str">
        <f>IFERROR((VLOOKUP(F828,'Planilha de Cadastro - Previsão'!$A$2:$N$1100,4,FALSE()))," ")</f>
        <v xml:space="preserve"> </v>
      </c>
      <c r="J828" s="34" t="str">
        <f>IFERROR((VLOOKUP(F828,'Planilha de Cadastro - Previsão'!$A$2:$N$1100,5,FALSE()))," ")</f>
        <v xml:space="preserve"> </v>
      </c>
      <c r="K828" s="36"/>
      <c r="L828" s="34" t="str">
        <f t="shared" si="52"/>
        <v/>
      </c>
      <c r="M828" s="35" t="str">
        <f t="shared" si="53"/>
        <v/>
      </c>
      <c r="N828" s="39"/>
      <c r="O828" s="36"/>
    </row>
    <row r="829" spans="1:15" x14ac:dyDescent="0.25">
      <c r="A829">
        <f>COUNTIF($C$2:C829,C829)</f>
        <v>828</v>
      </c>
      <c r="B829" s="1" t="str">
        <f t="shared" si="50"/>
        <v>828</v>
      </c>
      <c r="C829" s="1" t="str">
        <f>IFERROR(VLOOKUP(D829,'Planilha de Cadastro - Previsão'!$A$2:$O$1000,15,FALSE()),"")</f>
        <v/>
      </c>
      <c r="D829" s="1">
        <v>828</v>
      </c>
      <c r="F829" s="32" t="str">
        <f t="shared" si="51"/>
        <v/>
      </c>
      <c r="G829" s="33" t="str">
        <f>IFERROR((VLOOKUP(F829,'Planilha de Cadastro - Previsão'!$A$2:$N$1100,2,FALSE()))," ")</f>
        <v xml:space="preserve"> </v>
      </c>
      <c r="H829" s="32" t="str">
        <f>IFERROR((VLOOKUP(F829,'Planilha de Cadastro - Previsão'!$A$2:$N$1100,3,FALSE()))," ")</f>
        <v xml:space="preserve"> </v>
      </c>
      <c r="I829" s="34" t="str">
        <f>IFERROR((VLOOKUP(F829,'Planilha de Cadastro - Previsão'!$A$2:$N$1100,4,FALSE()))," ")</f>
        <v xml:space="preserve"> </v>
      </c>
      <c r="J829" s="34" t="str">
        <f>IFERROR((VLOOKUP(F829,'Planilha de Cadastro - Previsão'!$A$2:$N$1100,5,FALSE()))," ")</f>
        <v xml:space="preserve"> </v>
      </c>
      <c r="K829" s="36"/>
      <c r="L829" s="34" t="str">
        <f t="shared" si="52"/>
        <v/>
      </c>
      <c r="M829" s="35" t="str">
        <f t="shared" si="53"/>
        <v/>
      </c>
      <c r="N829" s="39"/>
      <c r="O829" s="36"/>
    </row>
    <row r="830" spans="1:15" x14ac:dyDescent="0.25">
      <c r="A830">
        <f>COUNTIF($C$2:C830,C830)</f>
        <v>829</v>
      </c>
      <c r="B830" s="1" t="str">
        <f t="shared" si="50"/>
        <v>829</v>
      </c>
      <c r="C830" s="1" t="str">
        <f>IFERROR(VLOOKUP(D830,'Planilha de Cadastro - Previsão'!$A$2:$O$1000,15,FALSE()),"")</f>
        <v/>
      </c>
      <c r="D830" s="1">
        <v>829</v>
      </c>
      <c r="F830" s="32" t="str">
        <f t="shared" si="51"/>
        <v/>
      </c>
      <c r="G830" s="33" t="str">
        <f>IFERROR((VLOOKUP(F830,'Planilha de Cadastro - Previsão'!$A$2:$N$1100,2,FALSE()))," ")</f>
        <v xml:space="preserve"> </v>
      </c>
      <c r="H830" s="32" t="str">
        <f>IFERROR((VLOOKUP(F830,'Planilha de Cadastro - Previsão'!$A$2:$N$1100,3,FALSE()))," ")</f>
        <v xml:space="preserve"> </v>
      </c>
      <c r="I830" s="34" t="str">
        <f>IFERROR((VLOOKUP(F830,'Planilha de Cadastro - Previsão'!$A$2:$N$1100,4,FALSE()))," ")</f>
        <v xml:space="preserve"> </v>
      </c>
      <c r="J830" s="34" t="str">
        <f>IFERROR((VLOOKUP(F830,'Planilha de Cadastro - Previsão'!$A$2:$N$1100,5,FALSE()))," ")</f>
        <v xml:space="preserve"> </v>
      </c>
      <c r="K830" s="36"/>
      <c r="L830" s="34" t="str">
        <f t="shared" si="52"/>
        <v/>
      </c>
      <c r="M830" s="35" t="str">
        <f t="shared" si="53"/>
        <v/>
      </c>
      <c r="N830" s="39"/>
      <c r="O830" s="36"/>
    </row>
    <row r="831" spans="1:15" x14ac:dyDescent="0.25">
      <c r="A831">
        <f>COUNTIF($C$2:C831,C831)</f>
        <v>830</v>
      </c>
      <c r="B831" s="1" t="str">
        <f t="shared" si="50"/>
        <v>830</v>
      </c>
      <c r="C831" s="1" t="str">
        <f>IFERROR(VLOOKUP(D831,'Planilha de Cadastro - Previsão'!$A$2:$O$1000,15,FALSE()),"")</f>
        <v/>
      </c>
      <c r="D831" s="1">
        <v>830</v>
      </c>
      <c r="F831" s="32" t="str">
        <f t="shared" si="51"/>
        <v/>
      </c>
      <c r="G831" s="33" t="str">
        <f>IFERROR((VLOOKUP(F831,'Planilha de Cadastro - Previsão'!$A$2:$N$1100,2,FALSE()))," ")</f>
        <v xml:space="preserve"> </v>
      </c>
      <c r="H831" s="32" t="str">
        <f>IFERROR((VLOOKUP(F831,'Planilha de Cadastro - Previsão'!$A$2:$N$1100,3,FALSE()))," ")</f>
        <v xml:space="preserve"> </v>
      </c>
      <c r="I831" s="34" t="str">
        <f>IFERROR((VLOOKUP(F831,'Planilha de Cadastro - Previsão'!$A$2:$N$1100,4,FALSE()))," ")</f>
        <v xml:space="preserve"> </v>
      </c>
      <c r="J831" s="34" t="str">
        <f>IFERROR((VLOOKUP(F831,'Planilha de Cadastro - Previsão'!$A$2:$N$1100,5,FALSE()))," ")</f>
        <v xml:space="preserve"> </v>
      </c>
      <c r="K831" s="36"/>
      <c r="L831" s="34" t="str">
        <f t="shared" si="52"/>
        <v/>
      </c>
      <c r="M831" s="35" t="str">
        <f t="shared" si="53"/>
        <v/>
      </c>
      <c r="N831" s="39"/>
      <c r="O831" s="36"/>
    </row>
    <row r="832" spans="1:15" x14ac:dyDescent="0.25">
      <c r="A832">
        <f>COUNTIF($C$2:C832,C832)</f>
        <v>831</v>
      </c>
      <c r="B832" s="1" t="str">
        <f t="shared" si="50"/>
        <v>831</v>
      </c>
      <c r="C832" s="1" t="str">
        <f>IFERROR(VLOOKUP(D832,'Planilha de Cadastro - Previsão'!$A$2:$O$1000,15,FALSE()),"")</f>
        <v/>
      </c>
      <c r="D832" s="1">
        <v>831</v>
      </c>
      <c r="F832" s="32" t="str">
        <f t="shared" si="51"/>
        <v/>
      </c>
      <c r="G832" s="33" t="str">
        <f>IFERROR((VLOOKUP(F832,'Planilha de Cadastro - Previsão'!$A$2:$N$1100,2,FALSE()))," ")</f>
        <v xml:space="preserve"> </v>
      </c>
      <c r="H832" s="32" t="str">
        <f>IFERROR((VLOOKUP(F832,'Planilha de Cadastro - Previsão'!$A$2:$N$1100,3,FALSE()))," ")</f>
        <v xml:space="preserve"> </v>
      </c>
      <c r="I832" s="34" t="str">
        <f>IFERROR((VLOOKUP(F832,'Planilha de Cadastro - Previsão'!$A$2:$N$1100,4,FALSE()))," ")</f>
        <v xml:space="preserve"> </v>
      </c>
      <c r="J832" s="34" t="str">
        <f>IFERROR((VLOOKUP(F832,'Planilha de Cadastro - Previsão'!$A$2:$N$1100,5,FALSE()))," ")</f>
        <v xml:space="preserve"> </v>
      </c>
      <c r="K832" s="36"/>
      <c r="L832" s="34" t="str">
        <f t="shared" si="52"/>
        <v/>
      </c>
      <c r="M832" s="35" t="str">
        <f t="shared" si="53"/>
        <v/>
      </c>
      <c r="N832" s="39"/>
      <c r="O832" s="36"/>
    </row>
    <row r="833" spans="1:15" x14ac:dyDescent="0.25">
      <c r="A833">
        <f>COUNTIF($C$2:C833,C833)</f>
        <v>832</v>
      </c>
      <c r="B833" s="1" t="str">
        <f t="shared" si="50"/>
        <v>832</v>
      </c>
      <c r="C833" s="1" t="str">
        <f>IFERROR(VLOOKUP(D833,'Planilha de Cadastro - Previsão'!$A$2:$O$1000,15,FALSE()),"")</f>
        <v/>
      </c>
      <c r="D833" s="1">
        <v>832</v>
      </c>
      <c r="F833" s="32" t="str">
        <f t="shared" si="51"/>
        <v/>
      </c>
      <c r="G833" s="33" t="str">
        <f>IFERROR((VLOOKUP(F833,'Planilha de Cadastro - Previsão'!$A$2:$N$1100,2,FALSE()))," ")</f>
        <v xml:space="preserve"> </v>
      </c>
      <c r="H833" s="32" t="str">
        <f>IFERROR((VLOOKUP(F833,'Planilha de Cadastro - Previsão'!$A$2:$N$1100,3,FALSE()))," ")</f>
        <v xml:space="preserve"> </v>
      </c>
      <c r="I833" s="34" t="str">
        <f>IFERROR((VLOOKUP(F833,'Planilha de Cadastro - Previsão'!$A$2:$N$1100,4,FALSE()))," ")</f>
        <v xml:space="preserve"> </v>
      </c>
      <c r="J833" s="34" t="str">
        <f>IFERROR((VLOOKUP(F833,'Planilha de Cadastro - Previsão'!$A$2:$N$1100,5,FALSE()))," ")</f>
        <v xml:space="preserve"> </v>
      </c>
      <c r="K833" s="36"/>
      <c r="L833" s="34" t="str">
        <f t="shared" si="52"/>
        <v/>
      </c>
      <c r="M833" s="35" t="str">
        <f t="shared" si="53"/>
        <v/>
      </c>
      <c r="N833" s="39"/>
      <c r="O833" s="36"/>
    </row>
    <row r="834" spans="1:15" x14ac:dyDescent="0.25">
      <c r="A834">
        <f>COUNTIF($C$2:C834,C834)</f>
        <v>833</v>
      </c>
      <c r="B834" s="1" t="str">
        <f t="shared" si="50"/>
        <v>833</v>
      </c>
      <c r="C834" s="1" t="str">
        <f>IFERROR(VLOOKUP(D834,'Planilha de Cadastro - Previsão'!$A$2:$O$1000,15,FALSE()),"")</f>
        <v/>
      </c>
      <c r="D834" s="1">
        <v>833</v>
      </c>
      <c r="F834" s="32" t="str">
        <f t="shared" si="51"/>
        <v/>
      </c>
      <c r="G834" s="33" t="str">
        <f>IFERROR((VLOOKUP(F834,'Planilha de Cadastro - Previsão'!$A$2:$N$1100,2,FALSE()))," ")</f>
        <v xml:space="preserve"> </v>
      </c>
      <c r="H834" s="32" t="str">
        <f>IFERROR((VLOOKUP(F834,'Planilha de Cadastro - Previsão'!$A$2:$N$1100,3,FALSE()))," ")</f>
        <v xml:space="preserve"> </v>
      </c>
      <c r="I834" s="34" t="str">
        <f>IFERROR((VLOOKUP(F834,'Planilha de Cadastro - Previsão'!$A$2:$N$1100,4,FALSE()))," ")</f>
        <v xml:space="preserve"> </v>
      </c>
      <c r="J834" s="34" t="str">
        <f>IFERROR((VLOOKUP(F834,'Planilha de Cadastro - Previsão'!$A$2:$N$1100,5,FALSE()))," ")</f>
        <v xml:space="preserve"> </v>
      </c>
      <c r="K834" s="36"/>
      <c r="L834" s="34" t="str">
        <f t="shared" si="52"/>
        <v/>
      </c>
      <c r="M834" s="35" t="str">
        <f t="shared" si="53"/>
        <v/>
      </c>
      <c r="N834" s="39"/>
      <c r="O834" s="36"/>
    </row>
    <row r="835" spans="1:15" x14ac:dyDescent="0.25">
      <c r="A835">
        <f>COUNTIF($C$2:C835,C835)</f>
        <v>834</v>
      </c>
      <c r="B835" s="1" t="str">
        <f t="shared" ref="B835:B898" si="54">IFERROR(CONCATENATE(C835,A835),"")</f>
        <v>834</v>
      </c>
      <c r="C835" s="1" t="str">
        <f>IFERROR(VLOOKUP(D835,'Planilha de Cadastro - Previsão'!$A$2:$O$1000,15,FALSE()),"")</f>
        <v/>
      </c>
      <c r="D835" s="1">
        <v>834</v>
      </c>
      <c r="F835" s="32" t="str">
        <f t="shared" ref="F835:F898" si="55">IFERROR((VLOOKUP(CONCATENATE("Sim",D835),$B$2:$D$1000,3,FALSE())),"")</f>
        <v/>
      </c>
      <c r="G835" s="33" t="str">
        <f>IFERROR((VLOOKUP(F835,'Planilha de Cadastro - Previsão'!$A$2:$N$1100,2,FALSE()))," ")</f>
        <v xml:space="preserve"> </v>
      </c>
      <c r="H835" s="32" t="str">
        <f>IFERROR((VLOOKUP(F835,'Planilha de Cadastro - Previsão'!$A$2:$N$1100,3,FALSE()))," ")</f>
        <v xml:space="preserve"> </v>
      </c>
      <c r="I835" s="34" t="str">
        <f>IFERROR((VLOOKUP(F835,'Planilha de Cadastro - Previsão'!$A$2:$N$1100,4,FALSE()))," ")</f>
        <v xml:space="preserve"> </v>
      </c>
      <c r="J835" s="34" t="str">
        <f>IFERROR((VLOOKUP(F835,'Planilha de Cadastro - Previsão'!$A$2:$N$1100,5,FALSE()))," ")</f>
        <v xml:space="preserve"> </v>
      </c>
      <c r="K835" s="36"/>
      <c r="L835" s="34" t="str">
        <f t="shared" ref="L835:L898" si="56">IF(K835&gt;0,(K835*H835)-(I835*H835)-(K835*H835*4%),"")</f>
        <v/>
      </c>
      <c r="M835" s="35" t="str">
        <f t="shared" ref="M835:M898" si="57">IFERROR(L835/(K835*H835),"")</f>
        <v/>
      </c>
      <c r="N835" s="39"/>
      <c r="O835" s="36"/>
    </row>
    <row r="836" spans="1:15" x14ac:dyDescent="0.25">
      <c r="A836">
        <f>COUNTIF($C$2:C836,C836)</f>
        <v>835</v>
      </c>
      <c r="B836" s="1" t="str">
        <f t="shared" si="54"/>
        <v>835</v>
      </c>
      <c r="C836" s="1" t="str">
        <f>IFERROR(VLOOKUP(D836,'Planilha de Cadastro - Previsão'!$A$2:$O$1000,15,FALSE()),"")</f>
        <v/>
      </c>
      <c r="D836" s="1">
        <v>835</v>
      </c>
      <c r="F836" s="32" t="str">
        <f t="shared" si="55"/>
        <v/>
      </c>
      <c r="G836" s="33" t="str">
        <f>IFERROR((VLOOKUP(F836,'Planilha de Cadastro - Previsão'!$A$2:$N$1100,2,FALSE()))," ")</f>
        <v xml:space="preserve"> </v>
      </c>
      <c r="H836" s="32" t="str">
        <f>IFERROR((VLOOKUP(F836,'Planilha de Cadastro - Previsão'!$A$2:$N$1100,3,FALSE()))," ")</f>
        <v xml:space="preserve"> </v>
      </c>
      <c r="I836" s="34" t="str">
        <f>IFERROR((VLOOKUP(F836,'Planilha de Cadastro - Previsão'!$A$2:$N$1100,4,FALSE()))," ")</f>
        <v xml:space="preserve"> </v>
      </c>
      <c r="J836" s="34" t="str">
        <f>IFERROR((VLOOKUP(F836,'Planilha de Cadastro - Previsão'!$A$2:$N$1100,5,FALSE()))," ")</f>
        <v xml:space="preserve"> </v>
      </c>
      <c r="K836" s="36"/>
      <c r="L836" s="34" t="str">
        <f t="shared" si="56"/>
        <v/>
      </c>
      <c r="M836" s="35" t="str">
        <f t="shared" si="57"/>
        <v/>
      </c>
      <c r="N836" s="39"/>
      <c r="O836" s="36"/>
    </row>
    <row r="837" spans="1:15" x14ac:dyDescent="0.25">
      <c r="A837">
        <f>COUNTIF($C$2:C837,C837)</f>
        <v>836</v>
      </c>
      <c r="B837" s="1" t="str">
        <f t="shared" si="54"/>
        <v>836</v>
      </c>
      <c r="C837" s="1" t="str">
        <f>IFERROR(VLOOKUP(D837,'Planilha de Cadastro - Previsão'!$A$2:$O$1000,15,FALSE()),"")</f>
        <v/>
      </c>
      <c r="D837" s="1">
        <v>836</v>
      </c>
      <c r="F837" s="32" t="str">
        <f t="shared" si="55"/>
        <v/>
      </c>
      <c r="G837" s="33" t="str">
        <f>IFERROR((VLOOKUP(F837,'Planilha de Cadastro - Previsão'!$A$2:$N$1100,2,FALSE()))," ")</f>
        <v xml:space="preserve"> </v>
      </c>
      <c r="H837" s="32" t="str">
        <f>IFERROR((VLOOKUP(F837,'Planilha de Cadastro - Previsão'!$A$2:$N$1100,3,FALSE()))," ")</f>
        <v xml:space="preserve"> </v>
      </c>
      <c r="I837" s="34" t="str">
        <f>IFERROR((VLOOKUP(F837,'Planilha de Cadastro - Previsão'!$A$2:$N$1100,4,FALSE()))," ")</f>
        <v xml:space="preserve"> </v>
      </c>
      <c r="J837" s="34" t="str">
        <f>IFERROR((VLOOKUP(F837,'Planilha de Cadastro - Previsão'!$A$2:$N$1100,5,FALSE()))," ")</f>
        <v xml:space="preserve"> </v>
      </c>
      <c r="K837" s="36"/>
      <c r="L837" s="34" t="str">
        <f t="shared" si="56"/>
        <v/>
      </c>
      <c r="M837" s="35" t="str">
        <f t="shared" si="57"/>
        <v/>
      </c>
      <c r="N837" s="39"/>
      <c r="O837" s="36"/>
    </row>
    <row r="838" spans="1:15" x14ac:dyDescent="0.25">
      <c r="A838">
        <f>COUNTIF($C$2:C838,C838)</f>
        <v>837</v>
      </c>
      <c r="B838" s="1" t="str">
        <f t="shared" si="54"/>
        <v>837</v>
      </c>
      <c r="C838" s="1" t="str">
        <f>IFERROR(VLOOKUP(D838,'Planilha de Cadastro - Previsão'!$A$2:$O$1000,15,FALSE()),"")</f>
        <v/>
      </c>
      <c r="D838" s="1">
        <v>837</v>
      </c>
      <c r="F838" s="32" t="str">
        <f t="shared" si="55"/>
        <v/>
      </c>
      <c r="G838" s="33" t="str">
        <f>IFERROR((VLOOKUP(F838,'Planilha de Cadastro - Previsão'!$A$2:$N$1100,2,FALSE()))," ")</f>
        <v xml:space="preserve"> </v>
      </c>
      <c r="H838" s="32" t="str">
        <f>IFERROR((VLOOKUP(F838,'Planilha de Cadastro - Previsão'!$A$2:$N$1100,3,FALSE()))," ")</f>
        <v xml:space="preserve"> </v>
      </c>
      <c r="I838" s="34" t="str">
        <f>IFERROR((VLOOKUP(F838,'Planilha de Cadastro - Previsão'!$A$2:$N$1100,4,FALSE()))," ")</f>
        <v xml:space="preserve"> </v>
      </c>
      <c r="J838" s="34" t="str">
        <f>IFERROR((VLOOKUP(F838,'Planilha de Cadastro - Previsão'!$A$2:$N$1100,5,FALSE()))," ")</f>
        <v xml:space="preserve"> </v>
      </c>
      <c r="K838" s="36"/>
      <c r="L838" s="34" t="str">
        <f t="shared" si="56"/>
        <v/>
      </c>
      <c r="M838" s="35" t="str">
        <f t="shared" si="57"/>
        <v/>
      </c>
      <c r="N838" s="39"/>
      <c r="O838" s="36"/>
    </row>
    <row r="839" spans="1:15" x14ac:dyDescent="0.25">
      <c r="A839">
        <f>COUNTIF($C$2:C839,C839)</f>
        <v>838</v>
      </c>
      <c r="B839" s="1" t="str">
        <f t="shared" si="54"/>
        <v>838</v>
      </c>
      <c r="C839" s="1" t="str">
        <f>IFERROR(VLOOKUP(D839,'Planilha de Cadastro - Previsão'!$A$2:$O$1000,15,FALSE()),"")</f>
        <v/>
      </c>
      <c r="D839" s="1">
        <v>838</v>
      </c>
      <c r="F839" s="32" t="str">
        <f t="shared" si="55"/>
        <v/>
      </c>
      <c r="G839" s="33" t="str">
        <f>IFERROR((VLOOKUP(F839,'Planilha de Cadastro - Previsão'!$A$2:$N$1100,2,FALSE()))," ")</f>
        <v xml:space="preserve"> </v>
      </c>
      <c r="H839" s="32" t="str">
        <f>IFERROR((VLOOKUP(F839,'Planilha de Cadastro - Previsão'!$A$2:$N$1100,3,FALSE()))," ")</f>
        <v xml:space="preserve"> </v>
      </c>
      <c r="I839" s="34" t="str">
        <f>IFERROR((VLOOKUP(F839,'Planilha de Cadastro - Previsão'!$A$2:$N$1100,4,FALSE()))," ")</f>
        <v xml:space="preserve"> </v>
      </c>
      <c r="J839" s="34" t="str">
        <f>IFERROR((VLOOKUP(F839,'Planilha de Cadastro - Previsão'!$A$2:$N$1100,5,FALSE()))," ")</f>
        <v xml:space="preserve"> </v>
      </c>
      <c r="K839" s="36"/>
      <c r="L839" s="34" t="str">
        <f t="shared" si="56"/>
        <v/>
      </c>
      <c r="M839" s="35" t="str">
        <f t="shared" si="57"/>
        <v/>
      </c>
      <c r="N839" s="39"/>
      <c r="O839" s="36"/>
    </row>
    <row r="840" spans="1:15" x14ac:dyDescent="0.25">
      <c r="A840">
        <f>COUNTIF($C$2:C840,C840)</f>
        <v>839</v>
      </c>
      <c r="B840" s="1" t="str">
        <f t="shared" si="54"/>
        <v>839</v>
      </c>
      <c r="C840" s="1" t="str">
        <f>IFERROR(VLOOKUP(D840,'Planilha de Cadastro - Previsão'!$A$2:$O$1000,15,FALSE()),"")</f>
        <v/>
      </c>
      <c r="D840" s="1">
        <v>839</v>
      </c>
      <c r="F840" s="32" t="str">
        <f t="shared" si="55"/>
        <v/>
      </c>
      <c r="G840" s="33" t="str">
        <f>IFERROR((VLOOKUP(F840,'Planilha de Cadastro - Previsão'!$A$2:$N$1100,2,FALSE()))," ")</f>
        <v xml:space="preserve"> </v>
      </c>
      <c r="H840" s="32" t="str">
        <f>IFERROR((VLOOKUP(F840,'Planilha de Cadastro - Previsão'!$A$2:$N$1100,3,FALSE()))," ")</f>
        <v xml:space="preserve"> </v>
      </c>
      <c r="I840" s="34" t="str">
        <f>IFERROR((VLOOKUP(F840,'Planilha de Cadastro - Previsão'!$A$2:$N$1100,4,FALSE()))," ")</f>
        <v xml:space="preserve"> </v>
      </c>
      <c r="J840" s="34" t="str">
        <f>IFERROR((VLOOKUP(F840,'Planilha de Cadastro - Previsão'!$A$2:$N$1100,5,FALSE()))," ")</f>
        <v xml:space="preserve"> </v>
      </c>
      <c r="K840" s="36"/>
      <c r="L840" s="34" t="str">
        <f t="shared" si="56"/>
        <v/>
      </c>
      <c r="M840" s="35" t="str">
        <f t="shared" si="57"/>
        <v/>
      </c>
      <c r="N840" s="39"/>
      <c r="O840" s="36"/>
    </row>
    <row r="841" spans="1:15" x14ac:dyDescent="0.25">
      <c r="A841">
        <f>COUNTIF($C$2:C841,C841)</f>
        <v>840</v>
      </c>
      <c r="B841" s="1" t="str">
        <f t="shared" si="54"/>
        <v>840</v>
      </c>
      <c r="C841" s="1" t="str">
        <f>IFERROR(VLOOKUP(D841,'Planilha de Cadastro - Previsão'!$A$2:$O$1000,15,FALSE()),"")</f>
        <v/>
      </c>
      <c r="D841" s="1">
        <v>840</v>
      </c>
      <c r="F841" s="32" t="str">
        <f t="shared" si="55"/>
        <v/>
      </c>
      <c r="G841" s="33" t="str">
        <f>IFERROR((VLOOKUP(F841,'Planilha de Cadastro - Previsão'!$A$2:$N$1100,2,FALSE()))," ")</f>
        <v xml:space="preserve"> </v>
      </c>
      <c r="H841" s="32" t="str">
        <f>IFERROR((VLOOKUP(F841,'Planilha de Cadastro - Previsão'!$A$2:$N$1100,3,FALSE()))," ")</f>
        <v xml:space="preserve"> </v>
      </c>
      <c r="I841" s="34" t="str">
        <f>IFERROR((VLOOKUP(F841,'Planilha de Cadastro - Previsão'!$A$2:$N$1100,4,FALSE()))," ")</f>
        <v xml:space="preserve"> </v>
      </c>
      <c r="J841" s="34" t="str">
        <f>IFERROR((VLOOKUP(F841,'Planilha de Cadastro - Previsão'!$A$2:$N$1100,5,FALSE()))," ")</f>
        <v xml:space="preserve"> </v>
      </c>
      <c r="K841" s="36"/>
      <c r="L841" s="34" t="str">
        <f t="shared" si="56"/>
        <v/>
      </c>
      <c r="M841" s="35" t="str">
        <f t="shared" si="57"/>
        <v/>
      </c>
      <c r="N841" s="39"/>
      <c r="O841" s="36"/>
    </row>
    <row r="842" spans="1:15" x14ac:dyDescent="0.25">
      <c r="A842">
        <f>COUNTIF($C$2:C842,C842)</f>
        <v>841</v>
      </c>
      <c r="B842" s="1" t="str">
        <f t="shared" si="54"/>
        <v>841</v>
      </c>
      <c r="C842" s="1" t="str">
        <f>IFERROR(VLOOKUP(D842,'Planilha de Cadastro - Previsão'!$A$2:$O$1000,15,FALSE()),"")</f>
        <v/>
      </c>
      <c r="D842" s="1">
        <v>841</v>
      </c>
      <c r="F842" s="32" t="str">
        <f t="shared" si="55"/>
        <v/>
      </c>
      <c r="G842" s="33" t="str">
        <f>IFERROR((VLOOKUP(F842,'Planilha de Cadastro - Previsão'!$A$2:$N$1100,2,FALSE()))," ")</f>
        <v xml:space="preserve"> </v>
      </c>
      <c r="H842" s="32" t="str">
        <f>IFERROR((VLOOKUP(F842,'Planilha de Cadastro - Previsão'!$A$2:$N$1100,3,FALSE()))," ")</f>
        <v xml:space="preserve"> </v>
      </c>
      <c r="I842" s="34" t="str">
        <f>IFERROR((VLOOKUP(F842,'Planilha de Cadastro - Previsão'!$A$2:$N$1100,4,FALSE()))," ")</f>
        <v xml:space="preserve"> </v>
      </c>
      <c r="J842" s="34" t="str">
        <f>IFERROR((VLOOKUP(F842,'Planilha de Cadastro - Previsão'!$A$2:$N$1100,5,FALSE()))," ")</f>
        <v xml:space="preserve"> </v>
      </c>
      <c r="K842" s="36"/>
      <c r="L842" s="34" t="str">
        <f t="shared" si="56"/>
        <v/>
      </c>
      <c r="M842" s="35" t="str">
        <f t="shared" si="57"/>
        <v/>
      </c>
      <c r="N842" s="39"/>
      <c r="O842" s="36"/>
    </row>
    <row r="843" spans="1:15" x14ac:dyDescent="0.25">
      <c r="A843">
        <f>COUNTIF($C$2:C843,C843)</f>
        <v>842</v>
      </c>
      <c r="B843" s="1" t="str">
        <f t="shared" si="54"/>
        <v>842</v>
      </c>
      <c r="C843" s="1" t="str">
        <f>IFERROR(VLOOKUP(D843,'Planilha de Cadastro - Previsão'!$A$2:$O$1000,15,FALSE()),"")</f>
        <v/>
      </c>
      <c r="D843" s="1">
        <v>842</v>
      </c>
      <c r="F843" s="32" t="str">
        <f t="shared" si="55"/>
        <v/>
      </c>
      <c r="G843" s="33" t="str">
        <f>IFERROR((VLOOKUP(F843,'Planilha de Cadastro - Previsão'!$A$2:$N$1100,2,FALSE()))," ")</f>
        <v xml:space="preserve"> </v>
      </c>
      <c r="H843" s="32" t="str">
        <f>IFERROR((VLOOKUP(F843,'Planilha de Cadastro - Previsão'!$A$2:$N$1100,3,FALSE()))," ")</f>
        <v xml:space="preserve"> </v>
      </c>
      <c r="I843" s="34" t="str">
        <f>IFERROR((VLOOKUP(F843,'Planilha de Cadastro - Previsão'!$A$2:$N$1100,4,FALSE()))," ")</f>
        <v xml:space="preserve"> </v>
      </c>
      <c r="J843" s="34" t="str">
        <f>IFERROR((VLOOKUP(F843,'Planilha de Cadastro - Previsão'!$A$2:$N$1100,5,FALSE()))," ")</f>
        <v xml:space="preserve"> </v>
      </c>
      <c r="K843" s="36"/>
      <c r="L843" s="34" t="str">
        <f t="shared" si="56"/>
        <v/>
      </c>
      <c r="M843" s="35" t="str">
        <f t="shared" si="57"/>
        <v/>
      </c>
      <c r="N843" s="39"/>
      <c r="O843" s="36"/>
    </row>
    <row r="844" spans="1:15" x14ac:dyDescent="0.25">
      <c r="A844">
        <f>COUNTIF($C$2:C844,C844)</f>
        <v>843</v>
      </c>
      <c r="B844" s="1" t="str">
        <f t="shared" si="54"/>
        <v>843</v>
      </c>
      <c r="C844" s="1" t="str">
        <f>IFERROR(VLOOKUP(D844,'Planilha de Cadastro - Previsão'!$A$2:$O$1000,15,FALSE()),"")</f>
        <v/>
      </c>
      <c r="D844" s="1">
        <v>843</v>
      </c>
      <c r="F844" s="32" t="str">
        <f t="shared" si="55"/>
        <v/>
      </c>
      <c r="G844" s="33" t="str">
        <f>IFERROR((VLOOKUP(F844,'Planilha de Cadastro - Previsão'!$A$2:$N$1100,2,FALSE()))," ")</f>
        <v xml:space="preserve"> </v>
      </c>
      <c r="H844" s="32" t="str">
        <f>IFERROR((VLOOKUP(F844,'Planilha de Cadastro - Previsão'!$A$2:$N$1100,3,FALSE()))," ")</f>
        <v xml:space="preserve"> </v>
      </c>
      <c r="I844" s="34" t="str">
        <f>IFERROR((VLOOKUP(F844,'Planilha de Cadastro - Previsão'!$A$2:$N$1100,4,FALSE()))," ")</f>
        <v xml:space="preserve"> </v>
      </c>
      <c r="J844" s="34" t="str">
        <f>IFERROR((VLOOKUP(F844,'Planilha de Cadastro - Previsão'!$A$2:$N$1100,5,FALSE()))," ")</f>
        <v xml:space="preserve"> </v>
      </c>
      <c r="K844" s="36"/>
      <c r="L844" s="34" t="str">
        <f t="shared" si="56"/>
        <v/>
      </c>
      <c r="M844" s="35" t="str">
        <f t="shared" si="57"/>
        <v/>
      </c>
      <c r="N844" s="39"/>
      <c r="O844" s="36"/>
    </row>
    <row r="845" spans="1:15" x14ac:dyDescent="0.25">
      <c r="A845">
        <f>COUNTIF($C$2:C845,C845)</f>
        <v>844</v>
      </c>
      <c r="B845" s="1" t="str">
        <f t="shared" si="54"/>
        <v>844</v>
      </c>
      <c r="C845" s="1" t="str">
        <f>IFERROR(VLOOKUP(D845,'Planilha de Cadastro - Previsão'!$A$2:$O$1000,15,FALSE()),"")</f>
        <v/>
      </c>
      <c r="D845" s="1">
        <v>844</v>
      </c>
      <c r="F845" s="32" t="str">
        <f t="shared" si="55"/>
        <v/>
      </c>
      <c r="G845" s="33" t="str">
        <f>IFERROR((VLOOKUP(F845,'Planilha de Cadastro - Previsão'!$A$2:$N$1100,2,FALSE()))," ")</f>
        <v xml:space="preserve"> </v>
      </c>
      <c r="H845" s="32" t="str">
        <f>IFERROR((VLOOKUP(F845,'Planilha de Cadastro - Previsão'!$A$2:$N$1100,3,FALSE()))," ")</f>
        <v xml:space="preserve"> </v>
      </c>
      <c r="I845" s="34" t="str">
        <f>IFERROR((VLOOKUP(F845,'Planilha de Cadastro - Previsão'!$A$2:$N$1100,4,FALSE()))," ")</f>
        <v xml:space="preserve"> </v>
      </c>
      <c r="J845" s="34" t="str">
        <f>IFERROR((VLOOKUP(F845,'Planilha de Cadastro - Previsão'!$A$2:$N$1100,5,FALSE()))," ")</f>
        <v xml:space="preserve"> </v>
      </c>
      <c r="K845" s="36"/>
      <c r="L845" s="34" t="str">
        <f t="shared" si="56"/>
        <v/>
      </c>
      <c r="M845" s="35" t="str">
        <f t="shared" si="57"/>
        <v/>
      </c>
      <c r="N845" s="39"/>
      <c r="O845" s="36"/>
    </row>
    <row r="846" spans="1:15" x14ac:dyDescent="0.25">
      <c r="A846">
        <f>COUNTIF($C$2:C846,C846)</f>
        <v>845</v>
      </c>
      <c r="B846" s="1" t="str">
        <f t="shared" si="54"/>
        <v>845</v>
      </c>
      <c r="C846" s="1" t="str">
        <f>IFERROR(VLOOKUP(D846,'Planilha de Cadastro - Previsão'!$A$2:$O$1000,15,FALSE()),"")</f>
        <v/>
      </c>
      <c r="D846" s="1">
        <v>845</v>
      </c>
      <c r="F846" s="32" t="str">
        <f t="shared" si="55"/>
        <v/>
      </c>
      <c r="G846" s="33" t="str">
        <f>IFERROR((VLOOKUP(F846,'Planilha de Cadastro - Previsão'!$A$2:$N$1100,2,FALSE()))," ")</f>
        <v xml:space="preserve"> </v>
      </c>
      <c r="H846" s="32" t="str">
        <f>IFERROR((VLOOKUP(F846,'Planilha de Cadastro - Previsão'!$A$2:$N$1100,3,FALSE()))," ")</f>
        <v xml:space="preserve"> </v>
      </c>
      <c r="I846" s="34" t="str">
        <f>IFERROR((VLOOKUP(F846,'Planilha de Cadastro - Previsão'!$A$2:$N$1100,4,FALSE()))," ")</f>
        <v xml:space="preserve"> </v>
      </c>
      <c r="J846" s="34" t="str">
        <f>IFERROR((VLOOKUP(F846,'Planilha de Cadastro - Previsão'!$A$2:$N$1100,5,FALSE()))," ")</f>
        <v xml:space="preserve"> </v>
      </c>
      <c r="K846" s="36"/>
      <c r="L846" s="34" t="str">
        <f t="shared" si="56"/>
        <v/>
      </c>
      <c r="M846" s="35" t="str">
        <f t="shared" si="57"/>
        <v/>
      </c>
      <c r="N846" s="39"/>
      <c r="O846" s="36"/>
    </row>
    <row r="847" spans="1:15" x14ac:dyDescent="0.25">
      <c r="A847">
        <f>COUNTIF($C$2:C847,C847)</f>
        <v>846</v>
      </c>
      <c r="B847" s="1" t="str">
        <f t="shared" si="54"/>
        <v>846</v>
      </c>
      <c r="C847" s="1" t="str">
        <f>IFERROR(VLOOKUP(D847,'Planilha de Cadastro - Previsão'!$A$2:$O$1000,15,FALSE()),"")</f>
        <v/>
      </c>
      <c r="D847" s="1">
        <v>846</v>
      </c>
      <c r="F847" s="32" t="str">
        <f t="shared" si="55"/>
        <v/>
      </c>
      <c r="G847" s="33" t="str">
        <f>IFERROR((VLOOKUP(F847,'Planilha de Cadastro - Previsão'!$A$2:$N$1100,2,FALSE()))," ")</f>
        <v xml:space="preserve"> </v>
      </c>
      <c r="H847" s="32" t="str">
        <f>IFERROR((VLOOKUP(F847,'Planilha de Cadastro - Previsão'!$A$2:$N$1100,3,FALSE()))," ")</f>
        <v xml:space="preserve"> </v>
      </c>
      <c r="I847" s="34" t="str">
        <f>IFERROR((VLOOKUP(F847,'Planilha de Cadastro - Previsão'!$A$2:$N$1100,4,FALSE()))," ")</f>
        <v xml:space="preserve"> </v>
      </c>
      <c r="J847" s="34" t="str">
        <f>IFERROR((VLOOKUP(F847,'Planilha de Cadastro - Previsão'!$A$2:$N$1100,5,FALSE()))," ")</f>
        <v xml:space="preserve"> </v>
      </c>
      <c r="K847" s="36"/>
      <c r="L847" s="34" t="str">
        <f t="shared" si="56"/>
        <v/>
      </c>
      <c r="M847" s="35" t="str">
        <f t="shared" si="57"/>
        <v/>
      </c>
      <c r="N847" s="39"/>
      <c r="O847" s="36"/>
    </row>
    <row r="848" spans="1:15" x14ac:dyDescent="0.25">
      <c r="A848">
        <f>COUNTIF($C$2:C848,C848)</f>
        <v>847</v>
      </c>
      <c r="B848" s="1" t="str">
        <f t="shared" si="54"/>
        <v>847</v>
      </c>
      <c r="C848" s="1" t="str">
        <f>IFERROR(VLOOKUP(D848,'Planilha de Cadastro - Previsão'!$A$2:$O$1000,15,FALSE()),"")</f>
        <v/>
      </c>
      <c r="D848" s="1">
        <v>847</v>
      </c>
      <c r="F848" s="32" t="str">
        <f t="shared" si="55"/>
        <v/>
      </c>
      <c r="G848" s="33" t="str">
        <f>IFERROR((VLOOKUP(F848,'Planilha de Cadastro - Previsão'!$A$2:$N$1100,2,FALSE()))," ")</f>
        <v xml:space="preserve"> </v>
      </c>
      <c r="H848" s="32" t="str">
        <f>IFERROR((VLOOKUP(F848,'Planilha de Cadastro - Previsão'!$A$2:$N$1100,3,FALSE()))," ")</f>
        <v xml:space="preserve"> </v>
      </c>
      <c r="I848" s="34" t="str">
        <f>IFERROR((VLOOKUP(F848,'Planilha de Cadastro - Previsão'!$A$2:$N$1100,4,FALSE()))," ")</f>
        <v xml:space="preserve"> </v>
      </c>
      <c r="J848" s="34" t="str">
        <f>IFERROR((VLOOKUP(F848,'Planilha de Cadastro - Previsão'!$A$2:$N$1100,5,FALSE()))," ")</f>
        <v xml:space="preserve"> </v>
      </c>
      <c r="K848" s="36"/>
      <c r="L848" s="34" t="str">
        <f t="shared" si="56"/>
        <v/>
      </c>
      <c r="M848" s="35" t="str">
        <f t="shared" si="57"/>
        <v/>
      </c>
      <c r="N848" s="39"/>
      <c r="O848" s="36"/>
    </row>
    <row r="849" spans="1:15" x14ac:dyDescent="0.25">
      <c r="A849">
        <f>COUNTIF($C$2:C849,C849)</f>
        <v>848</v>
      </c>
      <c r="B849" s="1" t="str">
        <f t="shared" si="54"/>
        <v>848</v>
      </c>
      <c r="C849" s="1" t="str">
        <f>IFERROR(VLOOKUP(D849,'Planilha de Cadastro - Previsão'!$A$2:$O$1000,15,FALSE()),"")</f>
        <v/>
      </c>
      <c r="D849" s="1">
        <v>848</v>
      </c>
      <c r="F849" s="32" t="str">
        <f t="shared" si="55"/>
        <v/>
      </c>
      <c r="G849" s="33" t="str">
        <f>IFERROR((VLOOKUP(F849,'Planilha de Cadastro - Previsão'!$A$2:$N$1100,2,FALSE()))," ")</f>
        <v xml:space="preserve"> </v>
      </c>
      <c r="H849" s="32" t="str">
        <f>IFERROR((VLOOKUP(F849,'Planilha de Cadastro - Previsão'!$A$2:$N$1100,3,FALSE()))," ")</f>
        <v xml:space="preserve"> </v>
      </c>
      <c r="I849" s="34" t="str">
        <f>IFERROR((VLOOKUP(F849,'Planilha de Cadastro - Previsão'!$A$2:$N$1100,4,FALSE()))," ")</f>
        <v xml:space="preserve"> </v>
      </c>
      <c r="J849" s="34" t="str">
        <f>IFERROR((VLOOKUP(F849,'Planilha de Cadastro - Previsão'!$A$2:$N$1100,5,FALSE()))," ")</f>
        <v xml:space="preserve"> </v>
      </c>
      <c r="K849" s="36"/>
      <c r="L849" s="34" t="str">
        <f t="shared" si="56"/>
        <v/>
      </c>
      <c r="M849" s="35" t="str">
        <f t="shared" si="57"/>
        <v/>
      </c>
      <c r="N849" s="39"/>
      <c r="O849" s="36"/>
    </row>
    <row r="850" spans="1:15" x14ac:dyDescent="0.25">
      <c r="A850">
        <f>COUNTIF($C$2:C850,C850)</f>
        <v>849</v>
      </c>
      <c r="B850" s="1" t="str">
        <f t="shared" si="54"/>
        <v>849</v>
      </c>
      <c r="C850" s="1" t="str">
        <f>IFERROR(VLOOKUP(D850,'Planilha de Cadastro - Previsão'!$A$2:$O$1000,15,FALSE()),"")</f>
        <v/>
      </c>
      <c r="D850" s="1">
        <v>849</v>
      </c>
      <c r="F850" s="32" t="str">
        <f t="shared" si="55"/>
        <v/>
      </c>
      <c r="G850" s="33" t="str">
        <f>IFERROR((VLOOKUP(F850,'Planilha de Cadastro - Previsão'!$A$2:$N$1100,2,FALSE()))," ")</f>
        <v xml:space="preserve"> </v>
      </c>
      <c r="H850" s="32" t="str">
        <f>IFERROR((VLOOKUP(F850,'Planilha de Cadastro - Previsão'!$A$2:$N$1100,3,FALSE()))," ")</f>
        <v xml:space="preserve"> </v>
      </c>
      <c r="I850" s="34" t="str">
        <f>IFERROR((VLOOKUP(F850,'Planilha de Cadastro - Previsão'!$A$2:$N$1100,4,FALSE()))," ")</f>
        <v xml:space="preserve"> </v>
      </c>
      <c r="J850" s="34" t="str">
        <f>IFERROR((VLOOKUP(F850,'Planilha de Cadastro - Previsão'!$A$2:$N$1100,5,FALSE()))," ")</f>
        <v xml:space="preserve"> </v>
      </c>
      <c r="K850" s="36"/>
      <c r="L850" s="34" t="str">
        <f t="shared" si="56"/>
        <v/>
      </c>
      <c r="M850" s="35" t="str">
        <f t="shared" si="57"/>
        <v/>
      </c>
      <c r="N850" s="39"/>
      <c r="O850" s="36"/>
    </row>
    <row r="851" spans="1:15" x14ac:dyDescent="0.25">
      <c r="A851">
        <f>COUNTIF($C$2:C851,C851)</f>
        <v>850</v>
      </c>
      <c r="B851" s="1" t="str">
        <f t="shared" si="54"/>
        <v>850</v>
      </c>
      <c r="C851" s="1" t="str">
        <f>IFERROR(VLOOKUP(D851,'Planilha de Cadastro - Previsão'!$A$2:$O$1000,15,FALSE()),"")</f>
        <v/>
      </c>
      <c r="D851" s="1">
        <v>850</v>
      </c>
      <c r="F851" s="32" t="str">
        <f t="shared" si="55"/>
        <v/>
      </c>
      <c r="G851" s="33" t="str">
        <f>IFERROR((VLOOKUP(F851,'Planilha de Cadastro - Previsão'!$A$2:$N$1100,2,FALSE()))," ")</f>
        <v xml:space="preserve"> </v>
      </c>
      <c r="H851" s="32" t="str">
        <f>IFERROR((VLOOKUP(F851,'Planilha de Cadastro - Previsão'!$A$2:$N$1100,3,FALSE()))," ")</f>
        <v xml:space="preserve"> </v>
      </c>
      <c r="I851" s="34" t="str">
        <f>IFERROR((VLOOKUP(F851,'Planilha de Cadastro - Previsão'!$A$2:$N$1100,4,FALSE()))," ")</f>
        <v xml:space="preserve"> </v>
      </c>
      <c r="J851" s="34" t="str">
        <f>IFERROR((VLOOKUP(F851,'Planilha de Cadastro - Previsão'!$A$2:$N$1100,5,FALSE()))," ")</f>
        <v xml:space="preserve"> </v>
      </c>
      <c r="K851" s="36"/>
      <c r="L851" s="34" t="str">
        <f t="shared" si="56"/>
        <v/>
      </c>
      <c r="M851" s="35" t="str">
        <f t="shared" si="57"/>
        <v/>
      </c>
      <c r="N851" s="39"/>
      <c r="O851" s="36"/>
    </row>
    <row r="852" spans="1:15" x14ac:dyDescent="0.25">
      <c r="A852">
        <f>COUNTIF($C$2:C852,C852)</f>
        <v>851</v>
      </c>
      <c r="B852" s="1" t="str">
        <f t="shared" si="54"/>
        <v>851</v>
      </c>
      <c r="C852" s="1" t="str">
        <f>IFERROR(VLOOKUP(D852,'Planilha de Cadastro - Previsão'!$A$2:$O$1000,15,FALSE()),"")</f>
        <v/>
      </c>
      <c r="D852" s="1">
        <v>851</v>
      </c>
      <c r="F852" s="32" t="str">
        <f t="shared" si="55"/>
        <v/>
      </c>
      <c r="G852" s="33" t="str">
        <f>IFERROR((VLOOKUP(F852,'Planilha de Cadastro - Previsão'!$A$2:$N$1100,2,FALSE()))," ")</f>
        <v xml:space="preserve"> </v>
      </c>
      <c r="H852" s="32" t="str">
        <f>IFERROR((VLOOKUP(F852,'Planilha de Cadastro - Previsão'!$A$2:$N$1100,3,FALSE()))," ")</f>
        <v xml:space="preserve"> </v>
      </c>
      <c r="I852" s="34" t="str">
        <f>IFERROR((VLOOKUP(F852,'Planilha de Cadastro - Previsão'!$A$2:$N$1100,4,FALSE()))," ")</f>
        <v xml:space="preserve"> </v>
      </c>
      <c r="J852" s="34" t="str">
        <f>IFERROR((VLOOKUP(F852,'Planilha de Cadastro - Previsão'!$A$2:$N$1100,5,FALSE()))," ")</f>
        <v xml:space="preserve"> </v>
      </c>
      <c r="K852" s="36"/>
      <c r="L852" s="34" t="str">
        <f t="shared" si="56"/>
        <v/>
      </c>
      <c r="M852" s="35" t="str">
        <f t="shared" si="57"/>
        <v/>
      </c>
      <c r="N852" s="39"/>
      <c r="O852" s="36"/>
    </row>
    <row r="853" spans="1:15" x14ac:dyDescent="0.25">
      <c r="A853">
        <f>COUNTIF($C$2:C853,C853)</f>
        <v>852</v>
      </c>
      <c r="B853" s="1" t="str">
        <f t="shared" si="54"/>
        <v>852</v>
      </c>
      <c r="C853" s="1" t="str">
        <f>IFERROR(VLOOKUP(D853,'Planilha de Cadastro - Previsão'!$A$2:$O$1000,15,FALSE()),"")</f>
        <v/>
      </c>
      <c r="D853" s="1">
        <v>852</v>
      </c>
      <c r="F853" s="32" t="str">
        <f t="shared" si="55"/>
        <v/>
      </c>
      <c r="G853" s="33" t="str">
        <f>IFERROR((VLOOKUP(F853,'Planilha de Cadastro - Previsão'!$A$2:$N$1100,2,FALSE()))," ")</f>
        <v xml:space="preserve"> </v>
      </c>
      <c r="H853" s="32" t="str">
        <f>IFERROR((VLOOKUP(F853,'Planilha de Cadastro - Previsão'!$A$2:$N$1100,3,FALSE()))," ")</f>
        <v xml:space="preserve"> </v>
      </c>
      <c r="I853" s="34" t="str">
        <f>IFERROR((VLOOKUP(F853,'Planilha de Cadastro - Previsão'!$A$2:$N$1100,4,FALSE()))," ")</f>
        <v xml:space="preserve"> </v>
      </c>
      <c r="J853" s="34" t="str">
        <f>IFERROR((VLOOKUP(F853,'Planilha de Cadastro - Previsão'!$A$2:$N$1100,5,FALSE()))," ")</f>
        <v xml:space="preserve"> </v>
      </c>
      <c r="K853" s="36"/>
      <c r="L853" s="34" t="str">
        <f t="shared" si="56"/>
        <v/>
      </c>
      <c r="M853" s="35" t="str">
        <f t="shared" si="57"/>
        <v/>
      </c>
      <c r="N853" s="39"/>
      <c r="O853" s="36"/>
    </row>
    <row r="854" spans="1:15" x14ac:dyDescent="0.25">
      <c r="A854">
        <f>COUNTIF($C$2:C854,C854)</f>
        <v>853</v>
      </c>
      <c r="B854" s="1" t="str">
        <f t="shared" si="54"/>
        <v>853</v>
      </c>
      <c r="C854" s="1" t="str">
        <f>IFERROR(VLOOKUP(D854,'Planilha de Cadastro - Previsão'!$A$2:$O$1000,15,FALSE()),"")</f>
        <v/>
      </c>
      <c r="D854" s="1">
        <v>853</v>
      </c>
      <c r="F854" s="32" t="str">
        <f t="shared" si="55"/>
        <v/>
      </c>
      <c r="G854" s="33" t="str">
        <f>IFERROR((VLOOKUP(F854,'Planilha de Cadastro - Previsão'!$A$2:$N$1100,2,FALSE()))," ")</f>
        <v xml:space="preserve"> </v>
      </c>
      <c r="H854" s="32" t="str">
        <f>IFERROR((VLOOKUP(F854,'Planilha de Cadastro - Previsão'!$A$2:$N$1100,3,FALSE()))," ")</f>
        <v xml:space="preserve"> </v>
      </c>
      <c r="I854" s="34" t="str">
        <f>IFERROR((VLOOKUP(F854,'Planilha de Cadastro - Previsão'!$A$2:$N$1100,4,FALSE()))," ")</f>
        <v xml:space="preserve"> </v>
      </c>
      <c r="J854" s="34" t="str">
        <f>IFERROR((VLOOKUP(F854,'Planilha de Cadastro - Previsão'!$A$2:$N$1100,5,FALSE()))," ")</f>
        <v xml:space="preserve"> </v>
      </c>
      <c r="K854" s="36"/>
      <c r="L854" s="34" t="str">
        <f t="shared" si="56"/>
        <v/>
      </c>
      <c r="M854" s="35" t="str">
        <f t="shared" si="57"/>
        <v/>
      </c>
      <c r="N854" s="39"/>
      <c r="O854" s="36"/>
    </row>
    <row r="855" spans="1:15" x14ac:dyDescent="0.25">
      <c r="A855">
        <f>COUNTIF($C$2:C855,C855)</f>
        <v>854</v>
      </c>
      <c r="B855" s="1" t="str">
        <f t="shared" si="54"/>
        <v>854</v>
      </c>
      <c r="C855" s="1" t="str">
        <f>IFERROR(VLOOKUP(D855,'Planilha de Cadastro - Previsão'!$A$2:$O$1000,15,FALSE()),"")</f>
        <v/>
      </c>
      <c r="D855" s="1">
        <v>854</v>
      </c>
      <c r="F855" s="32" t="str">
        <f t="shared" si="55"/>
        <v/>
      </c>
      <c r="G855" s="33" t="str">
        <f>IFERROR((VLOOKUP(F855,'Planilha de Cadastro - Previsão'!$A$2:$N$1100,2,FALSE()))," ")</f>
        <v xml:space="preserve"> </v>
      </c>
      <c r="H855" s="32" t="str">
        <f>IFERROR((VLOOKUP(F855,'Planilha de Cadastro - Previsão'!$A$2:$N$1100,3,FALSE()))," ")</f>
        <v xml:space="preserve"> </v>
      </c>
      <c r="I855" s="34" t="str">
        <f>IFERROR((VLOOKUP(F855,'Planilha de Cadastro - Previsão'!$A$2:$N$1100,4,FALSE()))," ")</f>
        <v xml:space="preserve"> </v>
      </c>
      <c r="J855" s="34" t="str">
        <f>IFERROR((VLOOKUP(F855,'Planilha de Cadastro - Previsão'!$A$2:$N$1100,5,FALSE()))," ")</f>
        <v xml:space="preserve"> </v>
      </c>
      <c r="K855" s="36"/>
      <c r="L855" s="34" t="str">
        <f t="shared" si="56"/>
        <v/>
      </c>
      <c r="M855" s="35" t="str">
        <f t="shared" si="57"/>
        <v/>
      </c>
      <c r="N855" s="39"/>
      <c r="O855" s="36"/>
    </row>
    <row r="856" spans="1:15" x14ac:dyDescent="0.25">
      <c r="A856">
        <f>COUNTIF($C$2:C856,C856)</f>
        <v>855</v>
      </c>
      <c r="B856" s="1" t="str">
        <f t="shared" si="54"/>
        <v>855</v>
      </c>
      <c r="C856" s="1" t="str">
        <f>IFERROR(VLOOKUP(D856,'Planilha de Cadastro - Previsão'!$A$2:$O$1000,15,FALSE()),"")</f>
        <v/>
      </c>
      <c r="D856" s="1">
        <v>855</v>
      </c>
      <c r="F856" s="32" t="str">
        <f t="shared" si="55"/>
        <v/>
      </c>
      <c r="G856" s="33" t="str">
        <f>IFERROR((VLOOKUP(F856,'Planilha de Cadastro - Previsão'!$A$2:$N$1100,2,FALSE()))," ")</f>
        <v xml:space="preserve"> </v>
      </c>
      <c r="H856" s="32" t="str">
        <f>IFERROR((VLOOKUP(F856,'Planilha de Cadastro - Previsão'!$A$2:$N$1100,3,FALSE()))," ")</f>
        <v xml:space="preserve"> </v>
      </c>
      <c r="I856" s="34" t="str">
        <f>IFERROR((VLOOKUP(F856,'Planilha de Cadastro - Previsão'!$A$2:$N$1100,4,FALSE()))," ")</f>
        <v xml:space="preserve"> </v>
      </c>
      <c r="J856" s="34" t="str">
        <f>IFERROR((VLOOKUP(F856,'Planilha de Cadastro - Previsão'!$A$2:$N$1100,5,FALSE()))," ")</f>
        <v xml:space="preserve"> </v>
      </c>
      <c r="K856" s="36"/>
      <c r="L856" s="34" t="str">
        <f t="shared" si="56"/>
        <v/>
      </c>
      <c r="M856" s="35" t="str">
        <f t="shared" si="57"/>
        <v/>
      </c>
      <c r="N856" s="39"/>
      <c r="O856" s="36"/>
    </row>
    <row r="857" spans="1:15" x14ac:dyDescent="0.25">
      <c r="A857">
        <f>COUNTIF($C$2:C857,C857)</f>
        <v>856</v>
      </c>
      <c r="B857" s="1" t="str">
        <f t="shared" si="54"/>
        <v>856</v>
      </c>
      <c r="C857" s="1" t="str">
        <f>IFERROR(VLOOKUP(D857,'Planilha de Cadastro - Previsão'!$A$2:$O$1000,15,FALSE()),"")</f>
        <v/>
      </c>
      <c r="D857" s="1">
        <v>856</v>
      </c>
      <c r="F857" s="32" t="str">
        <f t="shared" si="55"/>
        <v/>
      </c>
      <c r="G857" s="33" t="str">
        <f>IFERROR((VLOOKUP(F857,'Planilha de Cadastro - Previsão'!$A$2:$N$1100,2,FALSE()))," ")</f>
        <v xml:space="preserve"> </v>
      </c>
      <c r="H857" s="32" t="str">
        <f>IFERROR((VLOOKUP(F857,'Planilha de Cadastro - Previsão'!$A$2:$N$1100,3,FALSE()))," ")</f>
        <v xml:space="preserve"> </v>
      </c>
      <c r="I857" s="34" t="str">
        <f>IFERROR((VLOOKUP(F857,'Planilha de Cadastro - Previsão'!$A$2:$N$1100,4,FALSE()))," ")</f>
        <v xml:space="preserve"> </v>
      </c>
      <c r="J857" s="34" t="str">
        <f>IFERROR((VLOOKUP(F857,'Planilha de Cadastro - Previsão'!$A$2:$N$1100,5,FALSE()))," ")</f>
        <v xml:space="preserve"> </v>
      </c>
      <c r="K857" s="36"/>
      <c r="L857" s="34" t="str">
        <f t="shared" si="56"/>
        <v/>
      </c>
      <c r="M857" s="35" t="str">
        <f t="shared" si="57"/>
        <v/>
      </c>
      <c r="N857" s="39"/>
      <c r="O857" s="36"/>
    </row>
    <row r="858" spans="1:15" x14ac:dyDescent="0.25">
      <c r="A858">
        <f>COUNTIF($C$2:C858,C858)</f>
        <v>857</v>
      </c>
      <c r="B858" s="1" t="str">
        <f t="shared" si="54"/>
        <v>857</v>
      </c>
      <c r="C858" s="1" t="str">
        <f>IFERROR(VLOOKUP(D858,'Planilha de Cadastro - Previsão'!$A$2:$O$1000,15,FALSE()),"")</f>
        <v/>
      </c>
      <c r="D858" s="1">
        <v>857</v>
      </c>
      <c r="F858" s="32" t="str">
        <f t="shared" si="55"/>
        <v/>
      </c>
      <c r="G858" s="33" t="str">
        <f>IFERROR((VLOOKUP(F858,'Planilha de Cadastro - Previsão'!$A$2:$N$1100,2,FALSE()))," ")</f>
        <v xml:space="preserve"> </v>
      </c>
      <c r="H858" s="32" t="str">
        <f>IFERROR((VLOOKUP(F858,'Planilha de Cadastro - Previsão'!$A$2:$N$1100,3,FALSE()))," ")</f>
        <v xml:space="preserve"> </v>
      </c>
      <c r="I858" s="34" t="str">
        <f>IFERROR((VLOOKUP(F858,'Planilha de Cadastro - Previsão'!$A$2:$N$1100,4,FALSE()))," ")</f>
        <v xml:space="preserve"> </v>
      </c>
      <c r="J858" s="34" t="str">
        <f>IFERROR((VLOOKUP(F858,'Planilha de Cadastro - Previsão'!$A$2:$N$1100,5,FALSE()))," ")</f>
        <v xml:space="preserve"> </v>
      </c>
      <c r="K858" s="36"/>
      <c r="L858" s="34" t="str">
        <f t="shared" si="56"/>
        <v/>
      </c>
      <c r="M858" s="35" t="str">
        <f t="shared" si="57"/>
        <v/>
      </c>
      <c r="N858" s="39"/>
      <c r="O858" s="36"/>
    </row>
    <row r="859" spans="1:15" x14ac:dyDescent="0.25">
      <c r="A859">
        <f>COUNTIF($C$2:C859,C859)</f>
        <v>858</v>
      </c>
      <c r="B859" s="1" t="str">
        <f t="shared" si="54"/>
        <v>858</v>
      </c>
      <c r="C859" s="1" t="str">
        <f>IFERROR(VLOOKUP(D859,'Planilha de Cadastro - Previsão'!$A$2:$O$1000,15,FALSE()),"")</f>
        <v/>
      </c>
      <c r="D859" s="1">
        <v>858</v>
      </c>
      <c r="F859" s="32" t="str">
        <f t="shared" si="55"/>
        <v/>
      </c>
      <c r="G859" s="33" t="str">
        <f>IFERROR((VLOOKUP(F859,'Planilha de Cadastro - Previsão'!$A$2:$N$1100,2,FALSE()))," ")</f>
        <v xml:space="preserve"> </v>
      </c>
      <c r="H859" s="32" t="str">
        <f>IFERROR((VLOOKUP(F859,'Planilha de Cadastro - Previsão'!$A$2:$N$1100,3,FALSE()))," ")</f>
        <v xml:space="preserve"> </v>
      </c>
      <c r="I859" s="34" t="str">
        <f>IFERROR((VLOOKUP(F859,'Planilha de Cadastro - Previsão'!$A$2:$N$1100,4,FALSE()))," ")</f>
        <v xml:space="preserve"> </v>
      </c>
      <c r="J859" s="34" t="str">
        <f>IFERROR((VLOOKUP(F859,'Planilha de Cadastro - Previsão'!$A$2:$N$1100,5,FALSE()))," ")</f>
        <v xml:space="preserve"> </v>
      </c>
      <c r="K859" s="36"/>
      <c r="L859" s="34" t="str">
        <f t="shared" si="56"/>
        <v/>
      </c>
      <c r="M859" s="35" t="str">
        <f t="shared" si="57"/>
        <v/>
      </c>
      <c r="N859" s="39"/>
      <c r="O859" s="36"/>
    </row>
    <row r="860" spans="1:15" x14ac:dyDescent="0.25">
      <c r="A860">
        <f>COUNTIF($C$2:C860,C860)</f>
        <v>859</v>
      </c>
      <c r="B860" s="1" t="str">
        <f t="shared" si="54"/>
        <v>859</v>
      </c>
      <c r="C860" s="1" t="str">
        <f>IFERROR(VLOOKUP(D860,'Planilha de Cadastro - Previsão'!$A$2:$O$1000,15,FALSE()),"")</f>
        <v/>
      </c>
      <c r="D860" s="1">
        <v>859</v>
      </c>
      <c r="F860" s="32" t="str">
        <f t="shared" si="55"/>
        <v/>
      </c>
      <c r="G860" s="33" t="str">
        <f>IFERROR((VLOOKUP(F860,'Planilha de Cadastro - Previsão'!$A$2:$N$1100,2,FALSE()))," ")</f>
        <v xml:space="preserve"> </v>
      </c>
      <c r="H860" s="32" t="str">
        <f>IFERROR((VLOOKUP(F860,'Planilha de Cadastro - Previsão'!$A$2:$N$1100,3,FALSE()))," ")</f>
        <v xml:space="preserve"> </v>
      </c>
      <c r="I860" s="34" t="str">
        <f>IFERROR((VLOOKUP(F860,'Planilha de Cadastro - Previsão'!$A$2:$N$1100,4,FALSE()))," ")</f>
        <v xml:space="preserve"> </v>
      </c>
      <c r="J860" s="34" t="str">
        <f>IFERROR((VLOOKUP(F860,'Planilha de Cadastro - Previsão'!$A$2:$N$1100,5,FALSE()))," ")</f>
        <v xml:space="preserve"> </v>
      </c>
      <c r="K860" s="36"/>
      <c r="L860" s="34" t="str">
        <f t="shared" si="56"/>
        <v/>
      </c>
      <c r="M860" s="35" t="str">
        <f t="shared" si="57"/>
        <v/>
      </c>
      <c r="N860" s="39"/>
      <c r="O860" s="36"/>
    </row>
    <row r="861" spans="1:15" x14ac:dyDescent="0.25">
      <c r="A861">
        <f>COUNTIF($C$2:C861,C861)</f>
        <v>860</v>
      </c>
      <c r="B861" s="1" t="str">
        <f t="shared" si="54"/>
        <v>860</v>
      </c>
      <c r="C861" s="1" t="str">
        <f>IFERROR(VLOOKUP(D861,'Planilha de Cadastro - Previsão'!$A$2:$O$1000,15,FALSE()),"")</f>
        <v/>
      </c>
      <c r="D861" s="1">
        <v>860</v>
      </c>
      <c r="F861" s="32" t="str">
        <f t="shared" si="55"/>
        <v/>
      </c>
      <c r="G861" s="33" t="str">
        <f>IFERROR((VLOOKUP(F861,'Planilha de Cadastro - Previsão'!$A$2:$N$1100,2,FALSE()))," ")</f>
        <v xml:space="preserve"> </v>
      </c>
      <c r="H861" s="32" t="str">
        <f>IFERROR((VLOOKUP(F861,'Planilha de Cadastro - Previsão'!$A$2:$N$1100,3,FALSE()))," ")</f>
        <v xml:space="preserve"> </v>
      </c>
      <c r="I861" s="34" t="str">
        <f>IFERROR((VLOOKUP(F861,'Planilha de Cadastro - Previsão'!$A$2:$N$1100,4,FALSE()))," ")</f>
        <v xml:space="preserve"> </v>
      </c>
      <c r="J861" s="34" t="str">
        <f>IFERROR((VLOOKUP(F861,'Planilha de Cadastro - Previsão'!$A$2:$N$1100,5,FALSE()))," ")</f>
        <v xml:space="preserve"> </v>
      </c>
      <c r="K861" s="36"/>
      <c r="L861" s="34" t="str">
        <f t="shared" si="56"/>
        <v/>
      </c>
      <c r="M861" s="35" t="str">
        <f t="shared" si="57"/>
        <v/>
      </c>
      <c r="N861" s="39"/>
      <c r="O861" s="36"/>
    </row>
    <row r="862" spans="1:15" x14ac:dyDescent="0.25">
      <c r="A862">
        <f>COUNTIF($C$2:C862,C862)</f>
        <v>861</v>
      </c>
      <c r="B862" s="1" t="str">
        <f t="shared" si="54"/>
        <v>861</v>
      </c>
      <c r="C862" s="1" t="str">
        <f>IFERROR(VLOOKUP(D862,'Planilha de Cadastro - Previsão'!$A$2:$O$1000,15,FALSE()),"")</f>
        <v/>
      </c>
      <c r="D862" s="1">
        <v>861</v>
      </c>
      <c r="F862" s="32" t="str">
        <f t="shared" si="55"/>
        <v/>
      </c>
      <c r="G862" s="33" t="str">
        <f>IFERROR((VLOOKUP(F862,'Planilha de Cadastro - Previsão'!$A$2:$N$1100,2,FALSE()))," ")</f>
        <v xml:space="preserve"> </v>
      </c>
      <c r="H862" s="32" t="str">
        <f>IFERROR((VLOOKUP(F862,'Planilha de Cadastro - Previsão'!$A$2:$N$1100,3,FALSE()))," ")</f>
        <v xml:space="preserve"> </v>
      </c>
      <c r="I862" s="34" t="str">
        <f>IFERROR((VLOOKUP(F862,'Planilha de Cadastro - Previsão'!$A$2:$N$1100,4,FALSE()))," ")</f>
        <v xml:space="preserve"> </v>
      </c>
      <c r="J862" s="34" t="str">
        <f>IFERROR((VLOOKUP(F862,'Planilha de Cadastro - Previsão'!$A$2:$N$1100,5,FALSE()))," ")</f>
        <v xml:space="preserve"> </v>
      </c>
      <c r="K862" s="36"/>
      <c r="L862" s="34" t="str">
        <f t="shared" si="56"/>
        <v/>
      </c>
      <c r="M862" s="35" t="str">
        <f t="shared" si="57"/>
        <v/>
      </c>
      <c r="N862" s="39"/>
      <c r="O862" s="36"/>
    </row>
    <row r="863" spans="1:15" x14ac:dyDescent="0.25">
      <c r="A863">
        <f>COUNTIF($C$2:C863,C863)</f>
        <v>862</v>
      </c>
      <c r="B863" s="1" t="str">
        <f t="shared" si="54"/>
        <v>862</v>
      </c>
      <c r="C863" s="1" t="str">
        <f>IFERROR(VLOOKUP(D863,'Planilha de Cadastro - Previsão'!$A$2:$O$1000,15,FALSE()),"")</f>
        <v/>
      </c>
      <c r="D863" s="1">
        <v>862</v>
      </c>
      <c r="F863" s="32" t="str">
        <f t="shared" si="55"/>
        <v/>
      </c>
      <c r="G863" s="33" t="str">
        <f>IFERROR((VLOOKUP(F863,'Planilha de Cadastro - Previsão'!$A$2:$N$1100,2,FALSE()))," ")</f>
        <v xml:space="preserve"> </v>
      </c>
      <c r="H863" s="32" t="str">
        <f>IFERROR((VLOOKUP(F863,'Planilha de Cadastro - Previsão'!$A$2:$N$1100,3,FALSE()))," ")</f>
        <v xml:space="preserve"> </v>
      </c>
      <c r="I863" s="34" t="str">
        <f>IFERROR((VLOOKUP(F863,'Planilha de Cadastro - Previsão'!$A$2:$N$1100,4,FALSE()))," ")</f>
        <v xml:space="preserve"> </v>
      </c>
      <c r="J863" s="34" t="str">
        <f>IFERROR((VLOOKUP(F863,'Planilha de Cadastro - Previsão'!$A$2:$N$1100,5,FALSE()))," ")</f>
        <v xml:space="preserve"> </v>
      </c>
      <c r="K863" s="36"/>
      <c r="L863" s="34" t="str">
        <f t="shared" si="56"/>
        <v/>
      </c>
      <c r="M863" s="35" t="str">
        <f t="shared" si="57"/>
        <v/>
      </c>
      <c r="N863" s="39"/>
      <c r="O863" s="36"/>
    </row>
    <row r="864" spans="1:15" x14ac:dyDescent="0.25">
      <c r="A864">
        <f>COUNTIF($C$2:C864,C864)</f>
        <v>863</v>
      </c>
      <c r="B864" s="1" t="str">
        <f t="shared" si="54"/>
        <v>863</v>
      </c>
      <c r="C864" s="1" t="str">
        <f>IFERROR(VLOOKUP(D864,'Planilha de Cadastro - Previsão'!$A$2:$O$1000,15,FALSE()),"")</f>
        <v/>
      </c>
      <c r="D864" s="1">
        <v>863</v>
      </c>
      <c r="F864" s="32" t="str">
        <f t="shared" si="55"/>
        <v/>
      </c>
      <c r="G864" s="33" t="str">
        <f>IFERROR((VLOOKUP(F864,'Planilha de Cadastro - Previsão'!$A$2:$N$1100,2,FALSE()))," ")</f>
        <v xml:space="preserve"> </v>
      </c>
      <c r="H864" s="32" t="str">
        <f>IFERROR((VLOOKUP(F864,'Planilha de Cadastro - Previsão'!$A$2:$N$1100,3,FALSE()))," ")</f>
        <v xml:space="preserve"> </v>
      </c>
      <c r="I864" s="34" t="str">
        <f>IFERROR((VLOOKUP(F864,'Planilha de Cadastro - Previsão'!$A$2:$N$1100,4,FALSE()))," ")</f>
        <v xml:space="preserve"> </v>
      </c>
      <c r="J864" s="34" t="str">
        <f>IFERROR((VLOOKUP(F864,'Planilha de Cadastro - Previsão'!$A$2:$N$1100,5,FALSE()))," ")</f>
        <v xml:space="preserve"> </v>
      </c>
      <c r="K864" s="36"/>
      <c r="L864" s="34" t="str">
        <f t="shared" si="56"/>
        <v/>
      </c>
      <c r="M864" s="35" t="str">
        <f t="shared" si="57"/>
        <v/>
      </c>
      <c r="N864" s="39"/>
      <c r="O864" s="36"/>
    </row>
    <row r="865" spans="1:15" x14ac:dyDescent="0.25">
      <c r="A865">
        <f>COUNTIF($C$2:C865,C865)</f>
        <v>864</v>
      </c>
      <c r="B865" s="1" t="str">
        <f t="shared" si="54"/>
        <v>864</v>
      </c>
      <c r="C865" s="1" t="str">
        <f>IFERROR(VLOOKUP(D865,'Planilha de Cadastro - Previsão'!$A$2:$O$1000,15,FALSE()),"")</f>
        <v/>
      </c>
      <c r="D865" s="1">
        <v>864</v>
      </c>
      <c r="F865" s="32" t="str">
        <f t="shared" si="55"/>
        <v/>
      </c>
      <c r="G865" s="33" t="str">
        <f>IFERROR((VLOOKUP(F865,'Planilha de Cadastro - Previsão'!$A$2:$N$1100,2,FALSE()))," ")</f>
        <v xml:space="preserve"> </v>
      </c>
      <c r="H865" s="32" t="str">
        <f>IFERROR((VLOOKUP(F865,'Planilha de Cadastro - Previsão'!$A$2:$N$1100,3,FALSE()))," ")</f>
        <v xml:space="preserve"> </v>
      </c>
      <c r="I865" s="34" t="str">
        <f>IFERROR((VLOOKUP(F865,'Planilha de Cadastro - Previsão'!$A$2:$N$1100,4,FALSE()))," ")</f>
        <v xml:space="preserve"> </v>
      </c>
      <c r="J865" s="34" t="str">
        <f>IFERROR((VLOOKUP(F865,'Planilha de Cadastro - Previsão'!$A$2:$N$1100,5,FALSE()))," ")</f>
        <v xml:space="preserve"> </v>
      </c>
      <c r="K865" s="36"/>
      <c r="L865" s="34" t="str">
        <f t="shared" si="56"/>
        <v/>
      </c>
      <c r="M865" s="35" t="str">
        <f t="shared" si="57"/>
        <v/>
      </c>
      <c r="N865" s="39"/>
      <c r="O865" s="36"/>
    </row>
    <row r="866" spans="1:15" x14ac:dyDescent="0.25">
      <c r="A866">
        <f>COUNTIF($C$2:C866,C866)</f>
        <v>865</v>
      </c>
      <c r="B866" s="1" t="str">
        <f t="shared" si="54"/>
        <v>865</v>
      </c>
      <c r="C866" s="1" t="str">
        <f>IFERROR(VLOOKUP(D866,'Planilha de Cadastro - Previsão'!$A$2:$O$1000,15,FALSE()),"")</f>
        <v/>
      </c>
      <c r="D866" s="1">
        <v>865</v>
      </c>
      <c r="F866" s="32" t="str">
        <f t="shared" si="55"/>
        <v/>
      </c>
      <c r="G866" s="33" t="str">
        <f>IFERROR((VLOOKUP(F866,'Planilha de Cadastro - Previsão'!$A$2:$N$1100,2,FALSE()))," ")</f>
        <v xml:space="preserve"> </v>
      </c>
      <c r="H866" s="32" t="str">
        <f>IFERROR((VLOOKUP(F866,'Planilha de Cadastro - Previsão'!$A$2:$N$1100,3,FALSE()))," ")</f>
        <v xml:space="preserve"> </v>
      </c>
      <c r="I866" s="34" t="str">
        <f>IFERROR((VLOOKUP(F866,'Planilha de Cadastro - Previsão'!$A$2:$N$1100,4,FALSE()))," ")</f>
        <v xml:space="preserve"> </v>
      </c>
      <c r="J866" s="34" t="str">
        <f>IFERROR((VLOOKUP(F866,'Planilha de Cadastro - Previsão'!$A$2:$N$1100,5,FALSE()))," ")</f>
        <v xml:space="preserve"> </v>
      </c>
      <c r="K866" s="36"/>
      <c r="L866" s="34" t="str">
        <f t="shared" si="56"/>
        <v/>
      </c>
      <c r="M866" s="35" t="str">
        <f t="shared" si="57"/>
        <v/>
      </c>
      <c r="N866" s="39"/>
      <c r="O866" s="36"/>
    </row>
    <row r="867" spans="1:15" x14ac:dyDescent="0.25">
      <c r="A867">
        <f>COUNTIF($C$2:C867,C867)</f>
        <v>866</v>
      </c>
      <c r="B867" s="1" t="str">
        <f t="shared" si="54"/>
        <v>866</v>
      </c>
      <c r="C867" s="1" t="str">
        <f>IFERROR(VLOOKUP(D867,'Planilha de Cadastro - Previsão'!$A$2:$O$1000,15,FALSE()),"")</f>
        <v/>
      </c>
      <c r="D867" s="1">
        <v>866</v>
      </c>
      <c r="F867" s="32" t="str">
        <f t="shared" si="55"/>
        <v/>
      </c>
      <c r="G867" s="33" t="str">
        <f>IFERROR((VLOOKUP(F867,'Planilha de Cadastro - Previsão'!$A$2:$N$1100,2,FALSE()))," ")</f>
        <v xml:space="preserve"> </v>
      </c>
      <c r="H867" s="32" t="str">
        <f>IFERROR((VLOOKUP(F867,'Planilha de Cadastro - Previsão'!$A$2:$N$1100,3,FALSE()))," ")</f>
        <v xml:space="preserve"> </v>
      </c>
      <c r="I867" s="34" t="str">
        <f>IFERROR((VLOOKUP(F867,'Planilha de Cadastro - Previsão'!$A$2:$N$1100,4,FALSE()))," ")</f>
        <v xml:space="preserve"> </v>
      </c>
      <c r="J867" s="34" t="str">
        <f>IFERROR((VLOOKUP(F867,'Planilha de Cadastro - Previsão'!$A$2:$N$1100,5,FALSE()))," ")</f>
        <v xml:space="preserve"> </v>
      </c>
      <c r="K867" s="36"/>
      <c r="L867" s="34" t="str">
        <f t="shared" si="56"/>
        <v/>
      </c>
      <c r="M867" s="35" t="str">
        <f t="shared" si="57"/>
        <v/>
      </c>
      <c r="N867" s="39"/>
      <c r="O867" s="36"/>
    </row>
    <row r="868" spans="1:15" x14ac:dyDescent="0.25">
      <c r="A868">
        <f>COUNTIF($C$2:C868,C868)</f>
        <v>867</v>
      </c>
      <c r="B868" s="1" t="str">
        <f t="shared" si="54"/>
        <v>867</v>
      </c>
      <c r="C868" s="1" t="str">
        <f>IFERROR(VLOOKUP(D868,'Planilha de Cadastro - Previsão'!$A$2:$O$1000,15,FALSE()),"")</f>
        <v/>
      </c>
      <c r="D868" s="1">
        <v>867</v>
      </c>
      <c r="F868" s="32" t="str">
        <f t="shared" si="55"/>
        <v/>
      </c>
      <c r="G868" s="33" t="str">
        <f>IFERROR((VLOOKUP(F868,'Planilha de Cadastro - Previsão'!$A$2:$N$1100,2,FALSE()))," ")</f>
        <v xml:space="preserve"> </v>
      </c>
      <c r="H868" s="32" t="str">
        <f>IFERROR((VLOOKUP(F868,'Planilha de Cadastro - Previsão'!$A$2:$N$1100,3,FALSE()))," ")</f>
        <v xml:space="preserve"> </v>
      </c>
      <c r="I868" s="34" t="str">
        <f>IFERROR((VLOOKUP(F868,'Planilha de Cadastro - Previsão'!$A$2:$N$1100,4,FALSE()))," ")</f>
        <v xml:space="preserve"> </v>
      </c>
      <c r="J868" s="34" t="str">
        <f>IFERROR((VLOOKUP(F868,'Planilha de Cadastro - Previsão'!$A$2:$N$1100,5,FALSE()))," ")</f>
        <v xml:space="preserve"> </v>
      </c>
      <c r="K868" s="36"/>
      <c r="L868" s="34" t="str">
        <f t="shared" si="56"/>
        <v/>
      </c>
      <c r="M868" s="35" t="str">
        <f t="shared" si="57"/>
        <v/>
      </c>
      <c r="N868" s="39"/>
      <c r="O868" s="36"/>
    </row>
    <row r="869" spans="1:15" x14ac:dyDescent="0.25">
      <c r="A869">
        <f>COUNTIF($C$2:C869,C869)</f>
        <v>868</v>
      </c>
      <c r="B869" s="1" t="str">
        <f t="shared" si="54"/>
        <v>868</v>
      </c>
      <c r="C869" s="1" t="str">
        <f>IFERROR(VLOOKUP(D869,'Planilha de Cadastro - Previsão'!$A$2:$O$1000,15,FALSE()),"")</f>
        <v/>
      </c>
      <c r="D869" s="1">
        <v>868</v>
      </c>
      <c r="F869" s="32" t="str">
        <f t="shared" si="55"/>
        <v/>
      </c>
      <c r="G869" s="33" t="str">
        <f>IFERROR((VLOOKUP(F869,'Planilha de Cadastro - Previsão'!$A$2:$N$1100,2,FALSE()))," ")</f>
        <v xml:space="preserve"> </v>
      </c>
      <c r="H869" s="32" t="str">
        <f>IFERROR((VLOOKUP(F869,'Planilha de Cadastro - Previsão'!$A$2:$N$1100,3,FALSE()))," ")</f>
        <v xml:space="preserve"> </v>
      </c>
      <c r="I869" s="34" t="str">
        <f>IFERROR((VLOOKUP(F869,'Planilha de Cadastro - Previsão'!$A$2:$N$1100,4,FALSE()))," ")</f>
        <v xml:space="preserve"> </v>
      </c>
      <c r="J869" s="34" t="str">
        <f>IFERROR((VLOOKUP(F869,'Planilha de Cadastro - Previsão'!$A$2:$N$1100,5,FALSE()))," ")</f>
        <v xml:space="preserve"> </v>
      </c>
      <c r="K869" s="36"/>
      <c r="L869" s="34" t="str">
        <f t="shared" si="56"/>
        <v/>
      </c>
      <c r="M869" s="35" t="str">
        <f t="shared" si="57"/>
        <v/>
      </c>
      <c r="N869" s="39"/>
      <c r="O869" s="36"/>
    </row>
    <row r="870" spans="1:15" x14ac:dyDescent="0.25">
      <c r="A870">
        <f>COUNTIF($C$2:C870,C870)</f>
        <v>869</v>
      </c>
      <c r="B870" s="1" t="str">
        <f t="shared" si="54"/>
        <v>869</v>
      </c>
      <c r="C870" s="1" t="str">
        <f>IFERROR(VLOOKUP(D870,'Planilha de Cadastro - Previsão'!$A$2:$O$1000,15,FALSE()),"")</f>
        <v/>
      </c>
      <c r="D870" s="1">
        <v>869</v>
      </c>
      <c r="F870" s="32" t="str">
        <f t="shared" si="55"/>
        <v/>
      </c>
      <c r="G870" s="33" t="str">
        <f>IFERROR((VLOOKUP(F870,'Planilha de Cadastro - Previsão'!$A$2:$N$1100,2,FALSE()))," ")</f>
        <v xml:space="preserve"> </v>
      </c>
      <c r="H870" s="32" t="str">
        <f>IFERROR((VLOOKUP(F870,'Planilha de Cadastro - Previsão'!$A$2:$N$1100,3,FALSE()))," ")</f>
        <v xml:space="preserve"> </v>
      </c>
      <c r="I870" s="34" t="str">
        <f>IFERROR((VLOOKUP(F870,'Planilha de Cadastro - Previsão'!$A$2:$N$1100,4,FALSE()))," ")</f>
        <v xml:space="preserve"> </v>
      </c>
      <c r="J870" s="34" t="str">
        <f>IFERROR((VLOOKUP(F870,'Planilha de Cadastro - Previsão'!$A$2:$N$1100,5,FALSE()))," ")</f>
        <v xml:space="preserve"> </v>
      </c>
      <c r="K870" s="36"/>
      <c r="L870" s="34" t="str">
        <f t="shared" si="56"/>
        <v/>
      </c>
      <c r="M870" s="35" t="str">
        <f t="shared" si="57"/>
        <v/>
      </c>
      <c r="N870" s="39"/>
      <c r="O870" s="36"/>
    </row>
    <row r="871" spans="1:15" x14ac:dyDescent="0.25">
      <c r="A871">
        <f>COUNTIF($C$2:C871,C871)</f>
        <v>870</v>
      </c>
      <c r="B871" s="1" t="str">
        <f t="shared" si="54"/>
        <v>870</v>
      </c>
      <c r="C871" s="1" t="str">
        <f>IFERROR(VLOOKUP(D871,'Planilha de Cadastro - Previsão'!$A$2:$O$1000,15,FALSE()),"")</f>
        <v/>
      </c>
      <c r="D871" s="1">
        <v>870</v>
      </c>
      <c r="F871" s="32" t="str">
        <f t="shared" si="55"/>
        <v/>
      </c>
      <c r="G871" s="33" t="str">
        <f>IFERROR((VLOOKUP(F871,'Planilha de Cadastro - Previsão'!$A$2:$N$1100,2,FALSE()))," ")</f>
        <v xml:space="preserve"> </v>
      </c>
      <c r="H871" s="32" t="str">
        <f>IFERROR((VLOOKUP(F871,'Planilha de Cadastro - Previsão'!$A$2:$N$1100,3,FALSE()))," ")</f>
        <v xml:space="preserve"> </v>
      </c>
      <c r="I871" s="34" t="str">
        <f>IFERROR((VLOOKUP(F871,'Planilha de Cadastro - Previsão'!$A$2:$N$1100,4,FALSE()))," ")</f>
        <v xml:space="preserve"> </v>
      </c>
      <c r="J871" s="34" t="str">
        <f>IFERROR((VLOOKUP(F871,'Planilha de Cadastro - Previsão'!$A$2:$N$1100,5,FALSE()))," ")</f>
        <v xml:space="preserve"> </v>
      </c>
      <c r="K871" s="36"/>
      <c r="L871" s="34" t="str">
        <f t="shared" si="56"/>
        <v/>
      </c>
      <c r="M871" s="35" t="str">
        <f t="shared" si="57"/>
        <v/>
      </c>
      <c r="N871" s="39"/>
      <c r="O871" s="36"/>
    </row>
    <row r="872" spans="1:15" x14ac:dyDescent="0.25">
      <c r="A872">
        <f>COUNTIF($C$2:C872,C872)</f>
        <v>871</v>
      </c>
      <c r="B872" s="1" t="str">
        <f t="shared" si="54"/>
        <v>871</v>
      </c>
      <c r="C872" s="1" t="str">
        <f>IFERROR(VLOOKUP(D872,'Planilha de Cadastro - Previsão'!$A$2:$O$1000,15,FALSE()),"")</f>
        <v/>
      </c>
      <c r="D872" s="1">
        <v>871</v>
      </c>
      <c r="F872" s="32" t="str">
        <f t="shared" si="55"/>
        <v/>
      </c>
      <c r="G872" s="33" t="str">
        <f>IFERROR((VLOOKUP(F872,'Planilha de Cadastro - Previsão'!$A$2:$N$1100,2,FALSE()))," ")</f>
        <v xml:space="preserve"> </v>
      </c>
      <c r="H872" s="32" t="str">
        <f>IFERROR((VLOOKUP(F872,'Planilha de Cadastro - Previsão'!$A$2:$N$1100,3,FALSE()))," ")</f>
        <v xml:space="preserve"> </v>
      </c>
      <c r="I872" s="34" t="str">
        <f>IFERROR((VLOOKUP(F872,'Planilha de Cadastro - Previsão'!$A$2:$N$1100,4,FALSE()))," ")</f>
        <v xml:space="preserve"> </v>
      </c>
      <c r="J872" s="34" t="str">
        <f>IFERROR((VLOOKUP(F872,'Planilha de Cadastro - Previsão'!$A$2:$N$1100,5,FALSE()))," ")</f>
        <v xml:space="preserve"> </v>
      </c>
      <c r="K872" s="36"/>
      <c r="L872" s="34" t="str">
        <f t="shared" si="56"/>
        <v/>
      </c>
      <c r="M872" s="35" t="str">
        <f t="shared" si="57"/>
        <v/>
      </c>
      <c r="N872" s="39"/>
      <c r="O872" s="36"/>
    </row>
    <row r="873" spans="1:15" x14ac:dyDescent="0.25">
      <c r="A873">
        <f>COUNTIF($C$2:C873,C873)</f>
        <v>872</v>
      </c>
      <c r="B873" s="1" t="str">
        <f t="shared" si="54"/>
        <v>872</v>
      </c>
      <c r="C873" s="1" t="str">
        <f>IFERROR(VLOOKUP(D873,'Planilha de Cadastro - Previsão'!$A$2:$O$1000,15,FALSE()),"")</f>
        <v/>
      </c>
      <c r="D873" s="1">
        <v>872</v>
      </c>
      <c r="F873" s="32" t="str">
        <f t="shared" si="55"/>
        <v/>
      </c>
      <c r="G873" s="33" t="str">
        <f>IFERROR((VLOOKUP(F873,'Planilha de Cadastro - Previsão'!$A$2:$N$1100,2,FALSE()))," ")</f>
        <v xml:space="preserve"> </v>
      </c>
      <c r="H873" s="32" t="str">
        <f>IFERROR((VLOOKUP(F873,'Planilha de Cadastro - Previsão'!$A$2:$N$1100,3,FALSE()))," ")</f>
        <v xml:space="preserve"> </v>
      </c>
      <c r="I873" s="34" t="str">
        <f>IFERROR((VLOOKUP(F873,'Planilha de Cadastro - Previsão'!$A$2:$N$1100,4,FALSE()))," ")</f>
        <v xml:space="preserve"> </v>
      </c>
      <c r="J873" s="34" t="str">
        <f>IFERROR((VLOOKUP(F873,'Planilha de Cadastro - Previsão'!$A$2:$N$1100,5,FALSE()))," ")</f>
        <v xml:space="preserve"> </v>
      </c>
      <c r="K873" s="36"/>
      <c r="L873" s="34" t="str">
        <f t="shared" si="56"/>
        <v/>
      </c>
      <c r="M873" s="35" t="str">
        <f t="shared" si="57"/>
        <v/>
      </c>
      <c r="N873" s="39"/>
      <c r="O873" s="36"/>
    </row>
    <row r="874" spans="1:15" x14ac:dyDescent="0.25">
      <c r="A874">
        <f>COUNTIF($C$2:C874,C874)</f>
        <v>873</v>
      </c>
      <c r="B874" s="1" t="str">
        <f t="shared" si="54"/>
        <v>873</v>
      </c>
      <c r="C874" s="1" t="str">
        <f>IFERROR(VLOOKUP(D874,'Planilha de Cadastro - Previsão'!$A$2:$O$1000,15,FALSE()),"")</f>
        <v/>
      </c>
      <c r="D874" s="1">
        <v>873</v>
      </c>
      <c r="F874" s="32" t="str">
        <f t="shared" si="55"/>
        <v/>
      </c>
      <c r="G874" s="33" t="str">
        <f>IFERROR((VLOOKUP(F874,'Planilha de Cadastro - Previsão'!$A$2:$N$1100,2,FALSE()))," ")</f>
        <v xml:space="preserve"> </v>
      </c>
      <c r="H874" s="32" t="str">
        <f>IFERROR((VLOOKUP(F874,'Planilha de Cadastro - Previsão'!$A$2:$N$1100,3,FALSE()))," ")</f>
        <v xml:space="preserve"> </v>
      </c>
      <c r="I874" s="34" t="str">
        <f>IFERROR((VLOOKUP(F874,'Planilha de Cadastro - Previsão'!$A$2:$N$1100,4,FALSE()))," ")</f>
        <v xml:space="preserve"> </v>
      </c>
      <c r="J874" s="34" t="str">
        <f>IFERROR((VLOOKUP(F874,'Planilha de Cadastro - Previsão'!$A$2:$N$1100,5,FALSE()))," ")</f>
        <v xml:space="preserve"> </v>
      </c>
      <c r="K874" s="36"/>
      <c r="L874" s="34" t="str">
        <f t="shared" si="56"/>
        <v/>
      </c>
      <c r="M874" s="35" t="str">
        <f t="shared" si="57"/>
        <v/>
      </c>
      <c r="N874" s="39"/>
      <c r="O874" s="36"/>
    </row>
    <row r="875" spans="1:15" x14ac:dyDescent="0.25">
      <c r="A875">
        <f>COUNTIF($C$2:C875,C875)</f>
        <v>874</v>
      </c>
      <c r="B875" s="1" t="str">
        <f t="shared" si="54"/>
        <v>874</v>
      </c>
      <c r="C875" s="1" t="str">
        <f>IFERROR(VLOOKUP(D875,'Planilha de Cadastro - Previsão'!$A$2:$O$1000,15,FALSE()),"")</f>
        <v/>
      </c>
      <c r="D875" s="1">
        <v>874</v>
      </c>
      <c r="F875" s="32" t="str">
        <f t="shared" si="55"/>
        <v/>
      </c>
      <c r="G875" s="33" t="str">
        <f>IFERROR((VLOOKUP(F875,'Planilha de Cadastro - Previsão'!$A$2:$N$1100,2,FALSE()))," ")</f>
        <v xml:space="preserve"> </v>
      </c>
      <c r="H875" s="32" t="str">
        <f>IFERROR((VLOOKUP(F875,'Planilha de Cadastro - Previsão'!$A$2:$N$1100,3,FALSE()))," ")</f>
        <v xml:space="preserve"> </v>
      </c>
      <c r="I875" s="34" t="str">
        <f>IFERROR((VLOOKUP(F875,'Planilha de Cadastro - Previsão'!$A$2:$N$1100,4,FALSE()))," ")</f>
        <v xml:space="preserve"> </v>
      </c>
      <c r="J875" s="34" t="str">
        <f>IFERROR((VLOOKUP(F875,'Planilha de Cadastro - Previsão'!$A$2:$N$1100,5,FALSE()))," ")</f>
        <v xml:space="preserve"> </v>
      </c>
      <c r="K875" s="36"/>
      <c r="L875" s="34" t="str">
        <f t="shared" si="56"/>
        <v/>
      </c>
      <c r="M875" s="35" t="str">
        <f t="shared" si="57"/>
        <v/>
      </c>
      <c r="N875" s="39"/>
      <c r="O875" s="36"/>
    </row>
    <row r="876" spans="1:15" x14ac:dyDescent="0.25">
      <c r="A876">
        <f>COUNTIF($C$2:C876,C876)</f>
        <v>875</v>
      </c>
      <c r="B876" s="1" t="str">
        <f t="shared" si="54"/>
        <v>875</v>
      </c>
      <c r="C876" s="1" t="str">
        <f>IFERROR(VLOOKUP(D876,'Planilha de Cadastro - Previsão'!$A$2:$O$1000,15,FALSE()),"")</f>
        <v/>
      </c>
      <c r="D876" s="1">
        <v>875</v>
      </c>
      <c r="F876" s="32" t="str">
        <f t="shared" si="55"/>
        <v/>
      </c>
      <c r="G876" s="33" t="str">
        <f>IFERROR((VLOOKUP(F876,'Planilha de Cadastro - Previsão'!$A$2:$N$1100,2,FALSE()))," ")</f>
        <v xml:space="preserve"> </v>
      </c>
      <c r="H876" s="32" t="str">
        <f>IFERROR((VLOOKUP(F876,'Planilha de Cadastro - Previsão'!$A$2:$N$1100,3,FALSE()))," ")</f>
        <v xml:space="preserve"> </v>
      </c>
      <c r="I876" s="34" t="str">
        <f>IFERROR((VLOOKUP(F876,'Planilha de Cadastro - Previsão'!$A$2:$N$1100,4,FALSE()))," ")</f>
        <v xml:space="preserve"> </v>
      </c>
      <c r="J876" s="34" t="str">
        <f>IFERROR((VLOOKUP(F876,'Planilha de Cadastro - Previsão'!$A$2:$N$1100,5,FALSE()))," ")</f>
        <v xml:space="preserve"> </v>
      </c>
      <c r="K876" s="36"/>
      <c r="L876" s="34" t="str">
        <f t="shared" si="56"/>
        <v/>
      </c>
      <c r="M876" s="35" t="str">
        <f t="shared" si="57"/>
        <v/>
      </c>
      <c r="N876" s="39"/>
      <c r="O876" s="36"/>
    </row>
    <row r="877" spans="1:15" x14ac:dyDescent="0.25">
      <c r="A877">
        <f>COUNTIF($C$2:C877,C877)</f>
        <v>876</v>
      </c>
      <c r="B877" s="1" t="str">
        <f t="shared" si="54"/>
        <v>876</v>
      </c>
      <c r="C877" s="1" t="str">
        <f>IFERROR(VLOOKUP(D877,'Planilha de Cadastro - Previsão'!$A$2:$O$1000,15,FALSE()),"")</f>
        <v/>
      </c>
      <c r="D877" s="1">
        <v>876</v>
      </c>
      <c r="F877" s="32" t="str">
        <f t="shared" si="55"/>
        <v/>
      </c>
      <c r="G877" s="33" t="str">
        <f>IFERROR((VLOOKUP(F877,'Planilha de Cadastro - Previsão'!$A$2:$N$1100,2,FALSE()))," ")</f>
        <v xml:space="preserve"> </v>
      </c>
      <c r="H877" s="32" t="str">
        <f>IFERROR((VLOOKUP(F877,'Planilha de Cadastro - Previsão'!$A$2:$N$1100,3,FALSE()))," ")</f>
        <v xml:space="preserve"> </v>
      </c>
      <c r="I877" s="34" t="str">
        <f>IFERROR((VLOOKUP(F877,'Planilha de Cadastro - Previsão'!$A$2:$N$1100,4,FALSE()))," ")</f>
        <v xml:space="preserve"> </v>
      </c>
      <c r="J877" s="34" t="str">
        <f>IFERROR((VLOOKUP(F877,'Planilha de Cadastro - Previsão'!$A$2:$N$1100,5,FALSE()))," ")</f>
        <v xml:space="preserve"> </v>
      </c>
      <c r="K877" s="36"/>
      <c r="L877" s="34" t="str">
        <f t="shared" si="56"/>
        <v/>
      </c>
      <c r="M877" s="35" t="str">
        <f t="shared" si="57"/>
        <v/>
      </c>
      <c r="N877" s="39"/>
      <c r="O877" s="36"/>
    </row>
    <row r="878" spans="1:15" x14ac:dyDescent="0.25">
      <c r="A878">
        <f>COUNTIF($C$2:C878,C878)</f>
        <v>877</v>
      </c>
      <c r="B878" s="1" t="str">
        <f t="shared" si="54"/>
        <v>877</v>
      </c>
      <c r="C878" s="1" t="str">
        <f>IFERROR(VLOOKUP(D878,'Planilha de Cadastro - Previsão'!$A$2:$O$1000,15,FALSE()),"")</f>
        <v/>
      </c>
      <c r="D878" s="1">
        <v>877</v>
      </c>
      <c r="F878" s="32" t="str">
        <f t="shared" si="55"/>
        <v/>
      </c>
      <c r="G878" s="33" t="str">
        <f>IFERROR((VLOOKUP(F878,'Planilha de Cadastro - Previsão'!$A$2:$N$1100,2,FALSE()))," ")</f>
        <v xml:space="preserve"> </v>
      </c>
      <c r="H878" s="32" t="str">
        <f>IFERROR((VLOOKUP(F878,'Planilha de Cadastro - Previsão'!$A$2:$N$1100,3,FALSE()))," ")</f>
        <v xml:space="preserve"> </v>
      </c>
      <c r="I878" s="34" t="str">
        <f>IFERROR((VLOOKUP(F878,'Planilha de Cadastro - Previsão'!$A$2:$N$1100,4,FALSE()))," ")</f>
        <v xml:space="preserve"> </v>
      </c>
      <c r="J878" s="34" t="str">
        <f>IFERROR((VLOOKUP(F878,'Planilha de Cadastro - Previsão'!$A$2:$N$1100,5,FALSE()))," ")</f>
        <v xml:space="preserve"> </v>
      </c>
      <c r="K878" s="36"/>
      <c r="L878" s="34" t="str">
        <f t="shared" si="56"/>
        <v/>
      </c>
      <c r="M878" s="35" t="str">
        <f t="shared" si="57"/>
        <v/>
      </c>
      <c r="N878" s="39"/>
      <c r="O878" s="36"/>
    </row>
    <row r="879" spans="1:15" x14ac:dyDescent="0.25">
      <c r="A879">
        <f>COUNTIF($C$2:C879,C879)</f>
        <v>878</v>
      </c>
      <c r="B879" s="1" t="str">
        <f t="shared" si="54"/>
        <v>878</v>
      </c>
      <c r="C879" s="1" t="str">
        <f>IFERROR(VLOOKUP(D879,'Planilha de Cadastro - Previsão'!$A$2:$O$1000,15,FALSE()),"")</f>
        <v/>
      </c>
      <c r="D879" s="1">
        <v>878</v>
      </c>
      <c r="F879" s="32" t="str">
        <f t="shared" si="55"/>
        <v/>
      </c>
      <c r="G879" s="33" t="str">
        <f>IFERROR((VLOOKUP(F879,'Planilha de Cadastro - Previsão'!$A$2:$N$1100,2,FALSE()))," ")</f>
        <v xml:space="preserve"> </v>
      </c>
      <c r="H879" s="32" t="str">
        <f>IFERROR((VLOOKUP(F879,'Planilha de Cadastro - Previsão'!$A$2:$N$1100,3,FALSE()))," ")</f>
        <v xml:space="preserve"> </v>
      </c>
      <c r="I879" s="34" t="str">
        <f>IFERROR((VLOOKUP(F879,'Planilha de Cadastro - Previsão'!$A$2:$N$1100,4,FALSE()))," ")</f>
        <v xml:space="preserve"> </v>
      </c>
      <c r="J879" s="34" t="str">
        <f>IFERROR((VLOOKUP(F879,'Planilha de Cadastro - Previsão'!$A$2:$N$1100,5,FALSE()))," ")</f>
        <v xml:space="preserve"> </v>
      </c>
      <c r="K879" s="36"/>
      <c r="L879" s="34" t="str">
        <f t="shared" si="56"/>
        <v/>
      </c>
      <c r="M879" s="35" t="str">
        <f t="shared" si="57"/>
        <v/>
      </c>
      <c r="N879" s="39"/>
      <c r="O879" s="36"/>
    </row>
    <row r="880" spans="1:15" x14ac:dyDescent="0.25">
      <c r="A880">
        <f>COUNTIF($C$2:C880,C880)</f>
        <v>879</v>
      </c>
      <c r="B880" s="1" t="str">
        <f t="shared" si="54"/>
        <v>879</v>
      </c>
      <c r="C880" s="1" t="str">
        <f>IFERROR(VLOOKUP(D880,'Planilha de Cadastro - Previsão'!$A$2:$O$1000,15,FALSE()),"")</f>
        <v/>
      </c>
      <c r="D880" s="1">
        <v>879</v>
      </c>
      <c r="F880" s="32" t="str">
        <f t="shared" si="55"/>
        <v/>
      </c>
      <c r="G880" s="33" t="str">
        <f>IFERROR((VLOOKUP(F880,'Planilha de Cadastro - Previsão'!$A$2:$N$1100,2,FALSE()))," ")</f>
        <v xml:space="preserve"> </v>
      </c>
      <c r="H880" s="32" t="str">
        <f>IFERROR((VLOOKUP(F880,'Planilha de Cadastro - Previsão'!$A$2:$N$1100,3,FALSE()))," ")</f>
        <v xml:space="preserve"> </v>
      </c>
      <c r="I880" s="34" t="str">
        <f>IFERROR((VLOOKUP(F880,'Planilha de Cadastro - Previsão'!$A$2:$N$1100,4,FALSE()))," ")</f>
        <v xml:space="preserve"> </v>
      </c>
      <c r="J880" s="34" t="str">
        <f>IFERROR((VLOOKUP(F880,'Planilha de Cadastro - Previsão'!$A$2:$N$1100,5,FALSE()))," ")</f>
        <v xml:space="preserve"> </v>
      </c>
      <c r="K880" s="36"/>
      <c r="L880" s="34" t="str">
        <f t="shared" si="56"/>
        <v/>
      </c>
      <c r="M880" s="35" t="str">
        <f t="shared" si="57"/>
        <v/>
      </c>
      <c r="N880" s="39"/>
      <c r="O880" s="36"/>
    </row>
    <row r="881" spans="1:15" x14ac:dyDescent="0.25">
      <c r="A881">
        <f>COUNTIF($C$2:C881,C881)</f>
        <v>880</v>
      </c>
      <c r="B881" s="1" t="str">
        <f t="shared" si="54"/>
        <v>880</v>
      </c>
      <c r="C881" s="1" t="str">
        <f>IFERROR(VLOOKUP(D881,'Planilha de Cadastro - Previsão'!$A$2:$O$1000,15,FALSE()),"")</f>
        <v/>
      </c>
      <c r="D881" s="1">
        <v>880</v>
      </c>
      <c r="F881" s="32" t="str">
        <f t="shared" si="55"/>
        <v/>
      </c>
      <c r="G881" s="33" t="str">
        <f>IFERROR((VLOOKUP(F881,'Planilha de Cadastro - Previsão'!$A$2:$N$1100,2,FALSE()))," ")</f>
        <v xml:space="preserve"> </v>
      </c>
      <c r="H881" s="32" t="str">
        <f>IFERROR((VLOOKUP(F881,'Planilha de Cadastro - Previsão'!$A$2:$N$1100,3,FALSE()))," ")</f>
        <v xml:space="preserve"> </v>
      </c>
      <c r="I881" s="34" t="str">
        <f>IFERROR((VLOOKUP(F881,'Planilha de Cadastro - Previsão'!$A$2:$N$1100,4,FALSE()))," ")</f>
        <v xml:space="preserve"> </v>
      </c>
      <c r="J881" s="34" t="str">
        <f>IFERROR((VLOOKUP(F881,'Planilha de Cadastro - Previsão'!$A$2:$N$1100,5,FALSE()))," ")</f>
        <v xml:space="preserve"> </v>
      </c>
      <c r="K881" s="36"/>
      <c r="L881" s="34" t="str">
        <f t="shared" si="56"/>
        <v/>
      </c>
      <c r="M881" s="35" t="str">
        <f t="shared" si="57"/>
        <v/>
      </c>
      <c r="N881" s="39"/>
      <c r="O881" s="36"/>
    </row>
    <row r="882" spans="1:15" x14ac:dyDescent="0.25">
      <c r="A882">
        <f>COUNTIF($C$2:C882,C882)</f>
        <v>881</v>
      </c>
      <c r="B882" s="1" t="str">
        <f t="shared" si="54"/>
        <v>881</v>
      </c>
      <c r="C882" s="1" t="str">
        <f>IFERROR(VLOOKUP(D882,'Planilha de Cadastro - Previsão'!$A$2:$O$1000,15,FALSE()),"")</f>
        <v/>
      </c>
      <c r="D882" s="1">
        <v>881</v>
      </c>
      <c r="F882" s="32" t="str">
        <f t="shared" si="55"/>
        <v/>
      </c>
      <c r="G882" s="33" t="str">
        <f>IFERROR((VLOOKUP(F882,'Planilha de Cadastro - Previsão'!$A$2:$N$1100,2,FALSE()))," ")</f>
        <v xml:space="preserve"> </v>
      </c>
      <c r="H882" s="32" t="str">
        <f>IFERROR((VLOOKUP(F882,'Planilha de Cadastro - Previsão'!$A$2:$N$1100,3,FALSE()))," ")</f>
        <v xml:space="preserve"> </v>
      </c>
      <c r="I882" s="34" t="str">
        <f>IFERROR((VLOOKUP(F882,'Planilha de Cadastro - Previsão'!$A$2:$N$1100,4,FALSE()))," ")</f>
        <v xml:space="preserve"> </v>
      </c>
      <c r="J882" s="34" t="str">
        <f>IFERROR((VLOOKUP(F882,'Planilha de Cadastro - Previsão'!$A$2:$N$1100,5,FALSE()))," ")</f>
        <v xml:space="preserve"> </v>
      </c>
      <c r="K882" s="36"/>
      <c r="L882" s="34" t="str">
        <f t="shared" si="56"/>
        <v/>
      </c>
      <c r="M882" s="35" t="str">
        <f t="shared" si="57"/>
        <v/>
      </c>
      <c r="N882" s="39"/>
      <c r="O882" s="36"/>
    </row>
    <row r="883" spans="1:15" x14ac:dyDescent="0.25">
      <c r="A883">
        <f>COUNTIF($C$2:C883,C883)</f>
        <v>882</v>
      </c>
      <c r="B883" s="1" t="str">
        <f t="shared" si="54"/>
        <v>882</v>
      </c>
      <c r="C883" s="1" t="str">
        <f>IFERROR(VLOOKUP(D883,'Planilha de Cadastro - Previsão'!$A$2:$O$1000,15,FALSE()),"")</f>
        <v/>
      </c>
      <c r="D883" s="1">
        <v>882</v>
      </c>
      <c r="F883" s="32" t="str">
        <f t="shared" si="55"/>
        <v/>
      </c>
      <c r="G883" s="33" t="str">
        <f>IFERROR((VLOOKUP(F883,'Planilha de Cadastro - Previsão'!$A$2:$N$1100,2,FALSE()))," ")</f>
        <v xml:space="preserve"> </v>
      </c>
      <c r="H883" s="32" t="str">
        <f>IFERROR((VLOOKUP(F883,'Planilha de Cadastro - Previsão'!$A$2:$N$1100,3,FALSE()))," ")</f>
        <v xml:space="preserve"> </v>
      </c>
      <c r="I883" s="34" t="str">
        <f>IFERROR((VLOOKUP(F883,'Planilha de Cadastro - Previsão'!$A$2:$N$1100,4,FALSE()))," ")</f>
        <v xml:space="preserve"> </v>
      </c>
      <c r="J883" s="34" t="str">
        <f>IFERROR((VLOOKUP(F883,'Planilha de Cadastro - Previsão'!$A$2:$N$1100,5,FALSE()))," ")</f>
        <v xml:space="preserve"> </v>
      </c>
      <c r="K883" s="36"/>
      <c r="L883" s="34" t="str">
        <f t="shared" si="56"/>
        <v/>
      </c>
      <c r="M883" s="35" t="str">
        <f t="shared" si="57"/>
        <v/>
      </c>
      <c r="N883" s="39"/>
      <c r="O883" s="36"/>
    </row>
    <row r="884" spans="1:15" x14ac:dyDescent="0.25">
      <c r="A884">
        <f>COUNTIF($C$2:C884,C884)</f>
        <v>883</v>
      </c>
      <c r="B884" s="1" t="str">
        <f t="shared" si="54"/>
        <v>883</v>
      </c>
      <c r="C884" s="1" t="str">
        <f>IFERROR(VLOOKUP(D884,'Planilha de Cadastro - Previsão'!$A$2:$O$1000,15,FALSE()),"")</f>
        <v/>
      </c>
      <c r="D884" s="1">
        <v>883</v>
      </c>
      <c r="F884" s="32" t="str">
        <f t="shared" si="55"/>
        <v/>
      </c>
      <c r="G884" s="33" t="str">
        <f>IFERROR((VLOOKUP(F884,'Planilha de Cadastro - Previsão'!$A$2:$N$1100,2,FALSE()))," ")</f>
        <v xml:space="preserve"> </v>
      </c>
      <c r="H884" s="32" t="str">
        <f>IFERROR((VLOOKUP(F884,'Planilha de Cadastro - Previsão'!$A$2:$N$1100,3,FALSE()))," ")</f>
        <v xml:space="preserve"> </v>
      </c>
      <c r="I884" s="34" t="str">
        <f>IFERROR((VLOOKUP(F884,'Planilha de Cadastro - Previsão'!$A$2:$N$1100,4,FALSE()))," ")</f>
        <v xml:space="preserve"> </v>
      </c>
      <c r="J884" s="34" t="str">
        <f>IFERROR((VLOOKUP(F884,'Planilha de Cadastro - Previsão'!$A$2:$N$1100,5,FALSE()))," ")</f>
        <v xml:space="preserve"> </v>
      </c>
      <c r="K884" s="36"/>
      <c r="L884" s="34" t="str">
        <f t="shared" si="56"/>
        <v/>
      </c>
      <c r="M884" s="35" t="str">
        <f t="shared" si="57"/>
        <v/>
      </c>
      <c r="N884" s="39"/>
      <c r="O884" s="36"/>
    </row>
    <row r="885" spans="1:15" x14ac:dyDescent="0.25">
      <c r="A885">
        <f>COUNTIF($C$2:C885,C885)</f>
        <v>884</v>
      </c>
      <c r="B885" s="1" t="str">
        <f t="shared" si="54"/>
        <v>884</v>
      </c>
      <c r="C885" s="1" t="str">
        <f>IFERROR(VLOOKUP(D885,'Planilha de Cadastro - Previsão'!$A$2:$O$1000,15,FALSE()),"")</f>
        <v/>
      </c>
      <c r="D885" s="1">
        <v>884</v>
      </c>
      <c r="F885" s="32" t="str">
        <f t="shared" si="55"/>
        <v/>
      </c>
      <c r="G885" s="33" t="str">
        <f>IFERROR((VLOOKUP(F885,'Planilha de Cadastro - Previsão'!$A$2:$N$1100,2,FALSE()))," ")</f>
        <v xml:space="preserve"> </v>
      </c>
      <c r="H885" s="32" t="str">
        <f>IFERROR((VLOOKUP(F885,'Planilha de Cadastro - Previsão'!$A$2:$N$1100,3,FALSE()))," ")</f>
        <v xml:space="preserve"> </v>
      </c>
      <c r="I885" s="34" t="str">
        <f>IFERROR((VLOOKUP(F885,'Planilha de Cadastro - Previsão'!$A$2:$N$1100,4,FALSE()))," ")</f>
        <v xml:space="preserve"> </v>
      </c>
      <c r="J885" s="34" t="str">
        <f>IFERROR((VLOOKUP(F885,'Planilha de Cadastro - Previsão'!$A$2:$N$1100,5,FALSE()))," ")</f>
        <v xml:space="preserve"> </v>
      </c>
      <c r="K885" s="36"/>
      <c r="L885" s="34" t="str">
        <f t="shared" si="56"/>
        <v/>
      </c>
      <c r="M885" s="35" t="str">
        <f t="shared" si="57"/>
        <v/>
      </c>
      <c r="N885" s="39"/>
      <c r="O885" s="36"/>
    </row>
    <row r="886" spans="1:15" x14ac:dyDescent="0.25">
      <c r="A886">
        <f>COUNTIF($C$2:C886,C886)</f>
        <v>885</v>
      </c>
      <c r="B886" s="1" t="str">
        <f t="shared" si="54"/>
        <v>885</v>
      </c>
      <c r="C886" s="1" t="str">
        <f>IFERROR(VLOOKUP(D886,'Planilha de Cadastro - Previsão'!$A$2:$O$1000,15,FALSE()),"")</f>
        <v/>
      </c>
      <c r="D886" s="1">
        <v>885</v>
      </c>
      <c r="F886" s="32" t="str">
        <f t="shared" si="55"/>
        <v/>
      </c>
      <c r="G886" s="33" t="str">
        <f>IFERROR((VLOOKUP(F886,'Planilha de Cadastro - Previsão'!$A$2:$N$1100,2,FALSE()))," ")</f>
        <v xml:space="preserve"> </v>
      </c>
      <c r="H886" s="32" t="str">
        <f>IFERROR((VLOOKUP(F886,'Planilha de Cadastro - Previsão'!$A$2:$N$1100,3,FALSE()))," ")</f>
        <v xml:space="preserve"> </v>
      </c>
      <c r="I886" s="34" t="str">
        <f>IFERROR((VLOOKUP(F886,'Planilha de Cadastro - Previsão'!$A$2:$N$1100,4,FALSE()))," ")</f>
        <v xml:space="preserve"> </v>
      </c>
      <c r="J886" s="34" t="str">
        <f>IFERROR((VLOOKUP(F886,'Planilha de Cadastro - Previsão'!$A$2:$N$1100,5,FALSE()))," ")</f>
        <v xml:space="preserve"> </v>
      </c>
      <c r="K886" s="36"/>
      <c r="L886" s="34" t="str">
        <f t="shared" si="56"/>
        <v/>
      </c>
      <c r="M886" s="35" t="str">
        <f t="shared" si="57"/>
        <v/>
      </c>
      <c r="N886" s="39"/>
      <c r="O886" s="36"/>
    </row>
    <row r="887" spans="1:15" x14ac:dyDescent="0.25">
      <c r="A887">
        <f>COUNTIF($C$2:C887,C887)</f>
        <v>886</v>
      </c>
      <c r="B887" s="1" t="str">
        <f t="shared" si="54"/>
        <v>886</v>
      </c>
      <c r="C887" s="1" t="str">
        <f>IFERROR(VLOOKUP(D887,'Planilha de Cadastro - Previsão'!$A$2:$O$1000,15,FALSE()),"")</f>
        <v/>
      </c>
      <c r="D887" s="1">
        <v>886</v>
      </c>
      <c r="F887" s="32" t="str">
        <f t="shared" si="55"/>
        <v/>
      </c>
      <c r="G887" s="33" t="str">
        <f>IFERROR((VLOOKUP(F887,'Planilha de Cadastro - Previsão'!$A$2:$N$1100,2,FALSE()))," ")</f>
        <v xml:space="preserve"> </v>
      </c>
      <c r="H887" s="32" t="str">
        <f>IFERROR((VLOOKUP(F887,'Planilha de Cadastro - Previsão'!$A$2:$N$1100,3,FALSE()))," ")</f>
        <v xml:space="preserve"> </v>
      </c>
      <c r="I887" s="34" t="str">
        <f>IFERROR((VLOOKUP(F887,'Planilha de Cadastro - Previsão'!$A$2:$N$1100,4,FALSE()))," ")</f>
        <v xml:space="preserve"> </v>
      </c>
      <c r="J887" s="34" t="str">
        <f>IFERROR((VLOOKUP(F887,'Planilha de Cadastro - Previsão'!$A$2:$N$1100,5,FALSE()))," ")</f>
        <v xml:space="preserve"> </v>
      </c>
      <c r="K887" s="36"/>
      <c r="L887" s="34" t="str">
        <f t="shared" si="56"/>
        <v/>
      </c>
      <c r="M887" s="35" t="str">
        <f t="shared" si="57"/>
        <v/>
      </c>
      <c r="N887" s="39"/>
      <c r="O887" s="36"/>
    </row>
    <row r="888" spans="1:15" x14ac:dyDescent="0.25">
      <c r="A888">
        <f>COUNTIF($C$2:C888,C888)</f>
        <v>887</v>
      </c>
      <c r="B888" s="1" t="str">
        <f t="shared" si="54"/>
        <v>887</v>
      </c>
      <c r="C888" s="1" t="str">
        <f>IFERROR(VLOOKUP(D888,'Planilha de Cadastro - Previsão'!$A$2:$O$1000,15,FALSE()),"")</f>
        <v/>
      </c>
      <c r="D888" s="1">
        <v>887</v>
      </c>
      <c r="F888" s="32" t="str">
        <f t="shared" si="55"/>
        <v/>
      </c>
      <c r="G888" s="33" t="str">
        <f>IFERROR((VLOOKUP(F888,'Planilha de Cadastro - Previsão'!$A$2:$N$1100,2,FALSE()))," ")</f>
        <v xml:space="preserve"> </v>
      </c>
      <c r="H888" s="32" t="str">
        <f>IFERROR((VLOOKUP(F888,'Planilha de Cadastro - Previsão'!$A$2:$N$1100,3,FALSE()))," ")</f>
        <v xml:space="preserve"> </v>
      </c>
      <c r="I888" s="34" t="str">
        <f>IFERROR((VLOOKUP(F888,'Planilha de Cadastro - Previsão'!$A$2:$N$1100,4,FALSE()))," ")</f>
        <v xml:space="preserve"> </v>
      </c>
      <c r="J888" s="34" t="str">
        <f>IFERROR((VLOOKUP(F888,'Planilha de Cadastro - Previsão'!$A$2:$N$1100,5,FALSE()))," ")</f>
        <v xml:space="preserve"> </v>
      </c>
      <c r="K888" s="36"/>
      <c r="L888" s="34" t="str">
        <f t="shared" si="56"/>
        <v/>
      </c>
      <c r="M888" s="35" t="str">
        <f t="shared" si="57"/>
        <v/>
      </c>
      <c r="N888" s="39"/>
      <c r="O888" s="36"/>
    </row>
    <row r="889" spans="1:15" x14ac:dyDescent="0.25">
      <c r="A889">
        <f>COUNTIF($C$2:C889,C889)</f>
        <v>888</v>
      </c>
      <c r="B889" s="1" t="str">
        <f t="shared" si="54"/>
        <v>888</v>
      </c>
      <c r="C889" s="1" t="str">
        <f>IFERROR(VLOOKUP(D889,'Planilha de Cadastro - Previsão'!$A$2:$O$1000,15,FALSE()),"")</f>
        <v/>
      </c>
      <c r="D889" s="1">
        <v>888</v>
      </c>
      <c r="F889" s="32" t="str">
        <f t="shared" si="55"/>
        <v/>
      </c>
      <c r="G889" s="33" t="str">
        <f>IFERROR((VLOOKUP(F889,'Planilha de Cadastro - Previsão'!$A$2:$N$1100,2,FALSE()))," ")</f>
        <v xml:space="preserve"> </v>
      </c>
      <c r="H889" s="32" t="str">
        <f>IFERROR((VLOOKUP(F889,'Planilha de Cadastro - Previsão'!$A$2:$N$1100,3,FALSE()))," ")</f>
        <v xml:space="preserve"> </v>
      </c>
      <c r="I889" s="34" t="str">
        <f>IFERROR((VLOOKUP(F889,'Planilha de Cadastro - Previsão'!$A$2:$N$1100,4,FALSE()))," ")</f>
        <v xml:space="preserve"> </v>
      </c>
      <c r="J889" s="34" t="str">
        <f>IFERROR((VLOOKUP(F889,'Planilha de Cadastro - Previsão'!$A$2:$N$1100,5,FALSE()))," ")</f>
        <v xml:space="preserve"> </v>
      </c>
      <c r="K889" s="36"/>
      <c r="L889" s="34" t="str">
        <f t="shared" si="56"/>
        <v/>
      </c>
      <c r="M889" s="35" t="str">
        <f t="shared" si="57"/>
        <v/>
      </c>
      <c r="N889" s="39"/>
      <c r="O889" s="36"/>
    </row>
    <row r="890" spans="1:15" x14ac:dyDescent="0.25">
      <c r="A890">
        <f>COUNTIF($C$2:C890,C890)</f>
        <v>889</v>
      </c>
      <c r="B890" s="1" t="str">
        <f t="shared" si="54"/>
        <v>889</v>
      </c>
      <c r="C890" s="1" t="str">
        <f>IFERROR(VLOOKUP(D890,'Planilha de Cadastro - Previsão'!$A$2:$O$1000,15,FALSE()),"")</f>
        <v/>
      </c>
      <c r="D890" s="1">
        <v>889</v>
      </c>
      <c r="F890" s="32" t="str">
        <f t="shared" si="55"/>
        <v/>
      </c>
      <c r="G890" s="33" t="str">
        <f>IFERROR((VLOOKUP(F890,'Planilha de Cadastro - Previsão'!$A$2:$N$1100,2,FALSE()))," ")</f>
        <v xml:space="preserve"> </v>
      </c>
      <c r="H890" s="32" t="str">
        <f>IFERROR((VLOOKUP(F890,'Planilha de Cadastro - Previsão'!$A$2:$N$1100,3,FALSE()))," ")</f>
        <v xml:space="preserve"> </v>
      </c>
      <c r="I890" s="34" t="str">
        <f>IFERROR((VLOOKUP(F890,'Planilha de Cadastro - Previsão'!$A$2:$N$1100,4,FALSE()))," ")</f>
        <v xml:space="preserve"> </v>
      </c>
      <c r="J890" s="34" t="str">
        <f>IFERROR((VLOOKUP(F890,'Planilha de Cadastro - Previsão'!$A$2:$N$1100,5,FALSE()))," ")</f>
        <v xml:space="preserve"> </v>
      </c>
      <c r="K890" s="36"/>
      <c r="L890" s="34" t="str">
        <f t="shared" si="56"/>
        <v/>
      </c>
      <c r="M890" s="35" t="str">
        <f t="shared" si="57"/>
        <v/>
      </c>
      <c r="N890" s="39"/>
      <c r="O890" s="36"/>
    </row>
    <row r="891" spans="1:15" x14ac:dyDescent="0.25">
      <c r="A891">
        <f>COUNTIF($C$2:C891,C891)</f>
        <v>890</v>
      </c>
      <c r="B891" s="1" t="str">
        <f t="shared" si="54"/>
        <v>890</v>
      </c>
      <c r="C891" s="1" t="str">
        <f>IFERROR(VLOOKUP(D891,'Planilha de Cadastro - Previsão'!$A$2:$O$1000,15,FALSE()),"")</f>
        <v/>
      </c>
      <c r="D891" s="1">
        <v>890</v>
      </c>
      <c r="F891" s="32" t="str">
        <f t="shared" si="55"/>
        <v/>
      </c>
      <c r="G891" s="33" t="str">
        <f>IFERROR((VLOOKUP(F891,'Planilha de Cadastro - Previsão'!$A$2:$N$1100,2,FALSE()))," ")</f>
        <v xml:space="preserve"> </v>
      </c>
      <c r="H891" s="32" t="str">
        <f>IFERROR((VLOOKUP(F891,'Planilha de Cadastro - Previsão'!$A$2:$N$1100,3,FALSE()))," ")</f>
        <v xml:space="preserve"> </v>
      </c>
      <c r="I891" s="34" t="str">
        <f>IFERROR((VLOOKUP(F891,'Planilha de Cadastro - Previsão'!$A$2:$N$1100,4,FALSE()))," ")</f>
        <v xml:space="preserve"> </v>
      </c>
      <c r="J891" s="34" t="str">
        <f>IFERROR((VLOOKUP(F891,'Planilha de Cadastro - Previsão'!$A$2:$N$1100,5,FALSE()))," ")</f>
        <v xml:space="preserve"> </v>
      </c>
      <c r="K891" s="36"/>
      <c r="L891" s="34" t="str">
        <f t="shared" si="56"/>
        <v/>
      </c>
      <c r="M891" s="35" t="str">
        <f t="shared" si="57"/>
        <v/>
      </c>
      <c r="N891" s="39"/>
      <c r="O891" s="36"/>
    </row>
    <row r="892" spans="1:15" x14ac:dyDescent="0.25">
      <c r="A892">
        <f>COUNTIF($C$2:C892,C892)</f>
        <v>891</v>
      </c>
      <c r="B892" s="1" t="str">
        <f t="shared" si="54"/>
        <v>891</v>
      </c>
      <c r="C892" s="1" t="str">
        <f>IFERROR(VLOOKUP(D892,'Planilha de Cadastro - Previsão'!$A$2:$O$1000,15,FALSE()),"")</f>
        <v/>
      </c>
      <c r="D892" s="1">
        <v>891</v>
      </c>
      <c r="F892" s="32" t="str">
        <f t="shared" si="55"/>
        <v/>
      </c>
      <c r="G892" s="33" t="str">
        <f>IFERROR((VLOOKUP(F892,'Planilha de Cadastro - Previsão'!$A$2:$N$1100,2,FALSE()))," ")</f>
        <v xml:space="preserve"> </v>
      </c>
      <c r="H892" s="32" t="str">
        <f>IFERROR((VLOOKUP(F892,'Planilha de Cadastro - Previsão'!$A$2:$N$1100,3,FALSE()))," ")</f>
        <v xml:space="preserve"> </v>
      </c>
      <c r="I892" s="34" t="str">
        <f>IFERROR((VLOOKUP(F892,'Planilha de Cadastro - Previsão'!$A$2:$N$1100,4,FALSE()))," ")</f>
        <v xml:space="preserve"> </v>
      </c>
      <c r="J892" s="34" t="str">
        <f>IFERROR((VLOOKUP(F892,'Planilha de Cadastro - Previsão'!$A$2:$N$1100,5,FALSE()))," ")</f>
        <v xml:space="preserve"> </v>
      </c>
      <c r="K892" s="36"/>
      <c r="L892" s="34" t="str">
        <f t="shared" si="56"/>
        <v/>
      </c>
      <c r="M892" s="35" t="str">
        <f t="shared" si="57"/>
        <v/>
      </c>
      <c r="N892" s="39"/>
      <c r="O892" s="36"/>
    </row>
    <row r="893" spans="1:15" x14ac:dyDescent="0.25">
      <c r="A893">
        <f>COUNTIF($C$2:C893,C893)</f>
        <v>892</v>
      </c>
      <c r="B893" s="1" t="str">
        <f t="shared" si="54"/>
        <v>892</v>
      </c>
      <c r="C893" s="1" t="str">
        <f>IFERROR(VLOOKUP(D893,'Planilha de Cadastro - Previsão'!$A$2:$O$1000,15,FALSE()),"")</f>
        <v/>
      </c>
      <c r="D893" s="1">
        <v>892</v>
      </c>
      <c r="F893" s="32" t="str">
        <f t="shared" si="55"/>
        <v/>
      </c>
      <c r="G893" s="33" t="str">
        <f>IFERROR((VLOOKUP(F893,'Planilha de Cadastro - Previsão'!$A$2:$N$1100,2,FALSE()))," ")</f>
        <v xml:space="preserve"> </v>
      </c>
      <c r="H893" s="32" t="str">
        <f>IFERROR((VLOOKUP(F893,'Planilha de Cadastro - Previsão'!$A$2:$N$1100,3,FALSE()))," ")</f>
        <v xml:space="preserve"> </v>
      </c>
      <c r="I893" s="34" t="str">
        <f>IFERROR((VLOOKUP(F893,'Planilha de Cadastro - Previsão'!$A$2:$N$1100,4,FALSE()))," ")</f>
        <v xml:space="preserve"> </v>
      </c>
      <c r="J893" s="34" t="str">
        <f>IFERROR((VLOOKUP(F893,'Planilha de Cadastro - Previsão'!$A$2:$N$1100,5,FALSE()))," ")</f>
        <v xml:space="preserve"> </v>
      </c>
      <c r="K893" s="36"/>
      <c r="L893" s="34" t="str">
        <f t="shared" si="56"/>
        <v/>
      </c>
      <c r="M893" s="35" t="str">
        <f t="shared" si="57"/>
        <v/>
      </c>
      <c r="N893" s="39"/>
      <c r="O893" s="36"/>
    </row>
    <row r="894" spans="1:15" x14ac:dyDescent="0.25">
      <c r="A894">
        <f>COUNTIF($C$2:C894,C894)</f>
        <v>893</v>
      </c>
      <c r="B894" s="1" t="str">
        <f t="shared" si="54"/>
        <v>893</v>
      </c>
      <c r="C894" s="1" t="str">
        <f>IFERROR(VLOOKUP(D894,'Planilha de Cadastro - Previsão'!$A$2:$O$1000,15,FALSE()),"")</f>
        <v/>
      </c>
      <c r="D894" s="1">
        <v>893</v>
      </c>
      <c r="F894" s="32" t="str">
        <f t="shared" si="55"/>
        <v/>
      </c>
      <c r="G894" s="33" t="str">
        <f>IFERROR((VLOOKUP(F894,'Planilha de Cadastro - Previsão'!$A$2:$N$1100,2,FALSE()))," ")</f>
        <v xml:space="preserve"> </v>
      </c>
      <c r="H894" s="32" t="str">
        <f>IFERROR((VLOOKUP(F894,'Planilha de Cadastro - Previsão'!$A$2:$N$1100,3,FALSE()))," ")</f>
        <v xml:space="preserve"> </v>
      </c>
      <c r="I894" s="34" t="str">
        <f>IFERROR((VLOOKUP(F894,'Planilha de Cadastro - Previsão'!$A$2:$N$1100,4,FALSE()))," ")</f>
        <v xml:space="preserve"> </v>
      </c>
      <c r="J894" s="34" t="str">
        <f>IFERROR((VLOOKUP(F894,'Planilha de Cadastro - Previsão'!$A$2:$N$1100,5,FALSE()))," ")</f>
        <v xml:space="preserve"> </v>
      </c>
      <c r="K894" s="36"/>
      <c r="L894" s="34" t="str">
        <f t="shared" si="56"/>
        <v/>
      </c>
      <c r="M894" s="35" t="str">
        <f t="shared" si="57"/>
        <v/>
      </c>
      <c r="N894" s="39"/>
      <c r="O894" s="36"/>
    </row>
    <row r="895" spans="1:15" x14ac:dyDescent="0.25">
      <c r="A895">
        <f>COUNTIF($C$2:C895,C895)</f>
        <v>894</v>
      </c>
      <c r="B895" s="1" t="str">
        <f t="shared" si="54"/>
        <v>894</v>
      </c>
      <c r="C895" s="1" t="str">
        <f>IFERROR(VLOOKUP(D895,'Planilha de Cadastro - Previsão'!$A$2:$O$1000,15,FALSE()),"")</f>
        <v/>
      </c>
      <c r="D895" s="1">
        <v>894</v>
      </c>
      <c r="F895" s="32" t="str">
        <f t="shared" si="55"/>
        <v/>
      </c>
      <c r="G895" s="33" t="str">
        <f>IFERROR((VLOOKUP(F895,'Planilha de Cadastro - Previsão'!$A$2:$N$1100,2,FALSE()))," ")</f>
        <v xml:space="preserve"> </v>
      </c>
      <c r="H895" s="32" t="str">
        <f>IFERROR((VLOOKUP(F895,'Planilha de Cadastro - Previsão'!$A$2:$N$1100,3,FALSE()))," ")</f>
        <v xml:space="preserve"> </v>
      </c>
      <c r="I895" s="34" t="str">
        <f>IFERROR((VLOOKUP(F895,'Planilha de Cadastro - Previsão'!$A$2:$N$1100,4,FALSE()))," ")</f>
        <v xml:space="preserve"> </v>
      </c>
      <c r="J895" s="34" t="str">
        <f>IFERROR((VLOOKUP(F895,'Planilha de Cadastro - Previsão'!$A$2:$N$1100,5,FALSE()))," ")</f>
        <v xml:space="preserve"> </v>
      </c>
      <c r="K895" s="36"/>
      <c r="L895" s="34" t="str">
        <f t="shared" si="56"/>
        <v/>
      </c>
      <c r="M895" s="35" t="str">
        <f t="shared" si="57"/>
        <v/>
      </c>
      <c r="N895" s="39"/>
      <c r="O895" s="36"/>
    </row>
    <row r="896" spans="1:15" x14ac:dyDescent="0.25">
      <c r="A896">
        <f>COUNTIF($C$2:C896,C896)</f>
        <v>895</v>
      </c>
      <c r="B896" s="1" t="str">
        <f t="shared" si="54"/>
        <v>895</v>
      </c>
      <c r="C896" s="1" t="str">
        <f>IFERROR(VLOOKUP(D896,'Planilha de Cadastro - Previsão'!$A$2:$O$1000,15,FALSE()),"")</f>
        <v/>
      </c>
      <c r="D896" s="1">
        <v>895</v>
      </c>
      <c r="F896" s="32" t="str">
        <f t="shared" si="55"/>
        <v/>
      </c>
      <c r="G896" s="33" t="str">
        <f>IFERROR((VLOOKUP(F896,'Planilha de Cadastro - Previsão'!$A$2:$N$1100,2,FALSE()))," ")</f>
        <v xml:space="preserve"> </v>
      </c>
      <c r="H896" s="32" t="str">
        <f>IFERROR((VLOOKUP(F896,'Planilha de Cadastro - Previsão'!$A$2:$N$1100,3,FALSE()))," ")</f>
        <v xml:space="preserve"> </v>
      </c>
      <c r="I896" s="34" t="str">
        <f>IFERROR((VLOOKUP(F896,'Planilha de Cadastro - Previsão'!$A$2:$N$1100,4,FALSE()))," ")</f>
        <v xml:space="preserve"> </v>
      </c>
      <c r="J896" s="34" t="str">
        <f>IFERROR((VLOOKUP(F896,'Planilha de Cadastro - Previsão'!$A$2:$N$1100,5,FALSE()))," ")</f>
        <v xml:space="preserve"> </v>
      </c>
      <c r="K896" s="36"/>
      <c r="L896" s="34" t="str">
        <f t="shared" si="56"/>
        <v/>
      </c>
      <c r="M896" s="35" t="str">
        <f t="shared" si="57"/>
        <v/>
      </c>
      <c r="N896" s="39"/>
      <c r="O896" s="36"/>
    </row>
    <row r="897" spans="1:15" x14ac:dyDescent="0.25">
      <c r="A897">
        <f>COUNTIF($C$2:C897,C897)</f>
        <v>896</v>
      </c>
      <c r="B897" s="1" t="str">
        <f t="shared" si="54"/>
        <v>896</v>
      </c>
      <c r="C897" s="1" t="str">
        <f>IFERROR(VLOOKUP(D897,'Planilha de Cadastro - Previsão'!$A$2:$O$1000,15,FALSE()),"")</f>
        <v/>
      </c>
      <c r="D897" s="1">
        <v>896</v>
      </c>
      <c r="F897" s="32" t="str">
        <f t="shared" si="55"/>
        <v/>
      </c>
      <c r="G897" s="33" t="str">
        <f>IFERROR((VLOOKUP(F897,'Planilha de Cadastro - Previsão'!$A$2:$N$1100,2,FALSE()))," ")</f>
        <v xml:space="preserve"> </v>
      </c>
      <c r="H897" s="32" t="str">
        <f>IFERROR((VLOOKUP(F897,'Planilha de Cadastro - Previsão'!$A$2:$N$1100,3,FALSE()))," ")</f>
        <v xml:space="preserve"> </v>
      </c>
      <c r="I897" s="34" t="str">
        <f>IFERROR((VLOOKUP(F897,'Planilha de Cadastro - Previsão'!$A$2:$N$1100,4,FALSE()))," ")</f>
        <v xml:space="preserve"> </v>
      </c>
      <c r="J897" s="34" t="str">
        <f>IFERROR((VLOOKUP(F897,'Planilha de Cadastro - Previsão'!$A$2:$N$1100,5,FALSE()))," ")</f>
        <v xml:space="preserve"> </v>
      </c>
      <c r="K897" s="36"/>
      <c r="L897" s="34" t="str">
        <f t="shared" si="56"/>
        <v/>
      </c>
      <c r="M897" s="35" t="str">
        <f t="shared" si="57"/>
        <v/>
      </c>
      <c r="N897" s="39"/>
      <c r="O897" s="36"/>
    </row>
    <row r="898" spans="1:15" x14ac:dyDescent="0.25">
      <c r="A898">
        <f>COUNTIF($C$2:C898,C898)</f>
        <v>897</v>
      </c>
      <c r="B898" s="1" t="str">
        <f t="shared" si="54"/>
        <v>897</v>
      </c>
      <c r="C898" s="1" t="str">
        <f>IFERROR(VLOOKUP(D898,'Planilha de Cadastro - Previsão'!$A$2:$O$1000,15,FALSE()),"")</f>
        <v/>
      </c>
      <c r="D898" s="1">
        <v>897</v>
      </c>
      <c r="F898" s="32" t="str">
        <f t="shared" si="55"/>
        <v/>
      </c>
      <c r="G898" s="33" t="str">
        <f>IFERROR((VLOOKUP(F898,'Planilha de Cadastro - Previsão'!$A$2:$N$1100,2,FALSE()))," ")</f>
        <v xml:space="preserve"> </v>
      </c>
      <c r="H898" s="32" t="str">
        <f>IFERROR((VLOOKUP(F898,'Planilha de Cadastro - Previsão'!$A$2:$N$1100,3,FALSE()))," ")</f>
        <v xml:space="preserve"> </v>
      </c>
      <c r="I898" s="34" t="str">
        <f>IFERROR((VLOOKUP(F898,'Planilha de Cadastro - Previsão'!$A$2:$N$1100,4,FALSE()))," ")</f>
        <v xml:space="preserve"> </v>
      </c>
      <c r="J898" s="34" t="str">
        <f>IFERROR((VLOOKUP(F898,'Planilha de Cadastro - Previsão'!$A$2:$N$1100,5,FALSE()))," ")</f>
        <v xml:space="preserve"> </v>
      </c>
      <c r="K898" s="36"/>
      <c r="L898" s="34" t="str">
        <f t="shared" si="56"/>
        <v/>
      </c>
      <c r="M898" s="35" t="str">
        <f t="shared" si="57"/>
        <v/>
      </c>
      <c r="N898" s="39"/>
      <c r="O898" s="36"/>
    </row>
    <row r="899" spans="1:15" x14ac:dyDescent="0.25">
      <c r="A899">
        <f>COUNTIF($C$2:C899,C899)</f>
        <v>898</v>
      </c>
      <c r="B899" s="1" t="str">
        <f t="shared" ref="B899:B962" si="58">IFERROR(CONCATENATE(C899,A899),"")</f>
        <v>898</v>
      </c>
      <c r="C899" s="1" t="str">
        <f>IFERROR(VLOOKUP(D899,'Planilha de Cadastro - Previsão'!$A$2:$O$1000,15,FALSE()),"")</f>
        <v/>
      </c>
      <c r="D899" s="1">
        <v>898</v>
      </c>
      <c r="F899" s="32" t="str">
        <f t="shared" ref="F899:F962" si="59">IFERROR((VLOOKUP(CONCATENATE("Sim",D899),$B$2:$D$1000,3,FALSE())),"")</f>
        <v/>
      </c>
      <c r="G899" s="33" t="str">
        <f>IFERROR((VLOOKUP(F899,'Planilha de Cadastro - Previsão'!$A$2:$N$1100,2,FALSE()))," ")</f>
        <v xml:space="preserve"> </v>
      </c>
      <c r="H899" s="32" t="str">
        <f>IFERROR((VLOOKUP(F899,'Planilha de Cadastro - Previsão'!$A$2:$N$1100,3,FALSE()))," ")</f>
        <v xml:space="preserve"> </v>
      </c>
      <c r="I899" s="34" t="str">
        <f>IFERROR((VLOOKUP(F899,'Planilha de Cadastro - Previsão'!$A$2:$N$1100,4,FALSE()))," ")</f>
        <v xml:space="preserve"> </v>
      </c>
      <c r="J899" s="34" t="str">
        <f>IFERROR((VLOOKUP(F899,'Planilha de Cadastro - Previsão'!$A$2:$N$1100,5,FALSE()))," ")</f>
        <v xml:space="preserve"> </v>
      </c>
      <c r="K899" s="36"/>
      <c r="L899" s="34" t="str">
        <f t="shared" ref="L899:L962" si="60">IF(K899&gt;0,(K899*H899)-(I899*H899)-(K899*H899*4%),"")</f>
        <v/>
      </c>
      <c r="M899" s="35" t="str">
        <f t="shared" ref="M899:M962" si="61">IFERROR(L899/(K899*H899),"")</f>
        <v/>
      </c>
      <c r="N899" s="39"/>
      <c r="O899" s="36"/>
    </row>
    <row r="900" spans="1:15" x14ac:dyDescent="0.25">
      <c r="A900">
        <f>COUNTIF($C$2:C900,C900)</f>
        <v>899</v>
      </c>
      <c r="B900" s="1" t="str">
        <f t="shared" si="58"/>
        <v>899</v>
      </c>
      <c r="C900" s="1" t="str">
        <f>IFERROR(VLOOKUP(D900,'Planilha de Cadastro - Previsão'!$A$2:$O$1000,15,FALSE()),"")</f>
        <v/>
      </c>
      <c r="D900" s="1">
        <v>899</v>
      </c>
      <c r="F900" s="32" t="str">
        <f t="shared" si="59"/>
        <v/>
      </c>
      <c r="G900" s="33" t="str">
        <f>IFERROR((VLOOKUP(F900,'Planilha de Cadastro - Previsão'!$A$2:$N$1100,2,FALSE()))," ")</f>
        <v xml:space="preserve"> </v>
      </c>
      <c r="H900" s="32" t="str">
        <f>IFERROR((VLOOKUP(F900,'Planilha de Cadastro - Previsão'!$A$2:$N$1100,3,FALSE()))," ")</f>
        <v xml:space="preserve"> </v>
      </c>
      <c r="I900" s="34" t="str">
        <f>IFERROR((VLOOKUP(F900,'Planilha de Cadastro - Previsão'!$A$2:$N$1100,4,FALSE()))," ")</f>
        <v xml:space="preserve"> </v>
      </c>
      <c r="J900" s="34" t="str">
        <f>IFERROR((VLOOKUP(F900,'Planilha de Cadastro - Previsão'!$A$2:$N$1100,5,FALSE()))," ")</f>
        <v xml:space="preserve"> </v>
      </c>
      <c r="K900" s="36"/>
      <c r="L900" s="34" t="str">
        <f t="shared" si="60"/>
        <v/>
      </c>
      <c r="M900" s="35" t="str">
        <f t="shared" si="61"/>
        <v/>
      </c>
      <c r="N900" s="39"/>
      <c r="O900" s="36"/>
    </row>
    <row r="901" spans="1:15" x14ac:dyDescent="0.25">
      <c r="A901">
        <f>COUNTIF($C$2:C901,C901)</f>
        <v>900</v>
      </c>
      <c r="B901" s="1" t="str">
        <f t="shared" si="58"/>
        <v>900</v>
      </c>
      <c r="C901" s="1" t="str">
        <f>IFERROR(VLOOKUP(D901,'Planilha de Cadastro - Previsão'!$A$2:$O$1000,15,FALSE()),"")</f>
        <v/>
      </c>
      <c r="D901" s="1">
        <v>900</v>
      </c>
      <c r="F901" s="32" t="str">
        <f t="shared" si="59"/>
        <v/>
      </c>
      <c r="G901" s="33" t="str">
        <f>IFERROR((VLOOKUP(F901,'Planilha de Cadastro - Previsão'!$A$2:$N$1100,2,FALSE()))," ")</f>
        <v xml:space="preserve"> </v>
      </c>
      <c r="H901" s="32" t="str">
        <f>IFERROR((VLOOKUP(F901,'Planilha de Cadastro - Previsão'!$A$2:$N$1100,3,FALSE()))," ")</f>
        <v xml:space="preserve"> </v>
      </c>
      <c r="I901" s="34" t="str">
        <f>IFERROR((VLOOKUP(F901,'Planilha de Cadastro - Previsão'!$A$2:$N$1100,4,FALSE()))," ")</f>
        <v xml:space="preserve"> </v>
      </c>
      <c r="J901" s="34" t="str">
        <f>IFERROR((VLOOKUP(F901,'Planilha de Cadastro - Previsão'!$A$2:$N$1100,5,FALSE()))," ")</f>
        <v xml:space="preserve"> </v>
      </c>
      <c r="K901" s="36"/>
      <c r="L901" s="34" t="str">
        <f t="shared" si="60"/>
        <v/>
      </c>
      <c r="M901" s="35" t="str">
        <f t="shared" si="61"/>
        <v/>
      </c>
      <c r="N901" s="39"/>
      <c r="O901" s="36"/>
    </row>
    <row r="902" spans="1:15" x14ac:dyDescent="0.25">
      <c r="A902">
        <f>COUNTIF($C$2:C902,C902)</f>
        <v>901</v>
      </c>
      <c r="B902" s="1" t="str">
        <f t="shared" si="58"/>
        <v>901</v>
      </c>
      <c r="C902" s="1" t="str">
        <f>IFERROR(VLOOKUP(D902,'Planilha de Cadastro - Previsão'!$A$2:$O$1000,15,FALSE()),"")</f>
        <v/>
      </c>
      <c r="D902" s="1">
        <v>901</v>
      </c>
      <c r="F902" s="32" t="str">
        <f t="shared" si="59"/>
        <v/>
      </c>
      <c r="G902" s="33" t="str">
        <f>IFERROR((VLOOKUP(F902,'Planilha de Cadastro - Previsão'!$A$2:$N$1100,2,FALSE()))," ")</f>
        <v xml:space="preserve"> </v>
      </c>
      <c r="H902" s="32" t="str">
        <f>IFERROR((VLOOKUP(F902,'Planilha de Cadastro - Previsão'!$A$2:$N$1100,3,FALSE()))," ")</f>
        <v xml:space="preserve"> </v>
      </c>
      <c r="I902" s="34" t="str">
        <f>IFERROR((VLOOKUP(F902,'Planilha de Cadastro - Previsão'!$A$2:$N$1100,4,FALSE()))," ")</f>
        <v xml:space="preserve"> </v>
      </c>
      <c r="J902" s="34" t="str">
        <f>IFERROR((VLOOKUP(F902,'Planilha de Cadastro - Previsão'!$A$2:$N$1100,5,FALSE()))," ")</f>
        <v xml:space="preserve"> </v>
      </c>
      <c r="K902" s="36"/>
      <c r="L902" s="34" t="str">
        <f t="shared" si="60"/>
        <v/>
      </c>
      <c r="M902" s="35" t="str">
        <f t="shared" si="61"/>
        <v/>
      </c>
      <c r="N902" s="39"/>
      <c r="O902" s="36"/>
    </row>
    <row r="903" spans="1:15" x14ac:dyDescent="0.25">
      <c r="A903">
        <f>COUNTIF($C$2:C903,C903)</f>
        <v>902</v>
      </c>
      <c r="B903" s="1" t="str">
        <f t="shared" si="58"/>
        <v>902</v>
      </c>
      <c r="C903" s="1" t="str">
        <f>IFERROR(VLOOKUP(D903,'Planilha de Cadastro - Previsão'!$A$2:$O$1000,15,FALSE()),"")</f>
        <v/>
      </c>
      <c r="D903" s="1">
        <v>902</v>
      </c>
      <c r="F903" s="32" t="str">
        <f t="shared" si="59"/>
        <v/>
      </c>
      <c r="G903" s="33" t="str">
        <f>IFERROR((VLOOKUP(F903,'Planilha de Cadastro - Previsão'!$A$2:$N$1100,2,FALSE()))," ")</f>
        <v xml:space="preserve"> </v>
      </c>
      <c r="H903" s="32" t="str">
        <f>IFERROR((VLOOKUP(F903,'Planilha de Cadastro - Previsão'!$A$2:$N$1100,3,FALSE()))," ")</f>
        <v xml:space="preserve"> </v>
      </c>
      <c r="I903" s="34" t="str">
        <f>IFERROR((VLOOKUP(F903,'Planilha de Cadastro - Previsão'!$A$2:$N$1100,4,FALSE()))," ")</f>
        <v xml:space="preserve"> </v>
      </c>
      <c r="J903" s="34" t="str">
        <f>IFERROR((VLOOKUP(F903,'Planilha de Cadastro - Previsão'!$A$2:$N$1100,5,FALSE()))," ")</f>
        <v xml:space="preserve"> </v>
      </c>
      <c r="K903" s="36"/>
      <c r="L903" s="34" t="str">
        <f t="shared" si="60"/>
        <v/>
      </c>
      <c r="M903" s="35" t="str">
        <f t="shared" si="61"/>
        <v/>
      </c>
      <c r="N903" s="39"/>
      <c r="O903" s="36"/>
    </row>
    <row r="904" spans="1:15" x14ac:dyDescent="0.25">
      <c r="A904">
        <f>COUNTIF($C$2:C904,C904)</f>
        <v>903</v>
      </c>
      <c r="B904" s="1" t="str">
        <f t="shared" si="58"/>
        <v>903</v>
      </c>
      <c r="C904" s="1" t="str">
        <f>IFERROR(VLOOKUP(D904,'Planilha de Cadastro - Previsão'!$A$2:$O$1000,15,FALSE()),"")</f>
        <v/>
      </c>
      <c r="D904" s="1">
        <v>903</v>
      </c>
      <c r="F904" s="32" t="str">
        <f t="shared" si="59"/>
        <v/>
      </c>
      <c r="G904" s="33" t="str">
        <f>IFERROR((VLOOKUP(F904,'Planilha de Cadastro - Previsão'!$A$2:$N$1100,2,FALSE()))," ")</f>
        <v xml:space="preserve"> </v>
      </c>
      <c r="H904" s="32" t="str">
        <f>IFERROR((VLOOKUP(F904,'Planilha de Cadastro - Previsão'!$A$2:$N$1100,3,FALSE()))," ")</f>
        <v xml:space="preserve"> </v>
      </c>
      <c r="I904" s="34" t="str">
        <f>IFERROR((VLOOKUP(F904,'Planilha de Cadastro - Previsão'!$A$2:$N$1100,4,FALSE()))," ")</f>
        <v xml:space="preserve"> </v>
      </c>
      <c r="J904" s="34" t="str">
        <f>IFERROR((VLOOKUP(F904,'Planilha de Cadastro - Previsão'!$A$2:$N$1100,5,FALSE()))," ")</f>
        <v xml:space="preserve"> </v>
      </c>
      <c r="K904" s="36"/>
      <c r="L904" s="34" t="str">
        <f t="shared" si="60"/>
        <v/>
      </c>
      <c r="M904" s="35" t="str">
        <f t="shared" si="61"/>
        <v/>
      </c>
      <c r="N904" s="39"/>
      <c r="O904" s="36"/>
    </row>
    <row r="905" spans="1:15" x14ac:dyDescent="0.25">
      <c r="A905">
        <f>COUNTIF($C$2:C905,C905)</f>
        <v>904</v>
      </c>
      <c r="B905" s="1" t="str">
        <f t="shared" si="58"/>
        <v>904</v>
      </c>
      <c r="C905" s="1" t="str">
        <f>IFERROR(VLOOKUP(D905,'Planilha de Cadastro - Previsão'!$A$2:$O$1000,15,FALSE()),"")</f>
        <v/>
      </c>
      <c r="D905" s="1">
        <v>904</v>
      </c>
      <c r="F905" s="32" t="str">
        <f t="shared" si="59"/>
        <v/>
      </c>
      <c r="G905" s="33" t="str">
        <f>IFERROR((VLOOKUP(F905,'Planilha de Cadastro - Previsão'!$A$2:$N$1100,2,FALSE()))," ")</f>
        <v xml:space="preserve"> </v>
      </c>
      <c r="H905" s="32" t="str">
        <f>IFERROR((VLOOKUP(F905,'Planilha de Cadastro - Previsão'!$A$2:$N$1100,3,FALSE()))," ")</f>
        <v xml:space="preserve"> </v>
      </c>
      <c r="I905" s="34" t="str">
        <f>IFERROR((VLOOKUP(F905,'Planilha de Cadastro - Previsão'!$A$2:$N$1100,4,FALSE()))," ")</f>
        <v xml:space="preserve"> </v>
      </c>
      <c r="J905" s="34" t="str">
        <f>IFERROR((VLOOKUP(F905,'Planilha de Cadastro - Previsão'!$A$2:$N$1100,5,FALSE()))," ")</f>
        <v xml:space="preserve"> </v>
      </c>
      <c r="K905" s="36"/>
      <c r="L905" s="34" t="str">
        <f t="shared" si="60"/>
        <v/>
      </c>
      <c r="M905" s="35" t="str">
        <f t="shared" si="61"/>
        <v/>
      </c>
      <c r="N905" s="39"/>
      <c r="O905" s="36"/>
    </row>
    <row r="906" spans="1:15" x14ac:dyDescent="0.25">
      <c r="A906">
        <f>COUNTIF($C$2:C906,C906)</f>
        <v>905</v>
      </c>
      <c r="B906" s="1" t="str">
        <f t="shared" si="58"/>
        <v>905</v>
      </c>
      <c r="C906" s="1" t="str">
        <f>IFERROR(VLOOKUP(D906,'Planilha de Cadastro - Previsão'!$A$2:$O$1000,15,FALSE()),"")</f>
        <v/>
      </c>
      <c r="D906" s="1">
        <v>905</v>
      </c>
      <c r="F906" s="32" t="str">
        <f t="shared" si="59"/>
        <v/>
      </c>
      <c r="G906" s="33" t="str">
        <f>IFERROR((VLOOKUP(F906,'Planilha de Cadastro - Previsão'!$A$2:$N$1100,2,FALSE()))," ")</f>
        <v xml:space="preserve"> </v>
      </c>
      <c r="H906" s="32" t="str">
        <f>IFERROR((VLOOKUP(F906,'Planilha de Cadastro - Previsão'!$A$2:$N$1100,3,FALSE()))," ")</f>
        <v xml:space="preserve"> </v>
      </c>
      <c r="I906" s="34" t="str">
        <f>IFERROR((VLOOKUP(F906,'Planilha de Cadastro - Previsão'!$A$2:$N$1100,4,FALSE()))," ")</f>
        <v xml:space="preserve"> </v>
      </c>
      <c r="J906" s="34" t="str">
        <f>IFERROR((VLOOKUP(F906,'Planilha de Cadastro - Previsão'!$A$2:$N$1100,5,FALSE()))," ")</f>
        <v xml:space="preserve"> </v>
      </c>
      <c r="K906" s="36"/>
      <c r="L906" s="34" t="str">
        <f t="shared" si="60"/>
        <v/>
      </c>
      <c r="M906" s="35" t="str">
        <f t="shared" si="61"/>
        <v/>
      </c>
      <c r="N906" s="39"/>
      <c r="O906" s="36"/>
    </row>
    <row r="907" spans="1:15" x14ac:dyDescent="0.25">
      <c r="A907">
        <f>COUNTIF($C$2:C907,C907)</f>
        <v>906</v>
      </c>
      <c r="B907" s="1" t="str">
        <f t="shared" si="58"/>
        <v>906</v>
      </c>
      <c r="C907" s="1" t="str">
        <f>IFERROR(VLOOKUP(D907,'Planilha de Cadastro - Previsão'!$A$2:$O$1000,15,FALSE()),"")</f>
        <v/>
      </c>
      <c r="D907" s="1">
        <v>906</v>
      </c>
      <c r="F907" s="32" t="str">
        <f t="shared" si="59"/>
        <v/>
      </c>
      <c r="G907" s="33" t="str">
        <f>IFERROR((VLOOKUP(F907,'Planilha de Cadastro - Previsão'!$A$2:$N$1100,2,FALSE()))," ")</f>
        <v xml:space="preserve"> </v>
      </c>
      <c r="H907" s="32" t="str">
        <f>IFERROR((VLOOKUP(F907,'Planilha de Cadastro - Previsão'!$A$2:$N$1100,3,FALSE()))," ")</f>
        <v xml:space="preserve"> </v>
      </c>
      <c r="I907" s="34" t="str">
        <f>IFERROR((VLOOKUP(F907,'Planilha de Cadastro - Previsão'!$A$2:$N$1100,4,FALSE()))," ")</f>
        <v xml:space="preserve"> </v>
      </c>
      <c r="J907" s="34" t="str">
        <f>IFERROR((VLOOKUP(F907,'Planilha de Cadastro - Previsão'!$A$2:$N$1100,5,FALSE()))," ")</f>
        <v xml:space="preserve"> </v>
      </c>
      <c r="K907" s="36"/>
      <c r="L907" s="34" t="str">
        <f t="shared" si="60"/>
        <v/>
      </c>
      <c r="M907" s="35" t="str">
        <f t="shared" si="61"/>
        <v/>
      </c>
      <c r="N907" s="39"/>
      <c r="O907" s="36"/>
    </row>
    <row r="908" spans="1:15" x14ac:dyDescent="0.25">
      <c r="A908">
        <f>COUNTIF($C$2:C908,C908)</f>
        <v>907</v>
      </c>
      <c r="B908" s="1" t="str">
        <f t="shared" si="58"/>
        <v>907</v>
      </c>
      <c r="C908" s="1" t="str">
        <f>IFERROR(VLOOKUP(D908,'Planilha de Cadastro - Previsão'!$A$2:$O$1000,15,FALSE()),"")</f>
        <v/>
      </c>
      <c r="D908" s="1">
        <v>907</v>
      </c>
      <c r="F908" s="32" t="str">
        <f t="shared" si="59"/>
        <v/>
      </c>
      <c r="G908" s="33" t="str">
        <f>IFERROR((VLOOKUP(F908,'Planilha de Cadastro - Previsão'!$A$2:$N$1100,2,FALSE()))," ")</f>
        <v xml:space="preserve"> </v>
      </c>
      <c r="H908" s="32" t="str">
        <f>IFERROR((VLOOKUP(F908,'Planilha de Cadastro - Previsão'!$A$2:$N$1100,3,FALSE()))," ")</f>
        <v xml:space="preserve"> </v>
      </c>
      <c r="I908" s="34" t="str">
        <f>IFERROR((VLOOKUP(F908,'Planilha de Cadastro - Previsão'!$A$2:$N$1100,4,FALSE()))," ")</f>
        <v xml:space="preserve"> </v>
      </c>
      <c r="J908" s="34" t="str">
        <f>IFERROR((VLOOKUP(F908,'Planilha de Cadastro - Previsão'!$A$2:$N$1100,5,FALSE()))," ")</f>
        <v xml:space="preserve"> </v>
      </c>
      <c r="K908" s="36"/>
      <c r="L908" s="34" t="str">
        <f t="shared" si="60"/>
        <v/>
      </c>
      <c r="M908" s="35" t="str">
        <f t="shared" si="61"/>
        <v/>
      </c>
      <c r="N908" s="39"/>
      <c r="O908" s="36"/>
    </row>
    <row r="909" spans="1:15" x14ac:dyDescent="0.25">
      <c r="A909">
        <f>COUNTIF($C$2:C909,C909)</f>
        <v>908</v>
      </c>
      <c r="B909" s="1" t="str">
        <f t="shared" si="58"/>
        <v>908</v>
      </c>
      <c r="C909" s="1" t="str">
        <f>IFERROR(VLOOKUP(D909,'Planilha de Cadastro - Previsão'!$A$2:$O$1000,15,FALSE()),"")</f>
        <v/>
      </c>
      <c r="D909" s="1">
        <v>908</v>
      </c>
      <c r="F909" s="32" t="str">
        <f t="shared" si="59"/>
        <v/>
      </c>
      <c r="G909" s="33" t="str">
        <f>IFERROR((VLOOKUP(F909,'Planilha de Cadastro - Previsão'!$A$2:$N$1100,2,FALSE()))," ")</f>
        <v xml:space="preserve"> </v>
      </c>
      <c r="H909" s="32" t="str">
        <f>IFERROR((VLOOKUP(F909,'Planilha de Cadastro - Previsão'!$A$2:$N$1100,3,FALSE()))," ")</f>
        <v xml:space="preserve"> </v>
      </c>
      <c r="I909" s="34" t="str">
        <f>IFERROR((VLOOKUP(F909,'Planilha de Cadastro - Previsão'!$A$2:$N$1100,4,FALSE()))," ")</f>
        <v xml:space="preserve"> </v>
      </c>
      <c r="J909" s="34" t="str">
        <f>IFERROR((VLOOKUP(F909,'Planilha de Cadastro - Previsão'!$A$2:$N$1100,5,FALSE()))," ")</f>
        <v xml:space="preserve"> </v>
      </c>
      <c r="K909" s="36"/>
      <c r="L909" s="34" t="str">
        <f t="shared" si="60"/>
        <v/>
      </c>
      <c r="M909" s="35" t="str">
        <f t="shared" si="61"/>
        <v/>
      </c>
      <c r="N909" s="39"/>
      <c r="O909" s="36"/>
    </row>
    <row r="910" spans="1:15" x14ac:dyDescent="0.25">
      <c r="A910">
        <f>COUNTIF($C$2:C910,C910)</f>
        <v>909</v>
      </c>
      <c r="B910" s="1" t="str">
        <f t="shared" si="58"/>
        <v>909</v>
      </c>
      <c r="C910" s="1" t="str">
        <f>IFERROR(VLOOKUP(D910,'Planilha de Cadastro - Previsão'!$A$2:$O$1000,15,FALSE()),"")</f>
        <v/>
      </c>
      <c r="D910" s="1">
        <v>909</v>
      </c>
      <c r="F910" s="32" t="str">
        <f t="shared" si="59"/>
        <v/>
      </c>
      <c r="G910" s="33" t="str">
        <f>IFERROR((VLOOKUP(F910,'Planilha de Cadastro - Previsão'!$A$2:$N$1100,2,FALSE()))," ")</f>
        <v xml:space="preserve"> </v>
      </c>
      <c r="H910" s="32" t="str">
        <f>IFERROR((VLOOKUP(F910,'Planilha de Cadastro - Previsão'!$A$2:$N$1100,3,FALSE()))," ")</f>
        <v xml:space="preserve"> </v>
      </c>
      <c r="I910" s="34" t="str">
        <f>IFERROR((VLOOKUP(F910,'Planilha de Cadastro - Previsão'!$A$2:$N$1100,4,FALSE()))," ")</f>
        <v xml:space="preserve"> </v>
      </c>
      <c r="J910" s="34" t="str">
        <f>IFERROR((VLOOKUP(F910,'Planilha de Cadastro - Previsão'!$A$2:$N$1100,5,FALSE()))," ")</f>
        <v xml:space="preserve"> </v>
      </c>
      <c r="K910" s="36"/>
      <c r="L910" s="34" t="str">
        <f t="shared" si="60"/>
        <v/>
      </c>
      <c r="M910" s="35" t="str">
        <f t="shared" si="61"/>
        <v/>
      </c>
      <c r="N910" s="39"/>
      <c r="O910" s="36"/>
    </row>
    <row r="911" spans="1:15" x14ac:dyDescent="0.25">
      <c r="A911">
        <f>COUNTIF($C$2:C911,C911)</f>
        <v>910</v>
      </c>
      <c r="B911" s="1" t="str">
        <f t="shared" si="58"/>
        <v>910</v>
      </c>
      <c r="C911" s="1" t="str">
        <f>IFERROR(VLOOKUP(D911,'Planilha de Cadastro - Previsão'!$A$2:$O$1000,15,FALSE()),"")</f>
        <v/>
      </c>
      <c r="D911" s="1">
        <v>910</v>
      </c>
      <c r="F911" s="32" t="str">
        <f t="shared" si="59"/>
        <v/>
      </c>
      <c r="G911" s="33" t="str">
        <f>IFERROR((VLOOKUP(F911,'Planilha de Cadastro - Previsão'!$A$2:$N$1100,2,FALSE()))," ")</f>
        <v xml:space="preserve"> </v>
      </c>
      <c r="H911" s="32" t="str">
        <f>IFERROR((VLOOKUP(F911,'Planilha de Cadastro - Previsão'!$A$2:$N$1100,3,FALSE()))," ")</f>
        <v xml:space="preserve"> </v>
      </c>
      <c r="I911" s="34" t="str">
        <f>IFERROR((VLOOKUP(F911,'Planilha de Cadastro - Previsão'!$A$2:$N$1100,4,FALSE()))," ")</f>
        <v xml:space="preserve"> </v>
      </c>
      <c r="J911" s="34" t="str">
        <f>IFERROR((VLOOKUP(F911,'Planilha de Cadastro - Previsão'!$A$2:$N$1100,5,FALSE()))," ")</f>
        <v xml:space="preserve"> </v>
      </c>
      <c r="K911" s="36"/>
      <c r="L911" s="34" t="str">
        <f t="shared" si="60"/>
        <v/>
      </c>
      <c r="M911" s="35" t="str">
        <f t="shared" si="61"/>
        <v/>
      </c>
      <c r="N911" s="39"/>
      <c r="O911" s="36"/>
    </row>
    <row r="912" spans="1:15" x14ac:dyDescent="0.25">
      <c r="A912">
        <f>COUNTIF($C$2:C912,C912)</f>
        <v>911</v>
      </c>
      <c r="B912" s="1" t="str">
        <f t="shared" si="58"/>
        <v>911</v>
      </c>
      <c r="C912" s="1" t="str">
        <f>IFERROR(VLOOKUP(D912,'Planilha de Cadastro - Previsão'!$A$2:$O$1000,15,FALSE()),"")</f>
        <v/>
      </c>
      <c r="D912" s="1">
        <v>911</v>
      </c>
      <c r="F912" s="32" t="str">
        <f t="shared" si="59"/>
        <v/>
      </c>
      <c r="G912" s="33" t="str">
        <f>IFERROR((VLOOKUP(F912,'Planilha de Cadastro - Previsão'!$A$2:$N$1100,2,FALSE()))," ")</f>
        <v xml:space="preserve"> </v>
      </c>
      <c r="H912" s="32" t="str">
        <f>IFERROR((VLOOKUP(F912,'Planilha de Cadastro - Previsão'!$A$2:$N$1100,3,FALSE()))," ")</f>
        <v xml:space="preserve"> </v>
      </c>
      <c r="I912" s="34" t="str">
        <f>IFERROR((VLOOKUP(F912,'Planilha de Cadastro - Previsão'!$A$2:$N$1100,4,FALSE()))," ")</f>
        <v xml:space="preserve"> </v>
      </c>
      <c r="J912" s="34" t="str">
        <f>IFERROR((VLOOKUP(F912,'Planilha de Cadastro - Previsão'!$A$2:$N$1100,5,FALSE()))," ")</f>
        <v xml:space="preserve"> </v>
      </c>
      <c r="K912" s="36"/>
      <c r="L912" s="34" t="str">
        <f t="shared" si="60"/>
        <v/>
      </c>
      <c r="M912" s="35" t="str">
        <f t="shared" si="61"/>
        <v/>
      </c>
      <c r="N912" s="39"/>
      <c r="O912" s="36"/>
    </row>
    <row r="913" spans="1:15" x14ac:dyDescent="0.25">
      <c r="A913">
        <f>COUNTIF($C$2:C913,C913)</f>
        <v>912</v>
      </c>
      <c r="B913" s="1" t="str">
        <f t="shared" si="58"/>
        <v>912</v>
      </c>
      <c r="C913" s="1" t="str">
        <f>IFERROR(VLOOKUP(D913,'Planilha de Cadastro - Previsão'!$A$2:$O$1000,15,FALSE()),"")</f>
        <v/>
      </c>
      <c r="D913" s="1">
        <v>912</v>
      </c>
      <c r="F913" s="32" t="str">
        <f t="shared" si="59"/>
        <v/>
      </c>
      <c r="G913" s="33" t="str">
        <f>IFERROR((VLOOKUP(F913,'Planilha de Cadastro - Previsão'!$A$2:$N$1100,2,FALSE()))," ")</f>
        <v xml:space="preserve"> </v>
      </c>
      <c r="H913" s="32" t="str">
        <f>IFERROR((VLOOKUP(F913,'Planilha de Cadastro - Previsão'!$A$2:$N$1100,3,FALSE()))," ")</f>
        <v xml:space="preserve"> </v>
      </c>
      <c r="I913" s="34" t="str">
        <f>IFERROR((VLOOKUP(F913,'Planilha de Cadastro - Previsão'!$A$2:$N$1100,4,FALSE()))," ")</f>
        <v xml:space="preserve"> </v>
      </c>
      <c r="J913" s="34" t="str">
        <f>IFERROR((VLOOKUP(F913,'Planilha de Cadastro - Previsão'!$A$2:$N$1100,5,FALSE()))," ")</f>
        <v xml:space="preserve"> </v>
      </c>
      <c r="K913" s="36"/>
      <c r="L913" s="34" t="str">
        <f t="shared" si="60"/>
        <v/>
      </c>
      <c r="M913" s="35" t="str">
        <f t="shared" si="61"/>
        <v/>
      </c>
      <c r="N913" s="39"/>
      <c r="O913" s="36"/>
    </row>
    <row r="914" spans="1:15" x14ac:dyDescent="0.25">
      <c r="A914">
        <f>COUNTIF($C$2:C914,C914)</f>
        <v>913</v>
      </c>
      <c r="B914" s="1" t="str">
        <f t="shared" si="58"/>
        <v>913</v>
      </c>
      <c r="C914" s="1" t="str">
        <f>IFERROR(VLOOKUP(D914,'Planilha de Cadastro - Previsão'!$A$2:$O$1000,15,FALSE()),"")</f>
        <v/>
      </c>
      <c r="D914" s="1">
        <v>913</v>
      </c>
      <c r="F914" s="32" t="str">
        <f t="shared" si="59"/>
        <v/>
      </c>
      <c r="G914" s="33" t="str">
        <f>IFERROR((VLOOKUP(F914,'Planilha de Cadastro - Previsão'!$A$2:$N$1100,2,FALSE()))," ")</f>
        <v xml:space="preserve"> </v>
      </c>
      <c r="H914" s="32" t="str">
        <f>IFERROR((VLOOKUP(F914,'Planilha de Cadastro - Previsão'!$A$2:$N$1100,3,FALSE()))," ")</f>
        <v xml:space="preserve"> </v>
      </c>
      <c r="I914" s="34" t="str">
        <f>IFERROR((VLOOKUP(F914,'Planilha de Cadastro - Previsão'!$A$2:$N$1100,4,FALSE()))," ")</f>
        <v xml:space="preserve"> </v>
      </c>
      <c r="J914" s="34" t="str">
        <f>IFERROR((VLOOKUP(F914,'Planilha de Cadastro - Previsão'!$A$2:$N$1100,5,FALSE()))," ")</f>
        <v xml:space="preserve"> </v>
      </c>
      <c r="K914" s="36"/>
      <c r="L914" s="34" t="str">
        <f t="shared" si="60"/>
        <v/>
      </c>
      <c r="M914" s="35" t="str">
        <f t="shared" si="61"/>
        <v/>
      </c>
      <c r="N914" s="39"/>
      <c r="O914" s="36"/>
    </row>
    <row r="915" spans="1:15" x14ac:dyDescent="0.25">
      <c r="A915">
        <f>COUNTIF($C$2:C915,C915)</f>
        <v>914</v>
      </c>
      <c r="B915" s="1" t="str">
        <f t="shared" si="58"/>
        <v>914</v>
      </c>
      <c r="C915" s="1" t="str">
        <f>IFERROR(VLOOKUP(D915,'Planilha de Cadastro - Previsão'!$A$2:$O$1000,15,FALSE()),"")</f>
        <v/>
      </c>
      <c r="D915" s="1">
        <v>914</v>
      </c>
      <c r="F915" s="32" t="str">
        <f t="shared" si="59"/>
        <v/>
      </c>
      <c r="G915" s="33" t="str">
        <f>IFERROR((VLOOKUP(F915,'Planilha de Cadastro - Previsão'!$A$2:$N$1100,2,FALSE()))," ")</f>
        <v xml:space="preserve"> </v>
      </c>
      <c r="H915" s="32" t="str">
        <f>IFERROR((VLOOKUP(F915,'Planilha de Cadastro - Previsão'!$A$2:$N$1100,3,FALSE()))," ")</f>
        <v xml:space="preserve"> </v>
      </c>
      <c r="I915" s="34" t="str">
        <f>IFERROR((VLOOKUP(F915,'Planilha de Cadastro - Previsão'!$A$2:$N$1100,4,FALSE()))," ")</f>
        <v xml:space="preserve"> </v>
      </c>
      <c r="J915" s="34" t="str">
        <f>IFERROR((VLOOKUP(F915,'Planilha de Cadastro - Previsão'!$A$2:$N$1100,5,FALSE()))," ")</f>
        <v xml:space="preserve"> </v>
      </c>
      <c r="K915" s="36"/>
      <c r="L915" s="34" t="str">
        <f t="shared" si="60"/>
        <v/>
      </c>
      <c r="M915" s="35" t="str">
        <f t="shared" si="61"/>
        <v/>
      </c>
      <c r="N915" s="39"/>
      <c r="O915" s="36"/>
    </row>
    <row r="916" spans="1:15" x14ac:dyDescent="0.25">
      <c r="A916">
        <f>COUNTIF($C$2:C916,C916)</f>
        <v>915</v>
      </c>
      <c r="B916" s="1" t="str">
        <f t="shared" si="58"/>
        <v>915</v>
      </c>
      <c r="C916" s="1" t="str">
        <f>IFERROR(VLOOKUP(D916,'Planilha de Cadastro - Previsão'!$A$2:$O$1000,15,FALSE()),"")</f>
        <v/>
      </c>
      <c r="D916" s="1">
        <v>915</v>
      </c>
      <c r="F916" s="32" t="str">
        <f t="shared" si="59"/>
        <v/>
      </c>
      <c r="G916" s="33" t="str">
        <f>IFERROR((VLOOKUP(F916,'Planilha de Cadastro - Previsão'!$A$2:$N$1100,2,FALSE()))," ")</f>
        <v xml:space="preserve"> </v>
      </c>
      <c r="H916" s="32" t="str">
        <f>IFERROR((VLOOKUP(F916,'Planilha de Cadastro - Previsão'!$A$2:$N$1100,3,FALSE()))," ")</f>
        <v xml:space="preserve"> </v>
      </c>
      <c r="I916" s="34" t="str">
        <f>IFERROR((VLOOKUP(F916,'Planilha de Cadastro - Previsão'!$A$2:$N$1100,4,FALSE()))," ")</f>
        <v xml:space="preserve"> </v>
      </c>
      <c r="J916" s="34" t="str">
        <f>IFERROR((VLOOKUP(F916,'Planilha de Cadastro - Previsão'!$A$2:$N$1100,5,FALSE()))," ")</f>
        <v xml:space="preserve"> </v>
      </c>
      <c r="K916" s="36"/>
      <c r="L916" s="34" t="str">
        <f t="shared" si="60"/>
        <v/>
      </c>
      <c r="M916" s="35" t="str">
        <f t="shared" si="61"/>
        <v/>
      </c>
      <c r="N916" s="39"/>
      <c r="O916" s="36"/>
    </row>
    <row r="917" spans="1:15" x14ac:dyDescent="0.25">
      <c r="A917">
        <f>COUNTIF($C$2:C917,C917)</f>
        <v>916</v>
      </c>
      <c r="B917" s="1" t="str">
        <f t="shared" si="58"/>
        <v>916</v>
      </c>
      <c r="C917" s="1" t="str">
        <f>IFERROR(VLOOKUP(D917,'Planilha de Cadastro - Previsão'!$A$2:$O$1000,15,FALSE()),"")</f>
        <v/>
      </c>
      <c r="D917" s="1">
        <v>916</v>
      </c>
      <c r="F917" s="32" t="str">
        <f t="shared" si="59"/>
        <v/>
      </c>
      <c r="G917" s="33" t="str">
        <f>IFERROR((VLOOKUP(F917,'Planilha de Cadastro - Previsão'!$A$2:$N$1100,2,FALSE()))," ")</f>
        <v xml:space="preserve"> </v>
      </c>
      <c r="H917" s="32" t="str">
        <f>IFERROR((VLOOKUP(F917,'Planilha de Cadastro - Previsão'!$A$2:$N$1100,3,FALSE()))," ")</f>
        <v xml:space="preserve"> </v>
      </c>
      <c r="I917" s="34" t="str">
        <f>IFERROR((VLOOKUP(F917,'Planilha de Cadastro - Previsão'!$A$2:$N$1100,4,FALSE()))," ")</f>
        <v xml:space="preserve"> </v>
      </c>
      <c r="J917" s="34" t="str">
        <f>IFERROR((VLOOKUP(F917,'Planilha de Cadastro - Previsão'!$A$2:$N$1100,5,FALSE()))," ")</f>
        <v xml:space="preserve"> </v>
      </c>
      <c r="K917" s="36"/>
      <c r="L917" s="34" t="str">
        <f t="shared" si="60"/>
        <v/>
      </c>
      <c r="M917" s="35" t="str">
        <f t="shared" si="61"/>
        <v/>
      </c>
      <c r="N917" s="39"/>
      <c r="O917" s="36"/>
    </row>
    <row r="918" spans="1:15" x14ac:dyDescent="0.25">
      <c r="A918">
        <f>COUNTIF($C$2:C918,C918)</f>
        <v>917</v>
      </c>
      <c r="B918" s="1" t="str">
        <f t="shared" si="58"/>
        <v>917</v>
      </c>
      <c r="C918" s="1" t="str">
        <f>IFERROR(VLOOKUP(D918,'Planilha de Cadastro - Previsão'!$A$2:$O$1000,15,FALSE()),"")</f>
        <v/>
      </c>
      <c r="D918" s="1">
        <v>917</v>
      </c>
      <c r="F918" s="32" t="str">
        <f t="shared" si="59"/>
        <v/>
      </c>
      <c r="G918" s="33" t="str">
        <f>IFERROR((VLOOKUP(F918,'Planilha de Cadastro - Previsão'!$A$2:$N$1100,2,FALSE()))," ")</f>
        <v xml:space="preserve"> </v>
      </c>
      <c r="H918" s="32" t="str">
        <f>IFERROR((VLOOKUP(F918,'Planilha de Cadastro - Previsão'!$A$2:$N$1100,3,FALSE()))," ")</f>
        <v xml:space="preserve"> </v>
      </c>
      <c r="I918" s="34" t="str">
        <f>IFERROR((VLOOKUP(F918,'Planilha de Cadastro - Previsão'!$A$2:$N$1100,4,FALSE()))," ")</f>
        <v xml:space="preserve"> </v>
      </c>
      <c r="J918" s="34" t="str">
        <f>IFERROR((VLOOKUP(F918,'Planilha de Cadastro - Previsão'!$A$2:$N$1100,5,FALSE()))," ")</f>
        <v xml:space="preserve"> </v>
      </c>
      <c r="K918" s="36"/>
      <c r="L918" s="34" t="str">
        <f t="shared" si="60"/>
        <v/>
      </c>
      <c r="M918" s="35" t="str">
        <f t="shared" si="61"/>
        <v/>
      </c>
      <c r="N918" s="39"/>
      <c r="O918" s="36"/>
    </row>
    <row r="919" spans="1:15" x14ac:dyDescent="0.25">
      <c r="A919">
        <f>COUNTIF($C$2:C919,C919)</f>
        <v>918</v>
      </c>
      <c r="B919" s="1" t="str">
        <f t="shared" si="58"/>
        <v>918</v>
      </c>
      <c r="C919" s="1" t="str">
        <f>IFERROR(VLOOKUP(D919,'Planilha de Cadastro - Previsão'!$A$2:$O$1000,15,FALSE()),"")</f>
        <v/>
      </c>
      <c r="D919" s="1">
        <v>918</v>
      </c>
      <c r="F919" s="32" t="str">
        <f t="shared" si="59"/>
        <v/>
      </c>
      <c r="G919" s="33" t="str">
        <f>IFERROR((VLOOKUP(F919,'Planilha de Cadastro - Previsão'!$A$2:$N$1100,2,FALSE()))," ")</f>
        <v xml:space="preserve"> </v>
      </c>
      <c r="H919" s="32" t="str">
        <f>IFERROR((VLOOKUP(F919,'Planilha de Cadastro - Previsão'!$A$2:$N$1100,3,FALSE()))," ")</f>
        <v xml:space="preserve"> </v>
      </c>
      <c r="I919" s="34" t="str">
        <f>IFERROR((VLOOKUP(F919,'Planilha de Cadastro - Previsão'!$A$2:$N$1100,4,FALSE()))," ")</f>
        <v xml:space="preserve"> </v>
      </c>
      <c r="J919" s="34" t="str">
        <f>IFERROR((VLOOKUP(F919,'Planilha de Cadastro - Previsão'!$A$2:$N$1100,5,FALSE()))," ")</f>
        <v xml:space="preserve"> </v>
      </c>
      <c r="K919" s="36"/>
      <c r="L919" s="34" t="str">
        <f t="shared" si="60"/>
        <v/>
      </c>
      <c r="M919" s="35" t="str">
        <f t="shared" si="61"/>
        <v/>
      </c>
      <c r="N919" s="39"/>
      <c r="O919" s="36"/>
    </row>
    <row r="920" spans="1:15" x14ac:dyDescent="0.25">
      <c r="A920">
        <f>COUNTIF($C$2:C920,C920)</f>
        <v>919</v>
      </c>
      <c r="B920" s="1" t="str">
        <f t="shared" si="58"/>
        <v>919</v>
      </c>
      <c r="C920" s="1" t="str">
        <f>IFERROR(VLOOKUP(D920,'Planilha de Cadastro - Previsão'!$A$2:$O$1000,15,FALSE()),"")</f>
        <v/>
      </c>
      <c r="D920" s="1">
        <v>919</v>
      </c>
      <c r="F920" s="32" t="str">
        <f t="shared" si="59"/>
        <v/>
      </c>
      <c r="G920" s="33" t="str">
        <f>IFERROR((VLOOKUP(F920,'Planilha de Cadastro - Previsão'!$A$2:$N$1100,2,FALSE()))," ")</f>
        <v xml:space="preserve"> </v>
      </c>
      <c r="H920" s="32" t="str">
        <f>IFERROR((VLOOKUP(F920,'Planilha de Cadastro - Previsão'!$A$2:$N$1100,3,FALSE()))," ")</f>
        <v xml:space="preserve"> </v>
      </c>
      <c r="I920" s="34" t="str">
        <f>IFERROR((VLOOKUP(F920,'Planilha de Cadastro - Previsão'!$A$2:$N$1100,4,FALSE()))," ")</f>
        <v xml:space="preserve"> </v>
      </c>
      <c r="J920" s="34" t="str">
        <f>IFERROR((VLOOKUP(F920,'Planilha de Cadastro - Previsão'!$A$2:$N$1100,5,FALSE()))," ")</f>
        <v xml:space="preserve"> </v>
      </c>
      <c r="K920" s="36"/>
      <c r="L920" s="34" t="str">
        <f t="shared" si="60"/>
        <v/>
      </c>
      <c r="M920" s="35" t="str">
        <f t="shared" si="61"/>
        <v/>
      </c>
      <c r="N920" s="39"/>
      <c r="O920" s="36"/>
    </row>
    <row r="921" spans="1:15" x14ac:dyDescent="0.25">
      <c r="A921">
        <f>COUNTIF($C$2:C921,C921)</f>
        <v>920</v>
      </c>
      <c r="B921" s="1" t="str">
        <f t="shared" si="58"/>
        <v>920</v>
      </c>
      <c r="C921" s="1" t="str">
        <f>IFERROR(VLOOKUP(D921,'Planilha de Cadastro - Previsão'!$A$2:$O$1000,15,FALSE()),"")</f>
        <v/>
      </c>
      <c r="D921" s="1">
        <v>920</v>
      </c>
      <c r="F921" s="32" t="str">
        <f t="shared" si="59"/>
        <v/>
      </c>
      <c r="G921" s="33" t="str">
        <f>IFERROR((VLOOKUP(F921,'Planilha de Cadastro - Previsão'!$A$2:$N$1100,2,FALSE()))," ")</f>
        <v xml:space="preserve"> </v>
      </c>
      <c r="H921" s="32" t="str">
        <f>IFERROR((VLOOKUP(F921,'Planilha de Cadastro - Previsão'!$A$2:$N$1100,3,FALSE()))," ")</f>
        <v xml:space="preserve"> </v>
      </c>
      <c r="I921" s="34" t="str">
        <f>IFERROR((VLOOKUP(F921,'Planilha de Cadastro - Previsão'!$A$2:$N$1100,4,FALSE()))," ")</f>
        <v xml:space="preserve"> </v>
      </c>
      <c r="J921" s="34" t="str">
        <f>IFERROR((VLOOKUP(F921,'Planilha de Cadastro - Previsão'!$A$2:$N$1100,5,FALSE()))," ")</f>
        <v xml:space="preserve"> </v>
      </c>
      <c r="K921" s="36"/>
      <c r="L921" s="34" t="str">
        <f t="shared" si="60"/>
        <v/>
      </c>
      <c r="M921" s="35" t="str">
        <f t="shared" si="61"/>
        <v/>
      </c>
      <c r="N921" s="39"/>
      <c r="O921" s="36"/>
    </row>
    <row r="922" spans="1:15" x14ac:dyDescent="0.25">
      <c r="A922">
        <f>COUNTIF($C$2:C922,C922)</f>
        <v>921</v>
      </c>
      <c r="B922" s="1" t="str">
        <f t="shared" si="58"/>
        <v>921</v>
      </c>
      <c r="C922" s="1" t="str">
        <f>IFERROR(VLOOKUP(D922,'Planilha de Cadastro - Previsão'!$A$2:$O$1000,15,FALSE()),"")</f>
        <v/>
      </c>
      <c r="D922" s="1">
        <v>921</v>
      </c>
      <c r="F922" s="32" t="str">
        <f t="shared" si="59"/>
        <v/>
      </c>
      <c r="G922" s="33" t="str">
        <f>IFERROR((VLOOKUP(F922,'Planilha de Cadastro - Previsão'!$A$2:$N$1100,2,FALSE()))," ")</f>
        <v xml:space="preserve"> </v>
      </c>
      <c r="H922" s="32" t="str">
        <f>IFERROR((VLOOKUP(F922,'Planilha de Cadastro - Previsão'!$A$2:$N$1100,3,FALSE()))," ")</f>
        <v xml:space="preserve"> </v>
      </c>
      <c r="I922" s="34" t="str">
        <f>IFERROR((VLOOKUP(F922,'Planilha de Cadastro - Previsão'!$A$2:$N$1100,4,FALSE()))," ")</f>
        <v xml:space="preserve"> </v>
      </c>
      <c r="J922" s="34" t="str">
        <f>IFERROR((VLOOKUP(F922,'Planilha de Cadastro - Previsão'!$A$2:$N$1100,5,FALSE()))," ")</f>
        <v xml:space="preserve"> </v>
      </c>
      <c r="K922" s="36"/>
      <c r="L922" s="34" t="str">
        <f t="shared" si="60"/>
        <v/>
      </c>
      <c r="M922" s="35" t="str">
        <f t="shared" si="61"/>
        <v/>
      </c>
      <c r="N922" s="39"/>
      <c r="O922" s="36"/>
    </row>
    <row r="923" spans="1:15" x14ac:dyDescent="0.25">
      <c r="A923">
        <f>COUNTIF($C$2:C923,C923)</f>
        <v>922</v>
      </c>
      <c r="B923" s="1" t="str">
        <f t="shared" si="58"/>
        <v>922</v>
      </c>
      <c r="C923" s="1" t="str">
        <f>IFERROR(VLOOKUP(D923,'Planilha de Cadastro - Previsão'!$A$2:$O$1000,15,FALSE()),"")</f>
        <v/>
      </c>
      <c r="D923" s="1">
        <v>922</v>
      </c>
      <c r="F923" s="32" t="str">
        <f t="shared" si="59"/>
        <v/>
      </c>
      <c r="G923" s="33" t="str">
        <f>IFERROR((VLOOKUP(F923,'Planilha de Cadastro - Previsão'!$A$2:$N$1100,2,FALSE()))," ")</f>
        <v xml:space="preserve"> </v>
      </c>
      <c r="H923" s="32" t="str">
        <f>IFERROR((VLOOKUP(F923,'Planilha de Cadastro - Previsão'!$A$2:$N$1100,3,FALSE()))," ")</f>
        <v xml:space="preserve"> </v>
      </c>
      <c r="I923" s="34" t="str">
        <f>IFERROR((VLOOKUP(F923,'Planilha de Cadastro - Previsão'!$A$2:$N$1100,4,FALSE()))," ")</f>
        <v xml:space="preserve"> </v>
      </c>
      <c r="J923" s="34" t="str">
        <f>IFERROR((VLOOKUP(F923,'Planilha de Cadastro - Previsão'!$A$2:$N$1100,5,FALSE()))," ")</f>
        <v xml:space="preserve"> </v>
      </c>
      <c r="K923" s="36"/>
      <c r="L923" s="34" t="str">
        <f t="shared" si="60"/>
        <v/>
      </c>
      <c r="M923" s="35" t="str">
        <f t="shared" si="61"/>
        <v/>
      </c>
      <c r="N923" s="39"/>
      <c r="O923" s="36"/>
    </row>
    <row r="924" spans="1:15" x14ac:dyDescent="0.25">
      <c r="A924">
        <f>COUNTIF($C$2:C924,C924)</f>
        <v>923</v>
      </c>
      <c r="B924" s="1" t="str">
        <f t="shared" si="58"/>
        <v>923</v>
      </c>
      <c r="C924" s="1" t="str">
        <f>IFERROR(VLOOKUP(D924,'Planilha de Cadastro - Previsão'!$A$2:$O$1000,15,FALSE()),"")</f>
        <v/>
      </c>
      <c r="D924" s="1">
        <v>923</v>
      </c>
      <c r="F924" s="32" t="str">
        <f t="shared" si="59"/>
        <v/>
      </c>
      <c r="G924" s="33" t="str">
        <f>IFERROR((VLOOKUP(F924,'Planilha de Cadastro - Previsão'!$A$2:$N$1100,2,FALSE()))," ")</f>
        <v xml:space="preserve"> </v>
      </c>
      <c r="H924" s="32" t="str">
        <f>IFERROR((VLOOKUP(F924,'Planilha de Cadastro - Previsão'!$A$2:$N$1100,3,FALSE()))," ")</f>
        <v xml:space="preserve"> </v>
      </c>
      <c r="I924" s="34" t="str">
        <f>IFERROR((VLOOKUP(F924,'Planilha de Cadastro - Previsão'!$A$2:$N$1100,4,FALSE()))," ")</f>
        <v xml:space="preserve"> </v>
      </c>
      <c r="J924" s="34" t="str">
        <f>IFERROR((VLOOKUP(F924,'Planilha de Cadastro - Previsão'!$A$2:$N$1100,5,FALSE()))," ")</f>
        <v xml:space="preserve"> </v>
      </c>
      <c r="K924" s="36"/>
      <c r="L924" s="34" t="str">
        <f t="shared" si="60"/>
        <v/>
      </c>
      <c r="M924" s="35" t="str">
        <f t="shared" si="61"/>
        <v/>
      </c>
      <c r="N924" s="39"/>
      <c r="O924" s="36"/>
    </row>
    <row r="925" spans="1:15" x14ac:dyDescent="0.25">
      <c r="A925">
        <f>COUNTIF($C$2:C925,C925)</f>
        <v>924</v>
      </c>
      <c r="B925" s="1" t="str">
        <f t="shared" si="58"/>
        <v>924</v>
      </c>
      <c r="C925" s="1" t="str">
        <f>IFERROR(VLOOKUP(D925,'Planilha de Cadastro - Previsão'!$A$2:$O$1000,15,FALSE()),"")</f>
        <v/>
      </c>
      <c r="D925" s="1">
        <v>924</v>
      </c>
      <c r="F925" s="32" t="str">
        <f t="shared" si="59"/>
        <v/>
      </c>
      <c r="G925" s="33" t="str">
        <f>IFERROR((VLOOKUP(F925,'Planilha de Cadastro - Previsão'!$A$2:$N$1100,2,FALSE()))," ")</f>
        <v xml:space="preserve"> </v>
      </c>
      <c r="H925" s="32" t="str">
        <f>IFERROR((VLOOKUP(F925,'Planilha de Cadastro - Previsão'!$A$2:$N$1100,3,FALSE()))," ")</f>
        <v xml:space="preserve"> </v>
      </c>
      <c r="I925" s="34" t="str">
        <f>IFERROR((VLOOKUP(F925,'Planilha de Cadastro - Previsão'!$A$2:$N$1100,4,FALSE()))," ")</f>
        <v xml:space="preserve"> </v>
      </c>
      <c r="J925" s="34" t="str">
        <f>IFERROR((VLOOKUP(F925,'Planilha de Cadastro - Previsão'!$A$2:$N$1100,5,FALSE()))," ")</f>
        <v xml:space="preserve"> </v>
      </c>
      <c r="K925" s="36"/>
      <c r="L925" s="34" t="str">
        <f t="shared" si="60"/>
        <v/>
      </c>
      <c r="M925" s="35" t="str">
        <f t="shared" si="61"/>
        <v/>
      </c>
      <c r="N925" s="39"/>
      <c r="O925" s="36"/>
    </row>
    <row r="926" spans="1:15" x14ac:dyDescent="0.25">
      <c r="A926">
        <f>COUNTIF($C$2:C926,C926)</f>
        <v>925</v>
      </c>
      <c r="B926" s="1" t="str">
        <f t="shared" si="58"/>
        <v>925</v>
      </c>
      <c r="C926" s="1" t="str">
        <f>IFERROR(VLOOKUP(D926,'Planilha de Cadastro - Previsão'!$A$2:$O$1000,15,FALSE()),"")</f>
        <v/>
      </c>
      <c r="D926" s="1">
        <v>925</v>
      </c>
      <c r="F926" s="32" t="str">
        <f t="shared" si="59"/>
        <v/>
      </c>
      <c r="G926" s="33" t="str">
        <f>IFERROR((VLOOKUP(F926,'Planilha de Cadastro - Previsão'!$A$2:$N$1100,2,FALSE()))," ")</f>
        <v xml:space="preserve"> </v>
      </c>
      <c r="H926" s="32" t="str">
        <f>IFERROR((VLOOKUP(F926,'Planilha de Cadastro - Previsão'!$A$2:$N$1100,3,FALSE()))," ")</f>
        <v xml:space="preserve"> </v>
      </c>
      <c r="I926" s="34" t="str">
        <f>IFERROR((VLOOKUP(F926,'Planilha de Cadastro - Previsão'!$A$2:$N$1100,4,FALSE()))," ")</f>
        <v xml:space="preserve"> </v>
      </c>
      <c r="J926" s="34" t="str">
        <f>IFERROR((VLOOKUP(F926,'Planilha de Cadastro - Previsão'!$A$2:$N$1100,5,FALSE()))," ")</f>
        <v xml:space="preserve"> </v>
      </c>
      <c r="K926" s="36"/>
      <c r="L926" s="34" t="str">
        <f t="shared" si="60"/>
        <v/>
      </c>
      <c r="M926" s="35" t="str">
        <f t="shared" si="61"/>
        <v/>
      </c>
      <c r="N926" s="39"/>
      <c r="O926" s="36"/>
    </row>
    <row r="927" spans="1:15" x14ac:dyDescent="0.25">
      <c r="A927">
        <f>COUNTIF($C$2:C927,C927)</f>
        <v>926</v>
      </c>
      <c r="B927" s="1" t="str">
        <f t="shared" si="58"/>
        <v>926</v>
      </c>
      <c r="C927" s="1" t="str">
        <f>IFERROR(VLOOKUP(D927,'Planilha de Cadastro - Previsão'!$A$2:$O$1000,15,FALSE()),"")</f>
        <v/>
      </c>
      <c r="D927" s="1">
        <v>926</v>
      </c>
      <c r="F927" s="32" t="str">
        <f t="shared" si="59"/>
        <v/>
      </c>
      <c r="G927" s="33" t="str">
        <f>IFERROR((VLOOKUP(F927,'Planilha de Cadastro - Previsão'!$A$2:$N$1100,2,FALSE()))," ")</f>
        <v xml:space="preserve"> </v>
      </c>
      <c r="H927" s="32" t="str">
        <f>IFERROR((VLOOKUP(F927,'Planilha de Cadastro - Previsão'!$A$2:$N$1100,3,FALSE()))," ")</f>
        <v xml:space="preserve"> </v>
      </c>
      <c r="I927" s="34" t="str">
        <f>IFERROR((VLOOKUP(F927,'Planilha de Cadastro - Previsão'!$A$2:$N$1100,4,FALSE()))," ")</f>
        <v xml:space="preserve"> </v>
      </c>
      <c r="J927" s="34" t="str">
        <f>IFERROR((VLOOKUP(F927,'Planilha de Cadastro - Previsão'!$A$2:$N$1100,5,FALSE()))," ")</f>
        <v xml:space="preserve"> </v>
      </c>
      <c r="K927" s="36"/>
      <c r="L927" s="34" t="str">
        <f t="shared" si="60"/>
        <v/>
      </c>
      <c r="M927" s="35" t="str">
        <f t="shared" si="61"/>
        <v/>
      </c>
      <c r="N927" s="39"/>
      <c r="O927" s="36"/>
    </row>
    <row r="928" spans="1:15" x14ac:dyDescent="0.25">
      <c r="A928">
        <f>COUNTIF($C$2:C928,C928)</f>
        <v>927</v>
      </c>
      <c r="B928" s="1" t="str">
        <f t="shared" si="58"/>
        <v>927</v>
      </c>
      <c r="C928" s="1" t="str">
        <f>IFERROR(VLOOKUP(D928,'Planilha de Cadastro - Previsão'!$A$2:$O$1000,15,FALSE()),"")</f>
        <v/>
      </c>
      <c r="D928" s="1">
        <v>927</v>
      </c>
      <c r="F928" s="32" t="str">
        <f t="shared" si="59"/>
        <v/>
      </c>
      <c r="G928" s="33" t="str">
        <f>IFERROR((VLOOKUP(F928,'Planilha de Cadastro - Previsão'!$A$2:$N$1100,2,FALSE()))," ")</f>
        <v xml:space="preserve"> </v>
      </c>
      <c r="H928" s="32" t="str">
        <f>IFERROR((VLOOKUP(F928,'Planilha de Cadastro - Previsão'!$A$2:$N$1100,3,FALSE()))," ")</f>
        <v xml:space="preserve"> </v>
      </c>
      <c r="I928" s="34" t="str">
        <f>IFERROR((VLOOKUP(F928,'Planilha de Cadastro - Previsão'!$A$2:$N$1100,4,FALSE()))," ")</f>
        <v xml:space="preserve"> </v>
      </c>
      <c r="J928" s="34" t="str">
        <f>IFERROR((VLOOKUP(F928,'Planilha de Cadastro - Previsão'!$A$2:$N$1100,5,FALSE()))," ")</f>
        <v xml:space="preserve"> </v>
      </c>
      <c r="K928" s="36"/>
      <c r="L928" s="34" t="str">
        <f t="shared" si="60"/>
        <v/>
      </c>
      <c r="M928" s="35" t="str">
        <f t="shared" si="61"/>
        <v/>
      </c>
      <c r="N928" s="39"/>
      <c r="O928" s="36"/>
    </row>
    <row r="929" spans="1:15" x14ac:dyDescent="0.25">
      <c r="A929">
        <f>COUNTIF($C$2:C929,C929)</f>
        <v>928</v>
      </c>
      <c r="B929" s="1" t="str">
        <f t="shared" si="58"/>
        <v>928</v>
      </c>
      <c r="C929" s="1" t="str">
        <f>IFERROR(VLOOKUP(D929,'Planilha de Cadastro - Previsão'!$A$2:$O$1000,15,FALSE()),"")</f>
        <v/>
      </c>
      <c r="D929" s="1">
        <v>928</v>
      </c>
      <c r="F929" s="32" t="str">
        <f t="shared" si="59"/>
        <v/>
      </c>
      <c r="G929" s="33" t="str">
        <f>IFERROR((VLOOKUP(F929,'Planilha de Cadastro - Previsão'!$A$2:$N$1100,2,FALSE()))," ")</f>
        <v xml:space="preserve"> </v>
      </c>
      <c r="H929" s="32" t="str">
        <f>IFERROR((VLOOKUP(F929,'Planilha de Cadastro - Previsão'!$A$2:$N$1100,3,FALSE()))," ")</f>
        <v xml:space="preserve"> </v>
      </c>
      <c r="I929" s="34" t="str">
        <f>IFERROR((VLOOKUP(F929,'Planilha de Cadastro - Previsão'!$A$2:$N$1100,4,FALSE()))," ")</f>
        <v xml:space="preserve"> </v>
      </c>
      <c r="J929" s="34" t="str">
        <f>IFERROR((VLOOKUP(F929,'Planilha de Cadastro - Previsão'!$A$2:$N$1100,5,FALSE()))," ")</f>
        <v xml:space="preserve"> </v>
      </c>
      <c r="K929" s="36"/>
      <c r="L929" s="34" t="str">
        <f t="shared" si="60"/>
        <v/>
      </c>
      <c r="M929" s="35" t="str">
        <f t="shared" si="61"/>
        <v/>
      </c>
      <c r="N929" s="39"/>
      <c r="O929" s="36"/>
    </row>
    <row r="930" spans="1:15" x14ac:dyDescent="0.25">
      <c r="A930">
        <f>COUNTIF($C$2:C930,C930)</f>
        <v>929</v>
      </c>
      <c r="B930" s="1" t="str">
        <f t="shared" si="58"/>
        <v>929</v>
      </c>
      <c r="C930" s="1" t="str">
        <f>IFERROR(VLOOKUP(D930,'Planilha de Cadastro - Previsão'!$A$2:$O$1000,15,FALSE()),"")</f>
        <v/>
      </c>
      <c r="D930" s="1">
        <v>929</v>
      </c>
      <c r="F930" s="32" t="str">
        <f t="shared" si="59"/>
        <v/>
      </c>
      <c r="G930" s="33" t="str">
        <f>IFERROR((VLOOKUP(F930,'Planilha de Cadastro - Previsão'!$A$2:$N$1100,2,FALSE()))," ")</f>
        <v xml:space="preserve"> </v>
      </c>
      <c r="H930" s="32" t="str">
        <f>IFERROR((VLOOKUP(F930,'Planilha de Cadastro - Previsão'!$A$2:$N$1100,3,FALSE()))," ")</f>
        <v xml:space="preserve"> </v>
      </c>
      <c r="I930" s="34" t="str">
        <f>IFERROR((VLOOKUP(F930,'Planilha de Cadastro - Previsão'!$A$2:$N$1100,4,FALSE()))," ")</f>
        <v xml:space="preserve"> </v>
      </c>
      <c r="J930" s="34" t="str">
        <f>IFERROR((VLOOKUP(F930,'Planilha de Cadastro - Previsão'!$A$2:$N$1100,5,FALSE()))," ")</f>
        <v xml:space="preserve"> </v>
      </c>
      <c r="K930" s="36"/>
      <c r="L930" s="34" t="str">
        <f t="shared" si="60"/>
        <v/>
      </c>
      <c r="M930" s="35" t="str">
        <f t="shared" si="61"/>
        <v/>
      </c>
      <c r="N930" s="39"/>
      <c r="O930" s="36"/>
    </row>
    <row r="931" spans="1:15" x14ac:dyDescent="0.25">
      <c r="A931">
        <f>COUNTIF($C$2:C931,C931)</f>
        <v>930</v>
      </c>
      <c r="B931" s="1" t="str">
        <f t="shared" si="58"/>
        <v>930</v>
      </c>
      <c r="C931" s="1" t="str">
        <f>IFERROR(VLOOKUP(D931,'Planilha de Cadastro - Previsão'!$A$2:$O$1000,15,FALSE()),"")</f>
        <v/>
      </c>
      <c r="D931" s="1">
        <v>930</v>
      </c>
      <c r="F931" s="32" t="str">
        <f t="shared" si="59"/>
        <v/>
      </c>
      <c r="G931" s="33" t="str">
        <f>IFERROR((VLOOKUP(F931,'Planilha de Cadastro - Previsão'!$A$2:$N$1100,2,FALSE()))," ")</f>
        <v xml:space="preserve"> </v>
      </c>
      <c r="H931" s="32" t="str">
        <f>IFERROR((VLOOKUP(F931,'Planilha de Cadastro - Previsão'!$A$2:$N$1100,3,FALSE()))," ")</f>
        <v xml:space="preserve"> </v>
      </c>
      <c r="I931" s="34" t="str">
        <f>IFERROR((VLOOKUP(F931,'Planilha de Cadastro - Previsão'!$A$2:$N$1100,4,FALSE()))," ")</f>
        <v xml:space="preserve"> </v>
      </c>
      <c r="J931" s="34" t="str">
        <f>IFERROR((VLOOKUP(F931,'Planilha de Cadastro - Previsão'!$A$2:$N$1100,5,FALSE()))," ")</f>
        <v xml:space="preserve"> </v>
      </c>
      <c r="K931" s="36"/>
      <c r="L931" s="34" t="str">
        <f t="shared" si="60"/>
        <v/>
      </c>
      <c r="M931" s="35" t="str">
        <f t="shared" si="61"/>
        <v/>
      </c>
      <c r="N931" s="39"/>
      <c r="O931" s="36"/>
    </row>
    <row r="932" spans="1:15" x14ac:dyDescent="0.25">
      <c r="A932">
        <f>COUNTIF($C$2:C932,C932)</f>
        <v>931</v>
      </c>
      <c r="B932" s="1" t="str">
        <f t="shared" si="58"/>
        <v>931</v>
      </c>
      <c r="C932" s="1" t="str">
        <f>IFERROR(VLOOKUP(D932,'Planilha de Cadastro - Previsão'!$A$2:$O$1000,15,FALSE()),"")</f>
        <v/>
      </c>
      <c r="D932" s="1">
        <v>931</v>
      </c>
      <c r="F932" s="32" t="str">
        <f t="shared" si="59"/>
        <v/>
      </c>
      <c r="G932" s="33" t="str">
        <f>IFERROR((VLOOKUP(F932,'Planilha de Cadastro - Previsão'!$A$2:$N$1100,2,FALSE()))," ")</f>
        <v xml:space="preserve"> </v>
      </c>
      <c r="H932" s="32" t="str">
        <f>IFERROR((VLOOKUP(F932,'Planilha de Cadastro - Previsão'!$A$2:$N$1100,3,FALSE()))," ")</f>
        <v xml:space="preserve"> </v>
      </c>
      <c r="I932" s="34" t="str">
        <f>IFERROR((VLOOKUP(F932,'Planilha de Cadastro - Previsão'!$A$2:$N$1100,4,FALSE()))," ")</f>
        <v xml:space="preserve"> </v>
      </c>
      <c r="J932" s="34" t="str">
        <f>IFERROR((VLOOKUP(F932,'Planilha de Cadastro - Previsão'!$A$2:$N$1100,5,FALSE()))," ")</f>
        <v xml:space="preserve"> </v>
      </c>
      <c r="K932" s="36"/>
      <c r="L932" s="34" t="str">
        <f t="shared" si="60"/>
        <v/>
      </c>
      <c r="M932" s="35" t="str">
        <f t="shared" si="61"/>
        <v/>
      </c>
      <c r="N932" s="39"/>
      <c r="O932" s="36"/>
    </row>
    <row r="933" spans="1:15" x14ac:dyDescent="0.25">
      <c r="A933">
        <f>COUNTIF($C$2:C933,C933)</f>
        <v>932</v>
      </c>
      <c r="B933" s="1" t="str">
        <f t="shared" si="58"/>
        <v>932</v>
      </c>
      <c r="C933" s="1" t="str">
        <f>IFERROR(VLOOKUP(D933,'Planilha de Cadastro - Previsão'!$A$2:$O$1000,15,FALSE()),"")</f>
        <v/>
      </c>
      <c r="D933" s="1">
        <v>932</v>
      </c>
      <c r="F933" s="32" t="str">
        <f t="shared" si="59"/>
        <v/>
      </c>
      <c r="G933" s="33" t="str">
        <f>IFERROR((VLOOKUP(F933,'Planilha de Cadastro - Previsão'!$A$2:$N$1100,2,FALSE()))," ")</f>
        <v xml:space="preserve"> </v>
      </c>
      <c r="H933" s="32" t="str">
        <f>IFERROR((VLOOKUP(F933,'Planilha de Cadastro - Previsão'!$A$2:$N$1100,3,FALSE()))," ")</f>
        <v xml:space="preserve"> </v>
      </c>
      <c r="I933" s="34" t="str">
        <f>IFERROR((VLOOKUP(F933,'Planilha de Cadastro - Previsão'!$A$2:$N$1100,4,FALSE()))," ")</f>
        <v xml:space="preserve"> </v>
      </c>
      <c r="J933" s="34" t="str">
        <f>IFERROR((VLOOKUP(F933,'Planilha de Cadastro - Previsão'!$A$2:$N$1100,5,FALSE()))," ")</f>
        <v xml:space="preserve"> </v>
      </c>
      <c r="K933" s="36"/>
      <c r="L933" s="34" t="str">
        <f t="shared" si="60"/>
        <v/>
      </c>
      <c r="M933" s="35" t="str">
        <f t="shared" si="61"/>
        <v/>
      </c>
      <c r="N933" s="39"/>
      <c r="O933" s="36"/>
    </row>
    <row r="934" spans="1:15" x14ac:dyDescent="0.25">
      <c r="A934">
        <f>COUNTIF($C$2:C934,C934)</f>
        <v>933</v>
      </c>
      <c r="B934" s="1" t="str">
        <f t="shared" si="58"/>
        <v>933</v>
      </c>
      <c r="C934" s="1" t="str">
        <f>IFERROR(VLOOKUP(D934,'Planilha de Cadastro - Previsão'!$A$2:$O$1000,15,FALSE()),"")</f>
        <v/>
      </c>
      <c r="D934" s="1">
        <v>933</v>
      </c>
      <c r="F934" s="32" t="str">
        <f t="shared" si="59"/>
        <v/>
      </c>
      <c r="G934" s="33" t="str">
        <f>IFERROR((VLOOKUP(F934,'Planilha de Cadastro - Previsão'!$A$2:$N$1100,2,FALSE()))," ")</f>
        <v xml:space="preserve"> </v>
      </c>
      <c r="H934" s="32" t="str">
        <f>IFERROR((VLOOKUP(F934,'Planilha de Cadastro - Previsão'!$A$2:$N$1100,3,FALSE()))," ")</f>
        <v xml:space="preserve"> </v>
      </c>
      <c r="I934" s="34" t="str">
        <f>IFERROR((VLOOKUP(F934,'Planilha de Cadastro - Previsão'!$A$2:$N$1100,4,FALSE()))," ")</f>
        <v xml:space="preserve"> </v>
      </c>
      <c r="J934" s="34" t="str">
        <f>IFERROR((VLOOKUP(F934,'Planilha de Cadastro - Previsão'!$A$2:$N$1100,5,FALSE()))," ")</f>
        <v xml:space="preserve"> </v>
      </c>
      <c r="K934" s="36"/>
      <c r="L934" s="34" t="str">
        <f t="shared" si="60"/>
        <v/>
      </c>
      <c r="M934" s="35" t="str">
        <f t="shared" si="61"/>
        <v/>
      </c>
      <c r="N934" s="39"/>
      <c r="O934" s="36"/>
    </row>
    <row r="935" spans="1:15" x14ac:dyDescent="0.25">
      <c r="A935">
        <f>COUNTIF($C$2:C935,C935)</f>
        <v>934</v>
      </c>
      <c r="B935" s="1" t="str">
        <f t="shared" si="58"/>
        <v>934</v>
      </c>
      <c r="C935" s="1" t="str">
        <f>IFERROR(VLOOKUP(D935,'Planilha de Cadastro - Previsão'!$A$2:$O$1000,15,FALSE()),"")</f>
        <v/>
      </c>
      <c r="D935" s="1">
        <v>934</v>
      </c>
      <c r="F935" s="32" t="str">
        <f t="shared" si="59"/>
        <v/>
      </c>
      <c r="G935" s="33" t="str">
        <f>IFERROR((VLOOKUP(F935,'Planilha de Cadastro - Previsão'!$A$2:$N$1100,2,FALSE()))," ")</f>
        <v xml:space="preserve"> </v>
      </c>
      <c r="H935" s="32" t="str">
        <f>IFERROR((VLOOKUP(F935,'Planilha de Cadastro - Previsão'!$A$2:$N$1100,3,FALSE()))," ")</f>
        <v xml:space="preserve"> </v>
      </c>
      <c r="I935" s="34" t="str">
        <f>IFERROR((VLOOKUP(F935,'Planilha de Cadastro - Previsão'!$A$2:$N$1100,4,FALSE()))," ")</f>
        <v xml:space="preserve"> </v>
      </c>
      <c r="J935" s="34" t="str">
        <f>IFERROR((VLOOKUP(F935,'Planilha de Cadastro - Previsão'!$A$2:$N$1100,5,FALSE()))," ")</f>
        <v xml:space="preserve"> </v>
      </c>
      <c r="K935" s="36"/>
      <c r="L935" s="34" t="str">
        <f t="shared" si="60"/>
        <v/>
      </c>
      <c r="M935" s="35" t="str">
        <f t="shared" si="61"/>
        <v/>
      </c>
      <c r="N935" s="39"/>
      <c r="O935" s="36"/>
    </row>
    <row r="936" spans="1:15" x14ac:dyDescent="0.25">
      <c r="A936">
        <f>COUNTIF($C$2:C936,C936)</f>
        <v>935</v>
      </c>
      <c r="B936" s="1" t="str">
        <f t="shared" si="58"/>
        <v>935</v>
      </c>
      <c r="C936" s="1" t="str">
        <f>IFERROR(VLOOKUP(D936,'Planilha de Cadastro - Previsão'!$A$2:$O$1000,15,FALSE()),"")</f>
        <v/>
      </c>
      <c r="D936" s="1">
        <v>935</v>
      </c>
      <c r="F936" s="32" t="str">
        <f t="shared" si="59"/>
        <v/>
      </c>
      <c r="G936" s="33" t="str">
        <f>IFERROR((VLOOKUP(F936,'Planilha de Cadastro - Previsão'!$A$2:$N$1100,2,FALSE()))," ")</f>
        <v xml:space="preserve"> </v>
      </c>
      <c r="H936" s="32" t="str">
        <f>IFERROR((VLOOKUP(F936,'Planilha de Cadastro - Previsão'!$A$2:$N$1100,3,FALSE()))," ")</f>
        <v xml:space="preserve"> </v>
      </c>
      <c r="I936" s="34" t="str">
        <f>IFERROR((VLOOKUP(F936,'Planilha de Cadastro - Previsão'!$A$2:$N$1100,4,FALSE()))," ")</f>
        <v xml:space="preserve"> </v>
      </c>
      <c r="J936" s="34" t="str">
        <f>IFERROR((VLOOKUP(F936,'Planilha de Cadastro - Previsão'!$A$2:$N$1100,5,FALSE()))," ")</f>
        <v xml:space="preserve"> </v>
      </c>
      <c r="K936" s="36"/>
      <c r="L936" s="34" t="str">
        <f t="shared" si="60"/>
        <v/>
      </c>
      <c r="M936" s="35" t="str">
        <f t="shared" si="61"/>
        <v/>
      </c>
      <c r="N936" s="39"/>
      <c r="O936" s="36"/>
    </row>
    <row r="937" spans="1:15" x14ac:dyDescent="0.25">
      <c r="A937">
        <f>COUNTIF($C$2:C937,C937)</f>
        <v>936</v>
      </c>
      <c r="B937" s="1" t="str">
        <f t="shared" si="58"/>
        <v>936</v>
      </c>
      <c r="C937" s="1" t="str">
        <f>IFERROR(VLOOKUP(D937,'Planilha de Cadastro - Previsão'!$A$2:$O$1000,15,FALSE()),"")</f>
        <v/>
      </c>
      <c r="D937" s="1">
        <v>936</v>
      </c>
      <c r="F937" s="32" t="str">
        <f t="shared" si="59"/>
        <v/>
      </c>
      <c r="G937" s="33" t="str">
        <f>IFERROR((VLOOKUP(F937,'Planilha de Cadastro - Previsão'!$A$2:$N$1100,2,FALSE()))," ")</f>
        <v xml:space="preserve"> </v>
      </c>
      <c r="H937" s="32" t="str">
        <f>IFERROR((VLOOKUP(F937,'Planilha de Cadastro - Previsão'!$A$2:$N$1100,3,FALSE()))," ")</f>
        <v xml:space="preserve"> </v>
      </c>
      <c r="I937" s="34" t="str">
        <f>IFERROR((VLOOKUP(F937,'Planilha de Cadastro - Previsão'!$A$2:$N$1100,4,FALSE()))," ")</f>
        <v xml:space="preserve"> </v>
      </c>
      <c r="J937" s="34" t="str">
        <f>IFERROR((VLOOKUP(F937,'Planilha de Cadastro - Previsão'!$A$2:$N$1100,5,FALSE()))," ")</f>
        <v xml:space="preserve"> </v>
      </c>
      <c r="K937" s="36"/>
      <c r="L937" s="34" t="str">
        <f t="shared" si="60"/>
        <v/>
      </c>
      <c r="M937" s="35" t="str">
        <f t="shared" si="61"/>
        <v/>
      </c>
      <c r="N937" s="39"/>
      <c r="O937" s="36"/>
    </row>
    <row r="938" spans="1:15" x14ac:dyDescent="0.25">
      <c r="A938">
        <f>COUNTIF($C$2:C938,C938)</f>
        <v>937</v>
      </c>
      <c r="B938" s="1" t="str">
        <f t="shared" si="58"/>
        <v>937</v>
      </c>
      <c r="C938" s="1" t="str">
        <f>IFERROR(VLOOKUP(D938,'Planilha de Cadastro - Previsão'!$A$2:$O$1000,15,FALSE()),"")</f>
        <v/>
      </c>
      <c r="D938" s="1">
        <v>937</v>
      </c>
      <c r="F938" s="32" t="str">
        <f t="shared" si="59"/>
        <v/>
      </c>
      <c r="G938" s="33" t="str">
        <f>IFERROR((VLOOKUP(F938,'Planilha de Cadastro - Previsão'!$A$2:$N$1100,2,FALSE()))," ")</f>
        <v xml:space="preserve"> </v>
      </c>
      <c r="H938" s="32" t="str">
        <f>IFERROR((VLOOKUP(F938,'Planilha de Cadastro - Previsão'!$A$2:$N$1100,3,FALSE()))," ")</f>
        <v xml:space="preserve"> </v>
      </c>
      <c r="I938" s="34" t="str">
        <f>IFERROR((VLOOKUP(F938,'Planilha de Cadastro - Previsão'!$A$2:$N$1100,4,FALSE()))," ")</f>
        <v xml:space="preserve"> </v>
      </c>
      <c r="J938" s="34" t="str">
        <f>IFERROR((VLOOKUP(F938,'Planilha de Cadastro - Previsão'!$A$2:$N$1100,5,FALSE()))," ")</f>
        <v xml:space="preserve"> </v>
      </c>
      <c r="K938" s="36"/>
      <c r="L938" s="34" t="str">
        <f t="shared" si="60"/>
        <v/>
      </c>
      <c r="M938" s="35" t="str">
        <f t="shared" si="61"/>
        <v/>
      </c>
      <c r="N938" s="39"/>
      <c r="O938" s="36"/>
    </row>
    <row r="939" spans="1:15" x14ac:dyDescent="0.25">
      <c r="A939">
        <f>COUNTIF($C$2:C939,C939)</f>
        <v>938</v>
      </c>
      <c r="B939" s="1" t="str">
        <f t="shared" si="58"/>
        <v>938</v>
      </c>
      <c r="C939" s="1" t="str">
        <f>IFERROR(VLOOKUP(D939,'Planilha de Cadastro - Previsão'!$A$2:$O$1000,15,FALSE()),"")</f>
        <v/>
      </c>
      <c r="D939" s="1">
        <v>938</v>
      </c>
      <c r="F939" s="32" t="str">
        <f t="shared" si="59"/>
        <v/>
      </c>
      <c r="G939" s="33" t="str">
        <f>IFERROR((VLOOKUP(F939,'Planilha de Cadastro - Previsão'!$A$2:$N$1100,2,FALSE()))," ")</f>
        <v xml:space="preserve"> </v>
      </c>
      <c r="H939" s="32" t="str">
        <f>IFERROR((VLOOKUP(F939,'Planilha de Cadastro - Previsão'!$A$2:$N$1100,3,FALSE()))," ")</f>
        <v xml:space="preserve"> </v>
      </c>
      <c r="I939" s="34" t="str">
        <f>IFERROR((VLOOKUP(F939,'Planilha de Cadastro - Previsão'!$A$2:$N$1100,4,FALSE()))," ")</f>
        <v xml:space="preserve"> </v>
      </c>
      <c r="J939" s="34" t="str">
        <f>IFERROR((VLOOKUP(F939,'Planilha de Cadastro - Previsão'!$A$2:$N$1100,5,FALSE()))," ")</f>
        <v xml:space="preserve"> </v>
      </c>
      <c r="K939" s="36"/>
      <c r="L939" s="34" t="str">
        <f t="shared" si="60"/>
        <v/>
      </c>
      <c r="M939" s="35" t="str">
        <f t="shared" si="61"/>
        <v/>
      </c>
      <c r="N939" s="39"/>
      <c r="O939" s="36"/>
    </row>
    <row r="940" spans="1:15" x14ac:dyDescent="0.25">
      <c r="A940">
        <f>COUNTIF($C$2:C940,C940)</f>
        <v>939</v>
      </c>
      <c r="B940" s="1" t="str">
        <f t="shared" si="58"/>
        <v>939</v>
      </c>
      <c r="C940" s="1" t="str">
        <f>IFERROR(VLOOKUP(D940,'Planilha de Cadastro - Previsão'!$A$2:$O$1000,15,FALSE()),"")</f>
        <v/>
      </c>
      <c r="D940" s="1">
        <v>939</v>
      </c>
      <c r="F940" s="32" t="str">
        <f t="shared" si="59"/>
        <v/>
      </c>
      <c r="G940" s="33" t="str">
        <f>IFERROR((VLOOKUP(F940,'Planilha de Cadastro - Previsão'!$A$2:$N$1100,2,FALSE()))," ")</f>
        <v xml:space="preserve"> </v>
      </c>
      <c r="H940" s="32" t="str">
        <f>IFERROR((VLOOKUP(F940,'Planilha de Cadastro - Previsão'!$A$2:$N$1100,3,FALSE()))," ")</f>
        <v xml:space="preserve"> </v>
      </c>
      <c r="I940" s="34" t="str">
        <f>IFERROR((VLOOKUP(F940,'Planilha de Cadastro - Previsão'!$A$2:$N$1100,4,FALSE()))," ")</f>
        <v xml:space="preserve"> </v>
      </c>
      <c r="J940" s="34" t="str">
        <f>IFERROR((VLOOKUP(F940,'Planilha de Cadastro - Previsão'!$A$2:$N$1100,5,FALSE()))," ")</f>
        <v xml:space="preserve"> </v>
      </c>
      <c r="K940" s="36"/>
      <c r="L940" s="34" t="str">
        <f t="shared" si="60"/>
        <v/>
      </c>
      <c r="M940" s="35" t="str">
        <f t="shared" si="61"/>
        <v/>
      </c>
      <c r="N940" s="39"/>
      <c r="O940" s="36"/>
    </row>
    <row r="941" spans="1:15" x14ac:dyDescent="0.25">
      <c r="A941">
        <f>COUNTIF($C$2:C941,C941)</f>
        <v>940</v>
      </c>
      <c r="B941" s="1" t="str">
        <f t="shared" si="58"/>
        <v>940</v>
      </c>
      <c r="C941" s="1" t="str">
        <f>IFERROR(VLOOKUP(D941,'Planilha de Cadastro - Previsão'!$A$2:$O$1000,15,FALSE()),"")</f>
        <v/>
      </c>
      <c r="D941" s="1">
        <v>940</v>
      </c>
      <c r="F941" s="32" t="str">
        <f t="shared" si="59"/>
        <v/>
      </c>
      <c r="G941" s="33" t="str">
        <f>IFERROR((VLOOKUP(F941,'Planilha de Cadastro - Previsão'!$A$2:$N$1100,2,FALSE()))," ")</f>
        <v xml:space="preserve"> </v>
      </c>
      <c r="H941" s="32" t="str">
        <f>IFERROR((VLOOKUP(F941,'Planilha de Cadastro - Previsão'!$A$2:$N$1100,3,FALSE()))," ")</f>
        <v xml:space="preserve"> </v>
      </c>
      <c r="I941" s="34" t="str">
        <f>IFERROR((VLOOKUP(F941,'Planilha de Cadastro - Previsão'!$A$2:$N$1100,4,FALSE()))," ")</f>
        <v xml:space="preserve"> </v>
      </c>
      <c r="J941" s="34" t="str">
        <f>IFERROR((VLOOKUP(F941,'Planilha de Cadastro - Previsão'!$A$2:$N$1100,5,FALSE()))," ")</f>
        <v xml:space="preserve"> </v>
      </c>
      <c r="K941" s="36"/>
      <c r="L941" s="34" t="str">
        <f t="shared" si="60"/>
        <v/>
      </c>
      <c r="M941" s="35" t="str">
        <f t="shared" si="61"/>
        <v/>
      </c>
      <c r="N941" s="39"/>
      <c r="O941" s="36"/>
    </row>
    <row r="942" spans="1:15" x14ac:dyDescent="0.25">
      <c r="A942">
        <f>COUNTIF($C$2:C942,C942)</f>
        <v>941</v>
      </c>
      <c r="B942" s="1" t="str">
        <f t="shared" si="58"/>
        <v>941</v>
      </c>
      <c r="C942" s="1" t="str">
        <f>IFERROR(VLOOKUP(D942,'Planilha de Cadastro - Previsão'!$A$2:$O$1000,15,FALSE()),"")</f>
        <v/>
      </c>
      <c r="D942" s="1">
        <v>941</v>
      </c>
      <c r="F942" s="32" t="str">
        <f t="shared" si="59"/>
        <v/>
      </c>
      <c r="G942" s="33" t="str">
        <f>IFERROR((VLOOKUP(F942,'Planilha de Cadastro - Previsão'!$A$2:$N$1100,2,FALSE()))," ")</f>
        <v xml:space="preserve"> </v>
      </c>
      <c r="H942" s="32" t="str">
        <f>IFERROR((VLOOKUP(F942,'Planilha de Cadastro - Previsão'!$A$2:$N$1100,3,FALSE()))," ")</f>
        <v xml:space="preserve"> </v>
      </c>
      <c r="I942" s="34" t="str">
        <f>IFERROR((VLOOKUP(F942,'Planilha de Cadastro - Previsão'!$A$2:$N$1100,4,FALSE()))," ")</f>
        <v xml:space="preserve"> </v>
      </c>
      <c r="J942" s="34" t="str">
        <f>IFERROR((VLOOKUP(F942,'Planilha de Cadastro - Previsão'!$A$2:$N$1100,5,FALSE()))," ")</f>
        <v xml:space="preserve"> </v>
      </c>
      <c r="K942" s="36"/>
      <c r="L942" s="34" t="str">
        <f t="shared" si="60"/>
        <v/>
      </c>
      <c r="M942" s="35" t="str">
        <f t="shared" si="61"/>
        <v/>
      </c>
      <c r="N942" s="39"/>
      <c r="O942" s="36"/>
    </row>
    <row r="943" spans="1:15" x14ac:dyDescent="0.25">
      <c r="A943">
        <f>COUNTIF($C$2:C943,C943)</f>
        <v>942</v>
      </c>
      <c r="B943" s="1" t="str">
        <f t="shared" si="58"/>
        <v>942</v>
      </c>
      <c r="C943" s="1" t="str">
        <f>IFERROR(VLOOKUP(D943,'Planilha de Cadastro - Previsão'!$A$2:$O$1000,15,FALSE()),"")</f>
        <v/>
      </c>
      <c r="D943" s="1">
        <v>942</v>
      </c>
      <c r="F943" s="32" t="str">
        <f t="shared" si="59"/>
        <v/>
      </c>
      <c r="G943" s="33" t="str">
        <f>IFERROR((VLOOKUP(F943,'Planilha de Cadastro - Previsão'!$A$2:$N$1100,2,FALSE()))," ")</f>
        <v xml:space="preserve"> </v>
      </c>
      <c r="H943" s="32" t="str">
        <f>IFERROR((VLOOKUP(F943,'Planilha de Cadastro - Previsão'!$A$2:$N$1100,3,FALSE()))," ")</f>
        <v xml:space="preserve"> </v>
      </c>
      <c r="I943" s="34" t="str">
        <f>IFERROR((VLOOKUP(F943,'Planilha de Cadastro - Previsão'!$A$2:$N$1100,4,FALSE()))," ")</f>
        <v xml:space="preserve"> </v>
      </c>
      <c r="J943" s="34" t="str">
        <f>IFERROR((VLOOKUP(F943,'Planilha de Cadastro - Previsão'!$A$2:$N$1100,5,FALSE()))," ")</f>
        <v xml:space="preserve"> </v>
      </c>
      <c r="K943" s="36"/>
      <c r="L943" s="34" t="str">
        <f t="shared" si="60"/>
        <v/>
      </c>
      <c r="M943" s="35" t="str">
        <f t="shared" si="61"/>
        <v/>
      </c>
      <c r="N943" s="39"/>
      <c r="O943" s="36"/>
    </row>
    <row r="944" spans="1:15" x14ac:dyDescent="0.25">
      <c r="A944">
        <f>COUNTIF($C$2:C944,C944)</f>
        <v>943</v>
      </c>
      <c r="B944" s="1" t="str">
        <f t="shared" si="58"/>
        <v>943</v>
      </c>
      <c r="C944" s="1" t="str">
        <f>IFERROR(VLOOKUP(D944,'Planilha de Cadastro - Previsão'!$A$2:$O$1000,15,FALSE()),"")</f>
        <v/>
      </c>
      <c r="D944" s="1">
        <v>943</v>
      </c>
      <c r="F944" s="32" t="str">
        <f t="shared" si="59"/>
        <v/>
      </c>
      <c r="G944" s="33" t="str">
        <f>IFERROR((VLOOKUP(F944,'Planilha de Cadastro - Previsão'!$A$2:$N$1100,2,FALSE()))," ")</f>
        <v xml:space="preserve"> </v>
      </c>
      <c r="H944" s="32" t="str">
        <f>IFERROR((VLOOKUP(F944,'Planilha de Cadastro - Previsão'!$A$2:$N$1100,3,FALSE()))," ")</f>
        <v xml:space="preserve"> </v>
      </c>
      <c r="I944" s="34" t="str">
        <f>IFERROR((VLOOKUP(F944,'Planilha de Cadastro - Previsão'!$A$2:$N$1100,4,FALSE()))," ")</f>
        <v xml:space="preserve"> </v>
      </c>
      <c r="J944" s="34" t="str">
        <f>IFERROR((VLOOKUP(F944,'Planilha de Cadastro - Previsão'!$A$2:$N$1100,5,FALSE()))," ")</f>
        <v xml:space="preserve"> </v>
      </c>
      <c r="K944" s="36"/>
      <c r="L944" s="34" t="str">
        <f t="shared" si="60"/>
        <v/>
      </c>
      <c r="M944" s="35" t="str">
        <f t="shared" si="61"/>
        <v/>
      </c>
      <c r="N944" s="39"/>
      <c r="O944" s="36"/>
    </row>
    <row r="945" spans="1:15" x14ac:dyDescent="0.25">
      <c r="A945">
        <f>COUNTIF($C$2:C945,C945)</f>
        <v>944</v>
      </c>
      <c r="B945" s="1" t="str">
        <f t="shared" si="58"/>
        <v>944</v>
      </c>
      <c r="C945" s="1" t="str">
        <f>IFERROR(VLOOKUP(D945,'Planilha de Cadastro - Previsão'!$A$2:$O$1000,15,FALSE()),"")</f>
        <v/>
      </c>
      <c r="D945" s="1">
        <v>944</v>
      </c>
      <c r="F945" s="32" t="str">
        <f t="shared" si="59"/>
        <v/>
      </c>
      <c r="G945" s="33" t="str">
        <f>IFERROR((VLOOKUP(F945,'Planilha de Cadastro - Previsão'!$A$2:$N$1100,2,FALSE()))," ")</f>
        <v xml:space="preserve"> </v>
      </c>
      <c r="H945" s="32" t="str">
        <f>IFERROR((VLOOKUP(F945,'Planilha de Cadastro - Previsão'!$A$2:$N$1100,3,FALSE()))," ")</f>
        <v xml:space="preserve"> </v>
      </c>
      <c r="I945" s="34" t="str">
        <f>IFERROR((VLOOKUP(F945,'Planilha de Cadastro - Previsão'!$A$2:$N$1100,4,FALSE()))," ")</f>
        <v xml:space="preserve"> </v>
      </c>
      <c r="J945" s="34" t="str">
        <f>IFERROR((VLOOKUP(F945,'Planilha de Cadastro - Previsão'!$A$2:$N$1100,5,FALSE()))," ")</f>
        <v xml:space="preserve"> </v>
      </c>
      <c r="K945" s="36"/>
      <c r="L945" s="34" t="str">
        <f t="shared" si="60"/>
        <v/>
      </c>
      <c r="M945" s="35" t="str">
        <f t="shared" si="61"/>
        <v/>
      </c>
      <c r="N945" s="39"/>
      <c r="O945" s="36"/>
    </row>
    <row r="946" spans="1:15" x14ac:dyDescent="0.25">
      <c r="A946">
        <f>COUNTIF($C$2:C946,C946)</f>
        <v>945</v>
      </c>
      <c r="B946" s="1" t="str">
        <f t="shared" si="58"/>
        <v>945</v>
      </c>
      <c r="C946" s="1" t="str">
        <f>IFERROR(VLOOKUP(D946,'Planilha de Cadastro - Previsão'!$A$2:$O$1000,15,FALSE()),"")</f>
        <v/>
      </c>
      <c r="D946" s="1">
        <v>945</v>
      </c>
      <c r="F946" s="32" t="str">
        <f t="shared" si="59"/>
        <v/>
      </c>
      <c r="G946" s="33" t="str">
        <f>IFERROR((VLOOKUP(F946,'Planilha de Cadastro - Previsão'!$A$2:$N$1100,2,FALSE()))," ")</f>
        <v xml:space="preserve"> </v>
      </c>
      <c r="H946" s="32" t="str">
        <f>IFERROR((VLOOKUP(F946,'Planilha de Cadastro - Previsão'!$A$2:$N$1100,3,FALSE()))," ")</f>
        <v xml:space="preserve"> </v>
      </c>
      <c r="I946" s="34" t="str">
        <f>IFERROR((VLOOKUP(F946,'Planilha de Cadastro - Previsão'!$A$2:$N$1100,4,FALSE()))," ")</f>
        <v xml:space="preserve"> </v>
      </c>
      <c r="J946" s="34" t="str">
        <f>IFERROR((VLOOKUP(F946,'Planilha de Cadastro - Previsão'!$A$2:$N$1100,5,FALSE()))," ")</f>
        <v xml:space="preserve"> </v>
      </c>
      <c r="K946" s="36"/>
      <c r="L946" s="34" t="str">
        <f t="shared" si="60"/>
        <v/>
      </c>
      <c r="M946" s="35" t="str">
        <f t="shared" si="61"/>
        <v/>
      </c>
      <c r="N946" s="39"/>
      <c r="O946" s="36"/>
    </row>
    <row r="947" spans="1:15" x14ac:dyDescent="0.25">
      <c r="A947">
        <f>COUNTIF($C$2:C947,C947)</f>
        <v>946</v>
      </c>
      <c r="B947" s="1" t="str">
        <f t="shared" si="58"/>
        <v>946</v>
      </c>
      <c r="C947" s="1" t="str">
        <f>IFERROR(VLOOKUP(D947,'Planilha de Cadastro - Previsão'!$A$2:$O$1000,15,FALSE()),"")</f>
        <v/>
      </c>
      <c r="D947" s="1">
        <v>946</v>
      </c>
      <c r="F947" s="32" t="str">
        <f t="shared" si="59"/>
        <v/>
      </c>
      <c r="G947" s="33" t="str">
        <f>IFERROR((VLOOKUP(F947,'Planilha de Cadastro - Previsão'!$A$2:$N$1100,2,FALSE()))," ")</f>
        <v xml:space="preserve"> </v>
      </c>
      <c r="H947" s="32" t="str">
        <f>IFERROR((VLOOKUP(F947,'Planilha de Cadastro - Previsão'!$A$2:$N$1100,3,FALSE()))," ")</f>
        <v xml:space="preserve"> </v>
      </c>
      <c r="I947" s="34" t="str">
        <f>IFERROR((VLOOKUP(F947,'Planilha de Cadastro - Previsão'!$A$2:$N$1100,4,FALSE()))," ")</f>
        <v xml:space="preserve"> </v>
      </c>
      <c r="J947" s="34" t="str">
        <f>IFERROR((VLOOKUP(F947,'Planilha de Cadastro - Previsão'!$A$2:$N$1100,5,FALSE()))," ")</f>
        <v xml:space="preserve"> </v>
      </c>
      <c r="K947" s="36"/>
      <c r="L947" s="34" t="str">
        <f t="shared" si="60"/>
        <v/>
      </c>
      <c r="M947" s="35" t="str">
        <f t="shared" si="61"/>
        <v/>
      </c>
      <c r="N947" s="39"/>
      <c r="O947" s="36"/>
    </row>
    <row r="948" spans="1:15" x14ac:dyDescent="0.25">
      <c r="A948">
        <f>COUNTIF($C$2:C948,C948)</f>
        <v>947</v>
      </c>
      <c r="B948" s="1" t="str">
        <f t="shared" si="58"/>
        <v>947</v>
      </c>
      <c r="C948" s="1" t="str">
        <f>IFERROR(VLOOKUP(D948,'Planilha de Cadastro - Previsão'!$A$2:$O$1000,15,FALSE()),"")</f>
        <v/>
      </c>
      <c r="D948" s="1">
        <v>947</v>
      </c>
      <c r="F948" s="32" t="str">
        <f t="shared" si="59"/>
        <v/>
      </c>
      <c r="G948" s="33" t="str">
        <f>IFERROR((VLOOKUP(F948,'Planilha de Cadastro - Previsão'!$A$2:$N$1100,2,FALSE()))," ")</f>
        <v xml:space="preserve"> </v>
      </c>
      <c r="H948" s="32" t="str">
        <f>IFERROR((VLOOKUP(F948,'Planilha de Cadastro - Previsão'!$A$2:$N$1100,3,FALSE()))," ")</f>
        <v xml:space="preserve"> </v>
      </c>
      <c r="I948" s="34" t="str">
        <f>IFERROR((VLOOKUP(F948,'Planilha de Cadastro - Previsão'!$A$2:$N$1100,4,FALSE()))," ")</f>
        <v xml:space="preserve"> </v>
      </c>
      <c r="J948" s="34" t="str">
        <f>IFERROR((VLOOKUP(F948,'Planilha de Cadastro - Previsão'!$A$2:$N$1100,5,FALSE()))," ")</f>
        <v xml:space="preserve"> </v>
      </c>
      <c r="K948" s="36"/>
      <c r="L948" s="34" t="str">
        <f t="shared" si="60"/>
        <v/>
      </c>
      <c r="M948" s="35" t="str">
        <f t="shared" si="61"/>
        <v/>
      </c>
      <c r="N948" s="39"/>
      <c r="O948" s="36"/>
    </row>
    <row r="949" spans="1:15" x14ac:dyDescent="0.25">
      <c r="A949">
        <f>COUNTIF($C$2:C949,C949)</f>
        <v>948</v>
      </c>
      <c r="B949" s="1" t="str">
        <f t="shared" si="58"/>
        <v>948</v>
      </c>
      <c r="C949" s="1" t="str">
        <f>IFERROR(VLOOKUP(D949,'Planilha de Cadastro - Previsão'!$A$2:$O$1000,15,FALSE()),"")</f>
        <v/>
      </c>
      <c r="D949" s="1">
        <v>948</v>
      </c>
      <c r="F949" s="32" t="str">
        <f t="shared" si="59"/>
        <v/>
      </c>
      <c r="G949" s="33" t="str">
        <f>IFERROR((VLOOKUP(F949,'Planilha de Cadastro - Previsão'!$A$2:$N$1100,2,FALSE()))," ")</f>
        <v xml:space="preserve"> </v>
      </c>
      <c r="H949" s="32" t="str">
        <f>IFERROR((VLOOKUP(F949,'Planilha de Cadastro - Previsão'!$A$2:$N$1100,3,FALSE()))," ")</f>
        <v xml:space="preserve"> </v>
      </c>
      <c r="I949" s="34" t="str">
        <f>IFERROR((VLOOKUP(F949,'Planilha de Cadastro - Previsão'!$A$2:$N$1100,4,FALSE()))," ")</f>
        <v xml:space="preserve"> </v>
      </c>
      <c r="J949" s="34" t="str">
        <f>IFERROR((VLOOKUP(F949,'Planilha de Cadastro - Previsão'!$A$2:$N$1100,5,FALSE()))," ")</f>
        <v xml:space="preserve"> </v>
      </c>
      <c r="K949" s="36"/>
      <c r="L949" s="34" t="str">
        <f t="shared" si="60"/>
        <v/>
      </c>
      <c r="M949" s="35" t="str">
        <f t="shared" si="61"/>
        <v/>
      </c>
      <c r="N949" s="39"/>
      <c r="O949" s="36"/>
    </row>
    <row r="950" spans="1:15" x14ac:dyDescent="0.25">
      <c r="A950">
        <f>COUNTIF($C$2:C950,C950)</f>
        <v>949</v>
      </c>
      <c r="B950" s="1" t="str">
        <f t="shared" si="58"/>
        <v>949</v>
      </c>
      <c r="C950" s="1" t="str">
        <f>IFERROR(VLOOKUP(D950,'Planilha de Cadastro - Previsão'!$A$2:$O$1000,15,FALSE()),"")</f>
        <v/>
      </c>
      <c r="D950" s="1">
        <v>949</v>
      </c>
      <c r="F950" s="32" t="str">
        <f t="shared" si="59"/>
        <v/>
      </c>
      <c r="G950" s="33" t="str">
        <f>IFERROR((VLOOKUP(F950,'Planilha de Cadastro - Previsão'!$A$2:$N$1100,2,FALSE()))," ")</f>
        <v xml:space="preserve"> </v>
      </c>
      <c r="H950" s="32" t="str">
        <f>IFERROR((VLOOKUP(F950,'Planilha de Cadastro - Previsão'!$A$2:$N$1100,3,FALSE()))," ")</f>
        <v xml:space="preserve"> </v>
      </c>
      <c r="I950" s="34" t="str">
        <f>IFERROR((VLOOKUP(F950,'Planilha de Cadastro - Previsão'!$A$2:$N$1100,4,FALSE()))," ")</f>
        <v xml:space="preserve"> </v>
      </c>
      <c r="J950" s="34" t="str">
        <f>IFERROR((VLOOKUP(F950,'Planilha de Cadastro - Previsão'!$A$2:$N$1100,5,FALSE()))," ")</f>
        <v xml:space="preserve"> </v>
      </c>
      <c r="K950" s="36"/>
      <c r="L950" s="34" t="str">
        <f t="shared" si="60"/>
        <v/>
      </c>
      <c r="M950" s="35" t="str">
        <f t="shared" si="61"/>
        <v/>
      </c>
      <c r="N950" s="39"/>
      <c r="O950" s="36"/>
    </row>
    <row r="951" spans="1:15" x14ac:dyDescent="0.25">
      <c r="A951">
        <f>COUNTIF($C$2:C951,C951)</f>
        <v>950</v>
      </c>
      <c r="B951" s="1" t="str">
        <f t="shared" si="58"/>
        <v>950</v>
      </c>
      <c r="C951" s="1" t="str">
        <f>IFERROR(VLOOKUP(D951,'Planilha de Cadastro - Previsão'!$A$2:$O$1000,15,FALSE()),"")</f>
        <v/>
      </c>
      <c r="D951" s="1">
        <v>950</v>
      </c>
      <c r="F951" s="32" t="str">
        <f t="shared" si="59"/>
        <v/>
      </c>
      <c r="G951" s="33" t="str">
        <f>IFERROR((VLOOKUP(F951,'Planilha de Cadastro - Previsão'!$A$2:$N$1100,2,FALSE()))," ")</f>
        <v xml:space="preserve"> </v>
      </c>
      <c r="H951" s="32" t="str">
        <f>IFERROR((VLOOKUP(F951,'Planilha de Cadastro - Previsão'!$A$2:$N$1100,3,FALSE()))," ")</f>
        <v xml:space="preserve"> </v>
      </c>
      <c r="I951" s="34" t="str">
        <f>IFERROR((VLOOKUP(F951,'Planilha de Cadastro - Previsão'!$A$2:$N$1100,4,FALSE()))," ")</f>
        <v xml:space="preserve"> </v>
      </c>
      <c r="J951" s="34" t="str">
        <f>IFERROR((VLOOKUP(F951,'Planilha de Cadastro - Previsão'!$A$2:$N$1100,5,FALSE()))," ")</f>
        <v xml:space="preserve"> </v>
      </c>
      <c r="K951" s="36"/>
      <c r="L951" s="34" t="str">
        <f t="shared" si="60"/>
        <v/>
      </c>
      <c r="M951" s="35" t="str">
        <f t="shared" si="61"/>
        <v/>
      </c>
      <c r="N951" s="39"/>
      <c r="O951" s="36"/>
    </row>
    <row r="952" spans="1:15" x14ac:dyDescent="0.25">
      <c r="A952">
        <f>COUNTIF($C$2:C952,C952)</f>
        <v>951</v>
      </c>
      <c r="B952" s="1" t="str">
        <f t="shared" si="58"/>
        <v>951</v>
      </c>
      <c r="C952" s="1" t="str">
        <f>IFERROR(VLOOKUP(D952,'Planilha de Cadastro - Previsão'!$A$2:$O$1000,15,FALSE()),"")</f>
        <v/>
      </c>
      <c r="D952" s="1">
        <v>951</v>
      </c>
      <c r="F952" s="32" t="str">
        <f t="shared" si="59"/>
        <v/>
      </c>
      <c r="G952" s="33" t="str">
        <f>IFERROR((VLOOKUP(F952,'Planilha de Cadastro - Previsão'!$A$2:$N$1100,2,FALSE()))," ")</f>
        <v xml:space="preserve"> </v>
      </c>
      <c r="H952" s="32" t="str">
        <f>IFERROR((VLOOKUP(F952,'Planilha de Cadastro - Previsão'!$A$2:$N$1100,3,FALSE()))," ")</f>
        <v xml:space="preserve"> </v>
      </c>
      <c r="I952" s="34" t="str">
        <f>IFERROR((VLOOKUP(F952,'Planilha de Cadastro - Previsão'!$A$2:$N$1100,4,FALSE()))," ")</f>
        <v xml:space="preserve"> </v>
      </c>
      <c r="J952" s="34" t="str">
        <f>IFERROR((VLOOKUP(F952,'Planilha de Cadastro - Previsão'!$A$2:$N$1100,5,FALSE()))," ")</f>
        <v xml:space="preserve"> </v>
      </c>
      <c r="K952" s="36"/>
      <c r="L952" s="34" t="str">
        <f t="shared" si="60"/>
        <v/>
      </c>
      <c r="M952" s="35" t="str">
        <f t="shared" si="61"/>
        <v/>
      </c>
      <c r="N952" s="39"/>
      <c r="O952" s="36"/>
    </row>
    <row r="953" spans="1:15" x14ac:dyDescent="0.25">
      <c r="A953">
        <f>COUNTIF($C$2:C953,C953)</f>
        <v>952</v>
      </c>
      <c r="B953" s="1" t="str">
        <f t="shared" si="58"/>
        <v>952</v>
      </c>
      <c r="C953" s="1" t="str">
        <f>IFERROR(VLOOKUP(D953,'Planilha de Cadastro - Previsão'!$A$2:$O$1000,15,FALSE()),"")</f>
        <v/>
      </c>
      <c r="D953" s="1">
        <v>952</v>
      </c>
      <c r="F953" s="32" t="str">
        <f t="shared" si="59"/>
        <v/>
      </c>
      <c r="G953" s="33" t="str">
        <f>IFERROR((VLOOKUP(F953,'Planilha de Cadastro - Previsão'!$A$2:$N$1100,2,FALSE()))," ")</f>
        <v xml:space="preserve"> </v>
      </c>
      <c r="H953" s="32" t="str">
        <f>IFERROR((VLOOKUP(F953,'Planilha de Cadastro - Previsão'!$A$2:$N$1100,3,FALSE()))," ")</f>
        <v xml:space="preserve"> </v>
      </c>
      <c r="I953" s="34" t="str">
        <f>IFERROR((VLOOKUP(F953,'Planilha de Cadastro - Previsão'!$A$2:$N$1100,4,FALSE()))," ")</f>
        <v xml:space="preserve"> </v>
      </c>
      <c r="J953" s="34" t="str">
        <f>IFERROR((VLOOKUP(F953,'Planilha de Cadastro - Previsão'!$A$2:$N$1100,5,FALSE()))," ")</f>
        <v xml:space="preserve"> </v>
      </c>
      <c r="K953" s="36"/>
      <c r="L953" s="34" t="str">
        <f t="shared" si="60"/>
        <v/>
      </c>
      <c r="M953" s="35" t="str">
        <f t="shared" si="61"/>
        <v/>
      </c>
      <c r="N953" s="39"/>
      <c r="O953" s="36"/>
    </row>
    <row r="954" spans="1:15" x14ac:dyDescent="0.25">
      <c r="A954">
        <f>COUNTIF($C$2:C954,C954)</f>
        <v>953</v>
      </c>
      <c r="B954" s="1" t="str">
        <f t="shared" si="58"/>
        <v>953</v>
      </c>
      <c r="C954" s="1" t="str">
        <f>IFERROR(VLOOKUP(D954,'Planilha de Cadastro - Previsão'!$A$2:$O$1000,15,FALSE()),"")</f>
        <v/>
      </c>
      <c r="D954" s="1">
        <v>953</v>
      </c>
      <c r="F954" s="32" t="str">
        <f t="shared" si="59"/>
        <v/>
      </c>
      <c r="G954" s="33" t="str">
        <f>IFERROR((VLOOKUP(F954,'Planilha de Cadastro - Previsão'!$A$2:$N$1100,2,FALSE()))," ")</f>
        <v xml:space="preserve"> </v>
      </c>
      <c r="H954" s="32" t="str">
        <f>IFERROR((VLOOKUP(F954,'Planilha de Cadastro - Previsão'!$A$2:$N$1100,3,FALSE()))," ")</f>
        <v xml:space="preserve"> </v>
      </c>
      <c r="I954" s="34" t="str">
        <f>IFERROR((VLOOKUP(F954,'Planilha de Cadastro - Previsão'!$A$2:$N$1100,4,FALSE()))," ")</f>
        <v xml:space="preserve"> </v>
      </c>
      <c r="J954" s="34" t="str">
        <f>IFERROR((VLOOKUP(F954,'Planilha de Cadastro - Previsão'!$A$2:$N$1100,5,FALSE()))," ")</f>
        <v xml:space="preserve"> </v>
      </c>
      <c r="K954" s="36"/>
      <c r="L954" s="34" t="str">
        <f t="shared" si="60"/>
        <v/>
      </c>
      <c r="M954" s="35" t="str">
        <f t="shared" si="61"/>
        <v/>
      </c>
      <c r="N954" s="39"/>
      <c r="O954" s="36"/>
    </row>
    <row r="955" spans="1:15" x14ac:dyDescent="0.25">
      <c r="A955">
        <f>COUNTIF($C$2:C955,C955)</f>
        <v>954</v>
      </c>
      <c r="B955" s="1" t="str">
        <f t="shared" si="58"/>
        <v>954</v>
      </c>
      <c r="C955" s="1" t="str">
        <f>IFERROR(VLOOKUP(D955,'Planilha de Cadastro - Previsão'!$A$2:$O$1000,15,FALSE()),"")</f>
        <v/>
      </c>
      <c r="D955" s="1">
        <v>954</v>
      </c>
      <c r="F955" s="32" t="str">
        <f t="shared" si="59"/>
        <v/>
      </c>
      <c r="G955" s="33" t="str">
        <f>IFERROR((VLOOKUP(F955,'Planilha de Cadastro - Previsão'!$A$2:$N$1100,2,FALSE()))," ")</f>
        <v xml:space="preserve"> </v>
      </c>
      <c r="H955" s="32" t="str">
        <f>IFERROR((VLOOKUP(F955,'Planilha de Cadastro - Previsão'!$A$2:$N$1100,3,FALSE()))," ")</f>
        <v xml:space="preserve"> </v>
      </c>
      <c r="I955" s="34" t="str">
        <f>IFERROR((VLOOKUP(F955,'Planilha de Cadastro - Previsão'!$A$2:$N$1100,4,FALSE()))," ")</f>
        <v xml:space="preserve"> </v>
      </c>
      <c r="J955" s="34" t="str">
        <f>IFERROR((VLOOKUP(F955,'Planilha de Cadastro - Previsão'!$A$2:$N$1100,5,FALSE()))," ")</f>
        <v xml:space="preserve"> </v>
      </c>
      <c r="K955" s="36"/>
      <c r="L955" s="34" t="str">
        <f t="shared" si="60"/>
        <v/>
      </c>
      <c r="M955" s="35" t="str">
        <f t="shared" si="61"/>
        <v/>
      </c>
      <c r="N955" s="39"/>
      <c r="O955" s="36"/>
    </row>
    <row r="956" spans="1:15" x14ac:dyDescent="0.25">
      <c r="A956">
        <f>COUNTIF($C$2:C956,C956)</f>
        <v>955</v>
      </c>
      <c r="B956" s="1" t="str">
        <f t="shared" si="58"/>
        <v>955</v>
      </c>
      <c r="C956" s="1" t="str">
        <f>IFERROR(VLOOKUP(D956,'Planilha de Cadastro - Previsão'!$A$2:$O$1000,15,FALSE()),"")</f>
        <v/>
      </c>
      <c r="D956" s="1">
        <v>955</v>
      </c>
      <c r="F956" s="32" t="str">
        <f t="shared" si="59"/>
        <v/>
      </c>
      <c r="G956" s="33" t="str">
        <f>IFERROR((VLOOKUP(F956,'Planilha de Cadastro - Previsão'!$A$2:$N$1100,2,FALSE()))," ")</f>
        <v xml:space="preserve"> </v>
      </c>
      <c r="H956" s="32" t="str">
        <f>IFERROR((VLOOKUP(F956,'Planilha de Cadastro - Previsão'!$A$2:$N$1100,3,FALSE()))," ")</f>
        <v xml:space="preserve"> </v>
      </c>
      <c r="I956" s="34" t="str">
        <f>IFERROR((VLOOKUP(F956,'Planilha de Cadastro - Previsão'!$A$2:$N$1100,4,FALSE()))," ")</f>
        <v xml:space="preserve"> </v>
      </c>
      <c r="J956" s="34" t="str">
        <f>IFERROR((VLOOKUP(F956,'Planilha de Cadastro - Previsão'!$A$2:$N$1100,5,FALSE()))," ")</f>
        <v xml:space="preserve"> </v>
      </c>
      <c r="K956" s="36"/>
      <c r="L956" s="34" t="str">
        <f t="shared" si="60"/>
        <v/>
      </c>
      <c r="M956" s="35" t="str">
        <f t="shared" si="61"/>
        <v/>
      </c>
      <c r="N956" s="39"/>
      <c r="O956" s="36"/>
    </row>
    <row r="957" spans="1:15" x14ac:dyDescent="0.25">
      <c r="A957">
        <f>COUNTIF($C$2:C957,C957)</f>
        <v>956</v>
      </c>
      <c r="B957" s="1" t="str">
        <f t="shared" si="58"/>
        <v>956</v>
      </c>
      <c r="C957" s="1" t="str">
        <f>IFERROR(VLOOKUP(D957,'Planilha de Cadastro - Previsão'!$A$2:$O$1000,15,FALSE()),"")</f>
        <v/>
      </c>
      <c r="D957" s="1">
        <v>956</v>
      </c>
      <c r="F957" s="32" t="str">
        <f t="shared" si="59"/>
        <v/>
      </c>
      <c r="G957" s="33" t="str">
        <f>IFERROR((VLOOKUP(F957,'Planilha de Cadastro - Previsão'!$A$2:$N$1100,2,FALSE()))," ")</f>
        <v xml:space="preserve"> </v>
      </c>
      <c r="H957" s="32" t="str">
        <f>IFERROR((VLOOKUP(F957,'Planilha de Cadastro - Previsão'!$A$2:$N$1100,3,FALSE()))," ")</f>
        <v xml:space="preserve"> </v>
      </c>
      <c r="I957" s="34" t="str">
        <f>IFERROR((VLOOKUP(F957,'Planilha de Cadastro - Previsão'!$A$2:$N$1100,4,FALSE()))," ")</f>
        <v xml:space="preserve"> </v>
      </c>
      <c r="J957" s="34" t="str">
        <f>IFERROR((VLOOKUP(F957,'Planilha de Cadastro - Previsão'!$A$2:$N$1100,5,FALSE()))," ")</f>
        <v xml:space="preserve"> </v>
      </c>
      <c r="K957" s="36"/>
      <c r="L957" s="34" t="str">
        <f t="shared" si="60"/>
        <v/>
      </c>
      <c r="M957" s="35" t="str">
        <f t="shared" si="61"/>
        <v/>
      </c>
      <c r="N957" s="39"/>
      <c r="O957" s="36"/>
    </row>
    <row r="958" spans="1:15" x14ac:dyDescent="0.25">
      <c r="A958">
        <f>COUNTIF($C$2:C958,C958)</f>
        <v>957</v>
      </c>
      <c r="B958" s="1" t="str">
        <f t="shared" si="58"/>
        <v>957</v>
      </c>
      <c r="C958" s="1" t="str">
        <f>IFERROR(VLOOKUP(D958,'Planilha de Cadastro - Previsão'!$A$2:$O$1000,15,FALSE()),"")</f>
        <v/>
      </c>
      <c r="D958" s="1">
        <v>957</v>
      </c>
      <c r="F958" s="32" t="str">
        <f t="shared" si="59"/>
        <v/>
      </c>
      <c r="G958" s="33" t="str">
        <f>IFERROR((VLOOKUP(F958,'Planilha de Cadastro - Previsão'!$A$2:$N$1100,2,FALSE()))," ")</f>
        <v xml:space="preserve"> </v>
      </c>
      <c r="H958" s="32" t="str">
        <f>IFERROR((VLOOKUP(F958,'Planilha de Cadastro - Previsão'!$A$2:$N$1100,3,FALSE()))," ")</f>
        <v xml:space="preserve"> </v>
      </c>
      <c r="I958" s="34" t="str">
        <f>IFERROR((VLOOKUP(F958,'Planilha de Cadastro - Previsão'!$A$2:$N$1100,4,FALSE()))," ")</f>
        <v xml:space="preserve"> </v>
      </c>
      <c r="J958" s="34" t="str">
        <f>IFERROR((VLOOKUP(F958,'Planilha de Cadastro - Previsão'!$A$2:$N$1100,5,FALSE()))," ")</f>
        <v xml:space="preserve"> </v>
      </c>
      <c r="K958" s="36"/>
      <c r="L958" s="34" t="str">
        <f t="shared" si="60"/>
        <v/>
      </c>
      <c r="M958" s="35" t="str">
        <f t="shared" si="61"/>
        <v/>
      </c>
      <c r="N958" s="39"/>
      <c r="O958" s="36"/>
    </row>
    <row r="959" spans="1:15" x14ac:dyDescent="0.25">
      <c r="A959">
        <f>COUNTIF($C$2:C959,C959)</f>
        <v>958</v>
      </c>
      <c r="B959" s="1" t="str">
        <f t="shared" si="58"/>
        <v>958</v>
      </c>
      <c r="C959" s="1" t="str">
        <f>IFERROR(VLOOKUP(D959,'Planilha de Cadastro - Previsão'!$A$2:$O$1000,15,FALSE()),"")</f>
        <v/>
      </c>
      <c r="D959" s="1">
        <v>958</v>
      </c>
      <c r="F959" s="32" t="str">
        <f t="shared" si="59"/>
        <v/>
      </c>
      <c r="G959" s="33" t="str">
        <f>IFERROR((VLOOKUP(F959,'Planilha de Cadastro - Previsão'!$A$2:$N$1100,2,FALSE()))," ")</f>
        <v xml:space="preserve"> </v>
      </c>
      <c r="H959" s="32" t="str">
        <f>IFERROR((VLOOKUP(F959,'Planilha de Cadastro - Previsão'!$A$2:$N$1100,3,FALSE()))," ")</f>
        <v xml:space="preserve"> </v>
      </c>
      <c r="I959" s="34" t="str">
        <f>IFERROR((VLOOKUP(F959,'Planilha de Cadastro - Previsão'!$A$2:$N$1100,4,FALSE()))," ")</f>
        <v xml:space="preserve"> </v>
      </c>
      <c r="J959" s="34" t="str">
        <f>IFERROR((VLOOKUP(F959,'Planilha de Cadastro - Previsão'!$A$2:$N$1100,5,FALSE()))," ")</f>
        <v xml:space="preserve"> </v>
      </c>
      <c r="K959" s="36"/>
      <c r="L959" s="34" t="str">
        <f t="shared" si="60"/>
        <v/>
      </c>
      <c r="M959" s="35" t="str">
        <f t="shared" si="61"/>
        <v/>
      </c>
      <c r="N959" s="39"/>
      <c r="O959" s="36"/>
    </row>
    <row r="960" spans="1:15" x14ac:dyDescent="0.25">
      <c r="A960">
        <f>COUNTIF($C$2:C960,C960)</f>
        <v>959</v>
      </c>
      <c r="B960" s="1" t="str">
        <f t="shared" si="58"/>
        <v>959</v>
      </c>
      <c r="C960" s="1" t="str">
        <f>IFERROR(VLOOKUP(D960,'Planilha de Cadastro - Previsão'!$A$2:$O$1000,15,FALSE()),"")</f>
        <v/>
      </c>
      <c r="D960" s="1">
        <v>959</v>
      </c>
      <c r="F960" s="32" t="str">
        <f t="shared" si="59"/>
        <v/>
      </c>
      <c r="G960" s="33" t="str">
        <f>IFERROR((VLOOKUP(F960,'Planilha de Cadastro - Previsão'!$A$2:$N$1100,2,FALSE()))," ")</f>
        <v xml:space="preserve"> </v>
      </c>
      <c r="H960" s="32" t="str">
        <f>IFERROR((VLOOKUP(F960,'Planilha de Cadastro - Previsão'!$A$2:$N$1100,3,FALSE()))," ")</f>
        <v xml:space="preserve"> </v>
      </c>
      <c r="I960" s="34" t="str">
        <f>IFERROR((VLOOKUP(F960,'Planilha de Cadastro - Previsão'!$A$2:$N$1100,4,FALSE()))," ")</f>
        <v xml:space="preserve"> </v>
      </c>
      <c r="J960" s="34" t="str">
        <f>IFERROR((VLOOKUP(F960,'Planilha de Cadastro - Previsão'!$A$2:$N$1100,5,FALSE()))," ")</f>
        <v xml:space="preserve"> </v>
      </c>
      <c r="K960" s="36"/>
      <c r="L960" s="34" t="str">
        <f t="shared" si="60"/>
        <v/>
      </c>
      <c r="M960" s="35" t="str">
        <f t="shared" si="61"/>
        <v/>
      </c>
      <c r="N960" s="39"/>
      <c r="O960" s="36"/>
    </row>
    <row r="961" spans="1:15" x14ac:dyDescent="0.25">
      <c r="A961">
        <f>COUNTIF($C$2:C961,C961)</f>
        <v>960</v>
      </c>
      <c r="B961" s="1" t="str">
        <f t="shared" si="58"/>
        <v>960</v>
      </c>
      <c r="C961" s="1" t="str">
        <f>IFERROR(VLOOKUP(D961,'Planilha de Cadastro - Previsão'!$A$2:$O$1000,15,FALSE()),"")</f>
        <v/>
      </c>
      <c r="D961" s="1">
        <v>960</v>
      </c>
      <c r="F961" s="32" t="str">
        <f t="shared" si="59"/>
        <v/>
      </c>
      <c r="G961" s="33" t="str">
        <f>IFERROR((VLOOKUP(F961,'Planilha de Cadastro - Previsão'!$A$2:$N$1100,2,FALSE()))," ")</f>
        <v xml:space="preserve"> </v>
      </c>
      <c r="H961" s="32" t="str">
        <f>IFERROR((VLOOKUP(F961,'Planilha de Cadastro - Previsão'!$A$2:$N$1100,3,FALSE()))," ")</f>
        <v xml:space="preserve"> </v>
      </c>
      <c r="I961" s="34" t="str">
        <f>IFERROR((VLOOKUP(F961,'Planilha de Cadastro - Previsão'!$A$2:$N$1100,4,FALSE()))," ")</f>
        <v xml:space="preserve"> </v>
      </c>
      <c r="J961" s="34" t="str">
        <f>IFERROR((VLOOKUP(F961,'Planilha de Cadastro - Previsão'!$A$2:$N$1100,5,FALSE()))," ")</f>
        <v xml:space="preserve"> </v>
      </c>
      <c r="K961" s="36"/>
      <c r="L961" s="34" t="str">
        <f t="shared" si="60"/>
        <v/>
      </c>
      <c r="M961" s="35" t="str">
        <f t="shared" si="61"/>
        <v/>
      </c>
      <c r="N961" s="39"/>
      <c r="O961" s="36"/>
    </row>
    <row r="962" spans="1:15" x14ac:dyDescent="0.25">
      <c r="A962">
        <f>COUNTIF($C$2:C962,C962)</f>
        <v>961</v>
      </c>
      <c r="B962" s="1" t="str">
        <f t="shared" si="58"/>
        <v>961</v>
      </c>
      <c r="C962" s="1" t="str">
        <f>IFERROR(VLOOKUP(D962,'Planilha de Cadastro - Previsão'!$A$2:$O$1000,15,FALSE()),"")</f>
        <v/>
      </c>
      <c r="D962" s="1">
        <v>961</v>
      </c>
      <c r="F962" s="32" t="str">
        <f t="shared" si="59"/>
        <v/>
      </c>
      <c r="G962" s="33" t="str">
        <f>IFERROR((VLOOKUP(F962,'Planilha de Cadastro - Previsão'!$A$2:$N$1100,2,FALSE()))," ")</f>
        <v xml:space="preserve"> </v>
      </c>
      <c r="H962" s="32" t="str">
        <f>IFERROR((VLOOKUP(F962,'Planilha de Cadastro - Previsão'!$A$2:$N$1100,3,FALSE()))," ")</f>
        <v xml:space="preserve"> </v>
      </c>
      <c r="I962" s="34" t="str">
        <f>IFERROR((VLOOKUP(F962,'Planilha de Cadastro - Previsão'!$A$2:$N$1100,4,FALSE()))," ")</f>
        <v xml:space="preserve"> </v>
      </c>
      <c r="J962" s="34" t="str">
        <f>IFERROR((VLOOKUP(F962,'Planilha de Cadastro - Previsão'!$A$2:$N$1100,5,FALSE()))," ")</f>
        <v xml:space="preserve"> </v>
      </c>
      <c r="K962" s="36"/>
      <c r="L962" s="34" t="str">
        <f t="shared" si="60"/>
        <v/>
      </c>
      <c r="M962" s="35" t="str">
        <f t="shared" si="61"/>
        <v/>
      </c>
      <c r="N962" s="39"/>
      <c r="O962" s="36"/>
    </row>
    <row r="963" spans="1:15" x14ac:dyDescent="0.25">
      <c r="A963">
        <f>COUNTIF($C$2:C963,C963)</f>
        <v>962</v>
      </c>
      <c r="B963" s="1" t="str">
        <f t="shared" ref="B963:B1000" si="62">IFERROR(CONCATENATE(C963,A963),"")</f>
        <v>962</v>
      </c>
      <c r="C963" s="1" t="str">
        <f>IFERROR(VLOOKUP(D963,'Planilha de Cadastro - Previsão'!$A$2:$O$1000,15,FALSE()),"")</f>
        <v/>
      </c>
      <c r="D963" s="1">
        <v>962</v>
      </c>
      <c r="F963" s="32" t="str">
        <f t="shared" ref="F963:F1000" si="63">IFERROR((VLOOKUP(CONCATENATE("Sim",D963),$B$2:$D$1000,3,FALSE())),"")</f>
        <v/>
      </c>
      <c r="G963" s="33" t="str">
        <f>IFERROR((VLOOKUP(F963,'Planilha de Cadastro - Previsão'!$A$2:$N$1100,2,FALSE()))," ")</f>
        <v xml:space="preserve"> </v>
      </c>
      <c r="H963" s="32" t="str">
        <f>IFERROR((VLOOKUP(F963,'Planilha de Cadastro - Previsão'!$A$2:$N$1100,3,FALSE()))," ")</f>
        <v xml:space="preserve"> </v>
      </c>
      <c r="I963" s="34" t="str">
        <f>IFERROR((VLOOKUP(F963,'Planilha de Cadastro - Previsão'!$A$2:$N$1100,4,FALSE()))," ")</f>
        <v xml:space="preserve"> </v>
      </c>
      <c r="J963" s="34" t="str">
        <f>IFERROR((VLOOKUP(F963,'Planilha de Cadastro - Previsão'!$A$2:$N$1100,5,FALSE()))," ")</f>
        <v xml:space="preserve"> </v>
      </c>
      <c r="K963" s="36"/>
      <c r="L963" s="34" t="str">
        <f t="shared" ref="L963:L1000" si="64">IF(K963&gt;0,(K963*H963)-(I963*H963)-(K963*H963*4%),"")</f>
        <v/>
      </c>
      <c r="M963" s="35" t="str">
        <f t="shared" ref="M963:M1000" si="65">IFERROR(L963/(K963*H963),"")</f>
        <v/>
      </c>
      <c r="N963" s="39"/>
      <c r="O963" s="36"/>
    </row>
    <row r="964" spans="1:15" x14ac:dyDescent="0.25">
      <c r="A964">
        <f>COUNTIF($C$2:C964,C964)</f>
        <v>963</v>
      </c>
      <c r="B964" s="1" t="str">
        <f t="shared" si="62"/>
        <v>963</v>
      </c>
      <c r="C964" s="1" t="str">
        <f>IFERROR(VLOOKUP(D964,'Planilha de Cadastro - Previsão'!$A$2:$O$1000,15,FALSE()),"")</f>
        <v/>
      </c>
      <c r="D964" s="1">
        <v>963</v>
      </c>
      <c r="F964" s="32" t="str">
        <f t="shared" si="63"/>
        <v/>
      </c>
      <c r="G964" s="33" t="str">
        <f>IFERROR((VLOOKUP(F964,'Planilha de Cadastro - Previsão'!$A$2:$N$1100,2,FALSE()))," ")</f>
        <v xml:space="preserve"> </v>
      </c>
      <c r="H964" s="32" t="str">
        <f>IFERROR((VLOOKUP(F964,'Planilha de Cadastro - Previsão'!$A$2:$N$1100,3,FALSE()))," ")</f>
        <v xml:space="preserve"> </v>
      </c>
      <c r="I964" s="34" t="str">
        <f>IFERROR((VLOOKUP(F964,'Planilha de Cadastro - Previsão'!$A$2:$N$1100,4,FALSE()))," ")</f>
        <v xml:space="preserve"> </v>
      </c>
      <c r="J964" s="34" t="str">
        <f>IFERROR((VLOOKUP(F964,'Planilha de Cadastro - Previsão'!$A$2:$N$1100,5,FALSE()))," ")</f>
        <v xml:space="preserve"> </v>
      </c>
      <c r="K964" s="36"/>
      <c r="L964" s="34" t="str">
        <f t="shared" si="64"/>
        <v/>
      </c>
      <c r="M964" s="35" t="str">
        <f t="shared" si="65"/>
        <v/>
      </c>
      <c r="N964" s="39"/>
      <c r="O964" s="36"/>
    </row>
    <row r="965" spans="1:15" x14ac:dyDescent="0.25">
      <c r="A965">
        <f>COUNTIF($C$2:C965,C965)</f>
        <v>964</v>
      </c>
      <c r="B965" s="1" t="str">
        <f t="shared" si="62"/>
        <v>964</v>
      </c>
      <c r="C965" s="1" t="str">
        <f>IFERROR(VLOOKUP(D965,'Planilha de Cadastro - Previsão'!$A$2:$O$1000,15,FALSE()),"")</f>
        <v/>
      </c>
      <c r="D965" s="1">
        <v>964</v>
      </c>
      <c r="F965" s="32" t="str">
        <f t="shared" si="63"/>
        <v/>
      </c>
      <c r="G965" s="33" t="str">
        <f>IFERROR((VLOOKUP(F965,'Planilha de Cadastro - Previsão'!$A$2:$N$1100,2,FALSE()))," ")</f>
        <v xml:space="preserve"> </v>
      </c>
      <c r="H965" s="32" t="str">
        <f>IFERROR((VLOOKUP(F965,'Planilha de Cadastro - Previsão'!$A$2:$N$1100,3,FALSE()))," ")</f>
        <v xml:space="preserve"> </v>
      </c>
      <c r="I965" s="34" t="str">
        <f>IFERROR((VLOOKUP(F965,'Planilha de Cadastro - Previsão'!$A$2:$N$1100,4,FALSE()))," ")</f>
        <v xml:space="preserve"> </v>
      </c>
      <c r="J965" s="34" t="str">
        <f>IFERROR((VLOOKUP(F965,'Planilha de Cadastro - Previsão'!$A$2:$N$1100,5,FALSE()))," ")</f>
        <v xml:space="preserve"> </v>
      </c>
      <c r="K965" s="36"/>
      <c r="L965" s="34" t="str">
        <f t="shared" si="64"/>
        <v/>
      </c>
      <c r="M965" s="35" t="str">
        <f t="shared" si="65"/>
        <v/>
      </c>
      <c r="N965" s="39"/>
      <c r="O965" s="36"/>
    </row>
    <row r="966" spans="1:15" x14ac:dyDescent="0.25">
      <c r="A966">
        <f>COUNTIF($C$2:C966,C966)</f>
        <v>965</v>
      </c>
      <c r="B966" s="1" t="str">
        <f t="shared" si="62"/>
        <v>965</v>
      </c>
      <c r="C966" s="1" t="str">
        <f>IFERROR(VLOOKUP(D966,'Planilha de Cadastro - Previsão'!$A$2:$O$1000,15,FALSE()),"")</f>
        <v/>
      </c>
      <c r="D966" s="1">
        <v>965</v>
      </c>
      <c r="F966" s="32" t="str">
        <f t="shared" si="63"/>
        <v/>
      </c>
      <c r="G966" s="33" t="str">
        <f>IFERROR((VLOOKUP(F966,'Planilha de Cadastro - Previsão'!$A$2:$N$1100,2,FALSE()))," ")</f>
        <v xml:space="preserve"> </v>
      </c>
      <c r="H966" s="32" t="str">
        <f>IFERROR((VLOOKUP(F966,'Planilha de Cadastro - Previsão'!$A$2:$N$1100,3,FALSE()))," ")</f>
        <v xml:space="preserve"> </v>
      </c>
      <c r="I966" s="34" t="str">
        <f>IFERROR((VLOOKUP(F966,'Planilha de Cadastro - Previsão'!$A$2:$N$1100,4,FALSE()))," ")</f>
        <v xml:space="preserve"> </v>
      </c>
      <c r="J966" s="34" t="str">
        <f>IFERROR((VLOOKUP(F966,'Planilha de Cadastro - Previsão'!$A$2:$N$1100,5,FALSE()))," ")</f>
        <v xml:space="preserve"> </v>
      </c>
      <c r="K966" s="36"/>
      <c r="L966" s="34" t="str">
        <f t="shared" si="64"/>
        <v/>
      </c>
      <c r="M966" s="35" t="str">
        <f t="shared" si="65"/>
        <v/>
      </c>
      <c r="N966" s="39"/>
      <c r="O966" s="36"/>
    </row>
    <row r="967" spans="1:15" x14ac:dyDescent="0.25">
      <c r="A967">
        <f>COUNTIF($C$2:C967,C967)</f>
        <v>966</v>
      </c>
      <c r="B967" s="1" t="str">
        <f t="shared" si="62"/>
        <v>966</v>
      </c>
      <c r="C967" s="1" t="str">
        <f>IFERROR(VLOOKUP(D967,'Planilha de Cadastro - Previsão'!$A$2:$O$1000,15,FALSE()),"")</f>
        <v/>
      </c>
      <c r="D967" s="1">
        <v>966</v>
      </c>
      <c r="F967" s="32" t="str">
        <f t="shared" si="63"/>
        <v/>
      </c>
      <c r="G967" s="33" t="str">
        <f>IFERROR((VLOOKUP(F967,'Planilha de Cadastro - Previsão'!$A$2:$N$1100,2,FALSE()))," ")</f>
        <v xml:space="preserve"> </v>
      </c>
      <c r="H967" s="32" t="str">
        <f>IFERROR((VLOOKUP(F967,'Planilha de Cadastro - Previsão'!$A$2:$N$1100,3,FALSE()))," ")</f>
        <v xml:space="preserve"> </v>
      </c>
      <c r="I967" s="34" t="str">
        <f>IFERROR((VLOOKUP(F967,'Planilha de Cadastro - Previsão'!$A$2:$N$1100,4,FALSE()))," ")</f>
        <v xml:space="preserve"> </v>
      </c>
      <c r="J967" s="34" t="str">
        <f>IFERROR((VLOOKUP(F967,'Planilha de Cadastro - Previsão'!$A$2:$N$1100,5,FALSE()))," ")</f>
        <v xml:space="preserve"> </v>
      </c>
      <c r="K967" s="36"/>
      <c r="L967" s="34" t="str">
        <f t="shared" si="64"/>
        <v/>
      </c>
      <c r="M967" s="35" t="str">
        <f t="shared" si="65"/>
        <v/>
      </c>
      <c r="N967" s="39"/>
      <c r="O967" s="36"/>
    </row>
    <row r="968" spans="1:15" x14ac:dyDescent="0.25">
      <c r="A968">
        <f>COUNTIF($C$2:C968,C968)</f>
        <v>967</v>
      </c>
      <c r="B968" s="1" t="str">
        <f t="shared" si="62"/>
        <v>967</v>
      </c>
      <c r="C968" s="1" t="str">
        <f>IFERROR(VLOOKUP(D968,'Planilha de Cadastro - Previsão'!$A$2:$O$1000,15,FALSE()),"")</f>
        <v/>
      </c>
      <c r="D968" s="1">
        <v>967</v>
      </c>
      <c r="F968" s="32" t="str">
        <f t="shared" si="63"/>
        <v/>
      </c>
      <c r="G968" s="33" t="str">
        <f>IFERROR((VLOOKUP(F968,'Planilha de Cadastro - Previsão'!$A$2:$N$1100,2,FALSE()))," ")</f>
        <v xml:space="preserve"> </v>
      </c>
      <c r="H968" s="32" t="str">
        <f>IFERROR((VLOOKUP(F968,'Planilha de Cadastro - Previsão'!$A$2:$N$1100,3,FALSE()))," ")</f>
        <v xml:space="preserve"> </v>
      </c>
      <c r="I968" s="34" t="str">
        <f>IFERROR((VLOOKUP(F968,'Planilha de Cadastro - Previsão'!$A$2:$N$1100,4,FALSE()))," ")</f>
        <v xml:space="preserve"> </v>
      </c>
      <c r="J968" s="34" t="str">
        <f>IFERROR((VLOOKUP(F968,'Planilha de Cadastro - Previsão'!$A$2:$N$1100,5,FALSE()))," ")</f>
        <v xml:space="preserve"> </v>
      </c>
      <c r="K968" s="36"/>
      <c r="L968" s="34" t="str">
        <f t="shared" si="64"/>
        <v/>
      </c>
      <c r="M968" s="35" t="str">
        <f t="shared" si="65"/>
        <v/>
      </c>
      <c r="N968" s="39"/>
      <c r="O968" s="36"/>
    </row>
    <row r="969" spans="1:15" x14ac:dyDescent="0.25">
      <c r="A969">
        <f>COUNTIF($C$2:C969,C969)</f>
        <v>968</v>
      </c>
      <c r="B969" s="1" t="str">
        <f t="shared" si="62"/>
        <v>968</v>
      </c>
      <c r="C969" s="1" t="str">
        <f>IFERROR(VLOOKUP(D969,'Planilha de Cadastro - Previsão'!$A$2:$O$1000,15,FALSE()),"")</f>
        <v/>
      </c>
      <c r="D969" s="1">
        <v>968</v>
      </c>
      <c r="F969" s="32" t="str">
        <f t="shared" si="63"/>
        <v/>
      </c>
      <c r="G969" s="33" t="str">
        <f>IFERROR((VLOOKUP(F969,'Planilha de Cadastro - Previsão'!$A$2:$N$1100,2,FALSE()))," ")</f>
        <v xml:space="preserve"> </v>
      </c>
      <c r="H969" s="32" t="str">
        <f>IFERROR((VLOOKUP(F969,'Planilha de Cadastro - Previsão'!$A$2:$N$1100,3,FALSE()))," ")</f>
        <v xml:space="preserve"> </v>
      </c>
      <c r="I969" s="34" t="str">
        <f>IFERROR((VLOOKUP(F969,'Planilha de Cadastro - Previsão'!$A$2:$N$1100,4,FALSE()))," ")</f>
        <v xml:space="preserve"> </v>
      </c>
      <c r="J969" s="34" t="str">
        <f>IFERROR((VLOOKUP(F969,'Planilha de Cadastro - Previsão'!$A$2:$N$1100,5,FALSE()))," ")</f>
        <v xml:space="preserve"> </v>
      </c>
      <c r="K969" s="36"/>
      <c r="L969" s="34" t="str">
        <f t="shared" si="64"/>
        <v/>
      </c>
      <c r="M969" s="35" t="str">
        <f t="shared" si="65"/>
        <v/>
      </c>
      <c r="N969" s="39"/>
      <c r="O969" s="36"/>
    </row>
    <row r="970" spans="1:15" x14ac:dyDescent="0.25">
      <c r="A970">
        <f>COUNTIF($C$2:C970,C970)</f>
        <v>969</v>
      </c>
      <c r="B970" s="1" t="str">
        <f t="shared" si="62"/>
        <v>969</v>
      </c>
      <c r="C970" s="1" t="str">
        <f>IFERROR(VLOOKUP(D970,'Planilha de Cadastro - Previsão'!$A$2:$O$1000,15,FALSE()),"")</f>
        <v/>
      </c>
      <c r="D970" s="1">
        <v>969</v>
      </c>
      <c r="F970" s="32" t="str">
        <f t="shared" si="63"/>
        <v/>
      </c>
      <c r="G970" s="33" t="str">
        <f>IFERROR((VLOOKUP(F970,'Planilha de Cadastro - Previsão'!$A$2:$N$1100,2,FALSE()))," ")</f>
        <v xml:space="preserve"> </v>
      </c>
      <c r="H970" s="32" t="str">
        <f>IFERROR((VLOOKUP(F970,'Planilha de Cadastro - Previsão'!$A$2:$N$1100,3,FALSE()))," ")</f>
        <v xml:space="preserve"> </v>
      </c>
      <c r="I970" s="34" t="str">
        <f>IFERROR((VLOOKUP(F970,'Planilha de Cadastro - Previsão'!$A$2:$N$1100,4,FALSE()))," ")</f>
        <v xml:space="preserve"> </v>
      </c>
      <c r="J970" s="34" t="str">
        <f>IFERROR((VLOOKUP(F970,'Planilha de Cadastro - Previsão'!$A$2:$N$1100,5,FALSE()))," ")</f>
        <v xml:space="preserve"> </v>
      </c>
      <c r="K970" s="36"/>
      <c r="L970" s="34" t="str">
        <f t="shared" si="64"/>
        <v/>
      </c>
      <c r="M970" s="35" t="str">
        <f t="shared" si="65"/>
        <v/>
      </c>
      <c r="N970" s="39"/>
      <c r="O970" s="36"/>
    </row>
    <row r="971" spans="1:15" x14ac:dyDescent="0.25">
      <c r="A971">
        <f>COUNTIF($C$2:C971,C971)</f>
        <v>970</v>
      </c>
      <c r="B971" s="1" t="str">
        <f t="shared" si="62"/>
        <v>970</v>
      </c>
      <c r="C971" s="1" t="str">
        <f>IFERROR(VLOOKUP(D971,'Planilha de Cadastro - Previsão'!$A$2:$O$1000,15,FALSE()),"")</f>
        <v/>
      </c>
      <c r="D971" s="1">
        <v>970</v>
      </c>
      <c r="F971" s="32" t="str">
        <f t="shared" si="63"/>
        <v/>
      </c>
      <c r="G971" s="33" t="str">
        <f>IFERROR((VLOOKUP(F971,'Planilha de Cadastro - Previsão'!$A$2:$N$1100,2,FALSE()))," ")</f>
        <v xml:space="preserve"> </v>
      </c>
      <c r="H971" s="32" t="str">
        <f>IFERROR((VLOOKUP(F971,'Planilha de Cadastro - Previsão'!$A$2:$N$1100,3,FALSE()))," ")</f>
        <v xml:space="preserve"> </v>
      </c>
      <c r="I971" s="34" t="str">
        <f>IFERROR((VLOOKUP(F971,'Planilha de Cadastro - Previsão'!$A$2:$N$1100,4,FALSE()))," ")</f>
        <v xml:space="preserve"> </v>
      </c>
      <c r="J971" s="34" t="str">
        <f>IFERROR((VLOOKUP(F971,'Planilha de Cadastro - Previsão'!$A$2:$N$1100,5,FALSE()))," ")</f>
        <v xml:space="preserve"> </v>
      </c>
      <c r="K971" s="36"/>
      <c r="L971" s="34" t="str">
        <f t="shared" si="64"/>
        <v/>
      </c>
      <c r="M971" s="35" t="str">
        <f t="shared" si="65"/>
        <v/>
      </c>
      <c r="N971" s="39"/>
      <c r="O971" s="36"/>
    </row>
    <row r="972" spans="1:15" x14ac:dyDescent="0.25">
      <c r="A972">
        <f>COUNTIF($C$2:C972,C972)</f>
        <v>971</v>
      </c>
      <c r="B972" s="1" t="str">
        <f t="shared" si="62"/>
        <v>971</v>
      </c>
      <c r="C972" s="1" t="str">
        <f>IFERROR(VLOOKUP(D972,'Planilha de Cadastro - Previsão'!$A$2:$O$1000,15,FALSE()),"")</f>
        <v/>
      </c>
      <c r="D972" s="1">
        <v>971</v>
      </c>
      <c r="F972" s="32" t="str">
        <f t="shared" si="63"/>
        <v/>
      </c>
      <c r="G972" s="33" t="str">
        <f>IFERROR((VLOOKUP(F972,'Planilha de Cadastro - Previsão'!$A$2:$N$1100,2,FALSE()))," ")</f>
        <v xml:space="preserve"> </v>
      </c>
      <c r="H972" s="32" t="str">
        <f>IFERROR((VLOOKUP(F972,'Planilha de Cadastro - Previsão'!$A$2:$N$1100,3,FALSE()))," ")</f>
        <v xml:space="preserve"> </v>
      </c>
      <c r="I972" s="34" t="str">
        <f>IFERROR((VLOOKUP(F972,'Planilha de Cadastro - Previsão'!$A$2:$N$1100,4,FALSE()))," ")</f>
        <v xml:space="preserve"> </v>
      </c>
      <c r="J972" s="34" t="str">
        <f>IFERROR((VLOOKUP(F972,'Planilha de Cadastro - Previsão'!$A$2:$N$1100,5,FALSE()))," ")</f>
        <v xml:space="preserve"> </v>
      </c>
      <c r="K972" s="36"/>
      <c r="L972" s="34" t="str">
        <f t="shared" si="64"/>
        <v/>
      </c>
      <c r="M972" s="35" t="str">
        <f t="shared" si="65"/>
        <v/>
      </c>
      <c r="N972" s="39"/>
      <c r="O972" s="36"/>
    </row>
    <row r="973" spans="1:15" x14ac:dyDescent="0.25">
      <c r="A973">
        <f>COUNTIF($C$2:C973,C973)</f>
        <v>972</v>
      </c>
      <c r="B973" s="1" t="str">
        <f t="shared" si="62"/>
        <v>972</v>
      </c>
      <c r="C973" s="1" t="str">
        <f>IFERROR(VLOOKUP(D973,'Planilha de Cadastro - Previsão'!$A$2:$O$1000,15,FALSE()),"")</f>
        <v/>
      </c>
      <c r="D973" s="1">
        <v>972</v>
      </c>
      <c r="F973" s="32" t="str">
        <f t="shared" si="63"/>
        <v/>
      </c>
      <c r="G973" s="33" t="str">
        <f>IFERROR((VLOOKUP(F973,'Planilha de Cadastro - Previsão'!$A$2:$N$1100,2,FALSE()))," ")</f>
        <v xml:space="preserve"> </v>
      </c>
      <c r="H973" s="32" t="str">
        <f>IFERROR((VLOOKUP(F973,'Planilha de Cadastro - Previsão'!$A$2:$N$1100,3,FALSE()))," ")</f>
        <v xml:space="preserve"> </v>
      </c>
      <c r="I973" s="34" t="str">
        <f>IFERROR((VLOOKUP(F973,'Planilha de Cadastro - Previsão'!$A$2:$N$1100,4,FALSE()))," ")</f>
        <v xml:space="preserve"> </v>
      </c>
      <c r="J973" s="34" t="str">
        <f>IFERROR((VLOOKUP(F973,'Planilha de Cadastro - Previsão'!$A$2:$N$1100,5,FALSE()))," ")</f>
        <v xml:space="preserve"> </v>
      </c>
      <c r="K973" s="36"/>
      <c r="L973" s="34" t="str">
        <f t="shared" si="64"/>
        <v/>
      </c>
      <c r="M973" s="35" t="str">
        <f t="shared" si="65"/>
        <v/>
      </c>
      <c r="N973" s="39"/>
      <c r="O973" s="36"/>
    </row>
    <row r="974" spans="1:15" x14ac:dyDescent="0.25">
      <c r="A974">
        <f>COUNTIF($C$2:C974,C974)</f>
        <v>973</v>
      </c>
      <c r="B974" s="1" t="str">
        <f t="shared" si="62"/>
        <v>973</v>
      </c>
      <c r="C974" s="1" t="str">
        <f>IFERROR(VLOOKUP(D974,'Planilha de Cadastro - Previsão'!$A$2:$O$1000,15,FALSE()),"")</f>
        <v/>
      </c>
      <c r="D974" s="1">
        <v>973</v>
      </c>
      <c r="F974" s="32" t="str">
        <f t="shared" si="63"/>
        <v/>
      </c>
      <c r="G974" s="33" t="str">
        <f>IFERROR((VLOOKUP(F974,'Planilha de Cadastro - Previsão'!$A$2:$N$1100,2,FALSE()))," ")</f>
        <v xml:space="preserve"> </v>
      </c>
      <c r="H974" s="32" t="str">
        <f>IFERROR((VLOOKUP(F974,'Planilha de Cadastro - Previsão'!$A$2:$N$1100,3,FALSE()))," ")</f>
        <v xml:space="preserve"> </v>
      </c>
      <c r="I974" s="34" t="str">
        <f>IFERROR((VLOOKUP(F974,'Planilha de Cadastro - Previsão'!$A$2:$N$1100,4,FALSE()))," ")</f>
        <v xml:space="preserve"> </v>
      </c>
      <c r="J974" s="34" t="str">
        <f>IFERROR((VLOOKUP(F974,'Planilha de Cadastro - Previsão'!$A$2:$N$1100,5,FALSE()))," ")</f>
        <v xml:space="preserve"> </v>
      </c>
      <c r="K974" s="36"/>
      <c r="L974" s="34" t="str">
        <f t="shared" si="64"/>
        <v/>
      </c>
      <c r="M974" s="35" t="str">
        <f t="shared" si="65"/>
        <v/>
      </c>
      <c r="N974" s="39"/>
      <c r="O974" s="36"/>
    </row>
    <row r="975" spans="1:15" x14ac:dyDescent="0.25">
      <c r="A975">
        <f>COUNTIF($C$2:C975,C975)</f>
        <v>974</v>
      </c>
      <c r="B975" s="1" t="str">
        <f t="shared" si="62"/>
        <v>974</v>
      </c>
      <c r="C975" s="1" t="str">
        <f>IFERROR(VLOOKUP(D975,'Planilha de Cadastro - Previsão'!$A$2:$O$1000,15,FALSE()),"")</f>
        <v/>
      </c>
      <c r="D975" s="1">
        <v>974</v>
      </c>
      <c r="F975" s="32" t="str">
        <f t="shared" si="63"/>
        <v/>
      </c>
      <c r="G975" s="33" t="str">
        <f>IFERROR((VLOOKUP(F975,'Planilha de Cadastro - Previsão'!$A$2:$N$1100,2,FALSE()))," ")</f>
        <v xml:space="preserve"> </v>
      </c>
      <c r="H975" s="32" t="str">
        <f>IFERROR((VLOOKUP(F975,'Planilha de Cadastro - Previsão'!$A$2:$N$1100,3,FALSE()))," ")</f>
        <v xml:space="preserve"> </v>
      </c>
      <c r="I975" s="34" t="str">
        <f>IFERROR((VLOOKUP(F975,'Planilha de Cadastro - Previsão'!$A$2:$N$1100,4,FALSE()))," ")</f>
        <v xml:space="preserve"> </v>
      </c>
      <c r="J975" s="34" t="str">
        <f>IFERROR((VLOOKUP(F975,'Planilha de Cadastro - Previsão'!$A$2:$N$1100,5,FALSE()))," ")</f>
        <v xml:space="preserve"> </v>
      </c>
      <c r="K975" s="36"/>
      <c r="L975" s="34" t="str">
        <f t="shared" si="64"/>
        <v/>
      </c>
      <c r="M975" s="35" t="str">
        <f t="shared" si="65"/>
        <v/>
      </c>
      <c r="N975" s="39"/>
      <c r="O975" s="36"/>
    </row>
    <row r="976" spans="1:15" x14ac:dyDescent="0.25">
      <c r="A976">
        <f>COUNTIF($C$2:C976,C976)</f>
        <v>975</v>
      </c>
      <c r="B976" s="1" t="str">
        <f t="shared" si="62"/>
        <v>975</v>
      </c>
      <c r="C976" s="1" t="str">
        <f>IFERROR(VLOOKUP(D976,'Planilha de Cadastro - Previsão'!$A$2:$O$1000,15,FALSE()),"")</f>
        <v/>
      </c>
      <c r="D976" s="1">
        <v>975</v>
      </c>
      <c r="F976" s="32" t="str">
        <f t="shared" si="63"/>
        <v/>
      </c>
      <c r="G976" s="33" t="str">
        <f>IFERROR((VLOOKUP(F976,'Planilha de Cadastro - Previsão'!$A$2:$N$1100,2,FALSE()))," ")</f>
        <v xml:space="preserve"> </v>
      </c>
      <c r="H976" s="32" t="str">
        <f>IFERROR((VLOOKUP(F976,'Planilha de Cadastro - Previsão'!$A$2:$N$1100,3,FALSE()))," ")</f>
        <v xml:space="preserve"> </v>
      </c>
      <c r="I976" s="34" t="str">
        <f>IFERROR((VLOOKUP(F976,'Planilha de Cadastro - Previsão'!$A$2:$N$1100,4,FALSE()))," ")</f>
        <v xml:space="preserve"> </v>
      </c>
      <c r="J976" s="34" t="str">
        <f>IFERROR((VLOOKUP(F976,'Planilha de Cadastro - Previsão'!$A$2:$N$1100,5,FALSE()))," ")</f>
        <v xml:space="preserve"> </v>
      </c>
      <c r="K976" s="36"/>
      <c r="L976" s="34" t="str">
        <f t="shared" si="64"/>
        <v/>
      </c>
      <c r="M976" s="35" t="str">
        <f t="shared" si="65"/>
        <v/>
      </c>
      <c r="N976" s="39"/>
      <c r="O976" s="36"/>
    </row>
    <row r="977" spans="1:15" x14ac:dyDescent="0.25">
      <c r="A977">
        <f>COUNTIF($C$2:C977,C977)</f>
        <v>976</v>
      </c>
      <c r="B977" s="1" t="str">
        <f t="shared" si="62"/>
        <v>976</v>
      </c>
      <c r="C977" s="1" t="str">
        <f>IFERROR(VLOOKUP(D977,'Planilha de Cadastro - Previsão'!$A$2:$O$1000,15,FALSE()),"")</f>
        <v/>
      </c>
      <c r="D977" s="1">
        <v>976</v>
      </c>
      <c r="F977" s="32" t="str">
        <f t="shared" si="63"/>
        <v/>
      </c>
      <c r="G977" s="33" t="str">
        <f>IFERROR((VLOOKUP(F977,'Planilha de Cadastro - Previsão'!$A$2:$N$1100,2,FALSE()))," ")</f>
        <v xml:space="preserve"> </v>
      </c>
      <c r="H977" s="32" t="str">
        <f>IFERROR((VLOOKUP(F977,'Planilha de Cadastro - Previsão'!$A$2:$N$1100,3,FALSE()))," ")</f>
        <v xml:space="preserve"> </v>
      </c>
      <c r="I977" s="34" t="str">
        <f>IFERROR((VLOOKUP(F977,'Planilha de Cadastro - Previsão'!$A$2:$N$1100,4,FALSE()))," ")</f>
        <v xml:space="preserve"> </v>
      </c>
      <c r="J977" s="34" t="str">
        <f>IFERROR((VLOOKUP(F977,'Planilha de Cadastro - Previsão'!$A$2:$N$1100,5,FALSE()))," ")</f>
        <v xml:space="preserve"> </v>
      </c>
      <c r="K977" s="36"/>
      <c r="L977" s="34" t="str">
        <f t="shared" si="64"/>
        <v/>
      </c>
      <c r="M977" s="35" t="str">
        <f t="shared" si="65"/>
        <v/>
      </c>
      <c r="N977" s="39"/>
      <c r="O977" s="36"/>
    </row>
    <row r="978" spans="1:15" x14ac:dyDescent="0.25">
      <c r="A978">
        <f>COUNTIF($C$2:C978,C978)</f>
        <v>977</v>
      </c>
      <c r="B978" s="1" t="str">
        <f t="shared" si="62"/>
        <v>977</v>
      </c>
      <c r="C978" s="1" t="str">
        <f>IFERROR(VLOOKUP(D978,'Planilha de Cadastro - Previsão'!$A$2:$O$1000,15,FALSE()),"")</f>
        <v/>
      </c>
      <c r="D978" s="1">
        <v>977</v>
      </c>
      <c r="F978" s="32" t="str">
        <f t="shared" si="63"/>
        <v/>
      </c>
      <c r="G978" s="33" t="str">
        <f>IFERROR((VLOOKUP(F978,'Planilha de Cadastro - Previsão'!$A$2:$N$1100,2,FALSE()))," ")</f>
        <v xml:space="preserve"> </v>
      </c>
      <c r="H978" s="32" t="str">
        <f>IFERROR((VLOOKUP(F978,'Planilha de Cadastro - Previsão'!$A$2:$N$1100,3,FALSE()))," ")</f>
        <v xml:space="preserve"> </v>
      </c>
      <c r="I978" s="34" t="str">
        <f>IFERROR((VLOOKUP(F978,'Planilha de Cadastro - Previsão'!$A$2:$N$1100,4,FALSE()))," ")</f>
        <v xml:space="preserve"> </v>
      </c>
      <c r="J978" s="34" t="str">
        <f>IFERROR((VLOOKUP(F978,'Planilha de Cadastro - Previsão'!$A$2:$N$1100,5,FALSE()))," ")</f>
        <v xml:space="preserve"> </v>
      </c>
      <c r="K978" s="36"/>
      <c r="L978" s="34" t="str">
        <f t="shared" si="64"/>
        <v/>
      </c>
      <c r="M978" s="35" t="str">
        <f t="shared" si="65"/>
        <v/>
      </c>
      <c r="N978" s="39"/>
      <c r="O978" s="36"/>
    </row>
    <row r="979" spans="1:15" x14ac:dyDescent="0.25">
      <c r="A979">
        <f>COUNTIF($C$2:C979,C979)</f>
        <v>978</v>
      </c>
      <c r="B979" s="1" t="str">
        <f t="shared" si="62"/>
        <v>978</v>
      </c>
      <c r="C979" s="1" t="str">
        <f>IFERROR(VLOOKUP(D979,'Planilha de Cadastro - Previsão'!$A$2:$O$1000,15,FALSE()),"")</f>
        <v/>
      </c>
      <c r="D979" s="1">
        <v>978</v>
      </c>
      <c r="F979" s="32" t="str">
        <f t="shared" si="63"/>
        <v/>
      </c>
      <c r="G979" s="33" t="str">
        <f>IFERROR((VLOOKUP(F979,'Planilha de Cadastro - Previsão'!$A$2:$N$1100,2,FALSE()))," ")</f>
        <v xml:space="preserve"> </v>
      </c>
      <c r="H979" s="32" t="str">
        <f>IFERROR((VLOOKUP(F979,'Planilha de Cadastro - Previsão'!$A$2:$N$1100,3,FALSE()))," ")</f>
        <v xml:space="preserve"> </v>
      </c>
      <c r="I979" s="34" t="str">
        <f>IFERROR((VLOOKUP(F979,'Planilha de Cadastro - Previsão'!$A$2:$N$1100,4,FALSE()))," ")</f>
        <v xml:space="preserve"> </v>
      </c>
      <c r="J979" s="34" t="str">
        <f>IFERROR((VLOOKUP(F979,'Planilha de Cadastro - Previsão'!$A$2:$N$1100,5,FALSE()))," ")</f>
        <v xml:space="preserve"> </v>
      </c>
      <c r="K979" s="36"/>
      <c r="L979" s="34" t="str">
        <f t="shared" si="64"/>
        <v/>
      </c>
      <c r="M979" s="35" t="str">
        <f t="shared" si="65"/>
        <v/>
      </c>
      <c r="N979" s="39"/>
      <c r="O979" s="36"/>
    </row>
    <row r="980" spans="1:15" x14ac:dyDescent="0.25">
      <c r="A980">
        <f>COUNTIF($C$2:C980,C980)</f>
        <v>979</v>
      </c>
      <c r="B980" s="1" t="str">
        <f t="shared" si="62"/>
        <v>979</v>
      </c>
      <c r="C980" s="1" t="str">
        <f>IFERROR(VLOOKUP(D980,'Planilha de Cadastro - Previsão'!$A$2:$O$1000,15,FALSE()),"")</f>
        <v/>
      </c>
      <c r="D980" s="1">
        <v>979</v>
      </c>
      <c r="F980" s="32" t="str">
        <f t="shared" si="63"/>
        <v/>
      </c>
      <c r="G980" s="33" t="str">
        <f>IFERROR((VLOOKUP(F980,'Planilha de Cadastro - Previsão'!$A$2:$N$1100,2,FALSE()))," ")</f>
        <v xml:space="preserve"> </v>
      </c>
      <c r="H980" s="32" t="str">
        <f>IFERROR((VLOOKUP(F980,'Planilha de Cadastro - Previsão'!$A$2:$N$1100,3,FALSE()))," ")</f>
        <v xml:space="preserve"> </v>
      </c>
      <c r="I980" s="34" t="str">
        <f>IFERROR((VLOOKUP(F980,'Planilha de Cadastro - Previsão'!$A$2:$N$1100,4,FALSE()))," ")</f>
        <v xml:space="preserve"> </v>
      </c>
      <c r="J980" s="34" t="str">
        <f>IFERROR((VLOOKUP(F980,'Planilha de Cadastro - Previsão'!$A$2:$N$1100,5,FALSE()))," ")</f>
        <v xml:space="preserve"> </v>
      </c>
      <c r="K980" s="36"/>
      <c r="L980" s="34" t="str">
        <f t="shared" si="64"/>
        <v/>
      </c>
      <c r="M980" s="35" t="str">
        <f t="shared" si="65"/>
        <v/>
      </c>
      <c r="N980" s="39"/>
      <c r="O980" s="36"/>
    </row>
    <row r="981" spans="1:15" x14ac:dyDescent="0.25">
      <c r="A981">
        <f>COUNTIF($C$2:C981,C981)</f>
        <v>980</v>
      </c>
      <c r="B981" s="1" t="str">
        <f t="shared" si="62"/>
        <v>980</v>
      </c>
      <c r="C981" s="1" t="str">
        <f>IFERROR(VLOOKUP(D981,'Planilha de Cadastro - Previsão'!$A$2:$O$1000,15,FALSE()),"")</f>
        <v/>
      </c>
      <c r="D981" s="1">
        <v>980</v>
      </c>
      <c r="F981" s="32" t="str">
        <f t="shared" si="63"/>
        <v/>
      </c>
      <c r="G981" s="33" t="str">
        <f>IFERROR((VLOOKUP(F981,'Planilha de Cadastro - Previsão'!$A$2:$N$1100,2,FALSE()))," ")</f>
        <v xml:space="preserve"> </v>
      </c>
      <c r="H981" s="32" t="str">
        <f>IFERROR((VLOOKUP(F981,'Planilha de Cadastro - Previsão'!$A$2:$N$1100,3,FALSE()))," ")</f>
        <v xml:space="preserve"> </v>
      </c>
      <c r="I981" s="34" t="str">
        <f>IFERROR((VLOOKUP(F981,'Planilha de Cadastro - Previsão'!$A$2:$N$1100,4,FALSE()))," ")</f>
        <v xml:space="preserve"> </v>
      </c>
      <c r="J981" s="34" t="str">
        <f>IFERROR((VLOOKUP(F981,'Planilha de Cadastro - Previsão'!$A$2:$N$1100,5,FALSE()))," ")</f>
        <v xml:space="preserve"> </v>
      </c>
      <c r="K981" s="36"/>
      <c r="L981" s="34" t="str">
        <f t="shared" si="64"/>
        <v/>
      </c>
      <c r="M981" s="35" t="str">
        <f t="shared" si="65"/>
        <v/>
      </c>
      <c r="N981" s="39"/>
      <c r="O981" s="36"/>
    </row>
    <row r="982" spans="1:15" x14ac:dyDescent="0.25">
      <c r="A982">
        <f>COUNTIF($C$2:C982,C982)</f>
        <v>981</v>
      </c>
      <c r="B982" s="1" t="str">
        <f t="shared" si="62"/>
        <v>981</v>
      </c>
      <c r="C982" s="1" t="str">
        <f>IFERROR(VLOOKUP(D982,'Planilha de Cadastro - Previsão'!$A$2:$O$1000,15,FALSE()),"")</f>
        <v/>
      </c>
      <c r="D982" s="1">
        <v>981</v>
      </c>
      <c r="F982" s="32" t="str">
        <f t="shared" si="63"/>
        <v/>
      </c>
      <c r="G982" s="33" t="str">
        <f>IFERROR((VLOOKUP(F982,'Planilha de Cadastro - Previsão'!$A$2:$N$1100,2,FALSE()))," ")</f>
        <v xml:space="preserve"> </v>
      </c>
      <c r="H982" s="32" t="str">
        <f>IFERROR((VLOOKUP(F982,'Planilha de Cadastro - Previsão'!$A$2:$N$1100,3,FALSE()))," ")</f>
        <v xml:space="preserve"> </v>
      </c>
      <c r="I982" s="34" t="str">
        <f>IFERROR((VLOOKUP(F982,'Planilha de Cadastro - Previsão'!$A$2:$N$1100,4,FALSE()))," ")</f>
        <v xml:space="preserve"> </v>
      </c>
      <c r="J982" s="34" t="str">
        <f>IFERROR((VLOOKUP(F982,'Planilha de Cadastro - Previsão'!$A$2:$N$1100,5,FALSE()))," ")</f>
        <v xml:space="preserve"> </v>
      </c>
      <c r="K982" s="36"/>
      <c r="L982" s="34" t="str">
        <f t="shared" si="64"/>
        <v/>
      </c>
      <c r="M982" s="35" t="str">
        <f t="shared" si="65"/>
        <v/>
      </c>
      <c r="N982" s="39"/>
      <c r="O982" s="36"/>
    </row>
    <row r="983" spans="1:15" x14ac:dyDescent="0.25">
      <c r="A983">
        <f>COUNTIF($C$2:C983,C983)</f>
        <v>982</v>
      </c>
      <c r="B983" s="1" t="str">
        <f t="shared" si="62"/>
        <v>982</v>
      </c>
      <c r="C983" s="1" t="str">
        <f>IFERROR(VLOOKUP(D983,'Planilha de Cadastro - Previsão'!$A$2:$O$1000,15,FALSE()),"")</f>
        <v/>
      </c>
      <c r="D983" s="1">
        <v>982</v>
      </c>
      <c r="F983" s="32" t="str">
        <f t="shared" si="63"/>
        <v/>
      </c>
      <c r="G983" s="33" t="str">
        <f>IFERROR((VLOOKUP(F983,'Planilha de Cadastro - Previsão'!$A$2:$N$1100,2,FALSE()))," ")</f>
        <v xml:space="preserve"> </v>
      </c>
      <c r="H983" s="32" t="str">
        <f>IFERROR((VLOOKUP(F983,'Planilha de Cadastro - Previsão'!$A$2:$N$1100,3,FALSE()))," ")</f>
        <v xml:space="preserve"> </v>
      </c>
      <c r="I983" s="34" t="str">
        <f>IFERROR((VLOOKUP(F983,'Planilha de Cadastro - Previsão'!$A$2:$N$1100,4,FALSE()))," ")</f>
        <v xml:space="preserve"> </v>
      </c>
      <c r="J983" s="34" t="str">
        <f>IFERROR((VLOOKUP(F983,'Planilha de Cadastro - Previsão'!$A$2:$N$1100,5,FALSE()))," ")</f>
        <v xml:space="preserve"> </v>
      </c>
      <c r="K983" s="36"/>
      <c r="L983" s="34" t="str">
        <f t="shared" si="64"/>
        <v/>
      </c>
      <c r="M983" s="35" t="str">
        <f t="shared" si="65"/>
        <v/>
      </c>
      <c r="N983" s="39"/>
      <c r="O983" s="36"/>
    </row>
    <row r="984" spans="1:15" x14ac:dyDescent="0.25">
      <c r="A984">
        <f>COUNTIF($C$2:C984,C984)</f>
        <v>983</v>
      </c>
      <c r="B984" s="1" t="str">
        <f t="shared" si="62"/>
        <v>983</v>
      </c>
      <c r="C984" s="1" t="str">
        <f>IFERROR(VLOOKUP(D984,'Planilha de Cadastro - Previsão'!$A$2:$O$1000,15,FALSE()),"")</f>
        <v/>
      </c>
      <c r="D984" s="1">
        <v>983</v>
      </c>
      <c r="F984" s="32" t="str">
        <f t="shared" si="63"/>
        <v/>
      </c>
      <c r="G984" s="33" t="str">
        <f>IFERROR((VLOOKUP(F984,'Planilha de Cadastro - Previsão'!$A$2:$N$1100,2,FALSE()))," ")</f>
        <v xml:space="preserve"> </v>
      </c>
      <c r="H984" s="32" t="str">
        <f>IFERROR((VLOOKUP(F984,'Planilha de Cadastro - Previsão'!$A$2:$N$1100,3,FALSE()))," ")</f>
        <v xml:space="preserve"> </v>
      </c>
      <c r="I984" s="34" t="str">
        <f>IFERROR((VLOOKUP(F984,'Planilha de Cadastro - Previsão'!$A$2:$N$1100,4,FALSE()))," ")</f>
        <v xml:space="preserve"> </v>
      </c>
      <c r="J984" s="34" t="str">
        <f>IFERROR((VLOOKUP(F984,'Planilha de Cadastro - Previsão'!$A$2:$N$1100,5,FALSE()))," ")</f>
        <v xml:space="preserve"> </v>
      </c>
      <c r="K984" s="36"/>
      <c r="L984" s="34" t="str">
        <f t="shared" si="64"/>
        <v/>
      </c>
      <c r="M984" s="35" t="str">
        <f t="shared" si="65"/>
        <v/>
      </c>
      <c r="N984" s="39"/>
      <c r="O984" s="36"/>
    </row>
    <row r="985" spans="1:15" x14ac:dyDescent="0.25">
      <c r="A985">
        <f>COUNTIF($C$2:C985,C985)</f>
        <v>984</v>
      </c>
      <c r="B985" s="1" t="str">
        <f t="shared" si="62"/>
        <v>984</v>
      </c>
      <c r="C985" s="1" t="str">
        <f>IFERROR(VLOOKUP(D985,'Planilha de Cadastro - Previsão'!$A$2:$O$1000,15,FALSE()),"")</f>
        <v/>
      </c>
      <c r="D985" s="1">
        <v>984</v>
      </c>
      <c r="F985" s="32" t="str">
        <f t="shared" si="63"/>
        <v/>
      </c>
      <c r="G985" s="33" t="str">
        <f>IFERROR((VLOOKUP(F985,'Planilha de Cadastro - Previsão'!$A$2:$N$1100,2,FALSE()))," ")</f>
        <v xml:space="preserve"> </v>
      </c>
      <c r="H985" s="32" t="str">
        <f>IFERROR((VLOOKUP(F985,'Planilha de Cadastro - Previsão'!$A$2:$N$1100,3,FALSE()))," ")</f>
        <v xml:space="preserve"> </v>
      </c>
      <c r="I985" s="34" t="str">
        <f>IFERROR((VLOOKUP(F985,'Planilha de Cadastro - Previsão'!$A$2:$N$1100,4,FALSE()))," ")</f>
        <v xml:space="preserve"> </v>
      </c>
      <c r="J985" s="34" t="str">
        <f>IFERROR((VLOOKUP(F985,'Planilha de Cadastro - Previsão'!$A$2:$N$1100,5,FALSE()))," ")</f>
        <v xml:space="preserve"> </v>
      </c>
      <c r="K985" s="36"/>
      <c r="L985" s="34" t="str">
        <f t="shared" si="64"/>
        <v/>
      </c>
      <c r="M985" s="35" t="str">
        <f t="shared" si="65"/>
        <v/>
      </c>
      <c r="N985" s="39"/>
      <c r="O985" s="36"/>
    </row>
    <row r="986" spans="1:15" x14ac:dyDescent="0.25">
      <c r="A986">
        <f>COUNTIF($C$2:C986,C986)</f>
        <v>985</v>
      </c>
      <c r="B986" s="1" t="str">
        <f t="shared" si="62"/>
        <v>985</v>
      </c>
      <c r="C986" s="1" t="str">
        <f>IFERROR(VLOOKUP(D986,'Planilha de Cadastro - Previsão'!$A$2:$O$1000,15,FALSE()),"")</f>
        <v/>
      </c>
      <c r="D986" s="1">
        <v>985</v>
      </c>
      <c r="F986" s="32" t="str">
        <f t="shared" si="63"/>
        <v/>
      </c>
      <c r="G986" s="33" t="str">
        <f>IFERROR((VLOOKUP(F986,'Planilha de Cadastro - Previsão'!$A$2:$N$1100,2,FALSE()))," ")</f>
        <v xml:space="preserve"> </v>
      </c>
      <c r="H986" s="32" t="str">
        <f>IFERROR((VLOOKUP(F986,'Planilha de Cadastro - Previsão'!$A$2:$N$1100,3,FALSE()))," ")</f>
        <v xml:space="preserve"> </v>
      </c>
      <c r="I986" s="34" t="str">
        <f>IFERROR((VLOOKUP(F986,'Planilha de Cadastro - Previsão'!$A$2:$N$1100,4,FALSE()))," ")</f>
        <v xml:space="preserve"> </v>
      </c>
      <c r="J986" s="34" t="str">
        <f>IFERROR((VLOOKUP(F986,'Planilha de Cadastro - Previsão'!$A$2:$N$1100,5,FALSE()))," ")</f>
        <v xml:space="preserve"> </v>
      </c>
      <c r="K986" s="36"/>
      <c r="L986" s="34" t="str">
        <f t="shared" si="64"/>
        <v/>
      </c>
      <c r="M986" s="35" t="str">
        <f t="shared" si="65"/>
        <v/>
      </c>
      <c r="N986" s="39"/>
      <c r="O986" s="36"/>
    </row>
    <row r="987" spans="1:15" x14ac:dyDescent="0.25">
      <c r="A987">
        <f>COUNTIF($C$2:C987,C987)</f>
        <v>986</v>
      </c>
      <c r="B987" s="1" t="str">
        <f t="shared" si="62"/>
        <v>986</v>
      </c>
      <c r="C987" s="1" t="str">
        <f>IFERROR(VLOOKUP(D987,'Planilha de Cadastro - Previsão'!$A$2:$O$1000,15,FALSE()),"")</f>
        <v/>
      </c>
      <c r="D987" s="1">
        <v>986</v>
      </c>
      <c r="F987" s="32" t="str">
        <f t="shared" si="63"/>
        <v/>
      </c>
      <c r="G987" s="33" t="str">
        <f>IFERROR((VLOOKUP(F987,'Planilha de Cadastro - Previsão'!$A$2:$N$1100,2,FALSE()))," ")</f>
        <v xml:space="preserve"> </v>
      </c>
      <c r="H987" s="32" t="str">
        <f>IFERROR((VLOOKUP(F987,'Planilha de Cadastro - Previsão'!$A$2:$N$1100,3,FALSE()))," ")</f>
        <v xml:space="preserve"> </v>
      </c>
      <c r="I987" s="34" t="str">
        <f>IFERROR((VLOOKUP(F987,'Planilha de Cadastro - Previsão'!$A$2:$N$1100,4,FALSE()))," ")</f>
        <v xml:space="preserve"> </v>
      </c>
      <c r="J987" s="34" t="str">
        <f>IFERROR((VLOOKUP(F987,'Planilha de Cadastro - Previsão'!$A$2:$N$1100,5,FALSE()))," ")</f>
        <v xml:space="preserve"> </v>
      </c>
      <c r="K987" s="36"/>
      <c r="L987" s="34" t="str">
        <f t="shared" si="64"/>
        <v/>
      </c>
      <c r="M987" s="35" t="str">
        <f t="shared" si="65"/>
        <v/>
      </c>
      <c r="N987" s="39"/>
      <c r="O987" s="36"/>
    </row>
    <row r="988" spans="1:15" x14ac:dyDescent="0.25">
      <c r="A988">
        <f>COUNTIF($C$2:C988,C988)</f>
        <v>987</v>
      </c>
      <c r="B988" s="1" t="str">
        <f t="shared" si="62"/>
        <v>987</v>
      </c>
      <c r="C988" s="1" t="str">
        <f>IFERROR(VLOOKUP(D988,'Planilha de Cadastro - Previsão'!$A$2:$O$1000,15,FALSE()),"")</f>
        <v/>
      </c>
      <c r="D988" s="1">
        <v>987</v>
      </c>
      <c r="F988" s="32" t="str">
        <f t="shared" si="63"/>
        <v/>
      </c>
      <c r="G988" s="33" t="str">
        <f>IFERROR((VLOOKUP(F988,'Planilha de Cadastro - Previsão'!$A$2:$N$1100,2,FALSE()))," ")</f>
        <v xml:space="preserve"> </v>
      </c>
      <c r="H988" s="32" t="str">
        <f>IFERROR((VLOOKUP(F988,'Planilha de Cadastro - Previsão'!$A$2:$N$1100,3,FALSE()))," ")</f>
        <v xml:space="preserve"> </v>
      </c>
      <c r="I988" s="34" t="str">
        <f>IFERROR((VLOOKUP(F988,'Planilha de Cadastro - Previsão'!$A$2:$N$1100,4,FALSE()))," ")</f>
        <v xml:space="preserve"> </v>
      </c>
      <c r="J988" s="34" t="str">
        <f>IFERROR((VLOOKUP(F988,'Planilha de Cadastro - Previsão'!$A$2:$N$1100,5,FALSE()))," ")</f>
        <v xml:space="preserve"> </v>
      </c>
      <c r="K988" s="36"/>
      <c r="L988" s="34" t="str">
        <f t="shared" si="64"/>
        <v/>
      </c>
      <c r="M988" s="35" t="str">
        <f t="shared" si="65"/>
        <v/>
      </c>
      <c r="N988" s="39"/>
      <c r="O988" s="36"/>
    </row>
    <row r="989" spans="1:15" x14ac:dyDescent="0.25">
      <c r="A989">
        <f>COUNTIF($C$2:C989,C989)</f>
        <v>988</v>
      </c>
      <c r="B989" s="1" t="str">
        <f t="shared" si="62"/>
        <v>988</v>
      </c>
      <c r="C989" s="1" t="str">
        <f>IFERROR(VLOOKUP(D989,'Planilha de Cadastro - Previsão'!$A$2:$O$1000,15,FALSE()),"")</f>
        <v/>
      </c>
      <c r="D989" s="1">
        <v>988</v>
      </c>
      <c r="F989" s="32" t="str">
        <f t="shared" si="63"/>
        <v/>
      </c>
      <c r="G989" s="33" t="str">
        <f>IFERROR((VLOOKUP(F989,'Planilha de Cadastro - Previsão'!$A$2:$N$1100,2,FALSE()))," ")</f>
        <v xml:space="preserve"> </v>
      </c>
      <c r="H989" s="32" t="str">
        <f>IFERROR((VLOOKUP(F989,'Planilha de Cadastro - Previsão'!$A$2:$N$1100,3,FALSE()))," ")</f>
        <v xml:space="preserve"> </v>
      </c>
      <c r="I989" s="34" t="str">
        <f>IFERROR((VLOOKUP(F989,'Planilha de Cadastro - Previsão'!$A$2:$N$1100,4,FALSE()))," ")</f>
        <v xml:space="preserve"> </v>
      </c>
      <c r="J989" s="34" t="str">
        <f>IFERROR((VLOOKUP(F989,'Planilha de Cadastro - Previsão'!$A$2:$N$1100,5,FALSE()))," ")</f>
        <v xml:space="preserve"> </v>
      </c>
      <c r="K989" s="36"/>
      <c r="L989" s="34" t="str">
        <f t="shared" si="64"/>
        <v/>
      </c>
      <c r="M989" s="35" t="str">
        <f t="shared" si="65"/>
        <v/>
      </c>
      <c r="N989" s="39"/>
      <c r="O989" s="36"/>
    </row>
    <row r="990" spans="1:15" x14ac:dyDescent="0.25">
      <c r="A990">
        <f>COUNTIF($C$2:C990,C990)</f>
        <v>989</v>
      </c>
      <c r="B990" s="1" t="str">
        <f t="shared" si="62"/>
        <v>989</v>
      </c>
      <c r="C990" s="1" t="str">
        <f>IFERROR(VLOOKUP(D990,'Planilha de Cadastro - Previsão'!$A$2:$O$1000,15,FALSE()),"")</f>
        <v/>
      </c>
      <c r="D990" s="1">
        <v>989</v>
      </c>
      <c r="F990" s="32" t="str">
        <f t="shared" si="63"/>
        <v/>
      </c>
      <c r="G990" s="33" t="str">
        <f>IFERROR((VLOOKUP(F990,'Planilha de Cadastro - Previsão'!$A$2:$N$1100,2,FALSE()))," ")</f>
        <v xml:space="preserve"> </v>
      </c>
      <c r="H990" s="32" t="str">
        <f>IFERROR((VLOOKUP(F990,'Planilha de Cadastro - Previsão'!$A$2:$N$1100,3,FALSE()))," ")</f>
        <v xml:space="preserve"> </v>
      </c>
      <c r="I990" s="34" t="str">
        <f>IFERROR((VLOOKUP(F990,'Planilha de Cadastro - Previsão'!$A$2:$N$1100,4,FALSE()))," ")</f>
        <v xml:space="preserve"> </v>
      </c>
      <c r="J990" s="34" t="str">
        <f>IFERROR((VLOOKUP(F990,'Planilha de Cadastro - Previsão'!$A$2:$N$1100,5,FALSE()))," ")</f>
        <v xml:space="preserve"> </v>
      </c>
      <c r="K990" s="36"/>
      <c r="L990" s="34" t="str">
        <f t="shared" si="64"/>
        <v/>
      </c>
      <c r="M990" s="35" t="str">
        <f t="shared" si="65"/>
        <v/>
      </c>
      <c r="N990" s="39"/>
      <c r="O990" s="36"/>
    </row>
    <row r="991" spans="1:15" x14ac:dyDescent="0.25">
      <c r="A991">
        <f>COUNTIF($C$2:C991,C991)</f>
        <v>990</v>
      </c>
      <c r="B991" s="1" t="str">
        <f t="shared" si="62"/>
        <v>990</v>
      </c>
      <c r="C991" s="1" t="str">
        <f>IFERROR(VLOOKUP(D991,'Planilha de Cadastro - Previsão'!$A$2:$O$1000,15,FALSE()),"")</f>
        <v/>
      </c>
      <c r="D991" s="1">
        <v>990</v>
      </c>
      <c r="F991" s="32" t="str">
        <f t="shared" si="63"/>
        <v/>
      </c>
      <c r="G991" s="33" t="str">
        <f>IFERROR((VLOOKUP(F991,'Planilha de Cadastro - Previsão'!$A$2:$N$1100,2,FALSE()))," ")</f>
        <v xml:space="preserve"> </v>
      </c>
      <c r="H991" s="32" t="str">
        <f>IFERROR((VLOOKUP(F991,'Planilha de Cadastro - Previsão'!$A$2:$N$1100,3,FALSE()))," ")</f>
        <v xml:space="preserve"> </v>
      </c>
      <c r="I991" s="34" t="str">
        <f>IFERROR((VLOOKUP(F991,'Planilha de Cadastro - Previsão'!$A$2:$N$1100,4,FALSE()))," ")</f>
        <v xml:space="preserve"> </v>
      </c>
      <c r="J991" s="34" t="str">
        <f>IFERROR((VLOOKUP(F991,'Planilha de Cadastro - Previsão'!$A$2:$N$1100,5,FALSE()))," ")</f>
        <v xml:space="preserve"> </v>
      </c>
      <c r="K991" s="36"/>
      <c r="L991" s="34" t="str">
        <f t="shared" si="64"/>
        <v/>
      </c>
      <c r="M991" s="35" t="str">
        <f t="shared" si="65"/>
        <v/>
      </c>
      <c r="N991" s="39"/>
      <c r="O991" s="36"/>
    </row>
    <row r="992" spans="1:15" x14ac:dyDescent="0.25">
      <c r="A992">
        <f>COUNTIF($C$2:C992,C992)</f>
        <v>991</v>
      </c>
      <c r="B992" s="1" t="str">
        <f t="shared" si="62"/>
        <v>991</v>
      </c>
      <c r="C992" s="1" t="str">
        <f>IFERROR(VLOOKUP(D992,'Planilha de Cadastro - Previsão'!$A$2:$O$1000,15,FALSE()),"")</f>
        <v/>
      </c>
      <c r="D992" s="1">
        <v>991</v>
      </c>
      <c r="F992" s="32" t="str">
        <f t="shared" si="63"/>
        <v/>
      </c>
      <c r="G992" s="33" t="str">
        <f>IFERROR((VLOOKUP(F992,'Planilha de Cadastro - Previsão'!$A$2:$N$1100,2,FALSE()))," ")</f>
        <v xml:space="preserve"> </v>
      </c>
      <c r="H992" s="32" t="str">
        <f>IFERROR((VLOOKUP(F992,'Planilha de Cadastro - Previsão'!$A$2:$N$1100,3,FALSE()))," ")</f>
        <v xml:space="preserve"> </v>
      </c>
      <c r="I992" s="34" t="str">
        <f>IFERROR((VLOOKUP(F992,'Planilha de Cadastro - Previsão'!$A$2:$N$1100,4,FALSE()))," ")</f>
        <v xml:space="preserve"> </v>
      </c>
      <c r="J992" s="34" t="str">
        <f>IFERROR((VLOOKUP(F992,'Planilha de Cadastro - Previsão'!$A$2:$N$1100,5,FALSE()))," ")</f>
        <v xml:space="preserve"> </v>
      </c>
      <c r="K992" s="36"/>
      <c r="L992" s="34" t="str">
        <f t="shared" si="64"/>
        <v/>
      </c>
      <c r="M992" s="35" t="str">
        <f t="shared" si="65"/>
        <v/>
      </c>
      <c r="N992" s="39"/>
      <c r="O992" s="36"/>
    </row>
    <row r="993" spans="1:15" x14ac:dyDescent="0.25">
      <c r="A993">
        <f>COUNTIF($C$2:C993,C993)</f>
        <v>992</v>
      </c>
      <c r="B993" s="1" t="str">
        <f t="shared" si="62"/>
        <v>992</v>
      </c>
      <c r="C993" s="1" t="str">
        <f>IFERROR(VLOOKUP(D993,'Planilha de Cadastro - Previsão'!$A$2:$O$1000,15,FALSE()),"")</f>
        <v/>
      </c>
      <c r="D993" s="1">
        <v>992</v>
      </c>
      <c r="F993" s="32" t="str">
        <f t="shared" si="63"/>
        <v/>
      </c>
      <c r="G993" s="33" t="str">
        <f>IFERROR((VLOOKUP(F993,'Planilha de Cadastro - Previsão'!$A$2:$N$1100,2,FALSE()))," ")</f>
        <v xml:space="preserve"> </v>
      </c>
      <c r="H993" s="32" t="str">
        <f>IFERROR((VLOOKUP(F993,'Planilha de Cadastro - Previsão'!$A$2:$N$1100,3,FALSE()))," ")</f>
        <v xml:space="preserve"> </v>
      </c>
      <c r="I993" s="34" t="str">
        <f>IFERROR((VLOOKUP(F993,'Planilha de Cadastro - Previsão'!$A$2:$N$1100,4,FALSE()))," ")</f>
        <v xml:space="preserve"> </v>
      </c>
      <c r="J993" s="34" t="str">
        <f>IFERROR((VLOOKUP(F993,'Planilha de Cadastro - Previsão'!$A$2:$N$1100,5,FALSE()))," ")</f>
        <v xml:space="preserve"> </v>
      </c>
      <c r="K993" s="36"/>
      <c r="L993" s="34" t="str">
        <f t="shared" si="64"/>
        <v/>
      </c>
      <c r="M993" s="35" t="str">
        <f t="shared" si="65"/>
        <v/>
      </c>
      <c r="N993" s="39"/>
      <c r="O993" s="36"/>
    </row>
    <row r="994" spans="1:15" x14ac:dyDescent="0.25">
      <c r="A994">
        <f>COUNTIF($C$2:C994,C994)</f>
        <v>993</v>
      </c>
      <c r="B994" s="1" t="str">
        <f t="shared" si="62"/>
        <v>993</v>
      </c>
      <c r="C994" s="1" t="str">
        <f>IFERROR(VLOOKUP(D994,'Planilha de Cadastro - Previsão'!$A$2:$O$1000,15,FALSE()),"")</f>
        <v/>
      </c>
      <c r="D994" s="1">
        <v>993</v>
      </c>
      <c r="F994" s="32" t="str">
        <f t="shared" si="63"/>
        <v/>
      </c>
      <c r="G994" s="33" t="str">
        <f>IFERROR((VLOOKUP(F994,'Planilha de Cadastro - Previsão'!$A$2:$N$1100,2,FALSE()))," ")</f>
        <v xml:space="preserve"> </v>
      </c>
      <c r="H994" s="32" t="str">
        <f>IFERROR((VLOOKUP(F994,'Planilha de Cadastro - Previsão'!$A$2:$N$1100,3,FALSE()))," ")</f>
        <v xml:space="preserve"> </v>
      </c>
      <c r="I994" s="34" t="str">
        <f>IFERROR((VLOOKUP(F994,'Planilha de Cadastro - Previsão'!$A$2:$N$1100,4,FALSE()))," ")</f>
        <v xml:space="preserve"> </v>
      </c>
      <c r="J994" s="34" t="str">
        <f>IFERROR((VLOOKUP(F994,'Planilha de Cadastro - Previsão'!$A$2:$N$1100,5,FALSE()))," ")</f>
        <v xml:space="preserve"> </v>
      </c>
      <c r="K994" s="36"/>
      <c r="L994" s="34" t="str">
        <f t="shared" si="64"/>
        <v/>
      </c>
      <c r="M994" s="35" t="str">
        <f t="shared" si="65"/>
        <v/>
      </c>
      <c r="N994" s="39"/>
      <c r="O994" s="36"/>
    </row>
    <row r="995" spans="1:15" x14ac:dyDescent="0.25">
      <c r="A995">
        <f>COUNTIF($C$2:C995,C995)</f>
        <v>994</v>
      </c>
      <c r="B995" s="1" t="str">
        <f t="shared" si="62"/>
        <v>994</v>
      </c>
      <c r="C995" s="1" t="str">
        <f>IFERROR(VLOOKUP(D995,'Planilha de Cadastro - Previsão'!$A$2:$O$1000,15,FALSE()),"")</f>
        <v/>
      </c>
      <c r="D995" s="1">
        <v>994</v>
      </c>
      <c r="F995" s="32" t="str">
        <f t="shared" si="63"/>
        <v/>
      </c>
      <c r="G995" s="33" t="str">
        <f>IFERROR((VLOOKUP(F995,'Planilha de Cadastro - Previsão'!$A$2:$N$1100,2,FALSE()))," ")</f>
        <v xml:space="preserve"> </v>
      </c>
      <c r="H995" s="32" t="str">
        <f>IFERROR((VLOOKUP(F995,'Planilha de Cadastro - Previsão'!$A$2:$N$1100,3,FALSE()))," ")</f>
        <v xml:space="preserve"> </v>
      </c>
      <c r="I995" s="34" t="str">
        <f>IFERROR((VLOOKUP(F995,'Planilha de Cadastro - Previsão'!$A$2:$N$1100,4,FALSE()))," ")</f>
        <v xml:space="preserve"> </v>
      </c>
      <c r="J995" s="34" t="str">
        <f>IFERROR((VLOOKUP(F995,'Planilha de Cadastro - Previsão'!$A$2:$N$1100,5,FALSE()))," ")</f>
        <v xml:space="preserve"> </v>
      </c>
      <c r="K995" s="36"/>
      <c r="L995" s="34" t="str">
        <f t="shared" si="64"/>
        <v/>
      </c>
      <c r="M995" s="35" t="str">
        <f t="shared" si="65"/>
        <v/>
      </c>
      <c r="N995" s="39"/>
      <c r="O995" s="36"/>
    </row>
    <row r="996" spans="1:15" x14ac:dyDescent="0.25">
      <c r="A996">
        <f>COUNTIF($C$2:C996,C996)</f>
        <v>995</v>
      </c>
      <c r="B996" s="1" t="str">
        <f t="shared" si="62"/>
        <v>995</v>
      </c>
      <c r="C996" s="1" t="str">
        <f>IFERROR(VLOOKUP(D996,'Planilha de Cadastro - Previsão'!$A$2:$O$1000,15,FALSE()),"")</f>
        <v/>
      </c>
      <c r="D996" s="1">
        <v>995</v>
      </c>
      <c r="F996" s="32" t="str">
        <f t="shared" si="63"/>
        <v/>
      </c>
      <c r="G996" s="33" t="str">
        <f>IFERROR((VLOOKUP(F996,'Planilha de Cadastro - Previsão'!$A$2:$N$1100,2,FALSE()))," ")</f>
        <v xml:space="preserve"> </v>
      </c>
      <c r="H996" s="32" t="str">
        <f>IFERROR((VLOOKUP(F996,'Planilha de Cadastro - Previsão'!$A$2:$N$1100,3,FALSE()))," ")</f>
        <v xml:space="preserve"> </v>
      </c>
      <c r="I996" s="34" t="str">
        <f>IFERROR((VLOOKUP(F996,'Planilha de Cadastro - Previsão'!$A$2:$N$1100,4,FALSE()))," ")</f>
        <v xml:space="preserve"> </v>
      </c>
      <c r="J996" s="34" t="str">
        <f>IFERROR((VLOOKUP(F996,'Planilha de Cadastro - Previsão'!$A$2:$N$1100,5,FALSE()))," ")</f>
        <v xml:space="preserve"> </v>
      </c>
      <c r="K996" s="36"/>
      <c r="L996" s="34" t="str">
        <f t="shared" si="64"/>
        <v/>
      </c>
      <c r="M996" s="35" t="str">
        <f t="shared" si="65"/>
        <v/>
      </c>
      <c r="N996" s="39"/>
      <c r="O996" s="36"/>
    </row>
    <row r="997" spans="1:15" x14ac:dyDescent="0.25">
      <c r="A997">
        <f>COUNTIF($C$2:C997,C997)</f>
        <v>996</v>
      </c>
      <c r="B997" s="1" t="str">
        <f t="shared" si="62"/>
        <v>996</v>
      </c>
      <c r="C997" s="1" t="str">
        <f>IFERROR(VLOOKUP(D997,'Planilha de Cadastro - Previsão'!$A$2:$O$1000,15,FALSE()),"")</f>
        <v/>
      </c>
      <c r="D997" s="1">
        <v>996</v>
      </c>
      <c r="F997" s="32" t="str">
        <f t="shared" si="63"/>
        <v/>
      </c>
      <c r="G997" s="33" t="str">
        <f>IFERROR((VLOOKUP(F997,'Planilha de Cadastro - Previsão'!$A$2:$N$1100,2,FALSE()))," ")</f>
        <v xml:space="preserve"> </v>
      </c>
      <c r="H997" s="32" t="str">
        <f>IFERROR((VLOOKUP(F997,'Planilha de Cadastro - Previsão'!$A$2:$N$1100,3,FALSE()))," ")</f>
        <v xml:space="preserve"> </v>
      </c>
      <c r="I997" s="34" t="str">
        <f>IFERROR((VLOOKUP(F997,'Planilha de Cadastro - Previsão'!$A$2:$N$1100,4,FALSE()))," ")</f>
        <v xml:space="preserve"> </v>
      </c>
      <c r="J997" s="34" t="str">
        <f>IFERROR((VLOOKUP(F997,'Planilha de Cadastro - Previsão'!$A$2:$N$1100,5,FALSE()))," ")</f>
        <v xml:space="preserve"> </v>
      </c>
      <c r="K997" s="36"/>
      <c r="L997" s="34" t="str">
        <f t="shared" si="64"/>
        <v/>
      </c>
      <c r="M997" s="35" t="str">
        <f t="shared" si="65"/>
        <v/>
      </c>
      <c r="N997" s="39"/>
      <c r="O997" s="36"/>
    </row>
    <row r="998" spans="1:15" x14ac:dyDescent="0.25">
      <c r="A998">
        <f>COUNTIF($C$2:C998,C998)</f>
        <v>997</v>
      </c>
      <c r="B998" s="1" t="str">
        <f t="shared" si="62"/>
        <v>997</v>
      </c>
      <c r="C998" s="1" t="str">
        <f>IFERROR(VLOOKUP(D998,'Planilha de Cadastro - Previsão'!$A$2:$O$1000,15,FALSE()),"")</f>
        <v/>
      </c>
      <c r="D998" s="1">
        <v>997</v>
      </c>
      <c r="F998" s="32" t="str">
        <f t="shared" si="63"/>
        <v/>
      </c>
      <c r="G998" s="33" t="str">
        <f>IFERROR((VLOOKUP(F998,'Planilha de Cadastro - Previsão'!$A$2:$N$1100,2,FALSE()))," ")</f>
        <v xml:space="preserve"> </v>
      </c>
      <c r="H998" s="32" t="str">
        <f>IFERROR((VLOOKUP(F998,'Planilha de Cadastro - Previsão'!$A$2:$N$1100,3,FALSE()))," ")</f>
        <v xml:space="preserve"> </v>
      </c>
      <c r="I998" s="34" t="str">
        <f>IFERROR((VLOOKUP(F998,'Planilha de Cadastro - Previsão'!$A$2:$N$1100,4,FALSE()))," ")</f>
        <v xml:space="preserve"> </v>
      </c>
      <c r="J998" s="34" t="str">
        <f>IFERROR((VLOOKUP(F998,'Planilha de Cadastro - Previsão'!$A$2:$N$1100,5,FALSE()))," ")</f>
        <v xml:space="preserve"> </v>
      </c>
      <c r="K998" s="36"/>
      <c r="L998" s="34" t="str">
        <f t="shared" si="64"/>
        <v/>
      </c>
      <c r="M998" s="35" t="str">
        <f t="shared" si="65"/>
        <v/>
      </c>
      <c r="N998" s="39"/>
      <c r="O998" s="36"/>
    </row>
    <row r="999" spans="1:15" x14ac:dyDescent="0.25">
      <c r="A999">
        <f>COUNTIF($C$2:C999,C999)</f>
        <v>998</v>
      </c>
      <c r="B999" s="1" t="str">
        <f t="shared" si="62"/>
        <v>998</v>
      </c>
      <c r="C999" s="1" t="str">
        <f>IFERROR(VLOOKUP(D999,'Planilha de Cadastro - Previsão'!$A$2:$O$1000,15,FALSE()),"")</f>
        <v/>
      </c>
      <c r="D999" s="1">
        <v>998</v>
      </c>
      <c r="F999" s="32" t="str">
        <f t="shared" si="63"/>
        <v/>
      </c>
      <c r="G999" s="33" t="str">
        <f>IFERROR((VLOOKUP(F999,'Planilha de Cadastro - Previsão'!$A$2:$N$1100,2,FALSE()))," ")</f>
        <v xml:space="preserve"> </v>
      </c>
      <c r="H999" s="32" t="str">
        <f>IFERROR((VLOOKUP(F999,'Planilha de Cadastro - Previsão'!$A$2:$N$1100,3,FALSE()))," ")</f>
        <v xml:space="preserve"> </v>
      </c>
      <c r="I999" s="34" t="str">
        <f>IFERROR((VLOOKUP(F999,'Planilha de Cadastro - Previsão'!$A$2:$N$1100,4,FALSE()))," ")</f>
        <v xml:space="preserve"> </v>
      </c>
      <c r="J999" s="34" t="str">
        <f>IFERROR((VLOOKUP(F999,'Planilha de Cadastro - Previsão'!$A$2:$N$1100,5,FALSE()))," ")</f>
        <v xml:space="preserve"> </v>
      </c>
      <c r="K999" s="36"/>
      <c r="L999" s="34" t="str">
        <f t="shared" si="64"/>
        <v/>
      </c>
      <c r="M999" s="35" t="str">
        <f t="shared" si="65"/>
        <v/>
      </c>
      <c r="N999" s="39"/>
      <c r="O999" s="36"/>
    </row>
    <row r="1000" spans="1:15" x14ac:dyDescent="0.25">
      <c r="A1000">
        <f>COUNTIF($C$2:C1000,C1000)</f>
        <v>999</v>
      </c>
      <c r="B1000" s="1" t="str">
        <f t="shared" si="62"/>
        <v>999</v>
      </c>
      <c r="C1000" s="1" t="str">
        <f>IFERROR(VLOOKUP(D1000,'Planilha de Cadastro - Previsão'!$A$2:$O$1000,15,FALSE()),"")</f>
        <v/>
      </c>
      <c r="D1000" s="1">
        <v>999</v>
      </c>
      <c r="F1000" s="32" t="str">
        <f t="shared" si="63"/>
        <v/>
      </c>
      <c r="G1000" s="33" t="str">
        <f>IFERROR((VLOOKUP(F1000,'Planilha de Cadastro - Previsão'!$A$2:$N$1100,2,FALSE()))," ")</f>
        <v xml:space="preserve"> </v>
      </c>
      <c r="H1000" s="32" t="str">
        <f>IFERROR((VLOOKUP(F1000,'Planilha de Cadastro - Previsão'!$A$2:$N$1100,3,FALSE()))," ")</f>
        <v xml:space="preserve"> </v>
      </c>
      <c r="I1000" s="34" t="str">
        <f>IFERROR((VLOOKUP(F1000,'Planilha de Cadastro - Previsão'!$A$2:$N$1100,4,FALSE()))," ")</f>
        <v xml:space="preserve"> </v>
      </c>
      <c r="J1000" s="34" t="str">
        <f>IFERROR((VLOOKUP(F1000,'Planilha de Cadastro - Previsão'!$A$2:$N$1100,5,FALSE()))," ")</f>
        <v xml:space="preserve"> </v>
      </c>
      <c r="K1000" s="36"/>
      <c r="L1000" s="34" t="str">
        <f t="shared" si="64"/>
        <v/>
      </c>
      <c r="M1000" s="35" t="str">
        <f t="shared" si="65"/>
        <v/>
      </c>
      <c r="N1000" s="39"/>
      <c r="O1000" s="36"/>
    </row>
  </sheetData>
  <sortState xmlns:xlrd2="http://schemas.microsoft.com/office/spreadsheetml/2017/richdata2" ref="R1:R15">
    <sortCondition ref="R1:R15"/>
  </sortState>
  <conditionalFormatting sqref="F2:N1000">
    <cfRule type="expression" dxfId="5" priority="2">
      <formula>$M2=""</formula>
    </cfRule>
    <cfRule type="cellIs" dxfId="4" priority="3" operator="equal">
      <formula>"Sim"</formula>
    </cfRule>
    <cfRule type="expression" dxfId="3" priority="4">
      <formula>$M2&gt;=50%</formula>
    </cfRule>
    <cfRule type="expression" dxfId="2" priority="5">
      <formula>$M2&gt;=35%</formula>
    </cfRule>
    <cfRule type="expression" dxfId="1" priority="6">
      <formula>$M2&gt;=20%</formula>
    </cfRule>
    <cfRule type="expression" dxfId="0" priority="7">
      <formula>$M2&lt;20%</formula>
    </cfRule>
  </conditionalFormatting>
  <dataValidations count="2">
    <dataValidation type="list" allowBlank="1" showInputMessage="1" sqref="O3:O1000" xr:uid="{31BACFAC-DC07-4F18-9844-C9970FFA8B7F}">
      <formula1>$R$1:$R$14</formula1>
    </dataValidation>
    <dataValidation type="list" allowBlank="1" showInputMessage="1" sqref="O2" xr:uid="{6E5807F3-18D3-4DB0-AC1B-6FDC53294385}">
      <formula1>$R$1:$R$15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topLeftCell="M1" zoomScaleNormal="100" workbookViewId="0">
      <selection activeCell="V8" sqref="V8"/>
    </sheetView>
  </sheetViews>
  <sheetFormatPr defaultColWidth="8.7109375" defaultRowHeight="12.75" x14ac:dyDescent="0.2"/>
  <cols>
    <col min="1" max="1" width="12.85546875" hidden="1" customWidth="1"/>
    <col min="2" max="2" width="11.5703125" hidden="1" customWidth="1"/>
    <col min="3" max="3" width="11.7109375" hidden="1" customWidth="1"/>
    <col min="4" max="4" width="20.28515625" hidden="1" customWidth="1"/>
    <col min="5" max="5" width="11.5703125" hidden="1" customWidth="1"/>
    <col min="7" max="7" width="20.7109375" customWidth="1"/>
    <col min="8" max="8" width="20.7109375" hidden="1" customWidth="1"/>
    <col min="9" max="9" width="24.28515625" customWidth="1"/>
    <col min="10" max="10" width="16.7109375" customWidth="1"/>
    <col min="11" max="11" width="37.28515625" customWidth="1"/>
    <col min="12" max="12" width="26" customWidth="1"/>
    <col min="13" max="13" width="66.85546875" customWidth="1"/>
    <col min="14" max="15" width="66.85546875" hidden="1" customWidth="1"/>
    <col min="16" max="16" width="36.85546875" hidden="1" customWidth="1"/>
    <col min="17" max="17" width="1.7109375" customWidth="1"/>
    <col min="18" max="18" width="25.85546875" bestFit="1" customWidth="1"/>
    <col min="19" max="19" width="26.140625" bestFit="1" customWidth="1"/>
    <col min="20" max="20" width="27.7109375" bestFit="1" customWidth="1"/>
  </cols>
  <sheetData>
    <row r="1" spans="1:20" ht="18.75" x14ac:dyDescent="0.3">
      <c r="A1" s="27" t="s">
        <v>29</v>
      </c>
      <c r="B1" s="27" t="s">
        <v>30</v>
      </c>
      <c r="C1" s="27" t="s">
        <v>13</v>
      </c>
      <c r="D1" s="27" t="s">
        <v>32</v>
      </c>
      <c r="F1" s="11" t="s">
        <v>33</v>
      </c>
      <c r="G1" s="11" t="s">
        <v>37</v>
      </c>
      <c r="H1" s="11" t="s">
        <v>38</v>
      </c>
      <c r="I1" s="11" t="s">
        <v>1</v>
      </c>
      <c r="J1" s="11" t="s">
        <v>2</v>
      </c>
      <c r="K1" s="11" t="s">
        <v>39</v>
      </c>
      <c r="L1" s="11" t="s">
        <v>11</v>
      </c>
      <c r="M1" s="11" t="s">
        <v>40</v>
      </c>
      <c r="N1" s="11" t="s">
        <v>41</v>
      </c>
      <c r="O1" s="11" t="s">
        <v>42</v>
      </c>
      <c r="P1" s="11" t="s">
        <v>36</v>
      </c>
      <c r="R1" s="60" t="s">
        <v>61</v>
      </c>
      <c r="S1" s="60" t="s">
        <v>60</v>
      </c>
      <c r="T1" s="60" t="s">
        <v>59</v>
      </c>
    </row>
    <row r="2" spans="1:20" ht="15.75" x14ac:dyDescent="0.2">
      <c r="A2">
        <f>COUNTIF($C$2:C2,C2)</f>
        <v>1</v>
      </c>
      <c r="B2" s="1" t="str">
        <f>IFERROR(CONCATENATE(C2,A2),"")</f>
        <v>1</v>
      </c>
      <c r="C2" s="1" t="str">
        <f>IFERROR(VLOOKUP(D2,'Planilha de Cadastro - Previsão'!$A$2:$N$1000,14,FALSE()),"")</f>
        <v/>
      </c>
      <c r="D2" s="1">
        <v>1</v>
      </c>
      <c r="F2" s="40" t="str">
        <f t="shared" ref="F2:F65" si="0">IFERROR((VLOOKUP(CONCATENATE("Sim",D2),$B$2:$D$1000,3,FALSE())),"")</f>
        <v/>
      </c>
      <c r="G2" s="40" t="str">
        <f>IF(F2="","",'Prosposta Inicial'!$O$2)</f>
        <v/>
      </c>
      <c r="H2" s="40" t="str">
        <f t="shared" ref="H2:H33" si="1">CONCATENATE(F2,G2,L2)</f>
        <v xml:space="preserve"> </v>
      </c>
      <c r="I2" s="41" t="str">
        <f>IFERROR((VLOOKUP(F2,'Planilha de Cadastro - Previsão'!$A$2:$N$1100,2,FALSE()))," ")</f>
        <v xml:space="preserve"> </v>
      </c>
      <c r="J2" s="40" t="str">
        <f>IFERROR((VLOOKUP(F2,'Planilha de Cadastro - Previsão'!$A$2:$N$1100,3,FALSE()))," ")</f>
        <v xml:space="preserve"> </v>
      </c>
      <c r="K2" s="23" t="str">
        <f>IFERROR((VLOOKUP(F2,'Planilha de Cadastro - Previsão'!$A$2:$N$1100,4,FALSE()))," ")</f>
        <v xml:space="preserve"> </v>
      </c>
      <c r="L2" s="42" t="str">
        <f>IFERROR((VLOOKUP(F2,'Planilha de Cadastro - Previsão'!$A$2:$N$1100,12,FALSE()))," ")</f>
        <v xml:space="preserve"> </v>
      </c>
      <c r="M2" s="41" t="str">
        <f>IFERROR((IF(VLOOKUP(F2,'Planilha de Cadastro - Previsão'!$A$2:$N$1100,10,FALSE())="","",VLOOKUP(F2,'Planilha de Cadastro - Previsão'!$A$2:$N$1100,10,FALSE()))),"")</f>
        <v/>
      </c>
      <c r="N2" s="41" t="str">
        <f>IFERROR((IF(VLOOKUP(F2,'Planilha de Cadastro - Previsão'!$A$2:$N$1100,9,FALSE())="","",VLOOKUP(F2,'Planilha de Cadastro - Previsão'!$A$2:$N$1100,9,FALSE()))),"")</f>
        <v/>
      </c>
      <c r="O2" s="40" t="str">
        <f>IFERROR((IF(VLOOKUP(F2,'Planilha de Cadastro - Previsão'!$A$2:$N$1100,11,FALSE())="","",VLOOKUP(F2,'Planilha de Cadastro - Previsão'!$A$2:$N$1100,11,FALSE()))),"")</f>
        <v/>
      </c>
      <c r="P2" s="41" t="str">
        <f>IFERROR((IF(VLOOKUP(F2,'Acompanhamento da Licitação'!$F$2:$O$1000,10,FALSE())="","",VLOOKUP(F2,'Acompanhamento da Licitação'!$F$2:$O$1000,10,FALSE()))),"")</f>
        <v/>
      </c>
      <c r="R2" s="61" t="str">
        <f>IFERROR(IF(F2&gt;0,(Final[[#This Row],[Valor da Venda Real]]-Final[[#This Row],[Valor de Compra Previsto]]-4%*Final[[#This Row],[Valor da Venda Real]])/Final[[#This Row],[Valor da Venda Real]],""),"")</f>
        <v/>
      </c>
      <c r="S2" s="61" t="str">
        <f>IF(R2="","",IF(R2&lt;0.2,0.05,IF(R2&lt;0.25,0.1,IF(R2&lt;0.3,0.15,IF(R2&lt;0.35,0.2,IF(R2&lt;0.45,0.25,IF(R2&lt;0.5,0.3,IF(R2&lt;0.6,0.35,0.4))))))))</f>
        <v/>
      </c>
      <c r="T2" s="23" t="str">
        <f>IFERROR((R2*Final[[#This Row],[Valor da Venda Real]]*Final[[#This Row],[Quantidade ]]*S2),"")</f>
        <v/>
      </c>
    </row>
    <row r="3" spans="1:20" ht="15.75" x14ac:dyDescent="0.2">
      <c r="A3">
        <f>COUNTIF($C$2:C3,C3)</f>
        <v>2</v>
      </c>
      <c r="B3" s="1" t="str">
        <f t="shared" ref="B3:B66" si="2">IFERROR(CONCATENATE(C3,A3),"")</f>
        <v>2</v>
      </c>
      <c r="C3" s="1" t="str">
        <f>IFERROR(VLOOKUP(D3,'Planilha de Cadastro - Previsão'!$A$2:$N$1000,14,FALSE()),"")</f>
        <v/>
      </c>
      <c r="D3" s="1">
        <v>2</v>
      </c>
      <c r="F3" s="40" t="str">
        <f t="shared" si="0"/>
        <v/>
      </c>
      <c r="G3" s="40" t="str">
        <f>IF(F3="","",'Prosposta Inicial'!$O$2)</f>
        <v/>
      </c>
      <c r="H3" s="40" t="str">
        <f t="shared" si="1"/>
        <v xml:space="preserve"> </v>
      </c>
      <c r="I3" s="41" t="str">
        <f>IFERROR((VLOOKUP(F3,'Planilha de Cadastro - Previsão'!$A$2:$N$1100,2,FALSE()))," ")</f>
        <v xml:space="preserve"> </v>
      </c>
      <c r="J3" s="40" t="str">
        <f>IFERROR((VLOOKUP(F3,'Planilha de Cadastro - Previsão'!$A$2:$N$1100,3,FALSE()))," ")</f>
        <v xml:space="preserve"> </v>
      </c>
      <c r="K3" s="23" t="str">
        <f>IFERROR((VLOOKUP(F3,'Planilha de Cadastro - Previsão'!$A$2:$N$1100,4,FALSE()))," ")</f>
        <v xml:space="preserve"> </v>
      </c>
      <c r="L3" s="42" t="str">
        <f>IFERROR((VLOOKUP(F3,'Planilha de Cadastro - Previsão'!$A$2:$N$1100,12,FALSE()))," ")</f>
        <v xml:space="preserve"> </v>
      </c>
      <c r="M3" s="41" t="str">
        <f>IFERROR((IF(VLOOKUP(F3,'Planilha de Cadastro - Previsão'!$A$2:$N$1100,10,FALSE())="","",VLOOKUP(F3,'Planilha de Cadastro - Previsão'!$A$2:$N$1100,10,FALSE()))),"")</f>
        <v/>
      </c>
      <c r="N3" s="41" t="str">
        <f>IFERROR((IF(VLOOKUP(F3,'Planilha de Cadastro - Previsão'!$A$2:$N$1100,9,FALSE())="","",VLOOKUP(F3,'Planilha de Cadastro - Previsão'!$A$2:$N$1100,9,FALSE()))),"")</f>
        <v/>
      </c>
      <c r="O3" s="40" t="str">
        <f>IFERROR((IF(VLOOKUP(F3,'Planilha de Cadastro - Previsão'!$A$2:$N$1100,11,FALSE())="","",VLOOKUP(F3,'Planilha de Cadastro - Previsão'!$A$2:$N$1100,11,FALSE()))),"")</f>
        <v/>
      </c>
      <c r="P3" s="41" t="str">
        <f>IFERROR((IF(VLOOKUP(F3,'Acompanhamento da Licitação'!$F$2:$O$1000,10,FALSE())="","",VLOOKUP(F3,'Acompanhamento da Licitação'!$F$2:$O$1000,10,FALSE()))),"")</f>
        <v/>
      </c>
      <c r="R3" s="61" t="str">
        <f>IFERROR(IF(F3&gt;0,(Final[[#This Row],[Valor da Venda Real]]-Final[[#This Row],[Valor de Compra Previsto]]-4%*Final[[#This Row],[Valor da Venda Real]])/Final[[#This Row],[Valor da Venda Real]],""),"")</f>
        <v/>
      </c>
      <c r="S3" s="61" t="str">
        <f t="shared" ref="S3:S66" si="3">IF(R3="","",IF(R3&lt;0.2,0.05,IF(R3&lt;0.25,0.1,IF(R3&lt;0.3,0.15,IF(R3&lt;0.35,0.2,IF(R3&lt;0.45,0.25,IF(R3&lt;0.5,0.3,IF(R3&lt;0.6,0.35,0.4))))))))</f>
        <v/>
      </c>
      <c r="T3" s="23" t="str">
        <f>IFERROR((R3*Final[[#This Row],[Valor da Venda Real]]*Final[[#This Row],[Quantidade ]]*S3),"")</f>
        <v/>
      </c>
    </row>
    <row r="4" spans="1:20" ht="15.75" x14ac:dyDescent="0.2">
      <c r="A4">
        <f>COUNTIF($C$2:C4,C4)</f>
        <v>3</v>
      </c>
      <c r="B4" s="1" t="str">
        <f t="shared" si="2"/>
        <v>3</v>
      </c>
      <c r="C4" s="1" t="str">
        <f>IFERROR(VLOOKUP(D4,'Planilha de Cadastro - Previsão'!$A$2:$N$1000,14,FALSE()),"")</f>
        <v/>
      </c>
      <c r="D4" s="1">
        <v>3</v>
      </c>
      <c r="F4" s="40" t="str">
        <f t="shared" si="0"/>
        <v/>
      </c>
      <c r="G4" s="40" t="str">
        <f>IF(F4="","",'Prosposta Inicial'!$O$2)</f>
        <v/>
      </c>
      <c r="H4" s="40" t="str">
        <f t="shared" si="1"/>
        <v xml:space="preserve"> </v>
      </c>
      <c r="I4" s="41" t="str">
        <f>IFERROR((VLOOKUP(F4,'Planilha de Cadastro - Previsão'!$A$2:$N$1100,2,FALSE()))," ")</f>
        <v xml:space="preserve"> </v>
      </c>
      <c r="J4" s="40" t="str">
        <f>IFERROR((VLOOKUP(F4,'Planilha de Cadastro - Previsão'!$A$2:$N$1100,3,FALSE()))," ")</f>
        <v xml:space="preserve"> </v>
      </c>
      <c r="K4" s="23" t="str">
        <f>IFERROR((VLOOKUP(F4,'Planilha de Cadastro - Previsão'!$A$2:$N$1100,4,FALSE()))," ")</f>
        <v xml:space="preserve"> </v>
      </c>
      <c r="L4" s="42" t="str">
        <f>IFERROR((VLOOKUP(F4,'Planilha de Cadastro - Previsão'!$A$2:$N$1100,12,FALSE()))," ")</f>
        <v xml:space="preserve"> </v>
      </c>
      <c r="M4" s="41" t="str">
        <f>IFERROR((IF(VLOOKUP(F4,'Planilha de Cadastro - Previsão'!$A$2:$N$1100,10,FALSE())="","",VLOOKUP(F4,'Planilha de Cadastro - Previsão'!$A$2:$N$1100,10,FALSE()))),"")</f>
        <v/>
      </c>
      <c r="N4" s="41" t="str">
        <f>IFERROR((IF(VLOOKUP(F4,'Planilha de Cadastro - Previsão'!$A$2:$N$1100,9,FALSE())="","",VLOOKUP(F4,'Planilha de Cadastro - Previsão'!$A$2:$N$1100,9,FALSE()))),"")</f>
        <v/>
      </c>
      <c r="O4" s="40" t="str">
        <f>IFERROR((IF(VLOOKUP(F4,'Planilha de Cadastro - Previsão'!$A$2:$N$1100,11,FALSE())="","",VLOOKUP(F4,'Planilha de Cadastro - Previsão'!$A$2:$N$1100,11,FALSE()))),"")</f>
        <v/>
      </c>
      <c r="P4" s="41" t="str">
        <f>IFERROR((IF(VLOOKUP(F4,'Acompanhamento da Licitação'!$F$2:$O$1000,10,FALSE())="","",VLOOKUP(F4,'Acompanhamento da Licitação'!$F$2:$O$1000,10,FALSE()))),"")</f>
        <v/>
      </c>
      <c r="R4" s="61" t="str">
        <f>IFERROR(IF(F4&gt;0,(Final[[#This Row],[Valor da Venda Real]]-Final[[#This Row],[Valor de Compra Previsto]]-4%*Final[[#This Row],[Valor da Venda Real]])/Final[[#This Row],[Valor da Venda Real]],""),"")</f>
        <v/>
      </c>
      <c r="S4" s="61" t="str">
        <f t="shared" si="3"/>
        <v/>
      </c>
      <c r="T4" s="23" t="str">
        <f>IFERROR((R4*Final[[#This Row],[Valor da Venda Real]]*Final[[#This Row],[Quantidade ]]*S4),"")</f>
        <v/>
      </c>
    </row>
    <row r="5" spans="1:20" ht="15.75" x14ac:dyDescent="0.2">
      <c r="A5">
        <f>COUNTIF($C$2:C5,C5)</f>
        <v>4</v>
      </c>
      <c r="B5" s="1" t="str">
        <f t="shared" si="2"/>
        <v>4</v>
      </c>
      <c r="C5" s="1" t="str">
        <f>IFERROR(VLOOKUP(D5,'Planilha de Cadastro - Previsão'!$A$2:$N$1000,14,FALSE()),"")</f>
        <v/>
      </c>
      <c r="D5" s="1">
        <v>4</v>
      </c>
      <c r="F5" s="40" t="str">
        <f t="shared" si="0"/>
        <v/>
      </c>
      <c r="G5" s="40" t="str">
        <f>IF(F5="","",'Prosposta Inicial'!$O$2)</f>
        <v/>
      </c>
      <c r="H5" s="40" t="str">
        <f t="shared" si="1"/>
        <v xml:space="preserve"> </v>
      </c>
      <c r="I5" s="41" t="str">
        <f>IFERROR((VLOOKUP(F5,'Planilha de Cadastro - Previsão'!$A$2:$N$1100,2,FALSE()))," ")</f>
        <v xml:space="preserve"> </v>
      </c>
      <c r="J5" s="40" t="str">
        <f>IFERROR((VLOOKUP(F5,'Planilha de Cadastro - Previsão'!$A$2:$N$1100,3,FALSE()))," ")</f>
        <v xml:space="preserve"> </v>
      </c>
      <c r="K5" s="23" t="str">
        <f>IFERROR((VLOOKUP(F5,'Planilha de Cadastro - Previsão'!$A$2:$N$1100,4,FALSE()))," ")</f>
        <v xml:space="preserve"> </v>
      </c>
      <c r="L5" s="42" t="str">
        <f>IFERROR((VLOOKUP(F5,'Planilha de Cadastro - Previsão'!$A$2:$N$1100,12,FALSE()))," ")</f>
        <v xml:space="preserve"> </v>
      </c>
      <c r="M5" s="41" t="str">
        <f>IFERROR((IF(VLOOKUP(F5,'Planilha de Cadastro - Previsão'!$A$2:$N$1100,10,FALSE())="","",VLOOKUP(F5,'Planilha de Cadastro - Previsão'!$A$2:$N$1100,10,FALSE()))),"")</f>
        <v/>
      </c>
      <c r="N5" s="41" t="str">
        <f>IFERROR((IF(VLOOKUP(F5,'Planilha de Cadastro - Previsão'!$A$2:$N$1100,9,FALSE())="","",VLOOKUP(F5,'Planilha de Cadastro - Previsão'!$A$2:$N$1100,9,FALSE()))),"")</f>
        <v/>
      </c>
      <c r="O5" s="40" t="str">
        <f>IFERROR((IF(VLOOKUP(F5,'Planilha de Cadastro - Previsão'!$A$2:$N$1100,11,FALSE())="","",VLOOKUP(F5,'Planilha de Cadastro - Previsão'!$A$2:$N$1100,11,FALSE()))),"")</f>
        <v/>
      </c>
      <c r="P5" s="41" t="str">
        <f>IFERROR((IF(VLOOKUP(F5,'Acompanhamento da Licitação'!$F$2:$O$1000,10,FALSE())="","",VLOOKUP(F5,'Acompanhamento da Licitação'!$F$2:$O$1000,10,FALSE()))),"")</f>
        <v/>
      </c>
      <c r="R5" s="61" t="str">
        <f>IFERROR(IF(F5&gt;0,(Final[[#This Row],[Valor da Venda Real]]-Final[[#This Row],[Valor de Compra Previsto]]-4%*Final[[#This Row],[Valor da Venda Real]])/Final[[#This Row],[Valor da Venda Real]],""),"")</f>
        <v/>
      </c>
      <c r="S5" s="61" t="str">
        <f t="shared" si="3"/>
        <v/>
      </c>
      <c r="T5" s="23" t="str">
        <f>IFERROR((R5*Final[[#This Row],[Valor da Venda Real]]*Final[[#This Row],[Quantidade ]]*S5),"")</f>
        <v/>
      </c>
    </row>
    <row r="6" spans="1:20" ht="15.75" x14ac:dyDescent="0.2">
      <c r="A6">
        <f>COUNTIF($C$2:C6,C6)</f>
        <v>5</v>
      </c>
      <c r="B6" s="1" t="str">
        <f t="shared" si="2"/>
        <v>5</v>
      </c>
      <c r="C6" s="1" t="str">
        <f>IFERROR(VLOOKUP(D6,'Planilha de Cadastro - Previsão'!$A$2:$N$1000,14,FALSE()),"")</f>
        <v/>
      </c>
      <c r="D6" s="1">
        <v>5</v>
      </c>
      <c r="F6" s="40" t="str">
        <f t="shared" si="0"/>
        <v/>
      </c>
      <c r="G6" s="40" t="str">
        <f>IF(F6="","",'Prosposta Inicial'!$O$2)</f>
        <v/>
      </c>
      <c r="H6" s="40" t="str">
        <f t="shared" si="1"/>
        <v xml:space="preserve"> </v>
      </c>
      <c r="I6" s="41" t="str">
        <f>IFERROR((VLOOKUP(F6,'Planilha de Cadastro - Previsão'!$A$2:$N$1100,2,FALSE()))," ")</f>
        <v xml:space="preserve"> </v>
      </c>
      <c r="J6" s="40" t="str">
        <f>IFERROR((VLOOKUP(F6,'Planilha de Cadastro - Previsão'!$A$2:$N$1100,3,FALSE()))," ")</f>
        <v xml:space="preserve"> </v>
      </c>
      <c r="K6" s="23" t="str">
        <f>IFERROR((VLOOKUP(F6,'Planilha de Cadastro - Previsão'!$A$2:$N$1100,4,FALSE()))," ")</f>
        <v xml:space="preserve"> </v>
      </c>
      <c r="L6" s="42" t="str">
        <f>IFERROR((VLOOKUP(F6,'Planilha de Cadastro - Previsão'!$A$2:$N$1100,12,FALSE()))," ")</f>
        <v xml:space="preserve"> </v>
      </c>
      <c r="M6" s="41" t="str">
        <f>IFERROR((IF(VLOOKUP(F6,'Planilha de Cadastro - Previsão'!$A$2:$N$1100,10,FALSE())="","",VLOOKUP(F6,'Planilha de Cadastro - Previsão'!$A$2:$N$1100,10,FALSE()))),"")</f>
        <v/>
      </c>
      <c r="N6" s="41" t="str">
        <f>IFERROR((IF(VLOOKUP(F6,'Planilha de Cadastro - Previsão'!$A$2:$N$1100,9,FALSE())="","",VLOOKUP(F6,'Planilha de Cadastro - Previsão'!$A$2:$N$1100,9,FALSE()))),"")</f>
        <v/>
      </c>
      <c r="O6" s="40" t="str">
        <f>IFERROR((IF(VLOOKUP(F6,'Planilha de Cadastro - Previsão'!$A$2:$N$1100,11,FALSE())="","",VLOOKUP(F6,'Planilha de Cadastro - Previsão'!$A$2:$N$1100,11,FALSE()))),"")</f>
        <v/>
      </c>
      <c r="P6" s="41" t="str">
        <f>IFERROR((IF(VLOOKUP(F6,'Acompanhamento da Licitação'!$F$2:$O$1000,10,FALSE())="","",VLOOKUP(F6,'Acompanhamento da Licitação'!$F$2:$O$1000,10,FALSE()))),"")</f>
        <v/>
      </c>
      <c r="R6" s="61" t="str">
        <f>IFERROR(IF(F6&gt;0,(Final[[#This Row],[Valor da Venda Real]]-Final[[#This Row],[Valor de Compra Previsto]]-4%*Final[[#This Row],[Valor da Venda Real]])/Final[[#This Row],[Valor da Venda Real]],""),"")</f>
        <v/>
      </c>
      <c r="S6" s="61" t="str">
        <f t="shared" si="3"/>
        <v/>
      </c>
      <c r="T6" s="23" t="str">
        <f>IFERROR((R6*Final[[#This Row],[Valor da Venda Real]]*Final[[#This Row],[Quantidade ]]*S6),"")</f>
        <v/>
      </c>
    </row>
    <row r="7" spans="1:20" ht="15.75" x14ac:dyDescent="0.2">
      <c r="A7">
        <f>COUNTIF($C$2:C7,C7)</f>
        <v>6</v>
      </c>
      <c r="B7" s="1" t="str">
        <f t="shared" si="2"/>
        <v>6</v>
      </c>
      <c r="C7" s="1" t="str">
        <f>IFERROR(VLOOKUP(D7,'Planilha de Cadastro - Previsão'!$A$2:$N$1000,14,FALSE()),"")</f>
        <v/>
      </c>
      <c r="D7" s="1">
        <v>6</v>
      </c>
      <c r="F7" s="40" t="str">
        <f t="shared" si="0"/>
        <v/>
      </c>
      <c r="G7" s="40" t="str">
        <f>IF(F7="","",'Prosposta Inicial'!$O$2)</f>
        <v/>
      </c>
      <c r="H7" s="40" t="str">
        <f t="shared" si="1"/>
        <v xml:space="preserve"> </v>
      </c>
      <c r="I7" s="41" t="str">
        <f>IFERROR((VLOOKUP(F7,'Planilha de Cadastro - Previsão'!$A$2:$N$1100,2,FALSE()))," ")</f>
        <v xml:space="preserve"> </v>
      </c>
      <c r="J7" s="40" t="str">
        <f>IFERROR((VLOOKUP(F7,'Planilha de Cadastro - Previsão'!$A$2:$N$1100,3,FALSE()))," ")</f>
        <v xml:space="preserve"> </v>
      </c>
      <c r="K7" s="23" t="str">
        <f>IFERROR((VLOOKUP(F7,'Planilha de Cadastro - Previsão'!$A$2:$N$1100,4,FALSE()))," ")</f>
        <v xml:space="preserve"> </v>
      </c>
      <c r="L7" s="42" t="str">
        <f>IFERROR((VLOOKUP(F7,'Planilha de Cadastro - Previsão'!$A$2:$N$1100,12,FALSE()))," ")</f>
        <v xml:space="preserve"> </v>
      </c>
      <c r="M7" s="41" t="str">
        <f>IFERROR((IF(VLOOKUP(F7,'Planilha de Cadastro - Previsão'!$A$2:$N$1100,10,FALSE())="","",VLOOKUP(F7,'Planilha de Cadastro - Previsão'!$A$2:$N$1100,10,FALSE()))),"")</f>
        <v/>
      </c>
      <c r="N7" s="41" t="str">
        <f>IFERROR((IF(VLOOKUP(F7,'Planilha de Cadastro - Previsão'!$A$2:$N$1100,9,FALSE())="","",VLOOKUP(F7,'Planilha de Cadastro - Previsão'!$A$2:$N$1100,9,FALSE()))),"")</f>
        <v/>
      </c>
      <c r="O7" s="40" t="str">
        <f>IFERROR((IF(VLOOKUP(F7,'Planilha de Cadastro - Previsão'!$A$2:$N$1100,11,FALSE())="","",VLOOKUP(F7,'Planilha de Cadastro - Previsão'!$A$2:$N$1100,11,FALSE()))),"")</f>
        <v/>
      </c>
      <c r="P7" s="41" t="str">
        <f>IFERROR((IF(VLOOKUP(F7,'Acompanhamento da Licitação'!$F$2:$O$1000,10,FALSE())="","",VLOOKUP(F7,'Acompanhamento da Licitação'!$F$2:$O$1000,10,FALSE()))),"")</f>
        <v/>
      </c>
      <c r="R7" s="61" t="str">
        <f>IFERROR(IF(F7&gt;0,(Final[[#This Row],[Valor da Venda Real]]-Final[[#This Row],[Valor de Compra Previsto]]-4%*Final[[#This Row],[Valor da Venda Real]])/Final[[#This Row],[Valor da Venda Real]],""),"")</f>
        <v/>
      </c>
      <c r="S7" s="61" t="str">
        <f t="shared" si="3"/>
        <v/>
      </c>
      <c r="T7" s="23" t="str">
        <f>IFERROR((R7*Final[[#This Row],[Valor da Venda Real]]*Final[[#This Row],[Quantidade ]]*S7),"")</f>
        <v/>
      </c>
    </row>
    <row r="8" spans="1:20" ht="15.75" x14ac:dyDescent="0.2">
      <c r="A8">
        <f>COUNTIF($C$2:C8,C8)</f>
        <v>7</v>
      </c>
      <c r="B8" s="1" t="str">
        <f t="shared" si="2"/>
        <v>7</v>
      </c>
      <c r="C8" s="1" t="str">
        <f>IFERROR(VLOOKUP(D8,'Planilha de Cadastro - Previsão'!$A$2:$N$1000,14,FALSE()),"")</f>
        <v/>
      </c>
      <c r="D8" s="1">
        <v>7</v>
      </c>
      <c r="F8" s="40" t="str">
        <f t="shared" si="0"/>
        <v/>
      </c>
      <c r="G8" s="40" t="str">
        <f>IF(F8="","",'Prosposta Inicial'!$O$2)</f>
        <v/>
      </c>
      <c r="H8" s="40" t="str">
        <f t="shared" si="1"/>
        <v xml:space="preserve"> </v>
      </c>
      <c r="I8" s="41" t="str">
        <f>IFERROR((VLOOKUP(F8,'Planilha de Cadastro - Previsão'!$A$2:$N$1100,2,FALSE()))," ")</f>
        <v xml:space="preserve"> </v>
      </c>
      <c r="J8" s="40" t="str">
        <f>IFERROR((VLOOKUP(F8,'Planilha de Cadastro - Previsão'!$A$2:$N$1100,3,FALSE()))," ")</f>
        <v xml:space="preserve"> </v>
      </c>
      <c r="K8" s="23" t="str">
        <f>IFERROR((VLOOKUP(F8,'Planilha de Cadastro - Previsão'!$A$2:$N$1100,4,FALSE()))," ")</f>
        <v xml:space="preserve"> </v>
      </c>
      <c r="L8" s="42" t="str">
        <f>IFERROR((VLOOKUP(F8,'Planilha de Cadastro - Previsão'!$A$2:$N$1100,12,FALSE()))," ")</f>
        <v xml:space="preserve"> </v>
      </c>
      <c r="M8" s="41" t="str">
        <f>IFERROR((IF(VLOOKUP(F8,'Planilha de Cadastro - Previsão'!$A$2:$N$1100,10,FALSE())="","",VLOOKUP(F8,'Planilha de Cadastro - Previsão'!$A$2:$N$1100,10,FALSE()))),"")</f>
        <v/>
      </c>
      <c r="N8" s="41" t="str">
        <f>IFERROR((IF(VLOOKUP(F8,'Planilha de Cadastro - Previsão'!$A$2:$N$1100,9,FALSE())="","",VLOOKUP(F8,'Planilha de Cadastro - Previsão'!$A$2:$N$1100,9,FALSE()))),"")</f>
        <v/>
      </c>
      <c r="O8" s="40" t="str">
        <f>IFERROR((IF(VLOOKUP(F8,'Planilha de Cadastro - Previsão'!$A$2:$N$1100,11,FALSE())="","",VLOOKUP(F8,'Planilha de Cadastro - Previsão'!$A$2:$N$1100,11,FALSE()))),"")</f>
        <v/>
      </c>
      <c r="P8" s="41" t="str">
        <f>IFERROR((IF(VLOOKUP(F8,'Acompanhamento da Licitação'!$F$2:$O$1000,10,FALSE())="","",VLOOKUP(F8,'Acompanhamento da Licitação'!$F$2:$O$1000,10,FALSE()))),"")</f>
        <v/>
      </c>
      <c r="R8" s="61" t="str">
        <f>IFERROR(IF(F8&gt;0,(Final[[#This Row],[Valor da Venda Real]]-Final[[#This Row],[Valor de Compra Previsto]]-4%*Final[[#This Row],[Valor da Venda Real]])/Final[[#This Row],[Valor da Venda Real]],""),"")</f>
        <v/>
      </c>
      <c r="S8" s="61" t="str">
        <f t="shared" si="3"/>
        <v/>
      </c>
      <c r="T8" s="23" t="str">
        <f>IFERROR((R8*Final[[#This Row],[Valor da Venda Real]]*Final[[#This Row],[Quantidade ]]*S8),"")</f>
        <v/>
      </c>
    </row>
    <row r="9" spans="1:20" ht="15.75" x14ac:dyDescent="0.2">
      <c r="A9">
        <f>COUNTIF($C$2:C9,C9)</f>
        <v>8</v>
      </c>
      <c r="B9" s="1" t="str">
        <f t="shared" si="2"/>
        <v>8</v>
      </c>
      <c r="C9" s="1" t="str">
        <f>IFERROR(VLOOKUP(D9,'Planilha de Cadastro - Previsão'!$A$2:$N$1000,14,FALSE()),"")</f>
        <v/>
      </c>
      <c r="D9" s="1">
        <v>8</v>
      </c>
      <c r="F9" s="40" t="str">
        <f t="shared" si="0"/>
        <v/>
      </c>
      <c r="G9" s="40" t="str">
        <f>IF(F9="","",'Prosposta Inicial'!$O$2)</f>
        <v/>
      </c>
      <c r="H9" s="40" t="str">
        <f t="shared" si="1"/>
        <v xml:space="preserve"> </v>
      </c>
      <c r="I9" s="41" t="str">
        <f>IFERROR((VLOOKUP(F9,'Planilha de Cadastro - Previsão'!$A$2:$N$1100,2,FALSE()))," ")</f>
        <v xml:space="preserve"> </v>
      </c>
      <c r="J9" s="40" t="str">
        <f>IFERROR((VLOOKUP(F9,'Planilha de Cadastro - Previsão'!$A$2:$N$1100,3,FALSE()))," ")</f>
        <v xml:space="preserve"> </v>
      </c>
      <c r="K9" s="23" t="str">
        <f>IFERROR((VLOOKUP(F9,'Planilha de Cadastro - Previsão'!$A$2:$N$1100,4,FALSE()))," ")</f>
        <v xml:space="preserve"> </v>
      </c>
      <c r="L9" s="42" t="str">
        <f>IFERROR((VLOOKUP(F9,'Planilha de Cadastro - Previsão'!$A$2:$N$1100,12,FALSE()))," ")</f>
        <v xml:space="preserve"> </v>
      </c>
      <c r="M9" s="41" t="str">
        <f>IFERROR((IF(VLOOKUP(F9,'Planilha de Cadastro - Previsão'!$A$2:$N$1100,10,FALSE())="","",VLOOKUP(F9,'Planilha de Cadastro - Previsão'!$A$2:$N$1100,10,FALSE()))),"")</f>
        <v/>
      </c>
      <c r="N9" s="41" t="str">
        <f>IFERROR((IF(VLOOKUP(F9,'Planilha de Cadastro - Previsão'!$A$2:$N$1100,9,FALSE())="","",VLOOKUP(F9,'Planilha de Cadastro - Previsão'!$A$2:$N$1100,9,FALSE()))),"")</f>
        <v/>
      </c>
      <c r="O9" s="40" t="str">
        <f>IFERROR((IF(VLOOKUP(F9,'Planilha de Cadastro - Previsão'!$A$2:$N$1100,11,FALSE())="","",VLOOKUP(F9,'Planilha de Cadastro - Previsão'!$A$2:$N$1100,11,FALSE()))),"")</f>
        <v/>
      </c>
      <c r="P9" s="41" t="str">
        <f>IFERROR((IF(VLOOKUP(F9,'Acompanhamento da Licitação'!$F$2:$O$1000,10,FALSE())="","",VLOOKUP(F9,'Acompanhamento da Licitação'!$F$2:$O$1000,10,FALSE()))),"")</f>
        <v/>
      </c>
      <c r="R9" s="61" t="str">
        <f>IFERROR(IF(F9&gt;0,(Final[[#This Row],[Valor da Venda Real]]-Final[[#This Row],[Valor de Compra Previsto]]-4%*Final[[#This Row],[Valor da Venda Real]])/Final[[#This Row],[Valor da Venda Real]],""),"")</f>
        <v/>
      </c>
      <c r="S9" s="61" t="str">
        <f t="shared" si="3"/>
        <v/>
      </c>
      <c r="T9" s="23" t="str">
        <f>IFERROR((R9*Final[[#This Row],[Valor da Venda Real]]*Final[[#This Row],[Quantidade ]]*S9),"")</f>
        <v/>
      </c>
    </row>
    <row r="10" spans="1:20" ht="15.75" x14ac:dyDescent="0.2">
      <c r="A10">
        <f>COUNTIF($C$2:C10,C10)</f>
        <v>9</v>
      </c>
      <c r="B10" s="1" t="str">
        <f t="shared" si="2"/>
        <v>9</v>
      </c>
      <c r="C10" s="1" t="str">
        <f>IFERROR(VLOOKUP(D10,'Planilha de Cadastro - Previsão'!$A$2:$N$1000,14,FALSE()),"")</f>
        <v/>
      </c>
      <c r="D10" s="1">
        <v>9</v>
      </c>
      <c r="F10" s="40" t="str">
        <f t="shared" si="0"/>
        <v/>
      </c>
      <c r="G10" s="40" t="str">
        <f>IF(F10="","",'Prosposta Inicial'!$O$2)</f>
        <v/>
      </c>
      <c r="H10" s="40" t="str">
        <f t="shared" si="1"/>
        <v xml:space="preserve"> </v>
      </c>
      <c r="I10" s="41" t="str">
        <f>IFERROR((VLOOKUP(F10,'Planilha de Cadastro - Previsão'!$A$2:$N$1100,2,FALSE()))," ")</f>
        <v xml:space="preserve"> </v>
      </c>
      <c r="J10" s="40" t="str">
        <f>IFERROR((VLOOKUP(F10,'Planilha de Cadastro - Previsão'!$A$2:$N$1100,3,FALSE()))," ")</f>
        <v xml:space="preserve"> </v>
      </c>
      <c r="K10" s="23" t="str">
        <f>IFERROR((VLOOKUP(F10,'Planilha de Cadastro - Previsão'!$A$2:$N$1100,4,FALSE()))," ")</f>
        <v xml:space="preserve"> </v>
      </c>
      <c r="L10" s="42" t="str">
        <f>IFERROR((VLOOKUP(F10,'Planilha de Cadastro - Previsão'!$A$2:$N$1100,12,FALSE()))," ")</f>
        <v xml:space="preserve"> </v>
      </c>
      <c r="M10" s="41" t="str">
        <f>IFERROR((IF(VLOOKUP(F10,'Planilha de Cadastro - Previsão'!$A$2:$N$1100,10,FALSE())="","",VLOOKUP(F10,'Planilha de Cadastro - Previsão'!$A$2:$N$1100,10,FALSE()))),"")</f>
        <v/>
      </c>
      <c r="N10" s="41" t="str">
        <f>IFERROR((IF(VLOOKUP(F10,'Planilha de Cadastro - Previsão'!$A$2:$N$1100,9,FALSE())="","",VLOOKUP(F10,'Planilha de Cadastro - Previsão'!$A$2:$N$1100,9,FALSE()))),"")</f>
        <v/>
      </c>
      <c r="O10" s="40" t="str">
        <f>IFERROR((IF(VLOOKUP(F10,'Planilha de Cadastro - Previsão'!$A$2:$N$1100,11,FALSE())="","",VLOOKUP(F10,'Planilha de Cadastro - Previsão'!$A$2:$N$1100,11,FALSE()))),"")</f>
        <v/>
      </c>
      <c r="P10" s="41" t="str">
        <f>IFERROR((IF(VLOOKUP(F10,'Acompanhamento da Licitação'!$F$2:$O$1000,10,FALSE())="","",VLOOKUP(F10,'Acompanhamento da Licitação'!$F$2:$O$1000,10,FALSE()))),"")</f>
        <v/>
      </c>
      <c r="R10" s="61" t="str">
        <f>IFERROR(IF(F10&gt;0,(Final[[#This Row],[Valor da Venda Real]]-Final[[#This Row],[Valor de Compra Previsto]]-4%*Final[[#This Row],[Valor da Venda Real]])/Final[[#This Row],[Valor da Venda Real]],""),"")</f>
        <v/>
      </c>
      <c r="S10" s="61" t="str">
        <f t="shared" si="3"/>
        <v/>
      </c>
      <c r="T10" s="23" t="str">
        <f>IFERROR((R10*Final[[#This Row],[Valor da Venda Real]]*Final[[#This Row],[Quantidade ]]*S10),"")</f>
        <v/>
      </c>
    </row>
    <row r="11" spans="1:20" ht="12" customHeight="1" x14ac:dyDescent="0.2">
      <c r="A11">
        <f>COUNTIF($C$2:C11,C11)</f>
        <v>10</v>
      </c>
      <c r="B11" s="1" t="str">
        <f t="shared" si="2"/>
        <v>10</v>
      </c>
      <c r="C11" s="1" t="str">
        <f>IFERROR(VLOOKUP(D11,'Planilha de Cadastro - Previsão'!$A$2:$N$1000,14,FALSE()),"")</f>
        <v/>
      </c>
      <c r="D11" s="1">
        <v>10</v>
      </c>
      <c r="F11" s="40" t="str">
        <f t="shared" si="0"/>
        <v/>
      </c>
      <c r="G11" s="40" t="str">
        <f>IF(F11="","",'Prosposta Inicial'!$O$2)</f>
        <v/>
      </c>
      <c r="H11" s="40" t="str">
        <f t="shared" si="1"/>
        <v xml:space="preserve"> </v>
      </c>
      <c r="I11" s="41" t="str">
        <f>IFERROR((VLOOKUP(F11,'Planilha de Cadastro - Previsão'!$A$2:$N$1100,2,FALSE()))," ")</f>
        <v xml:space="preserve"> </v>
      </c>
      <c r="J11" s="40" t="str">
        <f>IFERROR((VLOOKUP(F11,'Planilha de Cadastro - Previsão'!$A$2:$N$1100,3,FALSE()))," ")</f>
        <v xml:space="preserve"> </v>
      </c>
      <c r="K11" s="23" t="str">
        <f>IFERROR((VLOOKUP(F11,'Planilha de Cadastro - Previsão'!$A$2:$N$1100,4,FALSE()))," ")</f>
        <v xml:space="preserve"> </v>
      </c>
      <c r="L11" s="42" t="str">
        <f>IFERROR((VLOOKUP(F11,'Planilha de Cadastro - Previsão'!$A$2:$N$1100,12,FALSE()))," ")</f>
        <v xml:space="preserve"> </v>
      </c>
      <c r="M11" s="41" t="str">
        <f>IFERROR((IF(VLOOKUP(F11,'Planilha de Cadastro - Previsão'!$A$2:$N$1100,10,FALSE())="","",VLOOKUP(F11,'Planilha de Cadastro - Previsão'!$A$2:$N$1100,10,FALSE()))),"")</f>
        <v/>
      </c>
      <c r="N11" s="41" t="str">
        <f>IFERROR((IF(VLOOKUP(F11,'Planilha de Cadastro - Previsão'!$A$2:$N$1100,9,FALSE())="","",VLOOKUP(F11,'Planilha de Cadastro - Previsão'!$A$2:$N$1100,9,FALSE()))),"")</f>
        <v/>
      </c>
      <c r="O11" s="40" t="str">
        <f>IFERROR((IF(VLOOKUP(F11,'Planilha de Cadastro - Previsão'!$A$2:$N$1100,11,FALSE())="","",VLOOKUP(F11,'Planilha de Cadastro - Previsão'!$A$2:$N$1100,11,FALSE()))),"")</f>
        <v/>
      </c>
      <c r="P11" s="41" t="str">
        <f>IFERROR((IF(VLOOKUP(F11,'Acompanhamento da Licitação'!$F$2:$O$1000,10,FALSE())="","",VLOOKUP(F11,'Acompanhamento da Licitação'!$F$2:$O$1000,10,FALSE()))),"")</f>
        <v/>
      </c>
      <c r="R11" s="61" t="str">
        <f>IFERROR(IF(F11&gt;0,(Final[[#This Row],[Valor da Venda Real]]-Final[[#This Row],[Valor de Compra Previsto]]-4%*Final[[#This Row],[Valor da Venda Real]])/Final[[#This Row],[Valor da Venda Real]],""),"")</f>
        <v/>
      </c>
      <c r="S11" s="61" t="str">
        <f t="shared" si="3"/>
        <v/>
      </c>
      <c r="T11" s="23" t="str">
        <f>IFERROR((R11*Final[[#This Row],[Valor da Venda Real]]*Final[[#This Row],[Quantidade ]]*S11),"")</f>
        <v/>
      </c>
    </row>
    <row r="12" spans="1:20" ht="15.75" x14ac:dyDescent="0.2">
      <c r="A12">
        <f>COUNTIF($C$2:C12,C12)</f>
        <v>11</v>
      </c>
      <c r="B12" s="1" t="str">
        <f t="shared" si="2"/>
        <v>11</v>
      </c>
      <c r="C12" s="1" t="str">
        <f>IFERROR(VLOOKUP(D12,'Planilha de Cadastro - Previsão'!$A$2:$N$1000,14,FALSE()),"")</f>
        <v/>
      </c>
      <c r="D12" s="1">
        <v>11</v>
      </c>
      <c r="F12" s="40" t="str">
        <f t="shared" si="0"/>
        <v/>
      </c>
      <c r="G12" s="40" t="str">
        <f>IF(F12="","",'Prosposta Inicial'!$O$2)</f>
        <v/>
      </c>
      <c r="H12" s="40" t="str">
        <f t="shared" si="1"/>
        <v xml:space="preserve"> </v>
      </c>
      <c r="I12" s="41" t="str">
        <f>IFERROR((VLOOKUP(F12,'Planilha de Cadastro - Previsão'!$A$2:$N$1100,2,FALSE()))," ")</f>
        <v xml:space="preserve"> </v>
      </c>
      <c r="J12" s="40" t="str">
        <f>IFERROR((VLOOKUP(F12,'Planilha de Cadastro - Previsão'!$A$2:$N$1100,3,FALSE()))," ")</f>
        <v xml:space="preserve"> </v>
      </c>
      <c r="K12" s="23" t="str">
        <f>IFERROR((VLOOKUP(F12,'Planilha de Cadastro - Previsão'!$A$2:$N$1100,4,FALSE()))," ")</f>
        <v xml:space="preserve"> </v>
      </c>
      <c r="L12" s="42" t="str">
        <f>IFERROR((VLOOKUP(F12,'Planilha de Cadastro - Previsão'!$A$2:$N$1100,12,FALSE()))," ")</f>
        <v xml:space="preserve"> </v>
      </c>
      <c r="M12" s="41" t="str">
        <f>IFERROR((IF(VLOOKUP(F12,'Planilha de Cadastro - Previsão'!$A$2:$N$1100,10,FALSE())="","",VLOOKUP(F12,'Planilha de Cadastro - Previsão'!$A$2:$N$1100,10,FALSE()))),"")</f>
        <v/>
      </c>
      <c r="N12" s="41" t="str">
        <f>IFERROR((IF(VLOOKUP(F12,'Planilha de Cadastro - Previsão'!$A$2:$N$1100,9,FALSE())="","",VLOOKUP(F12,'Planilha de Cadastro - Previsão'!$A$2:$N$1100,9,FALSE()))),"")</f>
        <v/>
      </c>
      <c r="O12" s="40" t="str">
        <f>IFERROR((IF(VLOOKUP(F12,'Planilha de Cadastro - Previsão'!$A$2:$N$1100,11,FALSE())="","",VLOOKUP(F12,'Planilha de Cadastro - Previsão'!$A$2:$N$1100,11,FALSE()))),"")</f>
        <v/>
      </c>
      <c r="P12" s="41" t="str">
        <f>IFERROR((IF(VLOOKUP(F12,'Acompanhamento da Licitação'!$F$2:$O$1000,10,FALSE())="","",VLOOKUP(F12,'Acompanhamento da Licitação'!$F$2:$O$1000,10,FALSE()))),"")</f>
        <v/>
      </c>
      <c r="R12" s="61" t="str">
        <f>IFERROR(IF(F12&gt;0,(Final[[#This Row],[Valor da Venda Real]]-Final[[#This Row],[Valor de Compra Previsto]]-4%*Final[[#This Row],[Valor da Venda Real]])/Final[[#This Row],[Valor da Venda Real]],""),"")</f>
        <v/>
      </c>
      <c r="S12" s="61" t="str">
        <f t="shared" si="3"/>
        <v/>
      </c>
      <c r="T12" s="23" t="str">
        <f>IFERROR((R12*Final[[#This Row],[Valor da Venda Real]]*Final[[#This Row],[Quantidade ]]*S12),"")</f>
        <v/>
      </c>
    </row>
    <row r="13" spans="1:20" ht="15.75" x14ac:dyDescent="0.2">
      <c r="A13">
        <f>COUNTIF($C$2:C13,C13)</f>
        <v>12</v>
      </c>
      <c r="B13" s="1" t="str">
        <f t="shared" si="2"/>
        <v>12</v>
      </c>
      <c r="C13" s="1" t="str">
        <f>IFERROR(VLOOKUP(D13,'Planilha de Cadastro - Previsão'!$A$2:$N$1000,14,FALSE()),"")</f>
        <v/>
      </c>
      <c r="D13" s="1">
        <v>12</v>
      </c>
      <c r="F13" s="40" t="str">
        <f t="shared" si="0"/>
        <v/>
      </c>
      <c r="G13" s="40" t="str">
        <f>IF(F13="","",'Prosposta Inicial'!$O$2)</f>
        <v/>
      </c>
      <c r="H13" s="40" t="str">
        <f t="shared" si="1"/>
        <v xml:space="preserve"> </v>
      </c>
      <c r="I13" s="41" t="str">
        <f>IFERROR((VLOOKUP(F13,'Planilha de Cadastro - Previsão'!$A$2:$N$1100,2,FALSE()))," ")</f>
        <v xml:space="preserve"> </v>
      </c>
      <c r="J13" s="40" t="str">
        <f>IFERROR((VLOOKUP(F13,'Planilha de Cadastro - Previsão'!$A$2:$N$1100,3,FALSE()))," ")</f>
        <v xml:space="preserve"> </v>
      </c>
      <c r="K13" s="23" t="str">
        <f>IFERROR((VLOOKUP(F13,'Planilha de Cadastro - Previsão'!$A$2:$N$1100,4,FALSE()))," ")</f>
        <v xml:space="preserve"> </v>
      </c>
      <c r="L13" s="42" t="str">
        <f>IFERROR((VLOOKUP(F13,'Planilha de Cadastro - Previsão'!$A$2:$N$1100,12,FALSE()))," ")</f>
        <v xml:space="preserve"> </v>
      </c>
      <c r="M13" s="41" t="str">
        <f>IFERROR((IF(VLOOKUP(F13,'Planilha de Cadastro - Previsão'!$A$2:$N$1100,10,FALSE())="","",VLOOKUP(F13,'Planilha de Cadastro - Previsão'!$A$2:$N$1100,10,FALSE()))),"")</f>
        <v/>
      </c>
      <c r="N13" s="41" t="str">
        <f>IFERROR((IF(VLOOKUP(F13,'Planilha de Cadastro - Previsão'!$A$2:$N$1100,9,FALSE())="","",VLOOKUP(F13,'Planilha de Cadastro - Previsão'!$A$2:$N$1100,9,FALSE()))),"")</f>
        <v/>
      </c>
      <c r="O13" s="40" t="str">
        <f>IFERROR((IF(VLOOKUP(F13,'Planilha de Cadastro - Previsão'!$A$2:$N$1100,11,FALSE())="","",VLOOKUP(F13,'Planilha de Cadastro - Previsão'!$A$2:$N$1100,11,FALSE()))),"")</f>
        <v/>
      </c>
      <c r="P13" s="41" t="str">
        <f>IFERROR((IF(VLOOKUP(F13,'Acompanhamento da Licitação'!$F$2:$O$1000,10,FALSE())="","",VLOOKUP(F13,'Acompanhamento da Licitação'!$F$2:$O$1000,10,FALSE()))),"")</f>
        <v/>
      </c>
      <c r="R13" s="61" t="str">
        <f>IFERROR(IF(F13&gt;0,(Final[[#This Row],[Valor da Venda Real]]-Final[[#This Row],[Valor de Compra Previsto]]-4%*Final[[#This Row],[Valor da Venda Real]])/Final[[#This Row],[Valor da Venda Real]],""),"")</f>
        <v/>
      </c>
      <c r="S13" s="61" t="str">
        <f t="shared" si="3"/>
        <v/>
      </c>
      <c r="T13" s="23" t="str">
        <f>IFERROR((R13*Final[[#This Row],[Valor da Venda Real]]*Final[[#This Row],[Quantidade ]]*S13),"")</f>
        <v/>
      </c>
    </row>
    <row r="14" spans="1:20" ht="15.75" x14ac:dyDescent="0.2">
      <c r="A14">
        <f>COUNTIF($C$2:C14,C14)</f>
        <v>13</v>
      </c>
      <c r="B14" s="1" t="str">
        <f t="shared" si="2"/>
        <v>13</v>
      </c>
      <c r="C14" s="1" t="str">
        <f>IFERROR(VLOOKUP(D14,'Planilha de Cadastro - Previsão'!$A$2:$N$1000,14,FALSE()),"")</f>
        <v/>
      </c>
      <c r="D14" s="1">
        <v>13</v>
      </c>
      <c r="F14" s="40" t="str">
        <f t="shared" si="0"/>
        <v/>
      </c>
      <c r="G14" s="40" t="str">
        <f>IF(F14="","",'Prosposta Inicial'!$O$2)</f>
        <v/>
      </c>
      <c r="H14" s="40" t="str">
        <f t="shared" si="1"/>
        <v xml:space="preserve"> </v>
      </c>
      <c r="I14" s="41" t="str">
        <f>IFERROR((VLOOKUP(F14,'Planilha de Cadastro - Previsão'!$A$2:$N$1100,2,FALSE()))," ")</f>
        <v xml:space="preserve"> </v>
      </c>
      <c r="J14" s="40" t="str">
        <f>IFERROR((VLOOKUP(F14,'Planilha de Cadastro - Previsão'!$A$2:$N$1100,3,FALSE()))," ")</f>
        <v xml:space="preserve"> </v>
      </c>
      <c r="K14" s="23" t="str">
        <f>IFERROR((VLOOKUP(F14,'Planilha de Cadastro - Previsão'!$A$2:$N$1100,4,FALSE()))," ")</f>
        <v xml:space="preserve"> </v>
      </c>
      <c r="L14" s="42" t="str">
        <f>IFERROR((VLOOKUP(F14,'Planilha de Cadastro - Previsão'!$A$2:$N$1100,12,FALSE()))," ")</f>
        <v xml:space="preserve"> </v>
      </c>
      <c r="M14" s="41" t="str">
        <f>IFERROR((IF(VLOOKUP(F14,'Planilha de Cadastro - Previsão'!$A$2:$N$1100,10,FALSE())="","",VLOOKUP(F14,'Planilha de Cadastro - Previsão'!$A$2:$N$1100,10,FALSE()))),"")</f>
        <v/>
      </c>
      <c r="N14" s="41" t="str">
        <f>IFERROR((IF(VLOOKUP(F14,'Planilha de Cadastro - Previsão'!$A$2:$N$1100,9,FALSE())="","",VLOOKUP(F14,'Planilha de Cadastro - Previsão'!$A$2:$N$1100,9,FALSE()))),"")</f>
        <v/>
      </c>
      <c r="O14" s="40" t="str">
        <f>IFERROR((IF(VLOOKUP(F14,'Planilha de Cadastro - Previsão'!$A$2:$N$1100,11,FALSE())="","",VLOOKUP(F14,'Planilha de Cadastro - Previsão'!$A$2:$N$1100,11,FALSE()))),"")</f>
        <v/>
      </c>
      <c r="P14" s="41" t="str">
        <f>IFERROR((IF(VLOOKUP(F14,'Acompanhamento da Licitação'!$F$2:$O$1000,10,FALSE())="","",VLOOKUP(F14,'Acompanhamento da Licitação'!$F$2:$O$1000,10,FALSE()))),"")</f>
        <v/>
      </c>
      <c r="R14" s="61" t="str">
        <f>IFERROR(IF(F14&gt;0,(Final[[#This Row],[Valor da Venda Real]]-Final[[#This Row],[Valor de Compra Previsto]]-4%*Final[[#This Row],[Valor da Venda Real]])/Final[[#This Row],[Valor da Venda Real]],""),"")</f>
        <v/>
      </c>
      <c r="S14" s="61" t="str">
        <f t="shared" si="3"/>
        <v/>
      </c>
      <c r="T14" s="23" t="str">
        <f>IFERROR((R14*Final[[#This Row],[Valor da Venda Real]]*Final[[#This Row],[Quantidade ]]*S14),"")</f>
        <v/>
      </c>
    </row>
    <row r="15" spans="1:20" ht="15.75" x14ac:dyDescent="0.2">
      <c r="A15">
        <f>COUNTIF($C$2:C15,C15)</f>
        <v>14</v>
      </c>
      <c r="B15" s="1" t="str">
        <f t="shared" si="2"/>
        <v>14</v>
      </c>
      <c r="C15" s="1" t="str">
        <f>IFERROR(VLOOKUP(D15,'Planilha de Cadastro - Previsão'!$A$2:$N$1000,14,FALSE()),"")</f>
        <v/>
      </c>
      <c r="D15" s="1">
        <v>14</v>
      </c>
      <c r="F15" s="40" t="str">
        <f t="shared" si="0"/>
        <v/>
      </c>
      <c r="G15" s="40" t="str">
        <f>IF(F15="","",'Prosposta Inicial'!$O$2)</f>
        <v/>
      </c>
      <c r="H15" s="40" t="str">
        <f t="shared" si="1"/>
        <v xml:space="preserve"> </v>
      </c>
      <c r="I15" s="41" t="str">
        <f>IFERROR((VLOOKUP(F15,'Planilha de Cadastro - Previsão'!$A$2:$N$1100,2,FALSE()))," ")</f>
        <v xml:space="preserve"> </v>
      </c>
      <c r="J15" s="40" t="str">
        <f>IFERROR((VLOOKUP(F15,'Planilha de Cadastro - Previsão'!$A$2:$N$1100,3,FALSE()))," ")</f>
        <v xml:space="preserve"> </v>
      </c>
      <c r="K15" s="23" t="str">
        <f>IFERROR((VLOOKUP(F15,'Planilha de Cadastro - Previsão'!$A$2:$N$1100,4,FALSE()))," ")</f>
        <v xml:space="preserve"> </v>
      </c>
      <c r="L15" s="42" t="str">
        <f>IFERROR((VLOOKUP(F15,'Planilha de Cadastro - Previsão'!$A$2:$N$1100,12,FALSE()))," ")</f>
        <v xml:space="preserve"> </v>
      </c>
      <c r="M15" s="41" t="str">
        <f>IFERROR((IF(VLOOKUP(F15,'Planilha de Cadastro - Previsão'!$A$2:$N$1100,10,FALSE())="","",VLOOKUP(F15,'Planilha de Cadastro - Previsão'!$A$2:$N$1100,10,FALSE()))),"")</f>
        <v/>
      </c>
      <c r="N15" s="41" t="str">
        <f>IFERROR((IF(VLOOKUP(F15,'Planilha de Cadastro - Previsão'!$A$2:$N$1100,9,FALSE())="","",VLOOKUP(F15,'Planilha de Cadastro - Previsão'!$A$2:$N$1100,9,FALSE()))),"")</f>
        <v/>
      </c>
      <c r="O15" s="40" t="str">
        <f>IFERROR((IF(VLOOKUP(F15,'Planilha de Cadastro - Previsão'!$A$2:$N$1100,11,FALSE())="","",VLOOKUP(F15,'Planilha de Cadastro - Previsão'!$A$2:$N$1100,11,FALSE()))),"")</f>
        <v/>
      </c>
      <c r="P15" s="41" t="str">
        <f>IFERROR((IF(VLOOKUP(F15,'Acompanhamento da Licitação'!$F$2:$O$1000,10,FALSE())="","",VLOOKUP(F15,'Acompanhamento da Licitação'!$F$2:$O$1000,10,FALSE()))),"")</f>
        <v/>
      </c>
      <c r="R15" s="61" t="str">
        <f>IFERROR(IF(F15&gt;0,(Final[[#This Row],[Valor da Venda Real]]-Final[[#This Row],[Valor de Compra Previsto]]-4%*Final[[#This Row],[Valor da Venda Real]])/Final[[#This Row],[Valor da Venda Real]],""),"")</f>
        <v/>
      </c>
      <c r="S15" s="61" t="str">
        <f t="shared" si="3"/>
        <v/>
      </c>
      <c r="T15" s="23" t="str">
        <f>IFERROR((R15*Final[[#This Row],[Valor da Venda Real]]*Final[[#This Row],[Quantidade ]]*S15),"")</f>
        <v/>
      </c>
    </row>
    <row r="16" spans="1:20" ht="15.75" x14ac:dyDescent="0.2">
      <c r="A16">
        <f>COUNTIF($C$2:C16,C16)</f>
        <v>15</v>
      </c>
      <c r="B16" s="1" t="str">
        <f t="shared" si="2"/>
        <v>15</v>
      </c>
      <c r="C16" s="1" t="str">
        <f>IFERROR(VLOOKUP(D16,'Planilha de Cadastro - Previsão'!$A$2:$N$1000,14,FALSE()),"")</f>
        <v/>
      </c>
      <c r="D16" s="1">
        <v>15</v>
      </c>
      <c r="F16" s="40" t="str">
        <f t="shared" si="0"/>
        <v/>
      </c>
      <c r="G16" s="40" t="str">
        <f>IF(F16="","",'Prosposta Inicial'!$O$2)</f>
        <v/>
      </c>
      <c r="H16" s="40" t="str">
        <f t="shared" si="1"/>
        <v xml:space="preserve"> </v>
      </c>
      <c r="I16" s="41" t="str">
        <f>IFERROR((VLOOKUP(F16,'Planilha de Cadastro - Previsão'!$A$2:$N$1100,2,FALSE()))," ")</f>
        <v xml:space="preserve"> </v>
      </c>
      <c r="J16" s="40" t="str">
        <f>IFERROR((VLOOKUP(F16,'Planilha de Cadastro - Previsão'!$A$2:$N$1100,3,FALSE()))," ")</f>
        <v xml:space="preserve"> </v>
      </c>
      <c r="K16" s="23" t="str">
        <f>IFERROR((VLOOKUP(F16,'Planilha de Cadastro - Previsão'!$A$2:$N$1100,4,FALSE()))," ")</f>
        <v xml:space="preserve"> </v>
      </c>
      <c r="L16" s="42" t="str">
        <f>IFERROR((VLOOKUP(F16,'Planilha de Cadastro - Previsão'!$A$2:$N$1100,12,FALSE()))," ")</f>
        <v xml:space="preserve"> </v>
      </c>
      <c r="M16" s="41" t="str">
        <f>IFERROR((IF(VLOOKUP(F16,'Planilha de Cadastro - Previsão'!$A$2:$N$1100,10,FALSE())="","",VLOOKUP(F16,'Planilha de Cadastro - Previsão'!$A$2:$N$1100,10,FALSE()))),"")</f>
        <v/>
      </c>
      <c r="N16" s="41" t="str">
        <f>IFERROR((IF(VLOOKUP(F16,'Planilha de Cadastro - Previsão'!$A$2:$N$1100,9,FALSE())="","",VLOOKUP(F16,'Planilha de Cadastro - Previsão'!$A$2:$N$1100,9,FALSE()))),"")</f>
        <v/>
      </c>
      <c r="O16" s="40" t="str">
        <f>IFERROR((IF(VLOOKUP(F16,'Planilha de Cadastro - Previsão'!$A$2:$N$1100,11,FALSE())="","",VLOOKUP(F16,'Planilha de Cadastro - Previsão'!$A$2:$N$1100,11,FALSE()))),"")</f>
        <v/>
      </c>
      <c r="P16" s="41" t="str">
        <f>IFERROR((IF(VLOOKUP(F16,'Acompanhamento da Licitação'!$F$2:$O$1000,10,FALSE())="","",VLOOKUP(F16,'Acompanhamento da Licitação'!$F$2:$O$1000,10,FALSE()))),"")</f>
        <v/>
      </c>
      <c r="R16" s="61" t="str">
        <f>IFERROR(IF(F16&gt;0,(Final[[#This Row],[Valor da Venda Real]]-Final[[#This Row],[Valor de Compra Previsto]]-4%*Final[[#This Row],[Valor da Venda Real]])/Final[[#This Row],[Valor da Venda Real]],""),"")</f>
        <v/>
      </c>
      <c r="S16" s="61" t="str">
        <f t="shared" si="3"/>
        <v/>
      </c>
      <c r="T16" s="23" t="str">
        <f>IFERROR((R16*Final[[#This Row],[Valor da Venda Real]]*Final[[#This Row],[Quantidade ]]*S16),"")</f>
        <v/>
      </c>
    </row>
    <row r="17" spans="1:20" ht="15.75" x14ac:dyDescent="0.2">
      <c r="A17">
        <f>COUNTIF($C$2:C17,C17)</f>
        <v>16</v>
      </c>
      <c r="B17" s="1" t="str">
        <f t="shared" si="2"/>
        <v>16</v>
      </c>
      <c r="C17" s="1" t="str">
        <f>IFERROR(VLOOKUP(D17,'Planilha de Cadastro - Previsão'!$A$2:$N$1000,14,FALSE()),"")</f>
        <v/>
      </c>
      <c r="D17" s="1">
        <v>16</v>
      </c>
      <c r="F17" s="40" t="str">
        <f t="shared" si="0"/>
        <v/>
      </c>
      <c r="G17" s="40" t="str">
        <f>IF(F17="","",'Prosposta Inicial'!$O$2)</f>
        <v/>
      </c>
      <c r="H17" s="40" t="str">
        <f t="shared" si="1"/>
        <v xml:space="preserve"> </v>
      </c>
      <c r="I17" s="41" t="str">
        <f>IFERROR((VLOOKUP(F17,'Planilha de Cadastro - Previsão'!$A$2:$N$1100,2,FALSE()))," ")</f>
        <v xml:space="preserve"> </v>
      </c>
      <c r="J17" s="40" t="str">
        <f>IFERROR((VLOOKUP(F17,'Planilha de Cadastro - Previsão'!$A$2:$N$1100,3,FALSE()))," ")</f>
        <v xml:space="preserve"> </v>
      </c>
      <c r="K17" s="23" t="str">
        <f>IFERROR((VLOOKUP(F17,'Planilha de Cadastro - Previsão'!$A$2:$N$1100,4,FALSE()))," ")</f>
        <v xml:space="preserve"> </v>
      </c>
      <c r="L17" s="42" t="str">
        <f>IFERROR((VLOOKUP(F17,'Planilha de Cadastro - Previsão'!$A$2:$N$1100,12,FALSE()))," ")</f>
        <v xml:space="preserve"> </v>
      </c>
      <c r="M17" s="41" t="str">
        <f>IFERROR((IF(VLOOKUP(F17,'Planilha de Cadastro - Previsão'!$A$2:$N$1100,10,FALSE())="","",VLOOKUP(F17,'Planilha de Cadastro - Previsão'!$A$2:$N$1100,10,FALSE()))),"")</f>
        <v/>
      </c>
      <c r="N17" s="41" t="str">
        <f>IFERROR((IF(VLOOKUP(F17,'Planilha de Cadastro - Previsão'!$A$2:$N$1100,9,FALSE())="","",VLOOKUP(F17,'Planilha de Cadastro - Previsão'!$A$2:$N$1100,9,FALSE()))),"")</f>
        <v/>
      </c>
      <c r="O17" s="40" t="str">
        <f>IFERROR((IF(VLOOKUP(F17,'Planilha de Cadastro - Previsão'!$A$2:$N$1100,11,FALSE())="","",VLOOKUP(F17,'Planilha de Cadastro - Previsão'!$A$2:$N$1100,11,FALSE()))),"")</f>
        <v/>
      </c>
      <c r="P17" s="41" t="str">
        <f>IFERROR((IF(VLOOKUP(F17,'Acompanhamento da Licitação'!$F$2:$O$1000,10,FALSE())="","",VLOOKUP(F17,'Acompanhamento da Licitação'!$F$2:$O$1000,10,FALSE()))),"")</f>
        <v/>
      </c>
      <c r="R17" s="61" t="str">
        <f>IFERROR(IF(F17&gt;0,(Final[[#This Row],[Valor da Venda Real]]-Final[[#This Row],[Valor de Compra Previsto]]-4%*Final[[#This Row],[Valor da Venda Real]])/Final[[#This Row],[Valor da Venda Real]],""),"")</f>
        <v/>
      </c>
      <c r="S17" s="61" t="str">
        <f t="shared" si="3"/>
        <v/>
      </c>
      <c r="T17" s="23" t="str">
        <f>IFERROR((R17*Final[[#This Row],[Valor da Venda Real]]*Final[[#This Row],[Quantidade ]]*S17),"")</f>
        <v/>
      </c>
    </row>
    <row r="18" spans="1:20" ht="15.75" x14ac:dyDescent="0.2">
      <c r="A18">
        <f>COUNTIF($C$2:C18,C18)</f>
        <v>17</v>
      </c>
      <c r="B18" s="1" t="str">
        <f t="shared" si="2"/>
        <v>17</v>
      </c>
      <c r="C18" s="1" t="str">
        <f>IFERROR(VLOOKUP(D18,'Planilha de Cadastro - Previsão'!$A$2:$N$1000,14,FALSE()),"")</f>
        <v/>
      </c>
      <c r="D18" s="1">
        <v>17</v>
      </c>
      <c r="F18" s="40" t="str">
        <f t="shared" si="0"/>
        <v/>
      </c>
      <c r="G18" s="40" t="str">
        <f>IF(F18="","",'Prosposta Inicial'!$O$2)</f>
        <v/>
      </c>
      <c r="H18" s="40" t="str">
        <f t="shared" si="1"/>
        <v xml:space="preserve"> </v>
      </c>
      <c r="I18" s="41" t="str">
        <f>IFERROR((VLOOKUP(F18,'Planilha de Cadastro - Previsão'!$A$2:$N$1100,2,FALSE()))," ")</f>
        <v xml:space="preserve"> </v>
      </c>
      <c r="J18" s="40" t="str">
        <f>IFERROR((VLOOKUP(F18,'Planilha de Cadastro - Previsão'!$A$2:$N$1100,3,FALSE()))," ")</f>
        <v xml:space="preserve"> </v>
      </c>
      <c r="K18" s="23" t="str">
        <f>IFERROR((VLOOKUP(F18,'Planilha de Cadastro - Previsão'!$A$2:$N$1100,4,FALSE()))," ")</f>
        <v xml:space="preserve"> </v>
      </c>
      <c r="L18" s="42" t="str">
        <f>IFERROR((VLOOKUP(F18,'Planilha de Cadastro - Previsão'!$A$2:$N$1100,12,FALSE()))," ")</f>
        <v xml:space="preserve"> </v>
      </c>
      <c r="M18" s="41" t="str">
        <f>IFERROR((IF(VLOOKUP(F18,'Planilha de Cadastro - Previsão'!$A$2:$N$1100,10,FALSE())="","",VLOOKUP(F18,'Planilha de Cadastro - Previsão'!$A$2:$N$1100,10,FALSE()))),"")</f>
        <v/>
      </c>
      <c r="N18" s="41" t="str">
        <f>IFERROR((IF(VLOOKUP(F18,'Planilha de Cadastro - Previsão'!$A$2:$N$1100,9,FALSE())="","",VLOOKUP(F18,'Planilha de Cadastro - Previsão'!$A$2:$N$1100,9,FALSE()))),"")</f>
        <v/>
      </c>
      <c r="O18" s="40" t="str">
        <f>IFERROR((IF(VLOOKUP(F18,'Planilha de Cadastro - Previsão'!$A$2:$N$1100,11,FALSE())="","",VLOOKUP(F18,'Planilha de Cadastro - Previsão'!$A$2:$N$1100,11,FALSE()))),"")</f>
        <v/>
      </c>
      <c r="P18" s="41" t="str">
        <f>IFERROR((IF(VLOOKUP(F18,'Acompanhamento da Licitação'!$F$2:$O$1000,10,FALSE())="","",VLOOKUP(F18,'Acompanhamento da Licitação'!$F$2:$O$1000,10,FALSE()))),"")</f>
        <v/>
      </c>
      <c r="R18" s="61" t="str">
        <f>IFERROR(IF(F18&gt;0,(Final[[#This Row],[Valor da Venda Real]]-Final[[#This Row],[Valor de Compra Previsto]]-4%*Final[[#This Row],[Valor da Venda Real]])/Final[[#This Row],[Valor da Venda Real]],""),"")</f>
        <v/>
      </c>
      <c r="S18" s="61" t="str">
        <f t="shared" si="3"/>
        <v/>
      </c>
      <c r="T18" s="23" t="str">
        <f>IFERROR((R18*Final[[#This Row],[Valor da Venda Real]]*Final[[#This Row],[Quantidade ]]*S18),"")</f>
        <v/>
      </c>
    </row>
    <row r="19" spans="1:20" ht="15.75" x14ac:dyDescent="0.2">
      <c r="A19">
        <f>COUNTIF($C$2:C19,C19)</f>
        <v>18</v>
      </c>
      <c r="B19" s="1" t="str">
        <f t="shared" si="2"/>
        <v>18</v>
      </c>
      <c r="C19" s="1" t="str">
        <f>IFERROR(VLOOKUP(D19,'Planilha de Cadastro - Previsão'!$A$2:$N$1000,14,FALSE()),"")</f>
        <v/>
      </c>
      <c r="D19" s="1">
        <v>18</v>
      </c>
      <c r="F19" s="40" t="str">
        <f t="shared" si="0"/>
        <v/>
      </c>
      <c r="G19" s="40" t="str">
        <f>IF(F19="","",'Prosposta Inicial'!$O$2)</f>
        <v/>
      </c>
      <c r="H19" s="40" t="str">
        <f t="shared" si="1"/>
        <v xml:space="preserve"> </v>
      </c>
      <c r="I19" s="41" t="str">
        <f>IFERROR((VLOOKUP(F19,'Planilha de Cadastro - Previsão'!$A$2:$N$1100,2,FALSE()))," ")</f>
        <v xml:space="preserve"> </v>
      </c>
      <c r="J19" s="40" t="str">
        <f>IFERROR((VLOOKUP(F19,'Planilha de Cadastro - Previsão'!$A$2:$N$1100,3,FALSE()))," ")</f>
        <v xml:space="preserve"> </v>
      </c>
      <c r="K19" s="23" t="str">
        <f>IFERROR((VLOOKUP(F19,'Planilha de Cadastro - Previsão'!$A$2:$N$1100,4,FALSE()))," ")</f>
        <v xml:space="preserve"> </v>
      </c>
      <c r="L19" s="42" t="str">
        <f>IFERROR((VLOOKUP(F19,'Planilha de Cadastro - Previsão'!$A$2:$N$1100,12,FALSE()))," ")</f>
        <v xml:space="preserve"> </v>
      </c>
      <c r="M19" s="41" t="str">
        <f>IFERROR((IF(VLOOKUP(F19,'Planilha de Cadastro - Previsão'!$A$2:$N$1100,10,FALSE())="","",VLOOKUP(F19,'Planilha de Cadastro - Previsão'!$A$2:$N$1100,10,FALSE()))),"")</f>
        <v/>
      </c>
      <c r="N19" s="41" t="str">
        <f>IFERROR((IF(VLOOKUP(F19,'Planilha de Cadastro - Previsão'!$A$2:$N$1100,9,FALSE())="","",VLOOKUP(F19,'Planilha de Cadastro - Previsão'!$A$2:$N$1100,9,FALSE()))),"")</f>
        <v/>
      </c>
      <c r="O19" s="40" t="str">
        <f>IFERROR((IF(VLOOKUP(F19,'Planilha de Cadastro - Previsão'!$A$2:$N$1100,11,FALSE())="","",VLOOKUP(F19,'Planilha de Cadastro - Previsão'!$A$2:$N$1100,11,FALSE()))),"")</f>
        <v/>
      </c>
      <c r="P19" s="41" t="str">
        <f>IFERROR((IF(VLOOKUP(F19,'Acompanhamento da Licitação'!$F$2:$O$1000,10,FALSE())="","",VLOOKUP(F19,'Acompanhamento da Licitação'!$F$2:$O$1000,10,FALSE()))),"")</f>
        <v/>
      </c>
      <c r="R19" s="61" t="str">
        <f>IFERROR(IF(F19&gt;0,(Final[[#This Row],[Valor da Venda Real]]-Final[[#This Row],[Valor de Compra Previsto]]-4%*Final[[#This Row],[Valor da Venda Real]])/Final[[#This Row],[Valor da Venda Real]],""),"")</f>
        <v/>
      </c>
      <c r="S19" s="61" t="str">
        <f t="shared" si="3"/>
        <v/>
      </c>
      <c r="T19" s="23" t="str">
        <f>IFERROR((R19*Final[[#This Row],[Valor da Venda Real]]*Final[[#This Row],[Quantidade ]]*S19),"")</f>
        <v/>
      </c>
    </row>
    <row r="20" spans="1:20" ht="15.75" x14ac:dyDescent="0.2">
      <c r="A20">
        <f>COUNTIF($C$2:C20,C20)</f>
        <v>19</v>
      </c>
      <c r="B20" s="1" t="str">
        <f t="shared" si="2"/>
        <v>19</v>
      </c>
      <c r="C20" s="1" t="str">
        <f>IFERROR(VLOOKUP(D20,'Planilha de Cadastro - Previsão'!$A$2:$N$1000,14,FALSE()),"")</f>
        <v/>
      </c>
      <c r="D20" s="1">
        <v>19</v>
      </c>
      <c r="F20" s="40" t="str">
        <f t="shared" si="0"/>
        <v/>
      </c>
      <c r="G20" s="40" t="str">
        <f>IF(F20="","",'Prosposta Inicial'!$O$2)</f>
        <v/>
      </c>
      <c r="H20" s="40" t="str">
        <f t="shared" si="1"/>
        <v xml:space="preserve"> </v>
      </c>
      <c r="I20" s="41" t="str">
        <f>IFERROR((VLOOKUP(F20,'Planilha de Cadastro - Previsão'!$A$2:$N$1100,2,FALSE()))," ")</f>
        <v xml:space="preserve"> </v>
      </c>
      <c r="J20" s="40" t="str">
        <f>IFERROR((VLOOKUP(F20,'Planilha de Cadastro - Previsão'!$A$2:$N$1100,3,FALSE()))," ")</f>
        <v xml:space="preserve"> </v>
      </c>
      <c r="K20" s="23" t="str">
        <f>IFERROR((VLOOKUP(F20,'Planilha de Cadastro - Previsão'!$A$2:$N$1100,4,FALSE()))," ")</f>
        <v xml:space="preserve"> </v>
      </c>
      <c r="L20" s="42" t="str">
        <f>IFERROR((VLOOKUP(F20,'Planilha de Cadastro - Previsão'!$A$2:$N$1100,12,FALSE()))," ")</f>
        <v xml:space="preserve"> </v>
      </c>
      <c r="M20" s="41" t="str">
        <f>IFERROR((IF(VLOOKUP(F20,'Planilha de Cadastro - Previsão'!$A$2:$N$1100,10,FALSE())="","",VLOOKUP(F20,'Planilha de Cadastro - Previsão'!$A$2:$N$1100,10,FALSE()))),"")</f>
        <v/>
      </c>
      <c r="N20" s="41" t="str">
        <f>IFERROR((IF(VLOOKUP(F20,'Planilha de Cadastro - Previsão'!$A$2:$N$1100,9,FALSE())="","",VLOOKUP(F20,'Planilha de Cadastro - Previsão'!$A$2:$N$1100,9,FALSE()))),"")</f>
        <v/>
      </c>
      <c r="O20" s="40" t="str">
        <f>IFERROR((IF(VLOOKUP(F20,'Planilha de Cadastro - Previsão'!$A$2:$N$1100,11,FALSE())="","",VLOOKUP(F20,'Planilha de Cadastro - Previsão'!$A$2:$N$1100,11,FALSE()))),"")</f>
        <v/>
      </c>
      <c r="P20" s="41" t="str">
        <f>IFERROR((IF(VLOOKUP(F20,'Acompanhamento da Licitação'!$F$2:$O$1000,10,FALSE())="","",VLOOKUP(F20,'Acompanhamento da Licitação'!$F$2:$O$1000,10,FALSE()))),"")</f>
        <v/>
      </c>
      <c r="R20" s="61" t="str">
        <f>IFERROR(IF(F20&gt;0,(Final[[#This Row],[Valor da Venda Real]]-Final[[#This Row],[Valor de Compra Previsto]]-4%*Final[[#This Row],[Valor da Venda Real]])/Final[[#This Row],[Valor da Venda Real]],""),"")</f>
        <v/>
      </c>
      <c r="S20" s="61" t="str">
        <f t="shared" si="3"/>
        <v/>
      </c>
      <c r="T20" s="23" t="str">
        <f>IFERROR((R20*Final[[#This Row],[Valor da Venda Real]]*Final[[#This Row],[Quantidade ]]*S20),"")</f>
        <v/>
      </c>
    </row>
    <row r="21" spans="1:20" ht="15.75" x14ac:dyDescent="0.2">
      <c r="A21">
        <f>COUNTIF($C$2:C21,C21)</f>
        <v>20</v>
      </c>
      <c r="B21" s="1" t="str">
        <f t="shared" si="2"/>
        <v>20</v>
      </c>
      <c r="C21" s="1" t="str">
        <f>IFERROR(VLOOKUP(D21,'Planilha de Cadastro - Previsão'!$A$2:$N$1000,14,FALSE()),"")</f>
        <v/>
      </c>
      <c r="D21" s="1">
        <v>20</v>
      </c>
      <c r="F21" s="40" t="str">
        <f t="shared" si="0"/>
        <v/>
      </c>
      <c r="G21" s="40" t="str">
        <f>IF(F21="","",'Prosposta Inicial'!$O$2)</f>
        <v/>
      </c>
      <c r="H21" s="40" t="str">
        <f t="shared" si="1"/>
        <v xml:space="preserve"> </v>
      </c>
      <c r="I21" s="41" t="str">
        <f>IFERROR((VLOOKUP(F21,'Planilha de Cadastro - Previsão'!$A$2:$N$1100,2,FALSE()))," ")</f>
        <v xml:space="preserve"> </v>
      </c>
      <c r="J21" s="40" t="str">
        <f>IFERROR((VLOOKUP(F21,'Planilha de Cadastro - Previsão'!$A$2:$N$1100,3,FALSE()))," ")</f>
        <v xml:space="preserve"> </v>
      </c>
      <c r="K21" s="23" t="str">
        <f>IFERROR((VLOOKUP(F21,'Planilha de Cadastro - Previsão'!$A$2:$N$1100,4,FALSE()))," ")</f>
        <v xml:space="preserve"> </v>
      </c>
      <c r="L21" s="42" t="str">
        <f>IFERROR((VLOOKUP(F21,'Planilha de Cadastro - Previsão'!$A$2:$N$1100,12,FALSE()))," ")</f>
        <v xml:space="preserve"> </v>
      </c>
      <c r="M21" s="41" t="str">
        <f>IFERROR((IF(VLOOKUP(F21,'Planilha de Cadastro - Previsão'!$A$2:$N$1100,10,FALSE())="","",VLOOKUP(F21,'Planilha de Cadastro - Previsão'!$A$2:$N$1100,10,FALSE()))),"")</f>
        <v/>
      </c>
      <c r="N21" s="41" t="str">
        <f>IFERROR((IF(VLOOKUP(F21,'Planilha de Cadastro - Previsão'!$A$2:$N$1100,9,FALSE())="","",VLOOKUP(F21,'Planilha de Cadastro - Previsão'!$A$2:$N$1100,9,FALSE()))),"")</f>
        <v/>
      </c>
      <c r="O21" s="40" t="str">
        <f>IFERROR((IF(VLOOKUP(F21,'Planilha de Cadastro - Previsão'!$A$2:$N$1100,11,FALSE())="","",VLOOKUP(F21,'Planilha de Cadastro - Previsão'!$A$2:$N$1100,11,FALSE()))),"")</f>
        <v/>
      </c>
      <c r="P21" s="41" t="str">
        <f>IFERROR((IF(VLOOKUP(F21,'Acompanhamento da Licitação'!$F$2:$O$1000,10,FALSE())="","",VLOOKUP(F21,'Acompanhamento da Licitação'!$F$2:$O$1000,10,FALSE()))),"")</f>
        <v/>
      </c>
      <c r="R21" s="61" t="str">
        <f>IFERROR(IF(F21&gt;0,(Final[[#This Row],[Valor da Venda Real]]-Final[[#This Row],[Valor de Compra Previsto]]-4%*Final[[#This Row],[Valor da Venda Real]])/Final[[#This Row],[Valor da Venda Real]],""),"")</f>
        <v/>
      </c>
      <c r="S21" s="61" t="str">
        <f t="shared" si="3"/>
        <v/>
      </c>
      <c r="T21" s="23" t="str">
        <f>IFERROR((R21*Final[[#This Row],[Valor da Venda Real]]*Final[[#This Row],[Quantidade ]]*S21),"")</f>
        <v/>
      </c>
    </row>
    <row r="22" spans="1:20" ht="15.75" x14ac:dyDescent="0.2">
      <c r="A22">
        <f>COUNTIF($C$2:C22,C22)</f>
        <v>21</v>
      </c>
      <c r="B22" s="1" t="str">
        <f t="shared" si="2"/>
        <v>21</v>
      </c>
      <c r="C22" s="1" t="str">
        <f>IFERROR(VLOOKUP(D22,'Planilha de Cadastro - Previsão'!$A$2:$N$1000,14,FALSE()),"")</f>
        <v/>
      </c>
      <c r="D22" s="1">
        <v>21</v>
      </c>
      <c r="F22" s="40" t="str">
        <f t="shared" si="0"/>
        <v/>
      </c>
      <c r="G22" s="40" t="str">
        <f>IF(F22="","",'Prosposta Inicial'!$O$2)</f>
        <v/>
      </c>
      <c r="H22" s="40" t="str">
        <f t="shared" si="1"/>
        <v xml:space="preserve"> </v>
      </c>
      <c r="I22" s="41" t="str">
        <f>IFERROR((VLOOKUP(F22,'Planilha de Cadastro - Previsão'!$A$2:$N$1100,2,FALSE()))," ")</f>
        <v xml:space="preserve"> </v>
      </c>
      <c r="J22" s="40" t="str">
        <f>IFERROR((VLOOKUP(F22,'Planilha de Cadastro - Previsão'!$A$2:$N$1100,3,FALSE()))," ")</f>
        <v xml:space="preserve"> </v>
      </c>
      <c r="K22" s="23" t="str">
        <f>IFERROR((VLOOKUP(F22,'Planilha de Cadastro - Previsão'!$A$2:$N$1100,4,FALSE()))," ")</f>
        <v xml:space="preserve"> </v>
      </c>
      <c r="L22" s="42" t="str">
        <f>IFERROR((VLOOKUP(F22,'Planilha de Cadastro - Previsão'!$A$2:$N$1100,12,FALSE()))," ")</f>
        <v xml:space="preserve"> </v>
      </c>
      <c r="M22" s="41" t="str">
        <f>IFERROR((IF(VLOOKUP(F22,'Planilha de Cadastro - Previsão'!$A$2:$N$1100,10,FALSE())="","",VLOOKUP(F22,'Planilha de Cadastro - Previsão'!$A$2:$N$1100,10,FALSE()))),"")</f>
        <v/>
      </c>
      <c r="N22" s="41" t="str">
        <f>IFERROR((IF(VLOOKUP(F22,'Planilha de Cadastro - Previsão'!$A$2:$N$1100,9,FALSE())="","",VLOOKUP(F22,'Planilha de Cadastro - Previsão'!$A$2:$N$1100,9,FALSE()))),"")</f>
        <v/>
      </c>
      <c r="O22" s="40" t="str">
        <f>IFERROR((IF(VLOOKUP(F22,'Planilha de Cadastro - Previsão'!$A$2:$N$1100,11,FALSE())="","",VLOOKUP(F22,'Planilha de Cadastro - Previsão'!$A$2:$N$1100,11,FALSE()))),"")</f>
        <v/>
      </c>
      <c r="P22" s="41" t="str">
        <f>IFERROR((IF(VLOOKUP(F22,'Acompanhamento da Licitação'!$F$2:$O$1000,10,FALSE())="","",VLOOKUP(F22,'Acompanhamento da Licitação'!$F$2:$O$1000,10,FALSE()))),"")</f>
        <v/>
      </c>
      <c r="R22" s="61" t="str">
        <f>IFERROR(IF(F22&gt;0,(Final[[#This Row],[Valor da Venda Real]]-Final[[#This Row],[Valor de Compra Previsto]]-4%*Final[[#This Row],[Valor da Venda Real]])/Final[[#This Row],[Valor da Venda Real]],""),"")</f>
        <v/>
      </c>
      <c r="S22" s="61" t="str">
        <f t="shared" si="3"/>
        <v/>
      </c>
      <c r="T22" s="23" t="str">
        <f>IFERROR((R22*Final[[#This Row],[Valor da Venda Real]]*Final[[#This Row],[Quantidade ]]*S22),"")</f>
        <v/>
      </c>
    </row>
    <row r="23" spans="1:20" ht="15.75" x14ac:dyDescent="0.2">
      <c r="A23">
        <f>COUNTIF($C$2:C23,C23)</f>
        <v>22</v>
      </c>
      <c r="B23" s="1" t="str">
        <f t="shared" si="2"/>
        <v>22</v>
      </c>
      <c r="C23" s="1" t="str">
        <f>IFERROR(VLOOKUP(D23,'Planilha de Cadastro - Previsão'!$A$2:$N$1000,14,FALSE()),"")</f>
        <v/>
      </c>
      <c r="D23" s="1">
        <v>22</v>
      </c>
      <c r="F23" s="40" t="str">
        <f t="shared" si="0"/>
        <v/>
      </c>
      <c r="G23" s="40" t="str">
        <f>IF(F23="","",'Prosposta Inicial'!$O$2)</f>
        <v/>
      </c>
      <c r="H23" s="40" t="str">
        <f t="shared" si="1"/>
        <v xml:space="preserve"> </v>
      </c>
      <c r="I23" s="41" t="str">
        <f>IFERROR((VLOOKUP(F23,'Planilha de Cadastro - Previsão'!$A$2:$N$1100,2,FALSE()))," ")</f>
        <v xml:space="preserve"> </v>
      </c>
      <c r="J23" s="40" t="str">
        <f>IFERROR((VLOOKUP(F23,'Planilha de Cadastro - Previsão'!$A$2:$N$1100,3,FALSE()))," ")</f>
        <v xml:space="preserve"> </v>
      </c>
      <c r="K23" s="23" t="str">
        <f>IFERROR((VLOOKUP(F23,'Planilha de Cadastro - Previsão'!$A$2:$N$1100,4,FALSE()))," ")</f>
        <v xml:space="preserve"> </v>
      </c>
      <c r="L23" s="42" t="str">
        <f>IFERROR((VLOOKUP(F23,'Planilha de Cadastro - Previsão'!$A$2:$N$1100,12,FALSE()))," ")</f>
        <v xml:space="preserve"> </v>
      </c>
      <c r="M23" s="41" t="str">
        <f>IFERROR((IF(VLOOKUP(F23,'Planilha de Cadastro - Previsão'!$A$2:$N$1100,10,FALSE())="","",VLOOKUP(F23,'Planilha de Cadastro - Previsão'!$A$2:$N$1100,10,FALSE()))),"")</f>
        <v/>
      </c>
      <c r="N23" s="41" t="str">
        <f>IFERROR((IF(VLOOKUP(F23,'Planilha de Cadastro - Previsão'!$A$2:$N$1100,9,FALSE())="","",VLOOKUP(F23,'Planilha de Cadastro - Previsão'!$A$2:$N$1100,9,FALSE()))),"")</f>
        <v/>
      </c>
      <c r="O23" s="40" t="str">
        <f>IFERROR((IF(VLOOKUP(F23,'Planilha de Cadastro - Previsão'!$A$2:$N$1100,11,FALSE())="","",VLOOKUP(F23,'Planilha de Cadastro - Previsão'!$A$2:$N$1100,11,FALSE()))),"")</f>
        <v/>
      </c>
      <c r="P23" s="41" t="str">
        <f>IFERROR((IF(VLOOKUP(F23,'Acompanhamento da Licitação'!$F$2:$O$1000,10,FALSE())="","",VLOOKUP(F23,'Acompanhamento da Licitação'!$F$2:$O$1000,10,FALSE()))),"")</f>
        <v/>
      </c>
      <c r="R23" s="61" t="str">
        <f>IFERROR(IF(F23&gt;0,(Final[[#This Row],[Valor da Venda Real]]-Final[[#This Row],[Valor de Compra Previsto]]-4%*Final[[#This Row],[Valor da Venda Real]])/Final[[#This Row],[Valor da Venda Real]],""),"")</f>
        <v/>
      </c>
      <c r="S23" s="61" t="str">
        <f t="shared" si="3"/>
        <v/>
      </c>
      <c r="T23" s="23" t="str">
        <f>IFERROR((R23*Final[[#This Row],[Valor da Venda Real]]*Final[[#This Row],[Quantidade ]]*S23),"")</f>
        <v/>
      </c>
    </row>
    <row r="24" spans="1:20" ht="15.75" x14ac:dyDescent="0.2">
      <c r="A24">
        <f>COUNTIF($C$2:C24,C24)</f>
        <v>23</v>
      </c>
      <c r="B24" s="1" t="str">
        <f t="shared" si="2"/>
        <v>23</v>
      </c>
      <c r="C24" s="1" t="str">
        <f>IFERROR(VLOOKUP(D24,'Planilha de Cadastro - Previsão'!$A$2:$N$1000,14,FALSE()),"")</f>
        <v/>
      </c>
      <c r="D24" s="1">
        <v>23</v>
      </c>
      <c r="F24" s="40" t="str">
        <f t="shared" si="0"/>
        <v/>
      </c>
      <c r="G24" s="40" t="str">
        <f>IF(F24="","",'Prosposta Inicial'!$O$2)</f>
        <v/>
      </c>
      <c r="H24" s="40" t="str">
        <f t="shared" si="1"/>
        <v xml:space="preserve"> </v>
      </c>
      <c r="I24" s="41" t="str">
        <f>IFERROR((VLOOKUP(F24,'Planilha de Cadastro - Previsão'!$A$2:$N$1100,2,FALSE()))," ")</f>
        <v xml:space="preserve"> </v>
      </c>
      <c r="J24" s="40" t="str">
        <f>IFERROR((VLOOKUP(F24,'Planilha de Cadastro - Previsão'!$A$2:$N$1100,3,FALSE()))," ")</f>
        <v xml:space="preserve"> </v>
      </c>
      <c r="K24" s="23" t="str">
        <f>IFERROR((VLOOKUP(F24,'Planilha de Cadastro - Previsão'!$A$2:$N$1100,4,FALSE()))," ")</f>
        <v xml:space="preserve"> </v>
      </c>
      <c r="L24" s="42" t="str">
        <f>IFERROR((VLOOKUP(F24,'Planilha de Cadastro - Previsão'!$A$2:$N$1100,12,FALSE()))," ")</f>
        <v xml:space="preserve"> </v>
      </c>
      <c r="M24" s="41" t="str">
        <f>IFERROR((IF(VLOOKUP(F24,'Planilha de Cadastro - Previsão'!$A$2:$N$1100,10,FALSE())="","",VLOOKUP(F24,'Planilha de Cadastro - Previsão'!$A$2:$N$1100,10,FALSE()))),"")</f>
        <v/>
      </c>
      <c r="N24" s="41" t="str">
        <f>IFERROR((IF(VLOOKUP(F24,'Planilha de Cadastro - Previsão'!$A$2:$N$1100,9,FALSE())="","",VLOOKUP(F24,'Planilha de Cadastro - Previsão'!$A$2:$N$1100,9,FALSE()))),"")</f>
        <v/>
      </c>
      <c r="O24" s="40" t="str">
        <f>IFERROR((IF(VLOOKUP(F24,'Planilha de Cadastro - Previsão'!$A$2:$N$1100,11,FALSE())="","",VLOOKUP(F24,'Planilha de Cadastro - Previsão'!$A$2:$N$1100,11,FALSE()))),"")</f>
        <v/>
      </c>
      <c r="P24" s="41" t="str">
        <f>IFERROR((IF(VLOOKUP(F24,'Acompanhamento da Licitação'!$F$2:$O$1000,10,FALSE())="","",VLOOKUP(F24,'Acompanhamento da Licitação'!$F$2:$O$1000,10,FALSE()))),"")</f>
        <v/>
      </c>
      <c r="R24" s="61" t="str">
        <f>IFERROR(IF(F24&gt;0,(Final[[#This Row],[Valor da Venda Real]]-Final[[#This Row],[Valor de Compra Previsto]]-4%*Final[[#This Row],[Valor da Venda Real]])/Final[[#This Row],[Valor da Venda Real]],""),"")</f>
        <v/>
      </c>
      <c r="S24" s="61" t="str">
        <f t="shared" si="3"/>
        <v/>
      </c>
      <c r="T24" s="23" t="str">
        <f>IFERROR((R24*Final[[#This Row],[Valor da Venda Real]]*Final[[#This Row],[Quantidade ]]*S24),"")</f>
        <v/>
      </c>
    </row>
    <row r="25" spans="1:20" ht="15.75" x14ac:dyDescent="0.2">
      <c r="A25">
        <f>COUNTIF($C$2:C25,C25)</f>
        <v>24</v>
      </c>
      <c r="B25" s="1" t="str">
        <f t="shared" si="2"/>
        <v>24</v>
      </c>
      <c r="C25" s="1" t="str">
        <f>IFERROR(VLOOKUP(D25,'Planilha de Cadastro - Previsão'!$A$2:$N$1000,14,FALSE()),"")</f>
        <v/>
      </c>
      <c r="D25" s="1">
        <v>24</v>
      </c>
      <c r="F25" s="40" t="str">
        <f t="shared" si="0"/>
        <v/>
      </c>
      <c r="G25" s="40" t="str">
        <f>IF(F25="","",'Prosposta Inicial'!$O$2)</f>
        <v/>
      </c>
      <c r="H25" s="40" t="str">
        <f t="shared" si="1"/>
        <v xml:space="preserve"> </v>
      </c>
      <c r="I25" s="41" t="str">
        <f>IFERROR((VLOOKUP(F25,'Planilha de Cadastro - Previsão'!$A$2:$N$1100,2,FALSE()))," ")</f>
        <v xml:space="preserve"> </v>
      </c>
      <c r="J25" s="40" t="str">
        <f>IFERROR((VLOOKUP(F25,'Planilha de Cadastro - Previsão'!$A$2:$N$1100,3,FALSE()))," ")</f>
        <v xml:space="preserve"> </v>
      </c>
      <c r="K25" s="23" t="str">
        <f>IFERROR((VLOOKUP(F25,'Planilha de Cadastro - Previsão'!$A$2:$N$1100,4,FALSE()))," ")</f>
        <v xml:space="preserve"> </v>
      </c>
      <c r="L25" s="42" t="str">
        <f>IFERROR((VLOOKUP(F25,'Planilha de Cadastro - Previsão'!$A$2:$N$1100,12,FALSE()))," ")</f>
        <v xml:space="preserve"> </v>
      </c>
      <c r="M25" s="41" t="str">
        <f>IFERROR((IF(VLOOKUP(F25,'Planilha de Cadastro - Previsão'!$A$2:$N$1100,10,FALSE())="","",VLOOKUP(F25,'Planilha de Cadastro - Previsão'!$A$2:$N$1100,10,FALSE()))),"")</f>
        <v/>
      </c>
      <c r="N25" s="41" t="str">
        <f>IFERROR((IF(VLOOKUP(F25,'Planilha de Cadastro - Previsão'!$A$2:$N$1100,9,FALSE())="","",VLOOKUP(F25,'Planilha de Cadastro - Previsão'!$A$2:$N$1100,9,FALSE()))),"")</f>
        <v/>
      </c>
      <c r="O25" s="40" t="str">
        <f>IFERROR((IF(VLOOKUP(F25,'Planilha de Cadastro - Previsão'!$A$2:$N$1100,11,FALSE())="","",VLOOKUP(F25,'Planilha de Cadastro - Previsão'!$A$2:$N$1100,11,FALSE()))),"")</f>
        <v/>
      </c>
      <c r="P25" s="41" t="str">
        <f>IFERROR((IF(VLOOKUP(F25,'Acompanhamento da Licitação'!$F$2:$O$1000,10,FALSE())="","",VLOOKUP(F25,'Acompanhamento da Licitação'!$F$2:$O$1000,10,FALSE()))),"")</f>
        <v/>
      </c>
      <c r="R25" s="61" t="str">
        <f>IFERROR(IF(F25&gt;0,(Final[[#This Row],[Valor da Venda Real]]-Final[[#This Row],[Valor de Compra Previsto]]-4%*Final[[#This Row],[Valor da Venda Real]])/Final[[#This Row],[Valor da Venda Real]],""),"")</f>
        <v/>
      </c>
      <c r="S25" s="61" t="str">
        <f t="shared" si="3"/>
        <v/>
      </c>
      <c r="T25" s="23" t="str">
        <f>IFERROR((R25*Final[[#This Row],[Valor da Venda Real]]*Final[[#This Row],[Quantidade ]]*S25),"")</f>
        <v/>
      </c>
    </row>
    <row r="26" spans="1:20" ht="15.75" x14ac:dyDescent="0.2">
      <c r="A26">
        <f>COUNTIF($C$2:C26,C26)</f>
        <v>25</v>
      </c>
      <c r="B26" s="1" t="str">
        <f t="shared" si="2"/>
        <v>25</v>
      </c>
      <c r="C26" s="1" t="str">
        <f>IFERROR(VLOOKUP(D26,'Planilha de Cadastro - Previsão'!$A$2:$N$1000,14,FALSE()),"")</f>
        <v/>
      </c>
      <c r="D26" s="1">
        <v>25</v>
      </c>
      <c r="F26" s="40" t="str">
        <f t="shared" si="0"/>
        <v/>
      </c>
      <c r="G26" s="40" t="str">
        <f>IF(F26="","",'Prosposta Inicial'!$O$2)</f>
        <v/>
      </c>
      <c r="H26" s="40" t="str">
        <f t="shared" si="1"/>
        <v xml:space="preserve"> </v>
      </c>
      <c r="I26" s="41" t="str">
        <f>IFERROR((VLOOKUP(F26,'Planilha de Cadastro - Previsão'!$A$2:$N$1100,2,FALSE()))," ")</f>
        <v xml:space="preserve"> </v>
      </c>
      <c r="J26" s="40" t="str">
        <f>IFERROR((VLOOKUP(F26,'Planilha de Cadastro - Previsão'!$A$2:$N$1100,3,FALSE()))," ")</f>
        <v xml:space="preserve"> </v>
      </c>
      <c r="K26" s="23" t="str">
        <f>IFERROR((VLOOKUP(F26,'Planilha de Cadastro - Previsão'!$A$2:$N$1100,4,FALSE()))," ")</f>
        <v xml:space="preserve"> </v>
      </c>
      <c r="L26" s="42" t="str">
        <f>IFERROR((VLOOKUP(F26,'Planilha de Cadastro - Previsão'!$A$2:$N$1100,12,FALSE()))," ")</f>
        <v xml:space="preserve"> </v>
      </c>
      <c r="M26" s="41" t="str">
        <f>IFERROR((IF(VLOOKUP(F26,'Planilha de Cadastro - Previsão'!$A$2:$N$1100,10,FALSE())="","",VLOOKUP(F26,'Planilha de Cadastro - Previsão'!$A$2:$N$1100,10,FALSE()))),"")</f>
        <v/>
      </c>
      <c r="N26" s="41" t="str">
        <f>IFERROR((IF(VLOOKUP(F26,'Planilha de Cadastro - Previsão'!$A$2:$N$1100,9,FALSE())="","",VLOOKUP(F26,'Planilha de Cadastro - Previsão'!$A$2:$N$1100,9,FALSE()))),"")</f>
        <v/>
      </c>
      <c r="O26" s="40" t="str">
        <f>IFERROR((IF(VLOOKUP(F26,'Planilha de Cadastro - Previsão'!$A$2:$N$1100,11,FALSE())="","",VLOOKUP(F26,'Planilha de Cadastro - Previsão'!$A$2:$N$1100,11,FALSE()))),"")</f>
        <v/>
      </c>
      <c r="P26" s="41" t="str">
        <f>IFERROR((IF(VLOOKUP(F26,'Acompanhamento da Licitação'!$F$2:$O$1000,10,FALSE())="","",VLOOKUP(F26,'Acompanhamento da Licitação'!$F$2:$O$1000,10,FALSE()))),"")</f>
        <v/>
      </c>
      <c r="R26" s="61" t="str">
        <f>IFERROR(IF(F26&gt;0,(Final[[#This Row],[Valor da Venda Real]]-Final[[#This Row],[Valor de Compra Previsto]]-4%*Final[[#This Row],[Valor da Venda Real]])/Final[[#This Row],[Valor da Venda Real]],""),"")</f>
        <v/>
      </c>
      <c r="S26" s="61" t="str">
        <f t="shared" si="3"/>
        <v/>
      </c>
      <c r="T26" s="23" t="str">
        <f>IFERROR((R26*Final[[#This Row],[Valor da Venda Real]]*Final[[#This Row],[Quantidade ]]*S26),"")</f>
        <v/>
      </c>
    </row>
    <row r="27" spans="1:20" ht="15.75" x14ac:dyDescent="0.2">
      <c r="A27">
        <f>COUNTIF($C$2:C27,C27)</f>
        <v>26</v>
      </c>
      <c r="B27" s="1" t="str">
        <f t="shared" si="2"/>
        <v>26</v>
      </c>
      <c r="C27" s="1" t="str">
        <f>IFERROR(VLOOKUP(D27,'Planilha de Cadastro - Previsão'!$A$2:$N$1000,14,FALSE()),"")</f>
        <v/>
      </c>
      <c r="D27" s="1">
        <v>26</v>
      </c>
      <c r="F27" s="40" t="str">
        <f t="shared" si="0"/>
        <v/>
      </c>
      <c r="G27" s="40" t="str">
        <f>IF(F27="","",'Prosposta Inicial'!$O$2)</f>
        <v/>
      </c>
      <c r="H27" s="40" t="str">
        <f t="shared" si="1"/>
        <v xml:space="preserve"> </v>
      </c>
      <c r="I27" s="41" t="str">
        <f>IFERROR((VLOOKUP(F27,'Planilha de Cadastro - Previsão'!$A$2:$N$1100,2,FALSE()))," ")</f>
        <v xml:space="preserve"> </v>
      </c>
      <c r="J27" s="40" t="str">
        <f>IFERROR((VLOOKUP(F27,'Planilha de Cadastro - Previsão'!$A$2:$N$1100,3,FALSE()))," ")</f>
        <v xml:space="preserve"> </v>
      </c>
      <c r="K27" s="23" t="str">
        <f>IFERROR((VLOOKUP(F27,'Planilha de Cadastro - Previsão'!$A$2:$N$1100,4,FALSE()))," ")</f>
        <v xml:space="preserve"> </v>
      </c>
      <c r="L27" s="42" t="str">
        <f>IFERROR((VLOOKUP(F27,'Planilha de Cadastro - Previsão'!$A$2:$N$1100,12,FALSE()))," ")</f>
        <v xml:space="preserve"> </v>
      </c>
      <c r="M27" s="41" t="str">
        <f>IFERROR((IF(VLOOKUP(F27,'Planilha de Cadastro - Previsão'!$A$2:$N$1100,10,FALSE())="","",VLOOKUP(F27,'Planilha de Cadastro - Previsão'!$A$2:$N$1100,10,FALSE()))),"")</f>
        <v/>
      </c>
      <c r="N27" s="41" t="str">
        <f>IFERROR((IF(VLOOKUP(F27,'Planilha de Cadastro - Previsão'!$A$2:$N$1100,9,FALSE())="","",VLOOKUP(F27,'Planilha de Cadastro - Previsão'!$A$2:$N$1100,9,FALSE()))),"")</f>
        <v/>
      </c>
      <c r="O27" s="40" t="str">
        <f>IFERROR((IF(VLOOKUP(F27,'Planilha de Cadastro - Previsão'!$A$2:$N$1100,11,FALSE())="","",VLOOKUP(F27,'Planilha de Cadastro - Previsão'!$A$2:$N$1100,11,FALSE()))),"")</f>
        <v/>
      </c>
      <c r="P27" s="41" t="str">
        <f>IFERROR((IF(VLOOKUP(F27,'Acompanhamento da Licitação'!$F$2:$O$1000,10,FALSE())="","",VLOOKUP(F27,'Acompanhamento da Licitação'!$F$2:$O$1000,10,FALSE()))),"")</f>
        <v/>
      </c>
      <c r="R27" s="61" t="str">
        <f>IFERROR(IF(F27&gt;0,(Final[[#This Row],[Valor da Venda Real]]-Final[[#This Row],[Valor de Compra Previsto]]-4%*Final[[#This Row],[Valor da Venda Real]])/Final[[#This Row],[Valor da Venda Real]],""),"")</f>
        <v/>
      </c>
      <c r="S27" s="61" t="str">
        <f t="shared" si="3"/>
        <v/>
      </c>
      <c r="T27" s="23" t="str">
        <f>IFERROR((R27*Final[[#This Row],[Valor da Venda Real]]*Final[[#This Row],[Quantidade ]]*S27),"")</f>
        <v/>
      </c>
    </row>
    <row r="28" spans="1:20" ht="15.75" x14ac:dyDescent="0.2">
      <c r="A28">
        <f>COUNTIF($C$2:C28,C28)</f>
        <v>27</v>
      </c>
      <c r="B28" s="1" t="str">
        <f t="shared" si="2"/>
        <v>27</v>
      </c>
      <c r="C28" s="1" t="str">
        <f>IFERROR(VLOOKUP(D28,'Planilha de Cadastro - Previsão'!$A$2:$N$1000,14,FALSE()),"")</f>
        <v/>
      </c>
      <c r="D28" s="1">
        <v>27</v>
      </c>
      <c r="F28" s="40" t="str">
        <f t="shared" si="0"/>
        <v/>
      </c>
      <c r="G28" s="40" t="str">
        <f>IF(F28="","",'Prosposta Inicial'!$O$2)</f>
        <v/>
      </c>
      <c r="H28" s="40" t="str">
        <f t="shared" si="1"/>
        <v xml:space="preserve"> </v>
      </c>
      <c r="I28" s="41" t="str">
        <f>IFERROR((VLOOKUP(F28,'Planilha de Cadastro - Previsão'!$A$2:$N$1100,2,FALSE()))," ")</f>
        <v xml:space="preserve"> </v>
      </c>
      <c r="J28" s="40" t="str">
        <f>IFERROR((VLOOKUP(F28,'Planilha de Cadastro - Previsão'!$A$2:$N$1100,3,FALSE()))," ")</f>
        <v xml:space="preserve"> </v>
      </c>
      <c r="K28" s="23" t="str">
        <f>IFERROR((VLOOKUP(F28,'Planilha de Cadastro - Previsão'!$A$2:$N$1100,4,FALSE()))," ")</f>
        <v xml:space="preserve"> </v>
      </c>
      <c r="L28" s="42" t="str">
        <f>IFERROR((VLOOKUP(F28,'Planilha de Cadastro - Previsão'!$A$2:$N$1100,12,FALSE()))," ")</f>
        <v xml:space="preserve"> </v>
      </c>
      <c r="M28" s="41" t="str">
        <f>IFERROR((IF(VLOOKUP(F28,'Planilha de Cadastro - Previsão'!$A$2:$N$1100,10,FALSE())="","",VLOOKUP(F28,'Planilha de Cadastro - Previsão'!$A$2:$N$1100,10,FALSE()))),"")</f>
        <v/>
      </c>
      <c r="N28" s="41" t="str">
        <f>IFERROR((IF(VLOOKUP(F28,'Planilha de Cadastro - Previsão'!$A$2:$N$1100,9,FALSE())="","",VLOOKUP(F28,'Planilha de Cadastro - Previsão'!$A$2:$N$1100,9,FALSE()))),"")</f>
        <v/>
      </c>
      <c r="O28" s="40" t="str">
        <f>IFERROR((IF(VLOOKUP(F28,'Planilha de Cadastro - Previsão'!$A$2:$N$1100,11,FALSE())="","",VLOOKUP(F28,'Planilha de Cadastro - Previsão'!$A$2:$N$1100,11,FALSE()))),"")</f>
        <v/>
      </c>
      <c r="P28" s="41" t="str">
        <f>IFERROR((IF(VLOOKUP(F28,'Acompanhamento da Licitação'!$F$2:$O$1000,10,FALSE())="","",VLOOKUP(F28,'Acompanhamento da Licitação'!$F$2:$O$1000,10,FALSE()))),"")</f>
        <v/>
      </c>
      <c r="R28" s="61" t="str">
        <f>IFERROR(IF(F28&gt;0,(Final[[#This Row],[Valor da Venda Real]]-Final[[#This Row],[Valor de Compra Previsto]]-4%*Final[[#This Row],[Valor da Venda Real]])/Final[[#This Row],[Valor da Venda Real]],""),"")</f>
        <v/>
      </c>
      <c r="S28" s="61" t="str">
        <f t="shared" si="3"/>
        <v/>
      </c>
      <c r="T28" s="23" t="str">
        <f>IFERROR((R28*Final[[#This Row],[Valor da Venda Real]]*Final[[#This Row],[Quantidade ]]*S28),"")</f>
        <v/>
      </c>
    </row>
    <row r="29" spans="1:20" ht="15.75" x14ac:dyDescent="0.2">
      <c r="A29">
        <f>COUNTIF($C$2:C29,C29)</f>
        <v>28</v>
      </c>
      <c r="B29" s="1" t="str">
        <f t="shared" si="2"/>
        <v>28</v>
      </c>
      <c r="C29" s="1" t="str">
        <f>IFERROR(VLOOKUP(D29,'Planilha de Cadastro - Previsão'!$A$2:$N$1000,14,FALSE()),"")</f>
        <v/>
      </c>
      <c r="D29" s="1">
        <v>28</v>
      </c>
      <c r="F29" s="40" t="str">
        <f t="shared" si="0"/>
        <v/>
      </c>
      <c r="G29" s="40" t="str">
        <f>IF(F29="","",'Prosposta Inicial'!$O$2)</f>
        <v/>
      </c>
      <c r="H29" s="40" t="str">
        <f t="shared" si="1"/>
        <v xml:space="preserve"> </v>
      </c>
      <c r="I29" s="41" t="str">
        <f>IFERROR((VLOOKUP(F29,'Planilha de Cadastro - Previsão'!$A$2:$N$1100,2,FALSE()))," ")</f>
        <v xml:space="preserve"> </v>
      </c>
      <c r="J29" s="40" t="str">
        <f>IFERROR((VLOOKUP(F29,'Planilha de Cadastro - Previsão'!$A$2:$N$1100,3,FALSE()))," ")</f>
        <v xml:space="preserve"> </v>
      </c>
      <c r="K29" s="23" t="str">
        <f>IFERROR((VLOOKUP(F29,'Planilha de Cadastro - Previsão'!$A$2:$N$1100,4,FALSE()))," ")</f>
        <v xml:space="preserve"> </v>
      </c>
      <c r="L29" s="42" t="str">
        <f>IFERROR((VLOOKUP(F29,'Planilha de Cadastro - Previsão'!$A$2:$N$1100,12,FALSE()))," ")</f>
        <v xml:space="preserve"> </v>
      </c>
      <c r="M29" s="41" t="str">
        <f>IFERROR((IF(VLOOKUP(F29,'Planilha de Cadastro - Previsão'!$A$2:$N$1100,10,FALSE())="","",VLOOKUP(F29,'Planilha de Cadastro - Previsão'!$A$2:$N$1100,10,FALSE()))),"")</f>
        <v/>
      </c>
      <c r="N29" s="41" t="str">
        <f>IFERROR((IF(VLOOKUP(F29,'Planilha de Cadastro - Previsão'!$A$2:$N$1100,9,FALSE())="","",VLOOKUP(F29,'Planilha de Cadastro - Previsão'!$A$2:$N$1100,9,FALSE()))),"")</f>
        <v/>
      </c>
      <c r="O29" s="40" t="str">
        <f>IFERROR((IF(VLOOKUP(F29,'Planilha de Cadastro - Previsão'!$A$2:$N$1100,11,FALSE())="","",VLOOKUP(F29,'Planilha de Cadastro - Previsão'!$A$2:$N$1100,11,FALSE()))),"")</f>
        <v/>
      </c>
      <c r="P29" s="41" t="str">
        <f>IFERROR((IF(VLOOKUP(F29,'Acompanhamento da Licitação'!$F$2:$O$1000,10,FALSE())="","",VLOOKUP(F29,'Acompanhamento da Licitação'!$F$2:$O$1000,10,FALSE()))),"")</f>
        <v/>
      </c>
      <c r="R29" s="61" t="str">
        <f>IFERROR(IF(F29&gt;0,(Final[[#This Row],[Valor da Venda Real]]-Final[[#This Row],[Valor de Compra Previsto]]-4%*Final[[#This Row],[Valor da Venda Real]])/Final[[#This Row],[Valor da Venda Real]],""),"")</f>
        <v/>
      </c>
      <c r="S29" s="61" t="str">
        <f t="shared" si="3"/>
        <v/>
      </c>
      <c r="T29" s="23" t="str">
        <f>IFERROR((R29*Final[[#This Row],[Valor da Venda Real]]*Final[[#This Row],[Quantidade ]]*S29),"")</f>
        <v/>
      </c>
    </row>
    <row r="30" spans="1:20" ht="15.75" x14ac:dyDescent="0.2">
      <c r="A30">
        <f>COUNTIF($C$2:C30,C30)</f>
        <v>29</v>
      </c>
      <c r="B30" s="1" t="str">
        <f t="shared" si="2"/>
        <v>29</v>
      </c>
      <c r="C30" s="1" t="str">
        <f>IFERROR(VLOOKUP(D30,'Planilha de Cadastro - Previsão'!$A$2:$N$1000,14,FALSE()),"")</f>
        <v/>
      </c>
      <c r="D30" s="1">
        <v>29</v>
      </c>
      <c r="F30" s="40" t="str">
        <f t="shared" si="0"/>
        <v/>
      </c>
      <c r="G30" s="40" t="str">
        <f>IF(F30="","",'Prosposta Inicial'!$O$2)</f>
        <v/>
      </c>
      <c r="H30" s="40" t="str">
        <f t="shared" si="1"/>
        <v xml:space="preserve"> </v>
      </c>
      <c r="I30" s="41" t="str">
        <f>IFERROR((VLOOKUP(F30,'Planilha de Cadastro - Previsão'!$A$2:$N$1100,2,FALSE()))," ")</f>
        <v xml:space="preserve"> </v>
      </c>
      <c r="J30" s="40" t="str">
        <f>IFERROR((VLOOKUP(F30,'Planilha de Cadastro - Previsão'!$A$2:$N$1100,3,FALSE()))," ")</f>
        <v xml:space="preserve"> </v>
      </c>
      <c r="K30" s="23" t="str">
        <f>IFERROR((VLOOKUP(F30,'Planilha de Cadastro - Previsão'!$A$2:$N$1100,4,FALSE()))," ")</f>
        <v xml:space="preserve"> </v>
      </c>
      <c r="L30" s="42" t="str">
        <f>IFERROR((VLOOKUP(F30,'Planilha de Cadastro - Previsão'!$A$2:$N$1100,12,FALSE()))," ")</f>
        <v xml:space="preserve"> </v>
      </c>
      <c r="M30" s="41" t="str">
        <f>IFERROR((IF(VLOOKUP(F30,'Planilha de Cadastro - Previsão'!$A$2:$N$1100,10,FALSE())="","",VLOOKUP(F30,'Planilha de Cadastro - Previsão'!$A$2:$N$1100,10,FALSE()))),"")</f>
        <v/>
      </c>
      <c r="N30" s="41" t="str">
        <f>IFERROR((IF(VLOOKUP(F30,'Planilha de Cadastro - Previsão'!$A$2:$N$1100,9,FALSE())="","",VLOOKUP(F30,'Planilha de Cadastro - Previsão'!$A$2:$N$1100,9,FALSE()))),"")</f>
        <v/>
      </c>
      <c r="O30" s="40" t="str">
        <f>IFERROR((IF(VLOOKUP(F30,'Planilha de Cadastro - Previsão'!$A$2:$N$1100,11,FALSE())="","",VLOOKUP(F30,'Planilha de Cadastro - Previsão'!$A$2:$N$1100,11,FALSE()))),"")</f>
        <v/>
      </c>
      <c r="P30" s="41" t="str">
        <f>IFERROR((IF(VLOOKUP(F30,'Acompanhamento da Licitação'!$F$2:$O$1000,10,FALSE())="","",VLOOKUP(F30,'Acompanhamento da Licitação'!$F$2:$O$1000,10,FALSE()))),"")</f>
        <v/>
      </c>
      <c r="R30" s="61" t="str">
        <f>IFERROR(IF(F30&gt;0,(Final[[#This Row],[Valor da Venda Real]]-Final[[#This Row],[Valor de Compra Previsto]]-4%*Final[[#This Row],[Valor da Venda Real]])/Final[[#This Row],[Valor da Venda Real]],""),"")</f>
        <v/>
      </c>
      <c r="S30" s="61" t="str">
        <f t="shared" si="3"/>
        <v/>
      </c>
      <c r="T30" s="23" t="str">
        <f>IFERROR((R30*Final[[#This Row],[Valor da Venda Real]]*Final[[#This Row],[Quantidade ]]*S30),"")</f>
        <v/>
      </c>
    </row>
    <row r="31" spans="1:20" ht="15.75" x14ac:dyDescent="0.2">
      <c r="A31">
        <f>COUNTIF($C$2:C31,C31)</f>
        <v>30</v>
      </c>
      <c r="B31" s="1" t="str">
        <f t="shared" si="2"/>
        <v>30</v>
      </c>
      <c r="C31" s="1" t="str">
        <f>IFERROR(VLOOKUP(D31,'Planilha de Cadastro - Previsão'!$A$2:$N$1000,14,FALSE()),"")</f>
        <v/>
      </c>
      <c r="D31" s="1">
        <v>30</v>
      </c>
      <c r="F31" s="40" t="str">
        <f t="shared" si="0"/>
        <v/>
      </c>
      <c r="G31" s="40" t="str">
        <f>IF(F31="","",'Prosposta Inicial'!$O$2)</f>
        <v/>
      </c>
      <c r="H31" s="40" t="str">
        <f t="shared" si="1"/>
        <v xml:space="preserve"> </v>
      </c>
      <c r="I31" s="41" t="str">
        <f>IFERROR((VLOOKUP(F31,'Planilha de Cadastro - Previsão'!$A$2:$N$1100,2,FALSE()))," ")</f>
        <v xml:space="preserve"> </v>
      </c>
      <c r="J31" s="40" t="str">
        <f>IFERROR((VLOOKUP(F31,'Planilha de Cadastro - Previsão'!$A$2:$N$1100,3,FALSE()))," ")</f>
        <v xml:space="preserve"> </v>
      </c>
      <c r="K31" s="23" t="str">
        <f>IFERROR((VLOOKUP(F31,'Planilha de Cadastro - Previsão'!$A$2:$N$1100,4,FALSE()))," ")</f>
        <v xml:space="preserve"> </v>
      </c>
      <c r="L31" s="42" t="str">
        <f>IFERROR((VLOOKUP(F31,'Planilha de Cadastro - Previsão'!$A$2:$N$1100,12,FALSE()))," ")</f>
        <v xml:space="preserve"> </v>
      </c>
      <c r="M31" s="41" t="str">
        <f>IFERROR((IF(VLOOKUP(F31,'Planilha de Cadastro - Previsão'!$A$2:$N$1100,10,FALSE())="","",VLOOKUP(F31,'Planilha de Cadastro - Previsão'!$A$2:$N$1100,10,FALSE()))),"")</f>
        <v/>
      </c>
      <c r="N31" s="41" t="str">
        <f>IFERROR((IF(VLOOKUP(F31,'Planilha de Cadastro - Previsão'!$A$2:$N$1100,9,FALSE())="","",VLOOKUP(F31,'Planilha de Cadastro - Previsão'!$A$2:$N$1100,9,FALSE()))),"")</f>
        <v/>
      </c>
      <c r="O31" s="40" t="str">
        <f>IFERROR((IF(VLOOKUP(F31,'Planilha de Cadastro - Previsão'!$A$2:$N$1100,11,FALSE())="","",VLOOKUP(F31,'Planilha de Cadastro - Previsão'!$A$2:$N$1100,11,FALSE()))),"")</f>
        <v/>
      </c>
      <c r="P31" s="41" t="str">
        <f>IFERROR((IF(VLOOKUP(F31,'Acompanhamento da Licitação'!$F$2:$O$1000,10,FALSE())="","",VLOOKUP(F31,'Acompanhamento da Licitação'!$F$2:$O$1000,10,FALSE()))),"")</f>
        <v/>
      </c>
      <c r="R31" s="61" t="str">
        <f>IFERROR(IF(F31&gt;0,(Final[[#This Row],[Valor da Venda Real]]-Final[[#This Row],[Valor de Compra Previsto]]-4%*Final[[#This Row],[Valor da Venda Real]])/Final[[#This Row],[Valor da Venda Real]],""),"")</f>
        <v/>
      </c>
      <c r="S31" s="61" t="str">
        <f t="shared" si="3"/>
        <v/>
      </c>
      <c r="T31" s="23" t="str">
        <f>IFERROR((R31*Final[[#This Row],[Valor da Venda Real]]*Final[[#This Row],[Quantidade ]]*S31),"")</f>
        <v/>
      </c>
    </row>
    <row r="32" spans="1:20" ht="15.75" x14ac:dyDescent="0.2">
      <c r="A32">
        <f>COUNTIF($C$2:C32,C32)</f>
        <v>31</v>
      </c>
      <c r="B32" s="1" t="str">
        <f t="shared" si="2"/>
        <v>31</v>
      </c>
      <c r="C32" s="1" t="str">
        <f>IFERROR(VLOOKUP(D32,'Planilha de Cadastro - Previsão'!$A$2:$N$1000,14,FALSE()),"")</f>
        <v/>
      </c>
      <c r="D32" s="1">
        <v>31</v>
      </c>
      <c r="F32" s="40" t="str">
        <f t="shared" si="0"/>
        <v/>
      </c>
      <c r="G32" s="40" t="str">
        <f>IF(F32="","",'Prosposta Inicial'!$O$2)</f>
        <v/>
      </c>
      <c r="H32" s="40" t="str">
        <f t="shared" si="1"/>
        <v xml:space="preserve"> </v>
      </c>
      <c r="I32" s="41" t="str">
        <f>IFERROR((VLOOKUP(F32,'Planilha de Cadastro - Previsão'!$A$2:$N$1100,2,FALSE()))," ")</f>
        <v xml:space="preserve"> </v>
      </c>
      <c r="J32" s="40" t="str">
        <f>IFERROR((VLOOKUP(F32,'Planilha de Cadastro - Previsão'!$A$2:$N$1100,3,FALSE()))," ")</f>
        <v xml:space="preserve"> </v>
      </c>
      <c r="K32" s="23" t="str">
        <f>IFERROR((VLOOKUP(F32,'Planilha de Cadastro - Previsão'!$A$2:$N$1100,4,FALSE()))," ")</f>
        <v xml:space="preserve"> </v>
      </c>
      <c r="L32" s="42" t="str">
        <f>IFERROR((VLOOKUP(F32,'Planilha de Cadastro - Previsão'!$A$2:$N$1100,12,FALSE()))," ")</f>
        <v xml:space="preserve"> </v>
      </c>
      <c r="M32" s="41" t="str">
        <f>IFERROR((IF(VLOOKUP(F32,'Planilha de Cadastro - Previsão'!$A$2:$N$1100,10,FALSE())="","",VLOOKUP(F32,'Planilha de Cadastro - Previsão'!$A$2:$N$1100,10,FALSE()))),"")</f>
        <v/>
      </c>
      <c r="N32" s="41" t="str">
        <f>IFERROR((IF(VLOOKUP(F32,'Planilha de Cadastro - Previsão'!$A$2:$N$1100,9,FALSE())="","",VLOOKUP(F32,'Planilha de Cadastro - Previsão'!$A$2:$N$1100,9,FALSE()))),"")</f>
        <v/>
      </c>
      <c r="O32" s="40" t="str">
        <f>IFERROR((IF(VLOOKUP(F32,'Planilha de Cadastro - Previsão'!$A$2:$N$1100,11,FALSE())="","",VLOOKUP(F32,'Planilha de Cadastro - Previsão'!$A$2:$N$1100,11,FALSE()))),"")</f>
        <v/>
      </c>
      <c r="P32" s="41" t="str">
        <f>IFERROR((IF(VLOOKUP(F32,'Acompanhamento da Licitação'!$F$2:$O$1000,10,FALSE())="","",VLOOKUP(F32,'Acompanhamento da Licitação'!$F$2:$O$1000,10,FALSE()))),"")</f>
        <v/>
      </c>
      <c r="R32" s="61" t="str">
        <f>IFERROR(IF(F32&gt;0,(Final[[#This Row],[Valor da Venda Real]]-Final[[#This Row],[Valor de Compra Previsto]]-4%*Final[[#This Row],[Valor da Venda Real]])/Final[[#This Row],[Valor da Venda Real]],""),"")</f>
        <v/>
      </c>
      <c r="S32" s="61" t="str">
        <f t="shared" si="3"/>
        <v/>
      </c>
      <c r="T32" s="23" t="str">
        <f>IFERROR((R32*Final[[#This Row],[Valor da Venda Real]]*Final[[#This Row],[Quantidade ]]*S32),"")</f>
        <v/>
      </c>
    </row>
    <row r="33" spans="1:20" ht="15.75" x14ac:dyDescent="0.2">
      <c r="A33">
        <f>COUNTIF($C$2:C33,C33)</f>
        <v>32</v>
      </c>
      <c r="B33" s="1" t="str">
        <f t="shared" si="2"/>
        <v>32</v>
      </c>
      <c r="C33" s="1" t="str">
        <f>IFERROR(VLOOKUP(D33,'Planilha de Cadastro - Previsão'!$A$2:$N$1000,14,FALSE()),"")</f>
        <v/>
      </c>
      <c r="D33" s="1">
        <v>32</v>
      </c>
      <c r="F33" s="40" t="str">
        <f t="shared" si="0"/>
        <v/>
      </c>
      <c r="G33" s="40" t="str">
        <f>IF(F33="","",'Prosposta Inicial'!$O$2)</f>
        <v/>
      </c>
      <c r="H33" s="40" t="str">
        <f t="shared" si="1"/>
        <v xml:space="preserve"> </v>
      </c>
      <c r="I33" s="41" t="str">
        <f>IFERROR((VLOOKUP(F33,'Planilha de Cadastro - Previsão'!$A$2:$N$1100,2,FALSE()))," ")</f>
        <v xml:space="preserve"> </v>
      </c>
      <c r="J33" s="40" t="str">
        <f>IFERROR((VLOOKUP(F33,'Planilha de Cadastro - Previsão'!$A$2:$N$1100,3,FALSE()))," ")</f>
        <v xml:space="preserve"> </v>
      </c>
      <c r="K33" s="23" t="str">
        <f>IFERROR((VLOOKUP(F33,'Planilha de Cadastro - Previsão'!$A$2:$N$1100,4,FALSE()))," ")</f>
        <v xml:space="preserve"> </v>
      </c>
      <c r="L33" s="42" t="str">
        <f>IFERROR((VLOOKUP(F33,'Planilha de Cadastro - Previsão'!$A$2:$N$1100,12,FALSE()))," ")</f>
        <v xml:space="preserve"> </v>
      </c>
      <c r="M33" s="41" t="str">
        <f>IFERROR((IF(VLOOKUP(F33,'Planilha de Cadastro - Previsão'!$A$2:$N$1100,10,FALSE())="","",VLOOKUP(F33,'Planilha de Cadastro - Previsão'!$A$2:$N$1100,10,FALSE()))),"")</f>
        <v/>
      </c>
      <c r="N33" s="41" t="str">
        <f>IFERROR((IF(VLOOKUP(F33,'Planilha de Cadastro - Previsão'!$A$2:$N$1100,9,FALSE())="","",VLOOKUP(F33,'Planilha de Cadastro - Previsão'!$A$2:$N$1100,9,FALSE()))),"")</f>
        <v/>
      </c>
      <c r="O33" s="40" t="str">
        <f>IFERROR((IF(VLOOKUP(F33,'Planilha de Cadastro - Previsão'!$A$2:$N$1100,11,FALSE())="","",VLOOKUP(F33,'Planilha de Cadastro - Previsão'!$A$2:$N$1100,11,FALSE()))),"")</f>
        <v/>
      </c>
      <c r="P33" s="41" t="str">
        <f>IFERROR((IF(VLOOKUP(F33,'Acompanhamento da Licitação'!$F$2:$O$1000,10,FALSE())="","",VLOOKUP(F33,'Acompanhamento da Licitação'!$F$2:$O$1000,10,FALSE()))),"")</f>
        <v/>
      </c>
      <c r="R33" s="61" t="str">
        <f>IFERROR(IF(F33&gt;0,(Final[[#This Row],[Valor da Venda Real]]-Final[[#This Row],[Valor de Compra Previsto]]-4%*Final[[#This Row],[Valor da Venda Real]])/Final[[#This Row],[Valor da Venda Real]],""),"")</f>
        <v/>
      </c>
      <c r="S33" s="61" t="str">
        <f t="shared" si="3"/>
        <v/>
      </c>
      <c r="T33" s="23" t="str">
        <f>IFERROR((R33*Final[[#This Row],[Valor da Venda Real]]*Final[[#This Row],[Quantidade ]]*S33),"")</f>
        <v/>
      </c>
    </row>
    <row r="34" spans="1:20" ht="15.75" x14ac:dyDescent="0.2">
      <c r="A34">
        <f>COUNTIF($C$2:C34,C34)</f>
        <v>33</v>
      </c>
      <c r="B34" s="1" t="str">
        <f t="shared" si="2"/>
        <v>33</v>
      </c>
      <c r="C34" s="1" t="str">
        <f>IFERROR(VLOOKUP(D34,'Planilha de Cadastro - Previsão'!$A$2:$N$1000,14,FALSE()),"")</f>
        <v/>
      </c>
      <c r="D34" s="1">
        <v>33</v>
      </c>
      <c r="F34" s="40" t="str">
        <f t="shared" si="0"/>
        <v/>
      </c>
      <c r="G34" s="40" t="str">
        <f>IF(F34="","",'Prosposta Inicial'!$O$2)</f>
        <v/>
      </c>
      <c r="H34" s="40" t="str">
        <f t="shared" ref="H34:H65" si="4">CONCATENATE(F34,G34,L34)</f>
        <v xml:space="preserve"> </v>
      </c>
      <c r="I34" s="41" t="str">
        <f>IFERROR((VLOOKUP(F34,'Planilha de Cadastro - Previsão'!$A$2:$N$1100,2,FALSE()))," ")</f>
        <v xml:space="preserve"> </v>
      </c>
      <c r="J34" s="40" t="str">
        <f>IFERROR((VLOOKUP(F34,'Planilha de Cadastro - Previsão'!$A$2:$N$1100,3,FALSE()))," ")</f>
        <v xml:space="preserve"> </v>
      </c>
      <c r="K34" s="23" t="str">
        <f>IFERROR((VLOOKUP(F34,'Planilha de Cadastro - Previsão'!$A$2:$N$1100,4,FALSE()))," ")</f>
        <v xml:space="preserve"> </v>
      </c>
      <c r="L34" s="42" t="str">
        <f>IFERROR((VLOOKUP(F34,'Planilha de Cadastro - Previsão'!$A$2:$N$1100,12,FALSE()))," ")</f>
        <v xml:space="preserve"> </v>
      </c>
      <c r="M34" s="41" t="str">
        <f>IFERROR((IF(VLOOKUP(F34,'Planilha de Cadastro - Previsão'!$A$2:$N$1100,10,FALSE())="","",VLOOKUP(F34,'Planilha de Cadastro - Previsão'!$A$2:$N$1100,10,FALSE()))),"")</f>
        <v/>
      </c>
      <c r="N34" s="41" t="str">
        <f>IFERROR((IF(VLOOKUP(F34,'Planilha de Cadastro - Previsão'!$A$2:$N$1100,9,FALSE())="","",VLOOKUP(F34,'Planilha de Cadastro - Previsão'!$A$2:$N$1100,9,FALSE()))),"")</f>
        <v/>
      </c>
      <c r="O34" s="40" t="str">
        <f>IFERROR((IF(VLOOKUP(F34,'Planilha de Cadastro - Previsão'!$A$2:$N$1100,11,FALSE())="","",VLOOKUP(F34,'Planilha de Cadastro - Previsão'!$A$2:$N$1100,11,FALSE()))),"")</f>
        <v/>
      </c>
      <c r="P34" s="41" t="str">
        <f>IFERROR((IF(VLOOKUP(F34,'Acompanhamento da Licitação'!$F$2:$O$1000,10,FALSE())="","",VLOOKUP(F34,'Acompanhamento da Licitação'!$F$2:$O$1000,10,FALSE()))),"")</f>
        <v/>
      </c>
      <c r="R34" s="61" t="str">
        <f>IFERROR(IF(F34&gt;0,(Final[[#This Row],[Valor da Venda Real]]-Final[[#This Row],[Valor de Compra Previsto]]-4%*Final[[#This Row],[Valor da Venda Real]])/Final[[#This Row],[Valor da Venda Real]],""),"")</f>
        <v/>
      </c>
      <c r="S34" s="61" t="str">
        <f t="shared" si="3"/>
        <v/>
      </c>
      <c r="T34" s="23" t="str">
        <f>IFERROR((R34*Final[[#This Row],[Valor da Venda Real]]*Final[[#This Row],[Quantidade ]]*S34),"")</f>
        <v/>
      </c>
    </row>
    <row r="35" spans="1:20" ht="15.75" x14ac:dyDescent="0.2">
      <c r="A35">
        <f>COUNTIF($C$2:C35,C35)</f>
        <v>34</v>
      </c>
      <c r="B35" s="1" t="str">
        <f t="shared" si="2"/>
        <v>34</v>
      </c>
      <c r="C35" s="1" t="str">
        <f>IFERROR(VLOOKUP(D35,'Planilha de Cadastro - Previsão'!$A$2:$N$1000,14,FALSE()),"")</f>
        <v/>
      </c>
      <c r="D35" s="1">
        <v>34</v>
      </c>
      <c r="F35" s="40" t="str">
        <f t="shared" si="0"/>
        <v/>
      </c>
      <c r="G35" s="40" t="str">
        <f>IF(F35="","",'Prosposta Inicial'!$O$2)</f>
        <v/>
      </c>
      <c r="H35" s="40" t="str">
        <f t="shared" si="4"/>
        <v xml:space="preserve"> </v>
      </c>
      <c r="I35" s="41" t="str">
        <f>IFERROR((VLOOKUP(F35,'Planilha de Cadastro - Previsão'!$A$2:$N$1100,2,FALSE()))," ")</f>
        <v xml:space="preserve"> </v>
      </c>
      <c r="J35" s="40" t="str">
        <f>IFERROR((VLOOKUP(F35,'Planilha de Cadastro - Previsão'!$A$2:$N$1100,3,FALSE()))," ")</f>
        <v xml:space="preserve"> </v>
      </c>
      <c r="K35" s="23" t="str">
        <f>IFERROR((VLOOKUP(F35,'Planilha de Cadastro - Previsão'!$A$2:$N$1100,4,FALSE()))," ")</f>
        <v xml:space="preserve"> </v>
      </c>
      <c r="L35" s="42" t="str">
        <f>IFERROR((VLOOKUP(F35,'Planilha de Cadastro - Previsão'!$A$2:$N$1100,12,FALSE()))," ")</f>
        <v xml:space="preserve"> </v>
      </c>
      <c r="M35" s="41" t="str">
        <f>IFERROR((IF(VLOOKUP(F35,'Planilha de Cadastro - Previsão'!$A$2:$N$1100,10,FALSE())="","",VLOOKUP(F35,'Planilha de Cadastro - Previsão'!$A$2:$N$1100,10,FALSE()))),"")</f>
        <v/>
      </c>
      <c r="N35" s="41" t="str">
        <f>IFERROR((IF(VLOOKUP(F35,'Planilha de Cadastro - Previsão'!$A$2:$N$1100,9,FALSE())="","",VLOOKUP(F35,'Planilha de Cadastro - Previsão'!$A$2:$N$1100,9,FALSE()))),"")</f>
        <v/>
      </c>
      <c r="O35" s="40" t="str">
        <f>IFERROR((IF(VLOOKUP(F35,'Planilha de Cadastro - Previsão'!$A$2:$N$1100,11,FALSE())="","",VLOOKUP(F35,'Planilha de Cadastro - Previsão'!$A$2:$N$1100,11,FALSE()))),"")</f>
        <v/>
      </c>
      <c r="P35" s="41" t="str">
        <f>IFERROR((IF(VLOOKUP(F35,'Acompanhamento da Licitação'!$F$2:$O$1000,10,FALSE())="","",VLOOKUP(F35,'Acompanhamento da Licitação'!$F$2:$O$1000,10,FALSE()))),"")</f>
        <v/>
      </c>
      <c r="R35" s="61" t="str">
        <f>IFERROR(IF(F35&gt;0,(Final[[#This Row],[Valor da Venda Real]]-Final[[#This Row],[Valor de Compra Previsto]]-4%*Final[[#This Row],[Valor da Venda Real]])/Final[[#This Row],[Valor da Venda Real]],""),"")</f>
        <v/>
      </c>
      <c r="S35" s="61" t="str">
        <f t="shared" si="3"/>
        <v/>
      </c>
      <c r="T35" s="23" t="str">
        <f>IFERROR((R35*Final[[#This Row],[Valor da Venda Real]]*Final[[#This Row],[Quantidade ]]*S35),"")</f>
        <v/>
      </c>
    </row>
    <row r="36" spans="1:20" ht="15.75" x14ac:dyDescent="0.2">
      <c r="A36">
        <f>COUNTIF($C$2:C36,C36)</f>
        <v>35</v>
      </c>
      <c r="B36" s="1" t="str">
        <f t="shared" si="2"/>
        <v>35</v>
      </c>
      <c r="C36" s="1" t="str">
        <f>IFERROR(VLOOKUP(D36,'Planilha de Cadastro - Previsão'!$A$2:$N$1000,14,FALSE()),"")</f>
        <v/>
      </c>
      <c r="D36" s="1">
        <v>35</v>
      </c>
      <c r="F36" s="40" t="str">
        <f t="shared" si="0"/>
        <v/>
      </c>
      <c r="G36" s="40" t="str">
        <f>IF(F36="","",'Prosposta Inicial'!$O$2)</f>
        <v/>
      </c>
      <c r="H36" s="40" t="str">
        <f t="shared" si="4"/>
        <v xml:space="preserve"> </v>
      </c>
      <c r="I36" s="41" t="str">
        <f>IFERROR((VLOOKUP(F36,'Planilha de Cadastro - Previsão'!$A$2:$N$1100,2,FALSE()))," ")</f>
        <v xml:space="preserve"> </v>
      </c>
      <c r="J36" s="40" t="str">
        <f>IFERROR((VLOOKUP(F36,'Planilha de Cadastro - Previsão'!$A$2:$N$1100,3,FALSE()))," ")</f>
        <v xml:space="preserve"> </v>
      </c>
      <c r="K36" s="23" t="str">
        <f>IFERROR((VLOOKUP(F36,'Planilha de Cadastro - Previsão'!$A$2:$N$1100,4,FALSE()))," ")</f>
        <v xml:space="preserve"> </v>
      </c>
      <c r="L36" s="42" t="str">
        <f>IFERROR((VLOOKUP(F36,'Planilha de Cadastro - Previsão'!$A$2:$N$1100,12,FALSE()))," ")</f>
        <v xml:space="preserve"> </v>
      </c>
      <c r="M36" s="41" t="str">
        <f>IFERROR((IF(VLOOKUP(F36,'Planilha de Cadastro - Previsão'!$A$2:$N$1100,10,FALSE())="","",VLOOKUP(F36,'Planilha de Cadastro - Previsão'!$A$2:$N$1100,10,FALSE()))),"")</f>
        <v/>
      </c>
      <c r="N36" s="41" t="str">
        <f>IFERROR((IF(VLOOKUP(F36,'Planilha de Cadastro - Previsão'!$A$2:$N$1100,9,FALSE())="","",VLOOKUP(F36,'Planilha de Cadastro - Previsão'!$A$2:$N$1100,9,FALSE()))),"")</f>
        <v/>
      </c>
      <c r="O36" s="40" t="str">
        <f>IFERROR((IF(VLOOKUP(F36,'Planilha de Cadastro - Previsão'!$A$2:$N$1100,11,FALSE())="","",VLOOKUP(F36,'Planilha de Cadastro - Previsão'!$A$2:$N$1100,11,FALSE()))),"")</f>
        <v/>
      </c>
      <c r="P36" s="41" t="str">
        <f>IFERROR((IF(VLOOKUP(F36,'Acompanhamento da Licitação'!$F$2:$O$1000,10,FALSE())="","",VLOOKUP(F36,'Acompanhamento da Licitação'!$F$2:$O$1000,10,FALSE()))),"")</f>
        <v/>
      </c>
      <c r="R36" s="61" t="str">
        <f>IFERROR(IF(F36&gt;0,(Final[[#This Row],[Valor da Venda Real]]-Final[[#This Row],[Valor de Compra Previsto]]-4%*Final[[#This Row],[Valor da Venda Real]])/Final[[#This Row],[Valor da Venda Real]],""),"")</f>
        <v/>
      </c>
      <c r="S36" s="61" t="str">
        <f t="shared" si="3"/>
        <v/>
      </c>
      <c r="T36" s="23" t="str">
        <f>IFERROR((R36*Final[[#This Row],[Valor da Venda Real]]*Final[[#This Row],[Quantidade ]]*S36),"")</f>
        <v/>
      </c>
    </row>
    <row r="37" spans="1:20" ht="15.75" x14ac:dyDescent="0.2">
      <c r="A37">
        <f>COUNTIF($C$2:C37,C37)</f>
        <v>36</v>
      </c>
      <c r="B37" s="1" t="str">
        <f t="shared" si="2"/>
        <v>36</v>
      </c>
      <c r="C37" s="1" t="str">
        <f>IFERROR(VLOOKUP(D37,'Planilha de Cadastro - Previsão'!$A$2:$N$1000,14,FALSE()),"")</f>
        <v/>
      </c>
      <c r="D37" s="1">
        <v>36</v>
      </c>
      <c r="F37" s="40" t="str">
        <f t="shared" si="0"/>
        <v/>
      </c>
      <c r="G37" s="40" t="str">
        <f>IF(F37="","",'Prosposta Inicial'!$O$2)</f>
        <v/>
      </c>
      <c r="H37" s="40" t="str">
        <f t="shared" si="4"/>
        <v xml:space="preserve"> </v>
      </c>
      <c r="I37" s="41" t="str">
        <f>IFERROR((VLOOKUP(F37,'Planilha de Cadastro - Previsão'!$A$2:$N$1100,2,FALSE()))," ")</f>
        <v xml:space="preserve"> </v>
      </c>
      <c r="J37" s="40" t="str">
        <f>IFERROR((VLOOKUP(F37,'Planilha de Cadastro - Previsão'!$A$2:$N$1100,3,FALSE()))," ")</f>
        <v xml:space="preserve"> </v>
      </c>
      <c r="K37" s="23" t="str">
        <f>IFERROR((VLOOKUP(F37,'Planilha de Cadastro - Previsão'!$A$2:$N$1100,4,FALSE()))," ")</f>
        <v xml:space="preserve"> </v>
      </c>
      <c r="L37" s="42" t="str">
        <f>IFERROR((VLOOKUP(F37,'Planilha de Cadastro - Previsão'!$A$2:$N$1100,12,FALSE()))," ")</f>
        <v xml:space="preserve"> </v>
      </c>
      <c r="M37" s="41" t="str">
        <f>IFERROR((IF(VLOOKUP(F37,'Planilha de Cadastro - Previsão'!$A$2:$N$1100,10,FALSE())="","",VLOOKUP(F37,'Planilha de Cadastro - Previsão'!$A$2:$N$1100,10,FALSE()))),"")</f>
        <v/>
      </c>
      <c r="N37" s="41" t="str">
        <f>IFERROR((IF(VLOOKUP(F37,'Planilha de Cadastro - Previsão'!$A$2:$N$1100,9,FALSE())="","",VLOOKUP(F37,'Planilha de Cadastro - Previsão'!$A$2:$N$1100,9,FALSE()))),"")</f>
        <v/>
      </c>
      <c r="O37" s="40" t="str">
        <f>IFERROR((IF(VLOOKUP(F37,'Planilha de Cadastro - Previsão'!$A$2:$N$1100,11,FALSE())="","",VLOOKUP(F37,'Planilha de Cadastro - Previsão'!$A$2:$N$1100,11,FALSE()))),"")</f>
        <v/>
      </c>
      <c r="P37" s="41" t="str">
        <f>IFERROR((IF(VLOOKUP(F37,'Acompanhamento da Licitação'!$F$2:$O$1000,10,FALSE())="","",VLOOKUP(F37,'Acompanhamento da Licitação'!$F$2:$O$1000,10,FALSE()))),"")</f>
        <v/>
      </c>
      <c r="R37" s="61" t="str">
        <f>IFERROR(IF(F37&gt;0,(Final[[#This Row],[Valor da Venda Real]]-Final[[#This Row],[Valor de Compra Previsto]]-4%*Final[[#This Row],[Valor da Venda Real]])/Final[[#This Row],[Valor da Venda Real]],""),"")</f>
        <v/>
      </c>
      <c r="S37" s="61" t="str">
        <f t="shared" si="3"/>
        <v/>
      </c>
      <c r="T37" s="23" t="str">
        <f>IFERROR((R37*Final[[#This Row],[Valor da Venda Real]]*Final[[#This Row],[Quantidade ]]*S37),"")</f>
        <v/>
      </c>
    </row>
    <row r="38" spans="1:20" ht="15.75" x14ac:dyDescent="0.2">
      <c r="A38">
        <f>COUNTIF($C$2:C38,C38)</f>
        <v>37</v>
      </c>
      <c r="B38" s="1" t="str">
        <f t="shared" si="2"/>
        <v>37</v>
      </c>
      <c r="C38" s="1" t="str">
        <f>IFERROR(VLOOKUP(D38,'Planilha de Cadastro - Previsão'!$A$2:$N$1000,14,FALSE()),"")</f>
        <v/>
      </c>
      <c r="D38" s="1">
        <v>37</v>
      </c>
      <c r="F38" s="40" t="str">
        <f t="shared" si="0"/>
        <v/>
      </c>
      <c r="G38" s="40" t="str">
        <f>IF(F38="","",'Prosposta Inicial'!$O$2)</f>
        <v/>
      </c>
      <c r="H38" s="40" t="str">
        <f t="shared" si="4"/>
        <v xml:space="preserve"> </v>
      </c>
      <c r="I38" s="41" t="str">
        <f>IFERROR((VLOOKUP(F38,'Planilha de Cadastro - Previsão'!$A$2:$N$1100,2,FALSE()))," ")</f>
        <v xml:space="preserve"> </v>
      </c>
      <c r="J38" s="40" t="str">
        <f>IFERROR((VLOOKUP(F38,'Planilha de Cadastro - Previsão'!$A$2:$N$1100,3,FALSE()))," ")</f>
        <v xml:space="preserve"> </v>
      </c>
      <c r="K38" s="23" t="str">
        <f>IFERROR((VLOOKUP(F38,'Planilha de Cadastro - Previsão'!$A$2:$N$1100,4,FALSE()))," ")</f>
        <v xml:space="preserve"> </v>
      </c>
      <c r="L38" s="42" t="str">
        <f>IFERROR((VLOOKUP(F38,'Planilha de Cadastro - Previsão'!$A$2:$N$1100,12,FALSE()))," ")</f>
        <v xml:space="preserve"> </v>
      </c>
      <c r="M38" s="41" t="str">
        <f>IFERROR((IF(VLOOKUP(F38,'Planilha de Cadastro - Previsão'!$A$2:$N$1100,10,FALSE())="","",VLOOKUP(F38,'Planilha de Cadastro - Previsão'!$A$2:$N$1100,10,FALSE()))),"")</f>
        <v/>
      </c>
      <c r="N38" s="41" t="str">
        <f>IFERROR((IF(VLOOKUP(F38,'Planilha de Cadastro - Previsão'!$A$2:$N$1100,9,FALSE())="","",VLOOKUP(F38,'Planilha de Cadastro - Previsão'!$A$2:$N$1100,9,FALSE()))),"")</f>
        <v/>
      </c>
      <c r="O38" s="40" t="str">
        <f>IFERROR((IF(VLOOKUP(F38,'Planilha de Cadastro - Previsão'!$A$2:$N$1100,11,FALSE())="","",VLOOKUP(F38,'Planilha de Cadastro - Previsão'!$A$2:$N$1100,11,FALSE()))),"")</f>
        <v/>
      </c>
      <c r="P38" s="41" t="str">
        <f>IFERROR((IF(VLOOKUP(F38,'Acompanhamento da Licitação'!$F$2:$O$1000,10,FALSE())="","",VLOOKUP(F38,'Acompanhamento da Licitação'!$F$2:$O$1000,10,FALSE()))),"")</f>
        <v/>
      </c>
      <c r="R38" s="61" t="str">
        <f>IFERROR(IF(F38&gt;0,(Final[[#This Row],[Valor da Venda Real]]-Final[[#This Row],[Valor de Compra Previsto]]-4%*Final[[#This Row],[Valor da Venda Real]])/Final[[#This Row],[Valor da Venda Real]],""),"")</f>
        <v/>
      </c>
      <c r="S38" s="61" t="str">
        <f t="shared" si="3"/>
        <v/>
      </c>
      <c r="T38" s="23" t="str">
        <f>IFERROR((R38*Final[[#This Row],[Valor da Venda Real]]*Final[[#This Row],[Quantidade ]]*S38),"")</f>
        <v/>
      </c>
    </row>
    <row r="39" spans="1:20" ht="15.75" x14ac:dyDescent="0.2">
      <c r="A39">
        <f>COUNTIF($C$2:C39,C39)</f>
        <v>38</v>
      </c>
      <c r="B39" s="1" t="str">
        <f t="shared" si="2"/>
        <v>38</v>
      </c>
      <c r="C39" s="1" t="str">
        <f>IFERROR(VLOOKUP(D39,'Planilha de Cadastro - Previsão'!$A$2:$N$1000,14,FALSE()),"")</f>
        <v/>
      </c>
      <c r="D39" s="1">
        <v>38</v>
      </c>
      <c r="F39" s="40" t="str">
        <f t="shared" si="0"/>
        <v/>
      </c>
      <c r="G39" s="40" t="str">
        <f>IF(F39="","",'Prosposta Inicial'!$O$2)</f>
        <v/>
      </c>
      <c r="H39" s="40" t="str">
        <f t="shared" si="4"/>
        <v xml:space="preserve"> </v>
      </c>
      <c r="I39" s="41" t="str">
        <f>IFERROR((VLOOKUP(F39,'Planilha de Cadastro - Previsão'!$A$2:$N$1100,2,FALSE()))," ")</f>
        <v xml:space="preserve"> </v>
      </c>
      <c r="J39" s="40" t="str">
        <f>IFERROR((VLOOKUP(F39,'Planilha de Cadastro - Previsão'!$A$2:$N$1100,3,FALSE()))," ")</f>
        <v xml:space="preserve"> </v>
      </c>
      <c r="K39" s="23" t="str">
        <f>IFERROR((VLOOKUP(F39,'Planilha de Cadastro - Previsão'!$A$2:$N$1100,4,FALSE()))," ")</f>
        <v xml:space="preserve"> </v>
      </c>
      <c r="L39" s="42" t="str">
        <f>IFERROR((VLOOKUP(F39,'Planilha de Cadastro - Previsão'!$A$2:$N$1100,12,FALSE()))," ")</f>
        <v xml:space="preserve"> </v>
      </c>
      <c r="M39" s="41" t="str">
        <f>IFERROR((IF(VLOOKUP(F39,'Planilha de Cadastro - Previsão'!$A$2:$N$1100,10,FALSE())="","",VLOOKUP(F39,'Planilha de Cadastro - Previsão'!$A$2:$N$1100,10,FALSE()))),"")</f>
        <v/>
      </c>
      <c r="N39" s="41" t="str">
        <f>IFERROR((IF(VLOOKUP(F39,'Planilha de Cadastro - Previsão'!$A$2:$N$1100,9,FALSE())="","",VLOOKUP(F39,'Planilha de Cadastro - Previsão'!$A$2:$N$1100,9,FALSE()))),"")</f>
        <v/>
      </c>
      <c r="O39" s="40" t="str">
        <f>IFERROR((IF(VLOOKUP(F39,'Planilha de Cadastro - Previsão'!$A$2:$N$1100,11,FALSE())="","",VLOOKUP(F39,'Planilha de Cadastro - Previsão'!$A$2:$N$1100,11,FALSE()))),"")</f>
        <v/>
      </c>
      <c r="P39" s="41" t="str">
        <f>IFERROR((IF(VLOOKUP(F39,'Acompanhamento da Licitação'!$F$2:$O$1000,10,FALSE())="","",VLOOKUP(F39,'Acompanhamento da Licitação'!$F$2:$O$1000,10,FALSE()))),"")</f>
        <v/>
      </c>
      <c r="R39" s="61" t="str">
        <f>IFERROR(IF(F39&gt;0,(Final[[#This Row],[Valor da Venda Real]]-Final[[#This Row],[Valor de Compra Previsto]]-4%*Final[[#This Row],[Valor da Venda Real]])/Final[[#This Row],[Valor da Venda Real]],""),"")</f>
        <v/>
      </c>
      <c r="S39" s="61" t="str">
        <f t="shared" si="3"/>
        <v/>
      </c>
      <c r="T39" s="23" t="str">
        <f>IFERROR((R39*Final[[#This Row],[Valor da Venda Real]]*Final[[#This Row],[Quantidade ]]*S39),"")</f>
        <v/>
      </c>
    </row>
    <row r="40" spans="1:20" ht="15.75" x14ac:dyDescent="0.2">
      <c r="A40">
        <f>COUNTIF($C$2:C40,C40)</f>
        <v>39</v>
      </c>
      <c r="B40" s="1" t="str">
        <f t="shared" si="2"/>
        <v>39</v>
      </c>
      <c r="C40" s="1" t="str">
        <f>IFERROR(VLOOKUP(D40,'Planilha de Cadastro - Previsão'!$A$2:$N$1000,14,FALSE()),"")</f>
        <v/>
      </c>
      <c r="D40" s="1">
        <v>39</v>
      </c>
      <c r="F40" s="40" t="str">
        <f t="shared" si="0"/>
        <v/>
      </c>
      <c r="G40" s="40" t="str">
        <f>IF(F40="","",'Prosposta Inicial'!$O$2)</f>
        <v/>
      </c>
      <c r="H40" s="40" t="str">
        <f t="shared" si="4"/>
        <v xml:space="preserve"> </v>
      </c>
      <c r="I40" s="41" t="str">
        <f>IFERROR((VLOOKUP(F40,'Planilha de Cadastro - Previsão'!$A$2:$N$1100,2,FALSE()))," ")</f>
        <v xml:space="preserve"> </v>
      </c>
      <c r="J40" s="40" t="str">
        <f>IFERROR((VLOOKUP(F40,'Planilha de Cadastro - Previsão'!$A$2:$N$1100,3,FALSE()))," ")</f>
        <v xml:space="preserve"> </v>
      </c>
      <c r="K40" s="23" t="str">
        <f>IFERROR((VLOOKUP(F40,'Planilha de Cadastro - Previsão'!$A$2:$N$1100,4,FALSE()))," ")</f>
        <v xml:space="preserve"> </v>
      </c>
      <c r="L40" s="42" t="str">
        <f>IFERROR((VLOOKUP(F40,'Planilha de Cadastro - Previsão'!$A$2:$N$1100,12,FALSE()))," ")</f>
        <v xml:space="preserve"> </v>
      </c>
      <c r="M40" s="41" t="str">
        <f>IFERROR((IF(VLOOKUP(F40,'Planilha de Cadastro - Previsão'!$A$2:$N$1100,10,FALSE())="","",VLOOKUP(F40,'Planilha de Cadastro - Previsão'!$A$2:$N$1100,10,FALSE()))),"")</f>
        <v/>
      </c>
      <c r="N40" s="41" t="str">
        <f>IFERROR((IF(VLOOKUP(F40,'Planilha de Cadastro - Previsão'!$A$2:$N$1100,9,FALSE())="","",VLOOKUP(F40,'Planilha de Cadastro - Previsão'!$A$2:$N$1100,9,FALSE()))),"")</f>
        <v/>
      </c>
      <c r="O40" s="40" t="str">
        <f>IFERROR((IF(VLOOKUP(F40,'Planilha de Cadastro - Previsão'!$A$2:$N$1100,11,FALSE())="","",VLOOKUP(F40,'Planilha de Cadastro - Previsão'!$A$2:$N$1100,11,FALSE()))),"")</f>
        <v/>
      </c>
      <c r="P40" s="41" t="str">
        <f>IFERROR((IF(VLOOKUP(F40,'Acompanhamento da Licitação'!$F$2:$O$1000,10,FALSE())="","",VLOOKUP(F40,'Acompanhamento da Licitação'!$F$2:$O$1000,10,FALSE()))),"")</f>
        <v/>
      </c>
      <c r="R40" s="61" t="str">
        <f>IFERROR(IF(F40&gt;0,(Final[[#This Row],[Valor da Venda Real]]-Final[[#This Row],[Valor de Compra Previsto]]-4%*Final[[#This Row],[Valor da Venda Real]])/Final[[#This Row],[Valor da Venda Real]],""),"")</f>
        <v/>
      </c>
      <c r="S40" s="61" t="str">
        <f t="shared" si="3"/>
        <v/>
      </c>
      <c r="T40" s="23" t="str">
        <f>IFERROR((R40*Final[[#This Row],[Valor da Venda Real]]*Final[[#This Row],[Quantidade ]]*S40),"")</f>
        <v/>
      </c>
    </row>
    <row r="41" spans="1:20" ht="15.75" x14ac:dyDescent="0.2">
      <c r="A41">
        <f>COUNTIF($C$2:C41,C41)</f>
        <v>40</v>
      </c>
      <c r="B41" s="1" t="str">
        <f t="shared" si="2"/>
        <v>40</v>
      </c>
      <c r="C41" s="1" t="str">
        <f>IFERROR(VLOOKUP(D41,'Planilha de Cadastro - Previsão'!$A$2:$N$1000,14,FALSE()),"")</f>
        <v/>
      </c>
      <c r="D41" s="1">
        <v>40</v>
      </c>
      <c r="F41" s="40" t="str">
        <f t="shared" si="0"/>
        <v/>
      </c>
      <c r="G41" s="40" t="str">
        <f>IF(F41="","",'Prosposta Inicial'!$O$2)</f>
        <v/>
      </c>
      <c r="H41" s="40" t="str">
        <f t="shared" si="4"/>
        <v xml:space="preserve"> </v>
      </c>
      <c r="I41" s="41" t="str">
        <f>IFERROR((VLOOKUP(F41,'Planilha de Cadastro - Previsão'!$A$2:$N$1100,2,FALSE()))," ")</f>
        <v xml:space="preserve"> </v>
      </c>
      <c r="J41" s="40" t="str">
        <f>IFERROR((VLOOKUP(F41,'Planilha de Cadastro - Previsão'!$A$2:$N$1100,3,FALSE()))," ")</f>
        <v xml:space="preserve"> </v>
      </c>
      <c r="K41" s="23" t="str">
        <f>IFERROR((VLOOKUP(F41,'Planilha de Cadastro - Previsão'!$A$2:$N$1100,4,FALSE()))," ")</f>
        <v xml:space="preserve"> </v>
      </c>
      <c r="L41" s="42" t="str">
        <f>IFERROR((VLOOKUP(F41,'Planilha de Cadastro - Previsão'!$A$2:$N$1100,12,FALSE()))," ")</f>
        <v xml:space="preserve"> </v>
      </c>
      <c r="M41" s="41" t="str">
        <f>IFERROR((IF(VLOOKUP(F41,'Planilha de Cadastro - Previsão'!$A$2:$N$1100,10,FALSE())="","",VLOOKUP(F41,'Planilha de Cadastro - Previsão'!$A$2:$N$1100,10,FALSE()))),"")</f>
        <v/>
      </c>
      <c r="N41" s="41" t="str">
        <f>IFERROR((IF(VLOOKUP(F41,'Planilha de Cadastro - Previsão'!$A$2:$N$1100,9,FALSE())="","",VLOOKUP(F41,'Planilha de Cadastro - Previsão'!$A$2:$N$1100,9,FALSE()))),"")</f>
        <v/>
      </c>
      <c r="O41" s="40" t="str">
        <f>IFERROR((IF(VLOOKUP(F41,'Planilha de Cadastro - Previsão'!$A$2:$N$1100,11,FALSE())="","",VLOOKUP(F41,'Planilha de Cadastro - Previsão'!$A$2:$N$1100,11,FALSE()))),"")</f>
        <v/>
      </c>
      <c r="P41" s="41" t="str">
        <f>IFERROR((IF(VLOOKUP(F41,'Acompanhamento da Licitação'!$F$2:$O$1000,10,FALSE())="","",VLOOKUP(F41,'Acompanhamento da Licitação'!$F$2:$O$1000,10,FALSE()))),"")</f>
        <v/>
      </c>
      <c r="R41" s="61" t="str">
        <f>IFERROR(IF(F41&gt;0,(Final[[#This Row],[Valor da Venda Real]]-Final[[#This Row],[Valor de Compra Previsto]]-4%*Final[[#This Row],[Valor da Venda Real]])/Final[[#This Row],[Valor da Venda Real]],""),"")</f>
        <v/>
      </c>
      <c r="S41" s="61" t="str">
        <f t="shared" si="3"/>
        <v/>
      </c>
      <c r="T41" s="23" t="str">
        <f>IFERROR((R41*Final[[#This Row],[Valor da Venda Real]]*Final[[#This Row],[Quantidade ]]*S41),"")</f>
        <v/>
      </c>
    </row>
    <row r="42" spans="1:20" ht="15.75" x14ac:dyDescent="0.2">
      <c r="A42">
        <f>COUNTIF($C$2:C42,C42)</f>
        <v>41</v>
      </c>
      <c r="B42" s="1" t="str">
        <f t="shared" si="2"/>
        <v>41</v>
      </c>
      <c r="C42" s="1" t="str">
        <f>IFERROR(VLOOKUP(D42,'Planilha de Cadastro - Previsão'!$A$2:$N$1000,14,FALSE()),"")</f>
        <v/>
      </c>
      <c r="D42" s="1">
        <v>41</v>
      </c>
      <c r="F42" s="40" t="str">
        <f t="shared" si="0"/>
        <v/>
      </c>
      <c r="G42" s="40" t="str">
        <f>IF(F42="","",'Prosposta Inicial'!$O$2)</f>
        <v/>
      </c>
      <c r="H42" s="40" t="str">
        <f t="shared" si="4"/>
        <v xml:space="preserve"> </v>
      </c>
      <c r="I42" s="41" t="str">
        <f>IFERROR((VLOOKUP(F42,'Planilha de Cadastro - Previsão'!$A$2:$N$1100,2,FALSE()))," ")</f>
        <v xml:space="preserve"> </v>
      </c>
      <c r="J42" s="40" t="str">
        <f>IFERROR((VLOOKUP(F42,'Planilha de Cadastro - Previsão'!$A$2:$N$1100,3,FALSE()))," ")</f>
        <v xml:space="preserve"> </v>
      </c>
      <c r="K42" s="23" t="str">
        <f>IFERROR((VLOOKUP(F42,'Planilha de Cadastro - Previsão'!$A$2:$N$1100,4,FALSE()))," ")</f>
        <v xml:space="preserve"> </v>
      </c>
      <c r="L42" s="42" t="str">
        <f>IFERROR((VLOOKUP(F42,'Planilha de Cadastro - Previsão'!$A$2:$N$1100,12,FALSE()))," ")</f>
        <v xml:space="preserve"> </v>
      </c>
      <c r="M42" s="41" t="str">
        <f>IFERROR((IF(VLOOKUP(F42,'Planilha de Cadastro - Previsão'!$A$2:$N$1100,10,FALSE())="","",VLOOKUP(F42,'Planilha de Cadastro - Previsão'!$A$2:$N$1100,10,FALSE()))),"")</f>
        <v/>
      </c>
      <c r="N42" s="41" t="str">
        <f>IFERROR((IF(VLOOKUP(F42,'Planilha de Cadastro - Previsão'!$A$2:$N$1100,9,FALSE())="","",VLOOKUP(F42,'Planilha de Cadastro - Previsão'!$A$2:$N$1100,9,FALSE()))),"")</f>
        <v/>
      </c>
      <c r="O42" s="40" t="str">
        <f>IFERROR((IF(VLOOKUP(F42,'Planilha de Cadastro - Previsão'!$A$2:$N$1100,11,FALSE())="","",VLOOKUP(F42,'Planilha de Cadastro - Previsão'!$A$2:$N$1100,11,FALSE()))),"")</f>
        <v/>
      </c>
      <c r="P42" s="41" t="str">
        <f>IFERROR((IF(VLOOKUP(F42,'Acompanhamento da Licitação'!$F$2:$O$1000,10,FALSE())="","",VLOOKUP(F42,'Acompanhamento da Licitação'!$F$2:$O$1000,10,FALSE()))),"")</f>
        <v/>
      </c>
      <c r="R42" s="61" t="str">
        <f>IFERROR(IF(F42&gt;0,(Final[[#This Row],[Valor da Venda Real]]-Final[[#This Row],[Valor de Compra Previsto]]-4%*Final[[#This Row],[Valor da Venda Real]])/Final[[#This Row],[Valor da Venda Real]],""),"")</f>
        <v/>
      </c>
      <c r="S42" s="61" t="str">
        <f t="shared" si="3"/>
        <v/>
      </c>
      <c r="T42" s="23" t="str">
        <f>IFERROR((R42*Final[[#This Row],[Valor da Venda Real]]*Final[[#This Row],[Quantidade ]]*S42),"")</f>
        <v/>
      </c>
    </row>
    <row r="43" spans="1:20" ht="15.75" x14ac:dyDescent="0.2">
      <c r="A43">
        <f>COUNTIF($C$2:C43,C43)</f>
        <v>42</v>
      </c>
      <c r="B43" s="1" t="str">
        <f t="shared" si="2"/>
        <v>42</v>
      </c>
      <c r="C43" s="1" t="str">
        <f>IFERROR(VLOOKUP(D43,'Planilha de Cadastro - Previsão'!$A$2:$N$1000,14,FALSE()),"")</f>
        <v/>
      </c>
      <c r="D43" s="1">
        <v>42</v>
      </c>
      <c r="F43" s="40" t="str">
        <f t="shared" si="0"/>
        <v/>
      </c>
      <c r="G43" s="40" t="str">
        <f>IF(F43="","",'Prosposta Inicial'!$O$2)</f>
        <v/>
      </c>
      <c r="H43" s="40" t="str">
        <f t="shared" si="4"/>
        <v xml:space="preserve"> </v>
      </c>
      <c r="I43" s="41" t="str">
        <f>IFERROR((VLOOKUP(F43,'Planilha de Cadastro - Previsão'!$A$2:$N$1100,2,FALSE()))," ")</f>
        <v xml:space="preserve"> </v>
      </c>
      <c r="J43" s="40" t="str">
        <f>IFERROR((VLOOKUP(F43,'Planilha de Cadastro - Previsão'!$A$2:$N$1100,3,FALSE()))," ")</f>
        <v xml:space="preserve"> </v>
      </c>
      <c r="K43" s="23" t="str">
        <f>IFERROR((VLOOKUP(F43,'Planilha de Cadastro - Previsão'!$A$2:$N$1100,4,FALSE()))," ")</f>
        <v xml:space="preserve"> </v>
      </c>
      <c r="L43" s="42" t="str">
        <f>IFERROR((VLOOKUP(F43,'Planilha de Cadastro - Previsão'!$A$2:$N$1100,12,FALSE()))," ")</f>
        <v xml:space="preserve"> </v>
      </c>
      <c r="M43" s="41" t="str">
        <f>IFERROR((IF(VLOOKUP(F43,'Planilha de Cadastro - Previsão'!$A$2:$N$1100,10,FALSE())="","",VLOOKUP(F43,'Planilha de Cadastro - Previsão'!$A$2:$N$1100,10,FALSE()))),"")</f>
        <v/>
      </c>
      <c r="N43" s="41" t="str">
        <f>IFERROR((IF(VLOOKUP(F43,'Planilha de Cadastro - Previsão'!$A$2:$N$1100,9,FALSE())="","",VLOOKUP(F43,'Planilha de Cadastro - Previsão'!$A$2:$N$1100,9,FALSE()))),"")</f>
        <v/>
      </c>
      <c r="O43" s="40" t="str">
        <f>IFERROR((IF(VLOOKUP(F43,'Planilha de Cadastro - Previsão'!$A$2:$N$1100,11,FALSE())="","",VLOOKUP(F43,'Planilha de Cadastro - Previsão'!$A$2:$N$1100,11,FALSE()))),"")</f>
        <v/>
      </c>
      <c r="P43" s="41" t="str">
        <f>IFERROR((IF(VLOOKUP(F43,'Acompanhamento da Licitação'!$F$2:$O$1000,10,FALSE())="","",VLOOKUP(F43,'Acompanhamento da Licitação'!$F$2:$O$1000,10,FALSE()))),"")</f>
        <v/>
      </c>
      <c r="R43" s="61" t="str">
        <f>IFERROR(IF(F43&gt;0,(Final[[#This Row],[Valor da Venda Real]]-Final[[#This Row],[Valor de Compra Previsto]]-4%*Final[[#This Row],[Valor da Venda Real]])/Final[[#This Row],[Valor da Venda Real]],""),"")</f>
        <v/>
      </c>
      <c r="S43" s="61" t="str">
        <f t="shared" si="3"/>
        <v/>
      </c>
      <c r="T43" s="23" t="str">
        <f>IFERROR((R43*Final[[#This Row],[Valor da Venda Real]]*Final[[#This Row],[Quantidade ]]*S43),"")</f>
        <v/>
      </c>
    </row>
    <row r="44" spans="1:20" ht="15.75" x14ac:dyDescent="0.2">
      <c r="A44">
        <f>COUNTIF($C$2:C44,C44)</f>
        <v>43</v>
      </c>
      <c r="B44" s="1" t="str">
        <f t="shared" si="2"/>
        <v>43</v>
      </c>
      <c r="C44" s="1" t="str">
        <f>IFERROR(VLOOKUP(D44,'Planilha de Cadastro - Previsão'!$A$2:$N$1000,14,FALSE()),"")</f>
        <v/>
      </c>
      <c r="D44" s="1">
        <v>43</v>
      </c>
      <c r="F44" s="40" t="str">
        <f t="shared" si="0"/>
        <v/>
      </c>
      <c r="G44" s="40" t="str">
        <f>IF(F44="","",'Prosposta Inicial'!$O$2)</f>
        <v/>
      </c>
      <c r="H44" s="40" t="str">
        <f t="shared" si="4"/>
        <v xml:space="preserve"> </v>
      </c>
      <c r="I44" s="41" t="str">
        <f>IFERROR((VLOOKUP(F44,'Planilha de Cadastro - Previsão'!$A$2:$N$1100,2,FALSE()))," ")</f>
        <v xml:space="preserve"> </v>
      </c>
      <c r="J44" s="40" t="str">
        <f>IFERROR((VLOOKUP(F44,'Planilha de Cadastro - Previsão'!$A$2:$N$1100,3,FALSE()))," ")</f>
        <v xml:space="preserve"> </v>
      </c>
      <c r="K44" s="23" t="str">
        <f>IFERROR((VLOOKUP(F44,'Planilha de Cadastro - Previsão'!$A$2:$N$1100,4,FALSE()))," ")</f>
        <v xml:space="preserve"> </v>
      </c>
      <c r="L44" s="42" t="str">
        <f>IFERROR((VLOOKUP(F44,'Planilha de Cadastro - Previsão'!$A$2:$N$1100,12,FALSE()))," ")</f>
        <v xml:space="preserve"> </v>
      </c>
      <c r="M44" s="41" t="str">
        <f>IFERROR((IF(VLOOKUP(F44,'Planilha de Cadastro - Previsão'!$A$2:$N$1100,10,FALSE())="","",VLOOKUP(F44,'Planilha de Cadastro - Previsão'!$A$2:$N$1100,10,FALSE()))),"")</f>
        <v/>
      </c>
      <c r="N44" s="41" t="str">
        <f>IFERROR((IF(VLOOKUP(F44,'Planilha de Cadastro - Previsão'!$A$2:$N$1100,9,FALSE())="","",VLOOKUP(F44,'Planilha de Cadastro - Previsão'!$A$2:$N$1100,9,FALSE()))),"")</f>
        <v/>
      </c>
      <c r="O44" s="40" t="str">
        <f>IFERROR((IF(VLOOKUP(F44,'Planilha de Cadastro - Previsão'!$A$2:$N$1100,11,FALSE())="","",VLOOKUP(F44,'Planilha de Cadastro - Previsão'!$A$2:$N$1100,11,FALSE()))),"")</f>
        <v/>
      </c>
      <c r="P44" s="41" t="str">
        <f>IFERROR((IF(VLOOKUP(F44,'Acompanhamento da Licitação'!$F$2:$O$1000,10,FALSE())="","",VLOOKUP(F44,'Acompanhamento da Licitação'!$F$2:$O$1000,10,FALSE()))),"")</f>
        <v/>
      </c>
      <c r="R44" s="61" t="str">
        <f>IFERROR(IF(F44&gt;0,(Final[[#This Row],[Valor da Venda Real]]-Final[[#This Row],[Valor de Compra Previsto]]-4%*Final[[#This Row],[Valor da Venda Real]])/Final[[#This Row],[Valor da Venda Real]],""),"")</f>
        <v/>
      </c>
      <c r="S44" s="61" t="str">
        <f t="shared" si="3"/>
        <v/>
      </c>
      <c r="T44" s="23" t="str">
        <f>IFERROR((R44*Final[[#This Row],[Valor da Venda Real]]*Final[[#This Row],[Quantidade ]]*S44),"")</f>
        <v/>
      </c>
    </row>
    <row r="45" spans="1:20" ht="15.75" x14ac:dyDescent="0.2">
      <c r="A45">
        <f>COUNTIF($C$2:C45,C45)</f>
        <v>44</v>
      </c>
      <c r="B45" s="1" t="str">
        <f t="shared" si="2"/>
        <v>44</v>
      </c>
      <c r="C45" s="1" t="str">
        <f>IFERROR(VLOOKUP(D45,'Planilha de Cadastro - Previsão'!$A$2:$N$1000,14,FALSE()),"")</f>
        <v/>
      </c>
      <c r="D45" s="1">
        <v>44</v>
      </c>
      <c r="F45" s="40" t="str">
        <f t="shared" si="0"/>
        <v/>
      </c>
      <c r="G45" s="40" t="str">
        <f>IF(F45="","",'Prosposta Inicial'!$O$2)</f>
        <v/>
      </c>
      <c r="H45" s="40" t="str">
        <f t="shared" si="4"/>
        <v xml:space="preserve"> </v>
      </c>
      <c r="I45" s="41" t="str">
        <f>IFERROR((VLOOKUP(F45,'Planilha de Cadastro - Previsão'!$A$2:$N$1100,2,FALSE()))," ")</f>
        <v xml:space="preserve"> </v>
      </c>
      <c r="J45" s="40" t="str">
        <f>IFERROR((VLOOKUP(F45,'Planilha de Cadastro - Previsão'!$A$2:$N$1100,3,FALSE()))," ")</f>
        <v xml:space="preserve"> </v>
      </c>
      <c r="K45" s="23" t="str">
        <f>IFERROR((VLOOKUP(F45,'Planilha de Cadastro - Previsão'!$A$2:$N$1100,4,FALSE()))," ")</f>
        <v xml:space="preserve"> </v>
      </c>
      <c r="L45" s="42" t="str">
        <f>IFERROR((VLOOKUP(F45,'Planilha de Cadastro - Previsão'!$A$2:$N$1100,12,FALSE()))," ")</f>
        <v xml:space="preserve"> </v>
      </c>
      <c r="M45" s="41" t="str">
        <f>IFERROR((IF(VLOOKUP(F45,'Planilha de Cadastro - Previsão'!$A$2:$N$1100,10,FALSE())="","",VLOOKUP(F45,'Planilha de Cadastro - Previsão'!$A$2:$N$1100,10,FALSE()))),"")</f>
        <v/>
      </c>
      <c r="N45" s="41" t="str">
        <f>IFERROR((IF(VLOOKUP(F45,'Planilha de Cadastro - Previsão'!$A$2:$N$1100,9,FALSE())="","",VLOOKUP(F45,'Planilha de Cadastro - Previsão'!$A$2:$N$1100,9,FALSE()))),"")</f>
        <v/>
      </c>
      <c r="O45" s="40" t="str">
        <f>IFERROR((IF(VLOOKUP(F45,'Planilha de Cadastro - Previsão'!$A$2:$N$1100,11,FALSE())="","",VLOOKUP(F45,'Planilha de Cadastro - Previsão'!$A$2:$N$1100,11,FALSE()))),"")</f>
        <v/>
      </c>
      <c r="P45" s="41" t="str">
        <f>IFERROR((IF(VLOOKUP(F45,'Acompanhamento da Licitação'!$F$2:$O$1000,10,FALSE())="","",VLOOKUP(F45,'Acompanhamento da Licitação'!$F$2:$O$1000,10,FALSE()))),"")</f>
        <v/>
      </c>
      <c r="R45" s="61" t="str">
        <f>IFERROR(IF(F45&gt;0,(Final[[#This Row],[Valor da Venda Real]]-Final[[#This Row],[Valor de Compra Previsto]]-4%*Final[[#This Row],[Valor da Venda Real]])/Final[[#This Row],[Valor da Venda Real]],""),"")</f>
        <v/>
      </c>
      <c r="S45" s="61" t="str">
        <f t="shared" si="3"/>
        <v/>
      </c>
      <c r="T45" s="23" t="str">
        <f>IFERROR((R45*Final[[#This Row],[Valor da Venda Real]]*Final[[#This Row],[Quantidade ]]*S45),"")</f>
        <v/>
      </c>
    </row>
    <row r="46" spans="1:20" ht="15.75" x14ac:dyDescent="0.2">
      <c r="A46">
        <f>COUNTIF($C$2:C46,C46)</f>
        <v>45</v>
      </c>
      <c r="B46" s="1" t="str">
        <f t="shared" si="2"/>
        <v>45</v>
      </c>
      <c r="C46" s="1" t="str">
        <f>IFERROR(VLOOKUP(D46,'Planilha de Cadastro - Previsão'!$A$2:$N$1000,14,FALSE()),"")</f>
        <v/>
      </c>
      <c r="D46" s="1">
        <v>45</v>
      </c>
      <c r="F46" s="40" t="str">
        <f t="shared" si="0"/>
        <v/>
      </c>
      <c r="G46" s="40" t="str">
        <f>IF(F46="","",'Prosposta Inicial'!$O$2)</f>
        <v/>
      </c>
      <c r="H46" s="40" t="str">
        <f t="shared" si="4"/>
        <v xml:space="preserve"> </v>
      </c>
      <c r="I46" s="41" t="str">
        <f>IFERROR((VLOOKUP(F46,'Planilha de Cadastro - Previsão'!$A$2:$N$1100,2,FALSE()))," ")</f>
        <v xml:space="preserve"> </v>
      </c>
      <c r="J46" s="40" t="str">
        <f>IFERROR((VLOOKUP(F46,'Planilha de Cadastro - Previsão'!$A$2:$N$1100,3,FALSE()))," ")</f>
        <v xml:space="preserve"> </v>
      </c>
      <c r="K46" s="23" t="str">
        <f>IFERROR((VLOOKUP(F46,'Planilha de Cadastro - Previsão'!$A$2:$N$1100,4,FALSE()))," ")</f>
        <v xml:space="preserve"> </v>
      </c>
      <c r="L46" s="42" t="str">
        <f>IFERROR((VLOOKUP(F46,'Planilha de Cadastro - Previsão'!$A$2:$N$1100,12,FALSE()))," ")</f>
        <v xml:space="preserve"> </v>
      </c>
      <c r="M46" s="41" t="str">
        <f>IFERROR((IF(VLOOKUP(F46,'Planilha de Cadastro - Previsão'!$A$2:$N$1100,10,FALSE())="","",VLOOKUP(F46,'Planilha de Cadastro - Previsão'!$A$2:$N$1100,10,FALSE()))),"")</f>
        <v/>
      </c>
      <c r="N46" s="41" t="str">
        <f>IFERROR((IF(VLOOKUP(F46,'Planilha de Cadastro - Previsão'!$A$2:$N$1100,9,FALSE())="","",VLOOKUP(F46,'Planilha de Cadastro - Previsão'!$A$2:$N$1100,9,FALSE()))),"")</f>
        <v/>
      </c>
      <c r="O46" s="40" t="str">
        <f>IFERROR((IF(VLOOKUP(F46,'Planilha de Cadastro - Previsão'!$A$2:$N$1100,11,FALSE())="","",VLOOKUP(F46,'Planilha de Cadastro - Previsão'!$A$2:$N$1100,11,FALSE()))),"")</f>
        <v/>
      </c>
      <c r="P46" s="41" t="str">
        <f>IFERROR((IF(VLOOKUP(F46,'Acompanhamento da Licitação'!$F$2:$O$1000,10,FALSE())="","",VLOOKUP(F46,'Acompanhamento da Licitação'!$F$2:$O$1000,10,FALSE()))),"")</f>
        <v/>
      </c>
      <c r="R46" s="61" t="str">
        <f>IFERROR(IF(F46&gt;0,(Final[[#This Row],[Valor da Venda Real]]-Final[[#This Row],[Valor de Compra Previsto]]-4%*Final[[#This Row],[Valor da Venda Real]])/Final[[#This Row],[Valor da Venda Real]],""),"")</f>
        <v/>
      </c>
      <c r="S46" s="61" t="str">
        <f t="shared" si="3"/>
        <v/>
      </c>
      <c r="T46" s="23" t="str">
        <f>IFERROR((R46*Final[[#This Row],[Valor da Venda Real]]*Final[[#This Row],[Quantidade ]]*S46),"")</f>
        <v/>
      </c>
    </row>
    <row r="47" spans="1:20" ht="15.75" x14ac:dyDescent="0.2">
      <c r="A47">
        <f>COUNTIF($C$2:C47,C47)</f>
        <v>46</v>
      </c>
      <c r="B47" s="1" t="str">
        <f t="shared" si="2"/>
        <v>46</v>
      </c>
      <c r="C47" s="1" t="str">
        <f>IFERROR(VLOOKUP(D47,'Planilha de Cadastro - Previsão'!$A$2:$N$1000,14,FALSE()),"")</f>
        <v/>
      </c>
      <c r="D47" s="1">
        <v>46</v>
      </c>
      <c r="F47" s="40" t="str">
        <f t="shared" si="0"/>
        <v/>
      </c>
      <c r="G47" s="40" t="str">
        <f>IF(F47="","",'Prosposta Inicial'!$O$2)</f>
        <v/>
      </c>
      <c r="H47" s="40" t="str">
        <f t="shared" si="4"/>
        <v xml:space="preserve"> </v>
      </c>
      <c r="I47" s="41" t="str">
        <f>IFERROR((VLOOKUP(F47,'Planilha de Cadastro - Previsão'!$A$2:$N$1100,2,FALSE()))," ")</f>
        <v xml:space="preserve"> </v>
      </c>
      <c r="J47" s="40" t="str">
        <f>IFERROR((VLOOKUP(F47,'Planilha de Cadastro - Previsão'!$A$2:$N$1100,3,FALSE()))," ")</f>
        <v xml:space="preserve"> </v>
      </c>
      <c r="K47" s="23" t="str">
        <f>IFERROR((VLOOKUP(F47,'Planilha de Cadastro - Previsão'!$A$2:$N$1100,4,FALSE()))," ")</f>
        <v xml:space="preserve"> </v>
      </c>
      <c r="L47" s="42" t="str">
        <f>IFERROR((VLOOKUP(F47,'Planilha de Cadastro - Previsão'!$A$2:$N$1100,12,FALSE()))," ")</f>
        <v xml:space="preserve"> </v>
      </c>
      <c r="M47" s="41" t="str">
        <f>IFERROR((IF(VLOOKUP(F47,'Planilha de Cadastro - Previsão'!$A$2:$N$1100,10,FALSE())="","",VLOOKUP(F47,'Planilha de Cadastro - Previsão'!$A$2:$N$1100,10,FALSE()))),"")</f>
        <v/>
      </c>
      <c r="N47" s="41" t="str">
        <f>IFERROR((IF(VLOOKUP(F47,'Planilha de Cadastro - Previsão'!$A$2:$N$1100,9,FALSE())="","",VLOOKUP(F47,'Planilha de Cadastro - Previsão'!$A$2:$N$1100,9,FALSE()))),"")</f>
        <v/>
      </c>
      <c r="O47" s="40" t="str">
        <f>IFERROR((IF(VLOOKUP(F47,'Planilha de Cadastro - Previsão'!$A$2:$N$1100,11,FALSE())="","",VLOOKUP(F47,'Planilha de Cadastro - Previsão'!$A$2:$N$1100,11,FALSE()))),"")</f>
        <v/>
      </c>
      <c r="P47" s="41" t="str">
        <f>IFERROR((IF(VLOOKUP(F47,'Acompanhamento da Licitação'!$F$2:$O$1000,10,FALSE())="","",VLOOKUP(F47,'Acompanhamento da Licitação'!$F$2:$O$1000,10,FALSE()))),"")</f>
        <v/>
      </c>
      <c r="R47" s="61" t="str">
        <f>IFERROR(IF(F47&gt;0,(Final[[#This Row],[Valor da Venda Real]]-Final[[#This Row],[Valor de Compra Previsto]]-4%*Final[[#This Row],[Valor da Venda Real]])/Final[[#This Row],[Valor da Venda Real]],""),"")</f>
        <v/>
      </c>
      <c r="S47" s="61" t="str">
        <f t="shared" si="3"/>
        <v/>
      </c>
      <c r="T47" s="23" t="str">
        <f>IFERROR((R47*Final[[#This Row],[Valor da Venda Real]]*Final[[#This Row],[Quantidade ]]*S47),"")</f>
        <v/>
      </c>
    </row>
    <row r="48" spans="1:20" ht="15.75" x14ac:dyDescent="0.2">
      <c r="A48">
        <f>COUNTIF($C$2:C48,C48)</f>
        <v>47</v>
      </c>
      <c r="B48" s="1" t="str">
        <f t="shared" si="2"/>
        <v>47</v>
      </c>
      <c r="C48" s="1" t="str">
        <f>IFERROR(VLOOKUP(D48,'Planilha de Cadastro - Previsão'!$A$2:$N$1000,14,FALSE()),"")</f>
        <v/>
      </c>
      <c r="D48" s="1">
        <v>47</v>
      </c>
      <c r="F48" s="40" t="str">
        <f t="shared" si="0"/>
        <v/>
      </c>
      <c r="G48" s="40" t="str">
        <f>IF(F48="","",'Prosposta Inicial'!$O$2)</f>
        <v/>
      </c>
      <c r="H48" s="40" t="str">
        <f t="shared" si="4"/>
        <v xml:space="preserve"> </v>
      </c>
      <c r="I48" s="41" t="str">
        <f>IFERROR((VLOOKUP(F48,'Planilha de Cadastro - Previsão'!$A$2:$N$1100,2,FALSE()))," ")</f>
        <v xml:space="preserve"> </v>
      </c>
      <c r="J48" s="40" t="str">
        <f>IFERROR((VLOOKUP(F48,'Planilha de Cadastro - Previsão'!$A$2:$N$1100,3,FALSE()))," ")</f>
        <v xml:space="preserve"> </v>
      </c>
      <c r="K48" s="23" t="str">
        <f>IFERROR((VLOOKUP(F48,'Planilha de Cadastro - Previsão'!$A$2:$N$1100,4,FALSE()))," ")</f>
        <v xml:space="preserve"> </v>
      </c>
      <c r="L48" s="42" t="str">
        <f>IFERROR((VLOOKUP(F48,'Planilha de Cadastro - Previsão'!$A$2:$N$1100,12,FALSE()))," ")</f>
        <v xml:space="preserve"> </v>
      </c>
      <c r="M48" s="41" t="str">
        <f>IFERROR((IF(VLOOKUP(F48,'Planilha de Cadastro - Previsão'!$A$2:$N$1100,10,FALSE())="","",VLOOKUP(F48,'Planilha de Cadastro - Previsão'!$A$2:$N$1100,10,FALSE()))),"")</f>
        <v/>
      </c>
      <c r="N48" s="41" t="str">
        <f>IFERROR((IF(VLOOKUP(F48,'Planilha de Cadastro - Previsão'!$A$2:$N$1100,9,FALSE())="","",VLOOKUP(F48,'Planilha de Cadastro - Previsão'!$A$2:$N$1100,9,FALSE()))),"")</f>
        <v/>
      </c>
      <c r="O48" s="40" t="str">
        <f>IFERROR((IF(VLOOKUP(F48,'Planilha de Cadastro - Previsão'!$A$2:$N$1100,11,FALSE())="","",VLOOKUP(F48,'Planilha de Cadastro - Previsão'!$A$2:$N$1100,11,FALSE()))),"")</f>
        <v/>
      </c>
      <c r="P48" s="41" t="str">
        <f>IFERROR((IF(VLOOKUP(F48,'Acompanhamento da Licitação'!$F$2:$O$1000,10,FALSE())="","",VLOOKUP(F48,'Acompanhamento da Licitação'!$F$2:$O$1000,10,FALSE()))),"")</f>
        <v/>
      </c>
      <c r="R48" s="61" t="str">
        <f>IFERROR(IF(F48&gt;0,(Final[[#This Row],[Valor da Venda Real]]-Final[[#This Row],[Valor de Compra Previsto]]-4%*Final[[#This Row],[Valor da Venda Real]])/Final[[#This Row],[Valor da Venda Real]],""),"")</f>
        <v/>
      </c>
      <c r="S48" s="61" t="str">
        <f t="shared" si="3"/>
        <v/>
      </c>
      <c r="T48" s="23" t="str">
        <f>IFERROR((R48*Final[[#This Row],[Valor da Venda Real]]*Final[[#This Row],[Quantidade ]]*S48),"")</f>
        <v/>
      </c>
    </row>
    <row r="49" spans="1:20" ht="15.75" x14ac:dyDescent="0.2">
      <c r="A49">
        <f>COUNTIF($C$2:C49,C49)</f>
        <v>48</v>
      </c>
      <c r="B49" s="1" t="str">
        <f t="shared" si="2"/>
        <v>48</v>
      </c>
      <c r="C49" s="1" t="str">
        <f>IFERROR(VLOOKUP(D49,'Planilha de Cadastro - Previsão'!$A$2:$N$1000,14,FALSE()),"")</f>
        <v/>
      </c>
      <c r="D49" s="1">
        <v>48</v>
      </c>
      <c r="F49" s="40" t="str">
        <f t="shared" si="0"/>
        <v/>
      </c>
      <c r="G49" s="40" t="str">
        <f>IF(F49="","",'Prosposta Inicial'!$O$2)</f>
        <v/>
      </c>
      <c r="H49" s="40" t="str">
        <f t="shared" si="4"/>
        <v xml:space="preserve"> </v>
      </c>
      <c r="I49" s="41" t="str">
        <f>IFERROR((VLOOKUP(F49,'Planilha de Cadastro - Previsão'!$A$2:$N$1100,2,FALSE()))," ")</f>
        <v xml:space="preserve"> </v>
      </c>
      <c r="J49" s="40" t="str">
        <f>IFERROR((VLOOKUP(F49,'Planilha de Cadastro - Previsão'!$A$2:$N$1100,3,FALSE()))," ")</f>
        <v xml:space="preserve"> </v>
      </c>
      <c r="K49" s="23" t="str">
        <f>IFERROR((VLOOKUP(F49,'Planilha de Cadastro - Previsão'!$A$2:$N$1100,4,FALSE()))," ")</f>
        <v xml:space="preserve"> </v>
      </c>
      <c r="L49" s="42" t="str">
        <f>IFERROR((VLOOKUP(F49,'Planilha de Cadastro - Previsão'!$A$2:$N$1100,12,FALSE()))," ")</f>
        <v xml:space="preserve"> </v>
      </c>
      <c r="M49" s="41" t="str">
        <f>IFERROR((IF(VLOOKUP(F49,'Planilha de Cadastro - Previsão'!$A$2:$N$1100,10,FALSE())="","",VLOOKUP(F49,'Planilha de Cadastro - Previsão'!$A$2:$N$1100,10,FALSE()))),"")</f>
        <v/>
      </c>
      <c r="N49" s="41" t="str">
        <f>IFERROR((IF(VLOOKUP(F49,'Planilha de Cadastro - Previsão'!$A$2:$N$1100,9,FALSE())="","",VLOOKUP(F49,'Planilha de Cadastro - Previsão'!$A$2:$N$1100,9,FALSE()))),"")</f>
        <v/>
      </c>
      <c r="O49" s="40" t="str">
        <f>IFERROR((IF(VLOOKUP(F49,'Planilha de Cadastro - Previsão'!$A$2:$N$1100,11,FALSE())="","",VLOOKUP(F49,'Planilha de Cadastro - Previsão'!$A$2:$N$1100,11,FALSE()))),"")</f>
        <v/>
      </c>
      <c r="P49" s="41" t="str">
        <f>IFERROR((IF(VLOOKUP(F49,'Acompanhamento da Licitação'!$F$2:$O$1000,10,FALSE())="","",VLOOKUP(F49,'Acompanhamento da Licitação'!$F$2:$O$1000,10,FALSE()))),"")</f>
        <v/>
      </c>
      <c r="R49" s="61" t="str">
        <f>IFERROR(IF(F49&gt;0,(Final[[#This Row],[Valor da Venda Real]]-Final[[#This Row],[Valor de Compra Previsto]]-4%*Final[[#This Row],[Valor da Venda Real]])/Final[[#This Row],[Valor da Venda Real]],""),"")</f>
        <v/>
      </c>
      <c r="S49" s="61" t="str">
        <f t="shared" si="3"/>
        <v/>
      </c>
      <c r="T49" s="23" t="str">
        <f>IFERROR((R49*Final[[#This Row],[Valor da Venda Real]]*Final[[#This Row],[Quantidade ]]*S49),"")</f>
        <v/>
      </c>
    </row>
    <row r="50" spans="1:20" ht="15.75" x14ac:dyDescent="0.2">
      <c r="A50">
        <f>COUNTIF($C$2:C50,C50)</f>
        <v>49</v>
      </c>
      <c r="B50" s="1" t="str">
        <f t="shared" si="2"/>
        <v>49</v>
      </c>
      <c r="C50" s="1" t="str">
        <f>IFERROR(VLOOKUP(D50,'Planilha de Cadastro - Previsão'!$A$2:$N$1000,14,FALSE()),"")</f>
        <v/>
      </c>
      <c r="D50" s="1">
        <v>49</v>
      </c>
      <c r="F50" s="40" t="str">
        <f t="shared" si="0"/>
        <v/>
      </c>
      <c r="G50" s="40" t="str">
        <f>IF(F50="","",'Prosposta Inicial'!$O$2)</f>
        <v/>
      </c>
      <c r="H50" s="40" t="str">
        <f t="shared" si="4"/>
        <v xml:space="preserve"> </v>
      </c>
      <c r="I50" s="41" t="str">
        <f>IFERROR((VLOOKUP(F50,'Planilha de Cadastro - Previsão'!$A$2:$N$1100,2,FALSE()))," ")</f>
        <v xml:space="preserve"> </v>
      </c>
      <c r="J50" s="40" t="str">
        <f>IFERROR((VLOOKUP(F50,'Planilha de Cadastro - Previsão'!$A$2:$N$1100,3,FALSE()))," ")</f>
        <v xml:space="preserve"> </v>
      </c>
      <c r="K50" s="23" t="str">
        <f>IFERROR((VLOOKUP(F50,'Planilha de Cadastro - Previsão'!$A$2:$N$1100,4,FALSE()))," ")</f>
        <v xml:space="preserve"> </v>
      </c>
      <c r="L50" s="42" t="str">
        <f>IFERROR((VLOOKUP(F50,'Planilha de Cadastro - Previsão'!$A$2:$N$1100,12,FALSE()))," ")</f>
        <v xml:space="preserve"> </v>
      </c>
      <c r="M50" s="41" t="str">
        <f>IFERROR((IF(VLOOKUP(F50,'Planilha de Cadastro - Previsão'!$A$2:$N$1100,10,FALSE())="","",VLOOKUP(F50,'Planilha de Cadastro - Previsão'!$A$2:$N$1100,10,FALSE()))),"")</f>
        <v/>
      </c>
      <c r="N50" s="41" t="str">
        <f>IFERROR((IF(VLOOKUP(F50,'Planilha de Cadastro - Previsão'!$A$2:$N$1100,9,FALSE())="","",VLOOKUP(F50,'Planilha de Cadastro - Previsão'!$A$2:$N$1100,9,FALSE()))),"")</f>
        <v/>
      </c>
      <c r="O50" s="40" t="str">
        <f>IFERROR((IF(VLOOKUP(F50,'Planilha de Cadastro - Previsão'!$A$2:$N$1100,11,FALSE())="","",VLOOKUP(F50,'Planilha de Cadastro - Previsão'!$A$2:$N$1100,11,FALSE()))),"")</f>
        <v/>
      </c>
      <c r="P50" s="41" t="str">
        <f>IFERROR((IF(VLOOKUP(F50,'Acompanhamento da Licitação'!$F$2:$O$1000,10,FALSE())="","",VLOOKUP(F50,'Acompanhamento da Licitação'!$F$2:$O$1000,10,FALSE()))),"")</f>
        <v/>
      </c>
      <c r="R50" s="61" t="str">
        <f>IFERROR(IF(F50&gt;0,(Final[[#This Row],[Valor da Venda Real]]-Final[[#This Row],[Valor de Compra Previsto]]-4%*Final[[#This Row],[Valor da Venda Real]])/Final[[#This Row],[Valor da Venda Real]],""),"")</f>
        <v/>
      </c>
      <c r="S50" s="61" t="str">
        <f t="shared" si="3"/>
        <v/>
      </c>
      <c r="T50" s="23" t="str">
        <f>IFERROR((R50*Final[[#This Row],[Valor da Venda Real]]*Final[[#This Row],[Quantidade ]]*S50),"")</f>
        <v/>
      </c>
    </row>
    <row r="51" spans="1:20" ht="15.75" x14ac:dyDescent="0.2">
      <c r="A51">
        <f>COUNTIF($C$2:C51,C51)</f>
        <v>50</v>
      </c>
      <c r="B51" s="1" t="str">
        <f t="shared" si="2"/>
        <v>50</v>
      </c>
      <c r="C51" s="1" t="str">
        <f>IFERROR(VLOOKUP(D51,'Planilha de Cadastro - Previsão'!$A$2:$N$1000,14,FALSE()),"")</f>
        <v/>
      </c>
      <c r="D51" s="1">
        <v>50</v>
      </c>
      <c r="F51" s="40" t="str">
        <f t="shared" si="0"/>
        <v/>
      </c>
      <c r="G51" s="40" t="str">
        <f>IF(F51="","",'Prosposta Inicial'!$O$2)</f>
        <v/>
      </c>
      <c r="H51" s="40" t="str">
        <f t="shared" si="4"/>
        <v xml:space="preserve"> </v>
      </c>
      <c r="I51" s="41" t="str">
        <f>IFERROR((VLOOKUP(F51,'Planilha de Cadastro - Previsão'!$A$2:$N$1100,2,FALSE()))," ")</f>
        <v xml:space="preserve"> </v>
      </c>
      <c r="J51" s="40" t="str">
        <f>IFERROR((VLOOKUP(F51,'Planilha de Cadastro - Previsão'!$A$2:$N$1100,3,FALSE()))," ")</f>
        <v xml:space="preserve"> </v>
      </c>
      <c r="K51" s="23" t="str">
        <f>IFERROR((VLOOKUP(F51,'Planilha de Cadastro - Previsão'!$A$2:$N$1100,4,FALSE()))," ")</f>
        <v xml:space="preserve"> </v>
      </c>
      <c r="L51" s="42" t="str">
        <f>IFERROR((VLOOKUP(F51,'Planilha de Cadastro - Previsão'!$A$2:$N$1100,12,FALSE()))," ")</f>
        <v xml:space="preserve"> </v>
      </c>
      <c r="M51" s="41" t="str">
        <f>IFERROR((IF(VLOOKUP(F51,'Planilha de Cadastro - Previsão'!$A$2:$N$1100,10,FALSE())="","",VLOOKUP(F51,'Planilha de Cadastro - Previsão'!$A$2:$N$1100,10,FALSE()))),"")</f>
        <v/>
      </c>
      <c r="N51" s="41" t="str">
        <f>IFERROR((IF(VLOOKUP(F51,'Planilha de Cadastro - Previsão'!$A$2:$N$1100,9,FALSE())="","",VLOOKUP(F51,'Planilha de Cadastro - Previsão'!$A$2:$N$1100,9,FALSE()))),"")</f>
        <v/>
      </c>
      <c r="O51" s="40" t="str">
        <f>IFERROR((IF(VLOOKUP(F51,'Planilha de Cadastro - Previsão'!$A$2:$N$1100,11,FALSE())="","",VLOOKUP(F51,'Planilha de Cadastro - Previsão'!$A$2:$N$1100,11,FALSE()))),"")</f>
        <v/>
      </c>
      <c r="P51" s="41" t="str">
        <f>IFERROR((IF(VLOOKUP(F51,'Acompanhamento da Licitação'!$F$2:$O$1000,10,FALSE())="","",VLOOKUP(F51,'Acompanhamento da Licitação'!$F$2:$O$1000,10,FALSE()))),"")</f>
        <v/>
      </c>
      <c r="R51" s="61" t="str">
        <f>IFERROR(IF(F51&gt;0,(Final[[#This Row],[Valor da Venda Real]]-Final[[#This Row],[Valor de Compra Previsto]]-4%*Final[[#This Row],[Valor da Venda Real]])/Final[[#This Row],[Valor da Venda Real]],""),"")</f>
        <v/>
      </c>
      <c r="S51" s="61" t="str">
        <f t="shared" si="3"/>
        <v/>
      </c>
      <c r="T51" s="23" t="str">
        <f>IFERROR((R51*Final[[#This Row],[Valor da Venda Real]]*Final[[#This Row],[Quantidade ]]*S51),"")</f>
        <v/>
      </c>
    </row>
    <row r="52" spans="1:20" ht="15.75" x14ac:dyDescent="0.2">
      <c r="A52">
        <f>COUNTIF($C$2:C52,C52)</f>
        <v>51</v>
      </c>
      <c r="B52" s="1" t="str">
        <f t="shared" si="2"/>
        <v>51</v>
      </c>
      <c r="C52" s="1" t="str">
        <f>IFERROR(VLOOKUP(D52,'Planilha de Cadastro - Previsão'!$A$2:$N$1000,14,FALSE()),"")</f>
        <v/>
      </c>
      <c r="D52" s="1">
        <v>51</v>
      </c>
      <c r="F52" s="40" t="str">
        <f t="shared" si="0"/>
        <v/>
      </c>
      <c r="G52" s="40" t="str">
        <f>IF(F52="","",'Prosposta Inicial'!$O$2)</f>
        <v/>
      </c>
      <c r="H52" s="40" t="str">
        <f t="shared" si="4"/>
        <v xml:space="preserve"> </v>
      </c>
      <c r="I52" s="41" t="str">
        <f>IFERROR((VLOOKUP(F52,'Planilha de Cadastro - Previsão'!$A$2:$N$1100,2,FALSE()))," ")</f>
        <v xml:space="preserve"> </v>
      </c>
      <c r="J52" s="40" t="str">
        <f>IFERROR((VLOOKUP(F52,'Planilha de Cadastro - Previsão'!$A$2:$N$1100,3,FALSE()))," ")</f>
        <v xml:space="preserve"> </v>
      </c>
      <c r="K52" s="23" t="str">
        <f>IFERROR((VLOOKUP(F52,'Planilha de Cadastro - Previsão'!$A$2:$N$1100,4,FALSE()))," ")</f>
        <v xml:space="preserve"> </v>
      </c>
      <c r="L52" s="42" t="str">
        <f>IFERROR((VLOOKUP(F52,'Planilha de Cadastro - Previsão'!$A$2:$N$1100,12,FALSE()))," ")</f>
        <v xml:space="preserve"> </v>
      </c>
      <c r="M52" s="41" t="str">
        <f>IFERROR((IF(VLOOKUP(F52,'Planilha de Cadastro - Previsão'!$A$2:$N$1100,10,FALSE())="","",VLOOKUP(F52,'Planilha de Cadastro - Previsão'!$A$2:$N$1100,10,FALSE()))),"")</f>
        <v/>
      </c>
      <c r="N52" s="41" t="str">
        <f>IFERROR((IF(VLOOKUP(F52,'Planilha de Cadastro - Previsão'!$A$2:$N$1100,9,FALSE())="","",VLOOKUP(F52,'Planilha de Cadastro - Previsão'!$A$2:$N$1100,9,FALSE()))),"")</f>
        <v/>
      </c>
      <c r="O52" s="40" t="str">
        <f>IFERROR((IF(VLOOKUP(F52,'Planilha de Cadastro - Previsão'!$A$2:$N$1100,11,FALSE())="","",VLOOKUP(F52,'Planilha de Cadastro - Previsão'!$A$2:$N$1100,11,FALSE()))),"")</f>
        <v/>
      </c>
      <c r="P52" s="41" t="str">
        <f>IFERROR((IF(VLOOKUP(F52,'Acompanhamento da Licitação'!$F$2:$O$1000,10,FALSE())="","",VLOOKUP(F52,'Acompanhamento da Licitação'!$F$2:$O$1000,10,FALSE()))),"")</f>
        <v/>
      </c>
      <c r="R52" s="61" t="str">
        <f>IFERROR(IF(F52&gt;0,(Final[[#This Row],[Valor da Venda Real]]-Final[[#This Row],[Valor de Compra Previsto]]-4%*Final[[#This Row],[Valor da Venda Real]])/Final[[#This Row],[Valor da Venda Real]],""),"")</f>
        <v/>
      </c>
      <c r="S52" s="61" t="str">
        <f t="shared" si="3"/>
        <v/>
      </c>
      <c r="T52" s="23" t="str">
        <f>IFERROR((R52*Final[[#This Row],[Valor da Venda Real]]*Final[[#This Row],[Quantidade ]]*S52),"")</f>
        <v/>
      </c>
    </row>
    <row r="53" spans="1:20" ht="15.75" x14ac:dyDescent="0.2">
      <c r="A53">
        <f>COUNTIF($C$2:C53,C53)</f>
        <v>52</v>
      </c>
      <c r="B53" s="1" t="str">
        <f t="shared" si="2"/>
        <v>52</v>
      </c>
      <c r="C53" s="1" t="str">
        <f>IFERROR(VLOOKUP(D53,'Planilha de Cadastro - Previsão'!$A$2:$N$1000,14,FALSE()),"")</f>
        <v/>
      </c>
      <c r="D53" s="1">
        <v>52</v>
      </c>
      <c r="F53" s="40" t="str">
        <f t="shared" si="0"/>
        <v/>
      </c>
      <c r="G53" s="40" t="str">
        <f>IF(F53="","",'Prosposta Inicial'!$O$2)</f>
        <v/>
      </c>
      <c r="H53" s="40" t="str">
        <f t="shared" si="4"/>
        <v xml:space="preserve"> </v>
      </c>
      <c r="I53" s="41" t="str">
        <f>IFERROR((VLOOKUP(F53,'Planilha de Cadastro - Previsão'!$A$2:$N$1100,2,FALSE()))," ")</f>
        <v xml:space="preserve"> </v>
      </c>
      <c r="J53" s="40" t="str">
        <f>IFERROR((VLOOKUP(F53,'Planilha de Cadastro - Previsão'!$A$2:$N$1100,3,FALSE()))," ")</f>
        <v xml:space="preserve"> </v>
      </c>
      <c r="K53" s="23" t="str">
        <f>IFERROR((VLOOKUP(F53,'Planilha de Cadastro - Previsão'!$A$2:$N$1100,4,FALSE()))," ")</f>
        <v xml:space="preserve"> </v>
      </c>
      <c r="L53" s="42" t="str">
        <f>IFERROR((VLOOKUP(F53,'Planilha de Cadastro - Previsão'!$A$2:$N$1100,12,FALSE()))," ")</f>
        <v xml:space="preserve"> </v>
      </c>
      <c r="M53" s="41" t="str">
        <f>IFERROR((IF(VLOOKUP(F53,'Planilha de Cadastro - Previsão'!$A$2:$N$1100,10,FALSE())="","",VLOOKUP(F53,'Planilha de Cadastro - Previsão'!$A$2:$N$1100,10,FALSE()))),"")</f>
        <v/>
      </c>
      <c r="N53" s="41" t="str">
        <f>IFERROR((IF(VLOOKUP(F53,'Planilha de Cadastro - Previsão'!$A$2:$N$1100,9,FALSE())="","",VLOOKUP(F53,'Planilha de Cadastro - Previsão'!$A$2:$N$1100,9,FALSE()))),"")</f>
        <v/>
      </c>
      <c r="O53" s="40" t="str">
        <f>IFERROR((IF(VLOOKUP(F53,'Planilha de Cadastro - Previsão'!$A$2:$N$1100,11,FALSE())="","",VLOOKUP(F53,'Planilha de Cadastro - Previsão'!$A$2:$N$1100,11,FALSE()))),"")</f>
        <v/>
      </c>
      <c r="P53" s="41" t="str">
        <f>IFERROR((IF(VLOOKUP(F53,'Acompanhamento da Licitação'!$F$2:$O$1000,10,FALSE())="","",VLOOKUP(F53,'Acompanhamento da Licitação'!$F$2:$O$1000,10,FALSE()))),"")</f>
        <v/>
      </c>
      <c r="R53" s="61" t="str">
        <f>IFERROR(IF(F53&gt;0,(Final[[#This Row],[Valor da Venda Real]]-Final[[#This Row],[Valor de Compra Previsto]]-4%*Final[[#This Row],[Valor da Venda Real]])/Final[[#This Row],[Valor da Venda Real]],""),"")</f>
        <v/>
      </c>
      <c r="S53" s="61" t="str">
        <f t="shared" si="3"/>
        <v/>
      </c>
      <c r="T53" s="23" t="str">
        <f>IFERROR((R53*Final[[#This Row],[Valor da Venda Real]]*Final[[#This Row],[Quantidade ]]*S53),"")</f>
        <v/>
      </c>
    </row>
    <row r="54" spans="1:20" ht="15.75" x14ac:dyDescent="0.2">
      <c r="A54">
        <f>COUNTIF($C$2:C54,C54)</f>
        <v>53</v>
      </c>
      <c r="B54" s="1" t="str">
        <f t="shared" si="2"/>
        <v>53</v>
      </c>
      <c r="C54" s="1" t="str">
        <f>IFERROR(VLOOKUP(D54,'Planilha de Cadastro - Previsão'!$A$2:$N$1000,14,FALSE()),"")</f>
        <v/>
      </c>
      <c r="D54" s="1">
        <v>53</v>
      </c>
      <c r="F54" s="40" t="str">
        <f t="shared" si="0"/>
        <v/>
      </c>
      <c r="G54" s="40" t="str">
        <f>IF(F54="","",'Prosposta Inicial'!$O$2)</f>
        <v/>
      </c>
      <c r="H54" s="40" t="str">
        <f t="shared" si="4"/>
        <v xml:space="preserve"> </v>
      </c>
      <c r="I54" s="41" t="str">
        <f>IFERROR((VLOOKUP(F54,'Planilha de Cadastro - Previsão'!$A$2:$N$1100,2,FALSE()))," ")</f>
        <v xml:space="preserve"> </v>
      </c>
      <c r="J54" s="40" t="str">
        <f>IFERROR((VLOOKUP(F54,'Planilha de Cadastro - Previsão'!$A$2:$N$1100,3,FALSE()))," ")</f>
        <v xml:space="preserve"> </v>
      </c>
      <c r="K54" s="23" t="str">
        <f>IFERROR((VLOOKUP(F54,'Planilha de Cadastro - Previsão'!$A$2:$N$1100,4,FALSE()))," ")</f>
        <v xml:space="preserve"> </v>
      </c>
      <c r="L54" s="42" t="str">
        <f>IFERROR((VLOOKUP(F54,'Planilha de Cadastro - Previsão'!$A$2:$N$1100,12,FALSE()))," ")</f>
        <v xml:space="preserve"> </v>
      </c>
      <c r="M54" s="41" t="str">
        <f>IFERROR((IF(VLOOKUP(F54,'Planilha de Cadastro - Previsão'!$A$2:$N$1100,10,FALSE())="","",VLOOKUP(F54,'Planilha de Cadastro - Previsão'!$A$2:$N$1100,10,FALSE()))),"")</f>
        <v/>
      </c>
      <c r="N54" s="41" t="str">
        <f>IFERROR((IF(VLOOKUP(F54,'Planilha de Cadastro - Previsão'!$A$2:$N$1100,9,FALSE())="","",VLOOKUP(F54,'Planilha de Cadastro - Previsão'!$A$2:$N$1100,9,FALSE()))),"")</f>
        <v/>
      </c>
      <c r="O54" s="40" t="str">
        <f>IFERROR((IF(VLOOKUP(F54,'Planilha de Cadastro - Previsão'!$A$2:$N$1100,11,FALSE())="","",VLOOKUP(F54,'Planilha de Cadastro - Previsão'!$A$2:$N$1100,11,FALSE()))),"")</f>
        <v/>
      </c>
      <c r="P54" s="41" t="str">
        <f>IFERROR((IF(VLOOKUP(F54,'Acompanhamento da Licitação'!$F$2:$O$1000,10,FALSE())="","",VLOOKUP(F54,'Acompanhamento da Licitação'!$F$2:$O$1000,10,FALSE()))),"")</f>
        <v/>
      </c>
      <c r="R54" s="61" t="str">
        <f>IFERROR(IF(F54&gt;0,(Final[[#This Row],[Valor da Venda Real]]-Final[[#This Row],[Valor de Compra Previsto]]-4%*Final[[#This Row],[Valor da Venda Real]])/Final[[#This Row],[Valor da Venda Real]],""),"")</f>
        <v/>
      </c>
      <c r="S54" s="61" t="str">
        <f t="shared" si="3"/>
        <v/>
      </c>
      <c r="T54" s="23" t="str">
        <f>IFERROR((R54*Final[[#This Row],[Valor da Venda Real]]*Final[[#This Row],[Quantidade ]]*S54),"")</f>
        <v/>
      </c>
    </row>
    <row r="55" spans="1:20" ht="15.75" x14ac:dyDescent="0.2">
      <c r="A55">
        <f>COUNTIF($C$2:C55,C55)</f>
        <v>54</v>
      </c>
      <c r="B55" s="1" t="str">
        <f t="shared" si="2"/>
        <v>54</v>
      </c>
      <c r="C55" s="1" t="str">
        <f>IFERROR(VLOOKUP(D55,'Planilha de Cadastro - Previsão'!$A$2:$N$1000,14,FALSE()),"")</f>
        <v/>
      </c>
      <c r="D55" s="1">
        <v>54</v>
      </c>
      <c r="F55" s="40" t="str">
        <f t="shared" si="0"/>
        <v/>
      </c>
      <c r="G55" s="40" t="str">
        <f>IF(F55="","",'Prosposta Inicial'!$O$2)</f>
        <v/>
      </c>
      <c r="H55" s="40" t="str">
        <f t="shared" si="4"/>
        <v xml:space="preserve"> </v>
      </c>
      <c r="I55" s="41" t="str">
        <f>IFERROR((VLOOKUP(F55,'Planilha de Cadastro - Previsão'!$A$2:$N$1100,2,FALSE()))," ")</f>
        <v xml:space="preserve"> </v>
      </c>
      <c r="J55" s="40" t="str">
        <f>IFERROR((VLOOKUP(F55,'Planilha de Cadastro - Previsão'!$A$2:$N$1100,3,FALSE()))," ")</f>
        <v xml:space="preserve"> </v>
      </c>
      <c r="K55" s="23" t="str">
        <f>IFERROR((VLOOKUP(F55,'Planilha de Cadastro - Previsão'!$A$2:$N$1100,4,FALSE()))," ")</f>
        <v xml:space="preserve"> </v>
      </c>
      <c r="L55" s="42" t="str">
        <f>IFERROR((VLOOKUP(F55,'Planilha de Cadastro - Previsão'!$A$2:$N$1100,12,FALSE()))," ")</f>
        <v xml:space="preserve"> </v>
      </c>
      <c r="M55" s="41" t="str">
        <f>IFERROR((IF(VLOOKUP(F55,'Planilha de Cadastro - Previsão'!$A$2:$N$1100,10,FALSE())="","",VLOOKUP(F55,'Planilha de Cadastro - Previsão'!$A$2:$N$1100,10,FALSE()))),"")</f>
        <v/>
      </c>
      <c r="N55" s="41" t="str">
        <f>IFERROR((IF(VLOOKUP(F55,'Planilha de Cadastro - Previsão'!$A$2:$N$1100,9,FALSE())="","",VLOOKUP(F55,'Planilha de Cadastro - Previsão'!$A$2:$N$1100,9,FALSE()))),"")</f>
        <v/>
      </c>
      <c r="O55" s="40" t="str">
        <f>IFERROR((IF(VLOOKUP(F55,'Planilha de Cadastro - Previsão'!$A$2:$N$1100,11,FALSE())="","",VLOOKUP(F55,'Planilha de Cadastro - Previsão'!$A$2:$N$1100,11,FALSE()))),"")</f>
        <v/>
      </c>
      <c r="P55" s="41" t="str">
        <f>IFERROR((IF(VLOOKUP(F55,'Acompanhamento da Licitação'!$F$2:$O$1000,10,FALSE())="","",VLOOKUP(F55,'Acompanhamento da Licitação'!$F$2:$O$1000,10,FALSE()))),"")</f>
        <v/>
      </c>
      <c r="R55" s="61" t="str">
        <f>IFERROR(IF(F55&gt;0,(Final[[#This Row],[Valor da Venda Real]]-Final[[#This Row],[Valor de Compra Previsto]]-4%*Final[[#This Row],[Valor da Venda Real]])/Final[[#This Row],[Valor da Venda Real]],""),"")</f>
        <v/>
      </c>
      <c r="S55" s="61" t="str">
        <f t="shared" si="3"/>
        <v/>
      </c>
      <c r="T55" s="23" t="str">
        <f>IFERROR((R55*Final[[#This Row],[Valor da Venda Real]]*Final[[#This Row],[Quantidade ]]*S55),"")</f>
        <v/>
      </c>
    </row>
    <row r="56" spans="1:20" ht="15.75" x14ac:dyDescent="0.2">
      <c r="A56">
        <f>COUNTIF($C$2:C56,C56)</f>
        <v>55</v>
      </c>
      <c r="B56" s="1" t="str">
        <f t="shared" si="2"/>
        <v>55</v>
      </c>
      <c r="C56" s="1" t="str">
        <f>IFERROR(VLOOKUP(D56,'Planilha de Cadastro - Previsão'!$A$2:$N$1000,14,FALSE()),"")</f>
        <v/>
      </c>
      <c r="D56" s="1">
        <v>55</v>
      </c>
      <c r="F56" s="40" t="str">
        <f t="shared" si="0"/>
        <v/>
      </c>
      <c r="G56" s="40" t="str">
        <f>IF(F56="","",'Prosposta Inicial'!$O$2)</f>
        <v/>
      </c>
      <c r="H56" s="40" t="str">
        <f t="shared" si="4"/>
        <v xml:space="preserve"> </v>
      </c>
      <c r="I56" s="41" t="str">
        <f>IFERROR((VLOOKUP(F56,'Planilha de Cadastro - Previsão'!$A$2:$N$1100,2,FALSE()))," ")</f>
        <v xml:space="preserve"> </v>
      </c>
      <c r="J56" s="40" t="str">
        <f>IFERROR((VLOOKUP(F56,'Planilha de Cadastro - Previsão'!$A$2:$N$1100,3,FALSE()))," ")</f>
        <v xml:space="preserve"> </v>
      </c>
      <c r="K56" s="23" t="str">
        <f>IFERROR((VLOOKUP(F56,'Planilha de Cadastro - Previsão'!$A$2:$N$1100,4,FALSE()))," ")</f>
        <v xml:space="preserve"> </v>
      </c>
      <c r="L56" s="42" t="str">
        <f>IFERROR((VLOOKUP(F56,'Planilha de Cadastro - Previsão'!$A$2:$N$1100,12,FALSE()))," ")</f>
        <v xml:space="preserve"> </v>
      </c>
      <c r="M56" s="41" t="str">
        <f>IFERROR((IF(VLOOKUP(F56,'Planilha de Cadastro - Previsão'!$A$2:$N$1100,10,FALSE())="","",VLOOKUP(F56,'Planilha de Cadastro - Previsão'!$A$2:$N$1100,10,FALSE()))),"")</f>
        <v/>
      </c>
      <c r="N56" s="41" t="str">
        <f>IFERROR((IF(VLOOKUP(F56,'Planilha de Cadastro - Previsão'!$A$2:$N$1100,9,FALSE())="","",VLOOKUP(F56,'Planilha de Cadastro - Previsão'!$A$2:$N$1100,9,FALSE()))),"")</f>
        <v/>
      </c>
      <c r="O56" s="40" t="str">
        <f>IFERROR((IF(VLOOKUP(F56,'Planilha de Cadastro - Previsão'!$A$2:$N$1100,11,FALSE())="","",VLOOKUP(F56,'Planilha de Cadastro - Previsão'!$A$2:$N$1100,11,FALSE()))),"")</f>
        <v/>
      </c>
      <c r="P56" s="41" t="str">
        <f>IFERROR((IF(VLOOKUP(F56,'Acompanhamento da Licitação'!$F$2:$O$1000,10,FALSE())="","",VLOOKUP(F56,'Acompanhamento da Licitação'!$F$2:$O$1000,10,FALSE()))),"")</f>
        <v/>
      </c>
      <c r="R56" s="61" t="str">
        <f>IFERROR(IF(F56&gt;0,(Final[[#This Row],[Valor da Venda Real]]-Final[[#This Row],[Valor de Compra Previsto]]-4%*Final[[#This Row],[Valor da Venda Real]])/Final[[#This Row],[Valor da Venda Real]],""),"")</f>
        <v/>
      </c>
      <c r="S56" s="61" t="str">
        <f t="shared" si="3"/>
        <v/>
      </c>
      <c r="T56" s="23" t="str">
        <f>IFERROR((R56*Final[[#This Row],[Valor da Venda Real]]*Final[[#This Row],[Quantidade ]]*S56),"")</f>
        <v/>
      </c>
    </row>
    <row r="57" spans="1:20" ht="15.75" x14ac:dyDescent="0.2">
      <c r="A57">
        <f>COUNTIF($C$2:C57,C57)</f>
        <v>56</v>
      </c>
      <c r="B57" s="1" t="str">
        <f t="shared" si="2"/>
        <v>56</v>
      </c>
      <c r="C57" s="1" t="str">
        <f>IFERROR(VLOOKUP(D57,'Planilha de Cadastro - Previsão'!$A$2:$N$1000,14,FALSE()),"")</f>
        <v/>
      </c>
      <c r="D57" s="1">
        <v>56</v>
      </c>
      <c r="F57" s="40" t="str">
        <f t="shared" si="0"/>
        <v/>
      </c>
      <c r="G57" s="40" t="str">
        <f>IF(F57="","",'Prosposta Inicial'!$O$2)</f>
        <v/>
      </c>
      <c r="H57" s="40" t="str">
        <f t="shared" si="4"/>
        <v xml:space="preserve"> </v>
      </c>
      <c r="I57" s="41" t="str">
        <f>IFERROR((VLOOKUP(F57,'Planilha de Cadastro - Previsão'!$A$2:$N$1100,2,FALSE()))," ")</f>
        <v xml:space="preserve"> </v>
      </c>
      <c r="J57" s="40" t="str">
        <f>IFERROR((VLOOKUP(F57,'Planilha de Cadastro - Previsão'!$A$2:$N$1100,3,FALSE()))," ")</f>
        <v xml:space="preserve"> </v>
      </c>
      <c r="K57" s="23" t="str">
        <f>IFERROR((VLOOKUP(F57,'Planilha de Cadastro - Previsão'!$A$2:$N$1100,4,FALSE()))," ")</f>
        <v xml:space="preserve"> </v>
      </c>
      <c r="L57" s="42" t="str">
        <f>IFERROR((VLOOKUP(F57,'Planilha de Cadastro - Previsão'!$A$2:$N$1100,12,FALSE()))," ")</f>
        <v xml:space="preserve"> </v>
      </c>
      <c r="M57" s="41" t="str">
        <f>IFERROR((IF(VLOOKUP(F57,'Planilha de Cadastro - Previsão'!$A$2:$N$1100,10,FALSE())="","",VLOOKUP(F57,'Planilha de Cadastro - Previsão'!$A$2:$N$1100,10,FALSE()))),"")</f>
        <v/>
      </c>
      <c r="N57" s="41" t="str">
        <f>IFERROR((IF(VLOOKUP(F57,'Planilha de Cadastro - Previsão'!$A$2:$N$1100,9,FALSE())="","",VLOOKUP(F57,'Planilha de Cadastro - Previsão'!$A$2:$N$1100,9,FALSE()))),"")</f>
        <v/>
      </c>
      <c r="O57" s="40" t="str">
        <f>IFERROR((IF(VLOOKUP(F57,'Planilha de Cadastro - Previsão'!$A$2:$N$1100,11,FALSE())="","",VLOOKUP(F57,'Planilha de Cadastro - Previsão'!$A$2:$N$1100,11,FALSE()))),"")</f>
        <v/>
      </c>
      <c r="P57" s="41" t="str">
        <f>IFERROR((IF(VLOOKUP(F57,'Acompanhamento da Licitação'!$F$2:$O$1000,10,FALSE())="","",VLOOKUP(F57,'Acompanhamento da Licitação'!$F$2:$O$1000,10,FALSE()))),"")</f>
        <v/>
      </c>
      <c r="R57" s="61" t="str">
        <f>IFERROR(IF(F57&gt;0,(Final[[#This Row],[Valor da Venda Real]]-Final[[#This Row],[Valor de Compra Previsto]]-4%*Final[[#This Row],[Valor da Venda Real]])/Final[[#This Row],[Valor da Venda Real]],""),"")</f>
        <v/>
      </c>
      <c r="S57" s="61" t="str">
        <f t="shared" si="3"/>
        <v/>
      </c>
      <c r="T57" s="23" t="str">
        <f>IFERROR((R57*Final[[#This Row],[Valor da Venda Real]]*Final[[#This Row],[Quantidade ]]*S57),"")</f>
        <v/>
      </c>
    </row>
    <row r="58" spans="1:20" ht="15.75" x14ac:dyDescent="0.2">
      <c r="A58">
        <f>COUNTIF($C$2:C58,C58)</f>
        <v>57</v>
      </c>
      <c r="B58" s="1" t="str">
        <f t="shared" si="2"/>
        <v>57</v>
      </c>
      <c r="C58" s="1" t="str">
        <f>IFERROR(VLOOKUP(D58,'Planilha de Cadastro - Previsão'!$A$2:$N$1000,14,FALSE()),"")</f>
        <v/>
      </c>
      <c r="D58" s="1">
        <v>57</v>
      </c>
      <c r="F58" s="40" t="str">
        <f t="shared" si="0"/>
        <v/>
      </c>
      <c r="G58" s="40" t="str">
        <f>IF(F58="","",'Prosposta Inicial'!$O$2)</f>
        <v/>
      </c>
      <c r="H58" s="40" t="str">
        <f t="shared" si="4"/>
        <v xml:space="preserve"> </v>
      </c>
      <c r="I58" s="41" t="str">
        <f>IFERROR((VLOOKUP(F58,'Planilha de Cadastro - Previsão'!$A$2:$N$1100,2,FALSE()))," ")</f>
        <v xml:space="preserve"> </v>
      </c>
      <c r="J58" s="40" t="str">
        <f>IFERROR((VLOOKUP(F58,'Planilha de Cadastro - Previsão'!$A$2:$N$1100,3,FALSE()))," ")</f>
        <v xml:space="preserve"> </v>
      </c>
      <c r="K58" s="23" t="str">
        <f>IFERROR((VLOOKUP(F58,'Planilha de Cadastro - Previsão'!$A$2:$N$1100,4,FALSE()))," ")</f>
        <v xml:space="preserve"> </v>
      </c>
      <c r="L58" s="42" t="str">
        <f>IFERROR((VLOOKUP(F58,'Planilha de Cadastro - Previsão'!$A$2:$N$1100,12,FALSE()))," ")</f>
        <v xml:space="preserve"> </v>
      </c>
      <c r="M58" s="41" t="str">
        <f>IFERROR((IF(VLOOKUP(F58,'Planilha de Cadastro - Previsão'!$A$2:$N$1100,10,FALSE())="","",VLOOKUP(F58,'Planilha de Cadastro - Previsão'!$A$2:$N$1100,10,FALSE()))),"")</f>
        <v/>
      </c>
      <c r="N58" s="41" t="str">
        <f>IFERROR((IF(VLOOKUP(F58,'Planilha de Cadastro - Previsão'!$A$2:$N$1100,9,FALSE())="","",VLOOKUP(F58,'Planilha de Cadastro - Previsão'!$A$2:$N$1100,9,FALSE()))),"")</f>
        <v/>
      </c>
      <c r="O58" s="40" t="str">
        <f>IFERROR((IF(VLOOKUP(F58,'Planilha de Cadastro - Previsão'!$A$2:$N$1100,11,FALSE())="","",VLOOKUP(F58,'Planilha de Cadastro - Previsão'!$A$2:$N$1100,11,FALSE()))),"")</f>
        <v/>
      </c>
      <c r="P58" s="41" t="str">
        <f>IFERROR((IF(VLOOKUP(F58,'Acompanhamento da Licitação'!$F$2:$O$1000,10,FALSE())="","",VLOOKUP(F58,'Acompanhamento da Licitação'!$F$2:$O$1000,10,FALSE()))),"")</f>
        <v/>
      </c>
      <c r="R58" s="61" t="str">
        <f>IFERROR(IF(F58&gt;0,(Final[[#This Row],[Valor da Venda Real]]-Final[[#This Row],[Valor de Compra Previsto]]-4%*Final[[#This Row],[Valor da Venda Real]])/Final[[#This Row],[Valor da Venda Real]],""),"")</f>
        <v/>
      </c>
      <c r="S58" s="61" t="str">
        <f t="shared" si="3"/>
        <v/>
      </c>
      <c r="T58" s="23" t="str">
        <f>IFERROR((R58*Final[[#This Row],[Valor da Venda Real]]*Final[[#This Row],[Quantidade ]]*S58),"")</f>
        <v/>
      </c>
    </row>
    <row r="59" spans="1:20" ht="15.75" x14ac:dyDescent="0.2">
      <c r="A59">
        <f>COUNTIF($C$2:C59,C59)</f>
        <v>58</v>
      </c>
      <c r="B59" s="1" t="str">
        <f t="shared" si="2"/>
        <v>58</v>
      </c>
      <c r="C59" s="1" t="str">
        <f>IFERROR(VLOOKUP(D59,'Planilha de Cadastro - Previsão'!$A$2:$N$1000,14,FALSE()),"")</f>
        <v/>
      </c>
      <c r="D59" s="1">
        <v>58</v>
      </c>
      <c r="F59" s="40" t="str">
        <f t="shared" si="0"/>
        <v/>
      </c>
      <c r="G59" s="40" t="str">
        <f>IF(F59="","",'Prosposta Inicial'!$O$2)</f>
        <v/>
      </c>
      <c r="H59" s="40" t="str">
        <f t="shared" si="4"/>
        <v xml:space="preserve"> </v>
      </c>
      <c r="I59" s="41" t="str">
        <f>IFERROR((VLOOKUP(F59,'Planilha de Cadastro - Previsão'!$A$2:$N$1100,2,FALSE()))," ")</f>
        <v xml:space="preserve"> </v>
      </c>
      <c r="J59" s="40" t="str">
        <f>IFERROR((VLOOKUP(F59,'Planilha de Cadastro - Previsão'!$A$2:$N$1100,3,FALSE()))," ")</f>
        <v xml:space="preserve"> </v>
      </c>
      <c r="K59" s="23" t="str">
        <f>IFERROR((VLOOKUP(F59,'Planilha de Cadastro - Previsão'!$A$2:$N$1100,4,FALSE()))," ")</f>
        <v xml:space="preserve"> </v>
      </c>
      <c r="L59" s="42" t="str">
        <f>IFERROR((VLOOKUP(F59,'Planilha de Cadastro - Previsão'!$A$2:$N$1100,12,FALSE()))," ")</f>
        <v xml:space="preserve"> </v>
      </c>
      <c r="M59" s="41" t="str">
        <f>IFERROR((IF(VLOOKUP(F59,'Planilha de Cadastro - Previsão'!$A$2:$N$1100,10,FALSE())="","",VLOOKUP(F59,'Planilha de Cadastro - Previsão'!$A$2:$N$1100,10,FALSE()))),"")</f>
        <v/>
      </c>
      <c r="N59" s="41" t="str">
        <f>IFERROR((IF(VLOOKUP(F59,'Planilha de Cadastro - Previsão'!$A$2:$N$1100,9,FALSE())="","",VLOOKUP(F59,'Planilha de Cadastro - Previsão'!$A$2:$N$1100,9,FALSE()))),"")</f>
        <v/>
      </c>
      <c r="O59" s="40" t="str">
        <f>IFERROR((IF(VLOOKUP(F59,'Planilha de Cadastro - Previsão'!$A$2:$N$1100,11,FALSE())="","",VLOOKUP(F59,'Planilha de Cadastro - Previsão'!$A$2:$N$1100,11,FALSE()))),"")</f>
        <v/>
      </c>
      <c r="P59" s="41" t="str">
        <f>IFERROR((IF(VLOOKUP(F59,'Acompanhamento da Licitação'!$F$2:$O$1000,10,FALSE())="","",VLOOKUP(F59,'Acompanhamento da Licitação'!$F$2:$O$1000,10,FALSE()))),"")</f>
        <v/>
      </c>
      <c r="R59" s="61" t="str">
        <f>IFERROR(IF(F59&gt;0,(Final[[#This Row],[Valor da Venda Real]]-Final[[#This Row],[Valor de Compra Previsto]]-4%*Final[[#This Row],[Valor da Venda Real]])/Final[[#This Row],[Valor da Venda Real]],""),"")</f>
        <v/>
      </c>
      <c r="S59" s="61" t="str">
        <f t="shared" si="3"/>
        <v/>
      </c>
      <c r="T59" s="23" t="str">
        <f>IFERROR((R59*Final[[#This Row],[Valor da Venda Real]]*Final[[#This Row],[Quantidade ]]*S59),"")</f>
        <v/>
      </c>
    </row>
    <row r="60" spans="1:20" ht="15.75" x14ac:dyDescent="0.2">
      <c r="A60">
        <f>COUNTIF($C$2:C60,C60)</f>
        <v>59</v>
      </c>
      <c r="B60" s="1" t="str">
        <f t="shared" si="2"/>
        <v>59</v>
      </c>
      <c r="C60" s="1" t="str">
        <f>IFERROR(VLOOKUP(D60,'Planilha de Cadastro - Previsão'!$A$2:$N$1000,14,FALSE()),"")</f>
        <v/>
      </c>
      <c r="D60" s="1">
        <v>59</v>
      </c>
      <c r="F60" s="40" t="str">
        <f t="shared" si="0"/>
        <v/>
      </c>
      <c r="G60" s="40" t="str">
        <f>IF(F60="","",'Prosposta Inicial'!$O$2)</f>
        <v/>
      </c>
      <c r="H60" s="40" t="str">
        <f t="shared" si="4"/>
        <v xml:space="preserve"> </v>
      </c>
      <c r="I60" s="41" t="str">
        <f>IFERROR((VLOOKUP(F60,'Planilha de Cadastro - Previsão'!$A$2:$N$1100,2,FALSE()))," ")</f>
        <v xml:space="preserve"> </v>
      </c>
      <c r="J60" s="40" t="str">
        <f>IFERROR((VLOOKUP(F60,'Planilha de Cadastro - Previsão'!$A$2:$N$1100,3,FALSE()))," ")</f>
        <v xml:space="preserve"> </v>
      </c>
      <c r="K60" s="23" t="str">
        <f>IFERROR((VLOOKUP(F60,'Planilha de Cadastro - Previsão'!$A$2:$N$1100,4,FALSE()))," ")</f>
        <v xml:space="preserve"> </v>
      </c>
      <c r="L60" s="42" t="str">
        <f>IFERROR((VLOOKUP(F60,'Planilha de Cadastro - Previsão'!$A$2:$N$1100,12,FALSE()))," ")</f>
        <v xml:space="preserve"> </v>
      </c>
      <c r="M60" s="41" t="str">
        <f>IFERROR((IF(VLOOKUP(F60,'Planilha de Cadastro - Previsão'!$A$2:$N$1100,10,FALSE())="","",VLOOKUP(F60,'Planilha de Cadastro - Previsão'!$A$2:$N$1100,10,FALSE()))),"")</f>
        <v/>
      </c>
      <c r="N60" s="41" t="str">
        <f>IFERROR((IF(VLOOKUP(F60,'Planilha de Cadastro - Previsão'!$A$2:$N$1100,9,FALSE())="","",VLOOKUP(F60,'Planilha de Cadastro - Previsão'!$A$2:$N$1100,9,FALSE()))),"")</f>
        <v/>
      </c>
      <c r="O60" s="40" t="str">
        <f>IFERROR((IF(VLOOKUP(F60,'Planilha de Cadastro - Previsão'!$A$2:$N$1100,11,FALSE())="","",VLOOKUP(F60,'Planilha de Cadastro - Previsão'!$A$2:$N$1100,11,FALSE()))),"")</f>
        <v/>
      </c>
      <c r="P60" s="41" t="str">
        <f>IFERROR((IF(VLOOKUP(F60,'Acompanhamento da Licitação'!$F$2:$O$1000,10,FALSE())="","",VLOOKUP(F60,'Acompanhamento da Licitação'!$F$2:$O$1000,10,FALSE()))),"")</f>
        <v/>
      </c>
      <c r="R60" s="61" t="str">
        <f>IFERROR(IF(F60&gt;0,(Final[[#This Row],[Valor da Venda Real]]-Final[[#This Row],[Valor de Compra Previsto]]-4%*Final[[#This Row],[Valor da Venda Real]])/Final[[#This Row],[Valor da Venda Real]],""),"")</f>
        <v/>
      </c>
      <c r="S60" s="61" t="str">
        <f t="shared" si="3"/>
        <v/>
      </c>
      <c r="T60" s="23" t="str">
        <f>IFERROR((R60*Final[[#This Row],[Valor da Venda Real]]*Final[[#This Row],[Quantidade ]]*S60),"")</f>
        <v/>
      </c>
    </row>
    <row r="61" spans="1:20" ht="15.75" x14ac:dyDescent="0.2">
      <c r="A61">
        <f>COUNTIF($C$2:C61,C61)</f>
        <v>60</v>
      </c>
      <c r="B61" s="1" t="str">
        <f t="shared" si="2"/>
        <v>60</v>
      </c>
      <c r="C61" s="1" t="str">
        <f>IFERROR(VLOOKUP(D61,'Planilha de Cadastro - Previsão'!$A$2:$N$1000,14,FALSE()),"")</f>
        <v/>
      </c>
      <c r="D61" s="1">
        <v>60</v>
      </c>
      <c r="F61" s="40" t="str">
        <f t="shared" si="0"/>
        <v/>
      </c>
      <c r="G61" s="40" t="str">
        <f>IF(F61="","",'Prosposta Inicial'!$O$2)</f>
        <v/>
      </c>
      <c r="H61" s="40" t="str">
        <f t="shared" si="4"/>
        <v xml:space="preserve"> </v>
      </c>
      <c r="I61" s="41" t="str">
        <f>IFERROR((VLOOKUP(F61,'Planilha de Cadastro - Previsão'!$A$2:$N$1100,2,FALSE()))," ")</f>
        <v xml:space="preserve"> </v>
      </c>
      <c r="J61" s="40" t="str">
        <f>IFERROR((VLOOKUP(F61,'Planilha de Cadastro - Previsão'!$A$2:$N$1100,3,FALSE()))," ")</f>
        <v xml:space="preserve"> </v>
      </c>
      <c r="K61" s="23" t="str">
        <f>IFERROR((VLOOKUP(F61,'Planilha de Cadastro - Previsão'!$A$2:$N$1100,4,FALSE()))," ")</f>
        <v xml:space="preserve"> </v>
      </c>
      <c r="L61" s="42" t="str">
        <f>IFERROR((VLOOKUP(F61,'Planilha de Cadastro - Previsão'!$A$2:$N$1100,12,FALSE()))," ")</f>
        <v xml:space="preserve"> </v>
      </c>
      <c r="M61" s="41" t="str">
        <f>IFERROR((IF(VLOOKUP(F61,'Planilha de Cadastro - Previsão'!$A$2:$N$1100,10,FALSE())="","",VLOOKUP(F61,'Planilha de Cadastro - Previsão'!$A$2:$N$1100,10,FALSE()))),"")</f>
        <v/>
      </c>
      <c r="N61" s="41" t="str">
        <f>IFERROR((IF(VLOOKUP(F61,'Planilha de Cadastro - Previsão'!$A$2:$N$1100,9,FALSE())="","",VLOOKUP(F61,'Planilha de Cadastro - Previsão'!$A$2:$N$1100,9,FALSE()))),"")</f>
        <v/>
      </c>
      <c r="O61" s="40" t="str">
        <f>IFERROR((IF(VLOOKUP(F61,'Planilha de Cadastro - Previsão'!$A$2:$N$1100,11,FALSE())="","",VLOOKUP(F61,'Planilha de Cadastro - Previsão'!$A$2:$N$1100,11,FALSE()))),"")</f>
        <v/>
      </c>
      <c r="P61" s="41" t="str">
        <f>IFERROR((IF(VLOOKUP(F61,'Acompanhamento da Licitação'!$F$2:$O$1000,10,FALSE())="","",VLOOKUP(F61,'Acompanhamento da Licitação'!$F$2:$O$1000,10,FALSE()))),"")</f>
        <v/>
      </c>
      <c r="R61" s="61" t="str">
        <f>IFERROR(IF(F61&gt;0,(Final[[#This Row],[Valor da Venda Real]]-Final[[#This Row],[Valor de Compra Previsto]]-4%*Final[[#This Row],[Valor da Venda Real]])/Final[[#This Row],[Valor da Venda Real]],""),"")</f>
        <v/>
      </c>
      <c r="S61" s="61" t="str">
        <f t="shared" si="3"/>
        <v/>
      </c>
      <c r="T61" s="23" t="str">
        <f>IFERROR((R61*Final[[#This Row],[Valor da Venda Real]]*Final[[#This Row],[Quantidade ]]*S61),"")</f>
        <v/>
      </c>
    </row>
    <row r="62" spans="1:20" ht="15.75" x14ac:dyDescent="0.2">
      <c r="A62">
        <f>COUNTIF($C$2:C62,C62)</f>
        <v>61</v>
      </c>
      <c r="B62" s="1" t="str">
        <f t="shared" si="2"/>
        <v>61</v>
      </c>
      <c r="C62" s="1" t="str">
        <f>IFERROR(VLOOKUP(D62,'Planilha de Cadastro - Previsão'!$A$2:$N$1000,14,FALSE()),"")</f>
        <v/>
      </c>
      <c r="D62" s="1">
        <v>61</v>
      </c>
      <c r="F62" s="40" t="str">
        <f t="shared" si="0"/>
        <v/>
      </c>
      <c r="G62" s="40" t="str">
        <f>IF(F62="","",'Prosposta Inicial'!$O$2)</f>
        <v/>
      </c>
      <c r="H62" s="40" t="str">
        <f t="shared" si="4"/>
        <v xml:space="preserve"> </v>
      </c>
      <c r="I62" s="41" t="str">
        <f>IFERROR((VLOOKUP(F62,'Planilha de Cadastro - Previsão'!$A$2:$N$1100,2,FALSE()))," ")</f>
        <v xml:space="preserve"> </v>
      </c>
      <c r="J62" s="40" t="str">
        <f>IFERROR((VLOOKUP(F62,'Planilha de Cadastro - Previsão'!$A$2:$N$1100,3,FALSE()))," ")</f>
        <v xml:space="preserve"> </v>
      </c>
      <c r="K62" s="23" t="str">
        <f>IFERROR((VLOOKUP(F62,'Planilha de Cadastro - Previsão'!$A$2:$N$1100,4,FALSE()))," ")</f>
        <v xml:space="preserve"> </v>
      </c>
      <c r="L62" s="42" t="str">
        <f>IFERROR((VLOOKUP(F62,'Planilha de Cadastro - Previsão'!$A$2:$N$1100,12,FALSE()))," ")</f>
        <v xml:space="preserve"> </v>
      </c>
      <c r="M62" s="41" t="str">
        <f>IFERROR((IF(VLOOKUP(F62,'Planilha de Cadastro - Previsão'!$A$2:$N$1100,10,FALSE())="","",VLOOKUP(F62,'Planilha de Cadastro - Previsão'!$A$2:$N$1100,10,FALSE()))),"")</f>
        <v/>
      </c>
      <c r="N62" s="41" t="str">
        <f>IFERROR((IF(VLOOKUP(F62,'Planilha de Cadastro - Previsão'!$A$2:$N$1100,9,FALSE())="","",VLOOKUP(F62,'Planilha de Cadastro - Previsão'!$A$2:$N$1100,9,FALSE()))),"")</f>
        <v/>
      </c>
      <c r="O62" s="40" t="str">
        <f>IFERROR((IF(VLOOKUP(F62,'Planilha de Cadastro - Previsão'!$A$2:$N$1100,11,FALSE())="","",VLOOKUP(F62,'Planilha de Cadastro - Previsão'!$A$2:$N$1100,11,FALSE()))),"")</f>
        <v/>
      </c>
      <c r="P62" s="41" t="str">
        <f>IFERROR((IF(VLOOKUP(F62,'Acompanhamento da Licitação'!$F$2:$O$1000,10,FALSE())="","",VLOOKUP(F62,'Acompanhamento da Licitação'!$F$2:$O$1000,10,FALSE()))),"")</f>
        <v/>
      </c>
      <c r="R62" s="61" t="str">
        <f>IFERROR(IF(F62&gt;0,(Final[[#This Row],[Valor da Venda Real]]-Final[[#This Row],[Valor de Compra Previsto]]-4%*Final[[#This Row],[Valor da Venda Real]])/Final[[#This Row],[Valor da Venda Real]],""),"")</f>
        <v/>
      </c>
      <c r="S62" s="61" t="str">
        <f t="shared" si="3"/>
        <v/>
      </c>
      <c r="T62" s="23" t="str">
        <f>IFERROR((R62*Final[[#This Row],[Valor da Venda Real]]*Final[[#This Row],[Quantidade ]]*S62),"")</f>
        <v/>
      </c>
    </row>
    <row r="63" spans="1:20" ht="15.75" x14ac:dyDescent="0.2">
      <c r="A63">
        <f>COUNTIF($C$2:C63,C63)</f>
        <v>62</v>
      </c>
      <c r="B63" s="1" t="str">
        <f t="shared" si="2"/>
        <v>62</v>
      </c>
      <c r="C63" s="1" t="str">
        <f>IFERROR(VLOOKUP(D63,'Planilha de Cadastro - Previsão'!$A$2:$N$1000,14,FALSE()),"")</f>
        <v/>
      </c>
      <c r="D63" s="1">
        <v>62</v>
      </c>
      <c r="F63" s="40" t="str">
        <f t="shared" si="0"/>
        <v/>
      </c>
      <c r="G63" s="40" t="str">
        <f>IF(F63="","",'Prosposta Inicial'!$O$2)</f>
        <v/>
      </c>
      <c r="H63" s="40" t="str">
        <f t="shared" si="4"/>
        <v xml:space="preserve"> </v>
      </c>
      <c r="I63" s="41" t="str">
        <f>IFERROR((VLOOKUP(F63,'Planilha de Cadastro - Previsão'!$A$2:$N$1100,2,FALSE()))," ")</f>
        <v xml:space="preserve"> </v>
      </c>
      <c r="J63" s="40" t="str">
        <f>IFERROR((VLOOKUP(F63,'Planilha de Cadastro - Previsão'!$A$2:$N$1100,3,FALSE()))," ")</f>
        <v xml:space="preserve"> </v>
      </c>
      <c r="K63" s="23" t="str">
        <f>IFERROR((VLOOKUP(F63,'Planilha de Cadastro - Previsão'!$A$2:$N$1100,4,FALSE()))," ")</f>
        <v xml:space="preserve"> </v>
      </c>
      <c r="L63" s="42" t="str">
        <f>IFERROR((VLOOKUP(F63,'Planilha de Cadastro - Previsão'!$A$2:$N$1100,12,FALSE()))," ")</f>
        <v xml:space="preserve"> </v>
      </c>
      <c r="M63" s="41" t="str">
        <f>IFERROR((IF(VLOOKUP(F63,'Planilha de Cadastro - Previsão'!$A$2:$N$1100,10,FALSE())="","",VLOOKUP(F63,'Planilha de Cadastro - Previsão'!$A$2:$N$1100,10,FALSE()))),"")</f>
        <v/>
      </c>
      <c r="N63" s="41" t="str">
        <f>IFERROR((IF(VLOOKUP(F63,'Planilha de Cadastro - Previsão'!$A$2:$N$1100,9,FALSE())="","",VLOOKUP(F63,'Planilha de Cadastro - Previsão'!$A$2:$N$1100,9,FALSE()))),"")</f>
        <v/>
      </c>
      <c r="O63" s="40" t="str">
        <f>IFERROR((IF(VLOOKUP(F63,'Planilha de Cadastro - Previsão'!$A$2:$N$1100,11,FALSE())="","",VLOOKUP(F63,'Planilha de Cadastro - Previsão'!$A$2:$N$1100,11,FALSE()))),"")</f>
        <v/>
      </c>
      <c r="P63" s="41" t="str">
        <f>IFERROR((IF(VLOOKUP(F63,'Acompanhamento da Licitação'!$F$2:$O$1000,10,FALSE())="","",VLOOKUP(F63,'Acompanhamento da Licitação'!$F$2:$O$1000,10,FALSE()))),"")</f>
        <v/>
      </c>
      <c r="R63" s="61" t="str">
        <f>IFERROR(IF(F63&gt;0,(Final[[#This Row],[Valor da Venda Real]]-Final[[#This Row],[Valor de Compra Previsto]]-4%*Final[[#This Row],[Valor da Venda Real]])/Final[[#This Row],[Valor da Venda Real]],""),"")</f>
        <v/>
      </c>
      <c r="S63" s="61" t="str">
        <f t="shared" si="3"/>
        <v/>
      </c>
      <c r="T63" s="23" t="str">
        <f>IFERROR((R63*Final[[#This Row],[Valor da Venda Real]]*Final[[#This Row],[Quantidade ]]*S63),"")</f>
        <v/>
      </c>
    </row>
    <row r="64" spans="1:20" ht="15.75" x14ac:dyDescent="0.2">
      <c r="A64">
        <f>COUNTIF($C$2:C64,C64)</f>
        <v>63</v>
      </c>
      <c r="B64" s="1" t="str">
        <f t="shared" si="2"/>
        <v>63</v>
      </c>
      <c r="C64" s="1" t="str">
        <f>IFERROR(VLOOKUP(D64,'Planilha de Cadastro - Previsão'!$A$2:$N$1000,14,FALSE()),"")</f>
        <v/>
      </c>
      <c r="D64" s="1">
        <v>63</v>
      </c>
      <c r="F64" s="40" t="str">
        <f t="shared" si="0"/>
        <v/>
      </c>
      <c r="G64" s="40" t="str">
        <f>IF(F64="","",'Prosposta Inicial'!$O$2)</f>
        <v/>
      </c>
      <c r="H64" s="40" t="str">
        <f t="shared" si="4"/>
        <v xml:space="preserve"> </v>
      </c>
      <c r="I64" s="41" t="str">
        <f>IFERROR((VLOOKUP(F64,'Planilha de Cadastro - Previsão'!$A$2:$N$1100,2,FALSE()))," ")</f>
        <v xml:space="preserve"> </v>
      </c>
      <c r="J64" s="40" t="str">
        <f>IFERROR((VLOOKUP(F64,'Planilha de Cadastro - Previsão'!$A$2:$N$1100,3,FALSE()))," ")</f>
        <v xml:space="preserve"> </v>
      </c>
      <c r="K64" s="23" t="str">
        <f>IFERROR((VLOOKUP(F64,'Planilha de Cadastro - Previsão'!$A$2:$N$1100,4,FALSE()))," ")</f>
        <v xml:space="preserve"> </v>
      </c>
      <c r="L64" s="42" t="str">
        <f>IFERROR((VLOOKUP(F64,'Planilha de Cadastro - Previsão'!$A$2:$N$1100,12,FALSE()))," ")</f>
        <v xml:space="preserve"> </v>
      </c>
      <c r="M64" s="41" t="str">
        <f>IFERROR((IF(VLOOKUP(F64,'Planilha de Cadastro - Previsão'!$A$2:$N$1100,10,FALSE())="","",VLOOKUP(F64,'Planilha de Cadastro - Previsão'!$A$2:$N$1100,10,FALSE()))),"")</f>
        <v/>
      </c>
      <c r="N64" s="41" t="str">
        <f>IFERROR((IF(VLOOKUP(F64,'Planilha de Cadastro - Previsão'!$A$2:$N$1100,9,FALSE())="","",VLOOKUP(F64,'Planilha de Cadastro - Previsão'!$A$2:$N$1100,9,FALSE()))),"")</f>
        <v/>
      </c>
      <c r="O64" s="40" t="str">
        <f>IFERROR((IF(VLOOKUP(F64,'Planilha de Cadastro - Previsão'!$A$2:$N$1100,11,FALSE())="","",VLOOKUP(F64,'Planilha de Cadastro - Previsão'!$A$2:$N$1100,11,FALSE()))),"")</f>
        <v/>
      </c>
      <c r="P64" s="41" t="str">
        <f>IFERROR((IF(VLOOKUP(F64,'Acompanhamento da Licitação'!$F$2:$O$1000,10,FALSE())="","",VLOOKUP(F64,'Acompanhamento da Licitação'!$F$2:$O$1000,10,FALSE()))),"")</f>
        <v/>
      </c>
      <c r="R64" s="61" t="str">
        <f>IFERROR(IF(F64&gt;0,(Final[[#This Row],[Valor da Venda Real]]-Final[[#This Row],[Valor de Compra Previsto]]-4%*Final[[#This Row],[Valor da Venda Real]])/Final[[#This Row],[Valor da Venda Real]],""),"")</f>
        <v/>
      </c>
      <c r="S64" s="61" t="str">
        <f t="shared" si="3"/>
        <v/>
      </c>
      <c r="T64" s="23" t="str">
        <f>IFERROR((R64*Final[[#This Row],[Valor da Venda Real]]*Final[[#This Row],[Quantidade ]]*S64),"")</f>
        <v/>
      </c>
    </row>
    <row r="65" spans="1:20" ht="15.75" x14ac:dyDescent="0.2">
      <c r="A65">
        <f>COUNTIF($C$2:C65,C65)</f>
        <v>64</v>
      </c>
      <c r="B65" s="1" t="str">
        <f t="shared" si="2"/>
        <v>64</v>
      </c>
      <c r="C65" s="1" t="str">
        <f>IFERROR(VLOOKUP(D65,'Planilha de Cadastro - Previsão'!$A$2:$N$1000,14,FALSE()),"")</f>
        <v/>
      </c>
      <c r="D65" s="1">
        <v>64</v>
      </c>
      <c r="F65" s="40" t="str">
        <f t="shared" si="0"/>
        <v/>
      </c>
      <c r="G65" s="40" t="str">
        <f>IF(F65="","",'Prosposta Inicial'!$O$2)</f>
        <v/>
      </c>
      <c r="H65" s="40" t="str">
        <f t="shared" si="4"/>
        <v xml:space="preserve"> </v>
      </c>
      <c r="I65" s="41" t="str">
        <f>IFERROR((VLOOKUP(F65,'Planilha de Cadastro - Previsão'!$A$2:$N$1100,2,FALSE()))," ")</f>
        <v xml:space="preserve"> </v>
      </c>
      <c r="J65" s="40" t="str">
        <f>IFERROR((VLOOKUP(F65,'Planilha de Cadastro - Previsão'!$A$2:$N$1100,3,FALSE()))," ")</f>
        <v xml:space="preserve"> </v>
      </c>
      <c r="K65" s="23" t="str">
        <f>IFERROR((VLOOKUP(F65,'Planilha de Cadastro - Previsão'!$A$2:$N$1100,4,FALSE()))," ")</f>
        <v xml:space="preserve"> </v>
      </c>
      <c r="L65" s="42" t="str">
        <f>IFERROR((VLOOKUP(F65,'Planilha de Cadastro - Previsão'!$A$2:$N$1100,12,FALSE()))," ")</f>
        <v xml:space="preserve"> </v>
      </c>
      <c r="M65" s="41" t="str">
        <f>IFERROR((IF(VLOOKUP(F65,'Planilha de Cadastro - Previsão'!$A$2:$N$1100,10,FALSE())="","",VLOOKUP(F65,'Planilha de Cadastro - Previsão'!$A$2:$N$1100,10,FALSE()))),"")</f>
        <v/>
      </c>
      <c r="N65" s="41" t="str">
        <f>IFERROR((IF(VLOOKUP(F65,'Planilha de Cadastro - Previsão'!$A$2:$N$1100,9,FALSE())="","",VLOOKUP(F65,'Planilha de Cadastro - Previsão'!$A$2:$N$1100,9,FALSE()))),"")</f>
        <v/>
      </c>
      <c r="O65" s="40" t="str">
        <f>IFERROR((IF(VLOOKUP(F65,'Planilha de Cadastro - Previsão'!$A$2:$N$1100,11,FALSE())="","",VLOOKUP(F65,'Planilha de Cadastro - Previsão'!$A$2:$N$1100,11,FALSE()))),"")</f>
        <v/>
      </c>
      <c r="P65" s="41" t="str">
        <f>IFERROR((IF(VLOOKUP(F65,'Acompanhamento da Licitação'!$F$2:$O$1000,10,FALSE())="","",VLOOKUP(F65,'Acompanhamento da Licitação'!$F$2:$O$1000,10,FALSE()))),"")</f>
        <v/>
      </c>
      <c r="R65" s="61" t="str">
        <f>IFERROR(IF(F65&gt;0,(Final[[#This Row],[Valor da Venda Real]]-Final[[#This Row],[Valor de Compra Previsto]]-4%*Final[[#This Row],[Valor da Venda Real]])/Final[[#This Row],[Valor da Venda Real]],""),"")</f>
        <v/>
      </c>
      <c r="S65" s="61" t="str">
        <f t="shared" si="3"/>
        <v/>
      </c>
      <c r="T65" s="23" t="str">
        <f>IFERROR((R65*Final[[#This Row],[Valor da Venda Real]]*Final[[#This Row],[Quantidade ]]*S65),"")</f>
        <v/>
      </c>
    </row>
    <row r="66" spans="1:20" ht="15.75" x14ac:dyDescent="0.2">
      <c r="A66">
        <f>COUNTIF($C$2:C66,C66)</f>
        <v>65</v>
      </c>
      <c r="B66" s="1" t="str">
        <f t="shared" si="2"/>
        <v>65</v>
      </c>
      <c r="C66" s="1" t="str">
        <f>IFERROR(VLOOKUP(D66,'Planilha de Cadastro - Previsão'!$A$2:$N$1000,14,FALSE()),"")</f>
        <v/>
      </c>
      <c r="D66" s="1">
        <v>65</v>
      </c>
      <c r="F66" s="40" t="str">
        <f t="shared" ref="F66:F129" si="5">IFERROR((VLOOKUP(CONCATENATE("Sim",D66),$B$2:$D$1000,3,FALSE())),"")</f>
        <v/>
      </c>
      <c r="G66" s="40" t="str">
        <f>IF(F66="","",'Prosposta Inicial'!$O$2)</f>
        <v/>
      </c>
      <c r="H66" s="40" t="str">
        <f t="shared" ref="H66:H97" si="6">CONCATENATE(F66,G66,L66)</f>
        <v xml:space="preserve"> </v>
      </c>
      <c r="I66" s="41" t="str">
        <f>IFERROR((VLOOKUP(F66,'Planilha de Cadastro - Previsão'!$A$2:$N$1100,2,FALSE()))," ")</f>
        <v xml:space="preserve"> </v>
      </c>
      <c r="J66" s="40" t="str">
        <f>IFERROR((VLOOKUP(F66,'Planilha de Cadastro - Previsão'!$A$2:$N$1100,3,FALSE()))," ")</f>
        <v xml:space="preserve"> </v>
      </c>
      <c r="K66" s="23" t="str">
        <f>IFERROR((VLOOKUP(F66,'Planilha de Cadastro - Previsão'!$A$2:$N$1100,4,FALSE()))," ")</f>
        <v xml:space="preserve"> </v>
      </c>
      <c r="L66" s="42" t="str">
        <f>IFERROR((VLOOKUP(F66,'Planilha de Cadastro - Previsão'!$A$2:$N$1100,12,FALSE()))," ")</f>
        <v xml:space="preserve"> </v>
      </c>
      <c r="M66" s="41" t="str">
        <f>IFERROR((IF(VLOOKUP(F66,'Planilha de Cadastro - Previsão'!$A$2:$N$1100,10,FALSE())="","",VLOOKUP(F66,'Planilha de Cadastro - Previsão'!$A$2:$N$1100,10,FALSE()))),"")</f>
        <v/>
      </c>
      <c r="N66" s="41" t="str">
        <f>IFERROR((IF(VLOOKUP(F66,'Planilha de Cadastro - Previsão'!$A$2:$N$1100,9,FALSE())="","",VLOOKUP(F66,'Planilha de Cadastro - Previsão'!$A$2:$N$1100,9,FALSE()))),"")</f>
        <v/>
      </c>
      <c r="O66" s="40" t="str">
        <f>IFERROR((IF(VLOOKUP(F66,'Planilha de Cadastro - Previsão'!$A$2:$N$1100,11,FALSE())="","",VLOOKUP(F66,'Planilha de Cadastro - Previsão'!$A$2:$N$1100,11,FALSE()))),"")</f>
        <v/>
      </c>
      <c r="P66" s="41" t="str">
        <f>IFERROR((IF(VLOOKUP(F66,'Acompanhamento da Licitação'!$F$2:$O$1000,10,FALSE())="","",VLOOKUP(F66,'Acompanhamento da Licitação'!$F$2:$O$1000,10,FALSE()))),"")</f>
        <v/>
      </c>
      <c r="R66" s="61" t="str">
        <f>IFERROR(IF(F66&gt;0,(Final[[#This Row],[Valor da Venda Real]]-Final[[#This Row],[Valor de Compra Previsto]]-4%*Final[[#This Row],[Valor da Venda Real]])/Final[[#This Row],[Valor da Venda Real]],""),"")</f>
        <v/>
      </c>
      <c r="S66" s="61" t="str">
        <f t="shared" si="3"/>
        <v/>
      </c>
      <c r="T66" s="23" t="str">
        <f>IFERROR((R66*Final[[#This Row],[Valor da Venda Real]]*Final[[#This Row],[Quantidade ]]*S66),"")</f>
        <v/>
      </c>
    </row>
    <row r="67" spans="1:20" ht="15.75" x14ac:dyDescent="0.2">
      <c r="A67">
        <f>COUNTIF($C$2:C67,C67)</f>
        <v>66</v>
      </c>
      <c r="B67" s="1" t="str">
        <f t="shared" ref="B67:B130" si="7">IFERROR(CONCATENATE(C67,A67),"")</f>
        <v>66</v>
      </c>
      <c r="C67" s="1" t="str">
        <f>IFERROR(VLOOKUP(D67,'Planilha de Cadastro - Previsão'!$A$2:$N$1000,14,FALSE()),"")</f>
        <v/>
      </c>
      <c r="D67" s="1">
        <v>66</v>
      </c>
      <c r="F67" s="40" t="str">
        <f t="shared" si="5"/>
        <v/>
      </c>
      <c r="G67" s="40" t="str">
        <f>IF(F67="","",'Prosposta Inicial'!$O$2)</f>
        <v/>
      </c>
      <c r="H67" s="40" t="str">
        <f t="shared" si="6"/>
        <v xml:space="preserve"> </v>
      </c>
      <c r="I67" s="41" t="str">
        <f>IFERROR((VLOOKUP(F67,'Planilha de Cadastro - Previsão'!$A$2:$N$1100,2,FALSE()))," ")</f>
        <v xml:space="preserve"> </v>
      </c>
      <c r="J67" s="40" t="str">
        <f>IFERROR((VLOOKUP(F67,'Planilha de Cadastro - Previsão'!$A$2:$N$1100,3,FALSE()))," ")</f>
        <v xml:space="preserve"> </v>
      </c>
      <c r="K67" s="23" t="str">
        <f>IFERROR((VLOOKUP(F67,'Planilha de Cadastro - Previsão'!$A$2:$N$1100,4,FALSE()))," ")</f>
        <v xml:space="preserve"> </v>
      </c>
      <c r="L67" s="42" t="str">
        <f>IFERROR((VLOOKUP(F67,'Planilha de Cadastro - Previsão'!$A$2:$N$1100,12,FALSE()))," ")</f>
        <v xml:space="preserve"> </v>
      </c>
      <c r="M67" s="41" t="str">
        <f>IFERROR((IF(VLOOKUP(F67,'Planilha de Cadastro - Previsão'!$A$2:$N$1100,10,FALSE())="","",VLOOKUP(F67,'Planilha de Cadastro - Previsão'!$A$2:$N$1100,10,FALSE()))),"")</f>
        <v/>
      </c>
      <c r="N67" s="41" t="str">
        <f>IFERROR((IF(VLOOKUP(F67,'Planilha de Cadastro - Previsão'!$A$2:$N$1100,9,FALSE())="","",VLOOKUP(F67,'Planilha de Cadastro - Previsão'!$A$2:$N$1100,9,FALSE()))),"")</f>
        <v/>
      </c>
      <c r="O67" s="40" t="str">
        <f>IFERROR((IF(VLOOKUP(F67,'Planilha de Cadastro - Previsão'!$A$2:$N$1100,11,FALSE())="","",VLOOKUP(F67,'Planilha de Cadastro - Previsão'!$A$2:$N$1100,11,FALSE()))),"")</f>
        <v/>
      </c>
      <c r="P67" s="41" t="str">
        <f>IFERROR((IF(VLOOKUP(F67,'Acompanhamento da Licitação'!$F$2:$O$1000,10,FALSE())="","",VLOOKUP(F67,'Acompanhamento da Licitação'!$F$2:$O$1000,10,FALSE()))),"")</f>
        <v/>
      </c>
      <c r="R67" s="61" t="str">
        <f>IFERROR(IF(F67&gt;0,(Final[[#This Row],[Valor da Venda Real]]-Final[[#This Row],[Valor de Compra Previsto]]-4%*Final[[#This Row],[Valor da Venda Real]])/Final[[#This Row],[Valor da Venda Real]],""),"")</f>
        <v/>
      </c>
      <c r="S67" s="61" t="str">
        <f t="shared" ref="S67:S130" si="8">IF(R67="","",IF(R67&lt;0.2,0.05,IF(R67&lt;0.25,0.1,IF(R67&lt;0.3,0.15,IF(R67&lt;0.35,0.2,IF(R67&lt;0.45,0.25,IF(R67&lt;0.5,0.3,IF(R67&lt;0.6,0.35,0.4))))))))</f>
        <v/>
      </c>
      <c r="T67" s="23" t="str">
        <f>IFERROR((R67*Final[[#This Row],[Valor da Venda Real]]*Final[[#This Row],[Quantidade ]]*S67),"")</f>
        <v/>
      </c>
    </row>
    <row r="68" spans="1:20" ht="15.75" x14ac:dyDescent="0.2">
      <c r="A68">
        <f>COUNTIF($C$2:C68,C68)</f>
        <v>67</v>
      </c>
      <c r="B68" s="1" t="str">
        <f t="shared" si="7"/>
        <v>67</v>
      </c>
      <c r="C68" s="1" t="str">
        <f>IFERROR(VLOOKUP(D68,'Planilha de Cadastro - Previsão'!$A$2:$N$1000,14,FALSE()),"")</f>
        <v/>
      </c>
      <c r="D68" s="1">
        <v>67</v>
      </c>
      <c r="F68" s="40" t="str">
        <f t="shared" si="5"/>
        <v/>
      </c>
      <c r="G68" s="40" t="str">
        <f>IF(F68="","",'Prosposta Inicial'!$O$2)</f>
        <v/>
      </c>
      <c r="H68" s="40" t="str">
        <f t="shared" si="6"/>
        <v xml:space="preserve"> </v>
      </c>
      <c r="I68" s="41" t="str">
        <f>IFERROR((VLOOKUP(F68,'Planilha de Cadastro - Previsão'!$A$2:$N$1100,2,FALSE()))," ")</f>
        <v xml:space="preserve"> </v>
      </c>
      <c r="J68" s="40" t="str">
        <f>IFERROR((VLOOKUP(F68,'Planilha de Cadastro - Previsão'!$A$2:$N$1100,3,FALSE()))," ")</f>
        <v xml:space="preserve"> </v>
      </c>
      <c r="K68" s="23" t="str">
        <f>IFERROR((VLOOKUP(F68,'Planilha de Cadastro - Previsão'!$A$2:$N$1100,4,FALSE()))," ")</f>
        <v xml:space="preserve"> </v>
      </c>
      <c r="L68" s="42" t="str">
        <f>IFERROR((VLOOKUP(F68,'Planilha de Cadastro - Previsão'!$A$2:$N$1100,12,FALSE()))," ")</f>
        <v xml:space="preserve"> </v>
      </c>
      <c r="M68" s="41" t="str">
        <f>IFERROR((IF(VLOOKUP(F68,'Planilha de Cadastro - Previsão'!$A$2:$N$1100,10,FALSE())="","",VLOOKUP(F68,'Planilha de Cadastro - Previsão'!$A$2:$N$1100,10,FALSE()))),"")</f>
        <v/>
      </c>
      <c r="N68" s="41" t="str">
        <f>IFERROR((IF(VLOOKUP(F68,'Planilha de Cadastro - Previsão'!$A$2:$N$1100,9,FALSE())="","",VLOOKUP(F68,'Planilha de Cadastro - Previsão'!$A$2:$N$1100,9,FALSE()))),"")</f>
        <v/>
      </c>
      <c r="O68" s="40" t="str">
        <f>IFERROR((IF(VLOOKUP(F68,'Planilha de Cadastro - Previsão'!$A$2:$N$1100,11,FALSE())="","",VLOOKUP(F68,'Planilha de Cadastro - Previsão'!$A$2:$N$1100,11,FALSE()))),"")</f>
        <v/>
      </c>
      <c r="P68" s="41" t="str">
        <f>IFERROR((IF(VLOOKUP(F68,'Acompanhamento da Licitação'!$F$2:$O$1000,10,FALSE())="","",VLOOKUP(F68,'Acompanhamento da Licitação'!$F$2:$O$1000,10,FALSE()))),"")</f>
        <v/>
      </c>
      <c r="R68" s="61" t="str">
        <f>IFERROR(IF(F68&gt;0,(Final[[#This Row],[Valor da Venda Real]]-Final[[#This Row],[Valor de Compra Previsto]]-4%*Final[[#This Row],[Valor da Venda Real]])/Final[[#This Row],[Valor da Venda Real]],""),"")</f>
        <v/>
      </c>
      <c r="S68" s="61" t="str">
        <f t="shared" si="8"/>
        <v/>
      </c>
      <c r="T68" s="23" t="str">
        <f>IFERROR((R68*Final[[#This Row],[Valor da Venda Real]]*Final[[#This Row],[Quantidade ]]*S68),"")</f>
        <v/>
      </c>
    </row>
    <row r="69" spans="1:20" ht="15.75" x14ac:dyDescent="0.2">
      <c r="A69">
        <f>COUNTIF($C$2:C69,C69)</f>
        <v>68</v>
      </c>
      <c r="B69" s="1" t="str">
        <f t="shared" si="7"/>
        <v>68</v>
      </c>
      <c r="C69" s="1" t="str">
        <f>IFERROR(VLOOKUP(D69,'Planilha de Cadastro - Previsão'!$A$2:$N$1000,14,FALSE()),"")</f>
        <v/>
      </c>
      <c r="D69" s="1">
        <v>68</v>
      </c>
      <c r="F69" s="40" t="str">
        <f t="shared" si="5"/>
        <v/>
      </c>
      <c r="G69" s="40" t="str">
        <f>IF(F69="","",'Prosposta Inicial'!$O$2)</f>
        <v/>
      </c>
      <c r="H69" s="40" t="str">
        <f t="shared" si="6"/>
        <v xml:space="preserve"> </v>
      </c>
      <c r="I69" s="41" t="str">
        <f>IFERROR((VLOOKUP(F69,'Planilha de Cadastro - Previsão'!$A$2:$N$1100,2,FALSE()))," ")</f>
        <v xml:space="preserve"> </v>
      </c>
      <c r="J69" s="40" t="str">
        <f>IFERROR((VLOOKUP(F69,'Planilha de Cadastro - Previsão'!$A$2:$N$1100,3,FALSE()))," ")</f>
        <v xml:space="preserve"> </v>
      </c>
      <c r="K69" s="23" t="str">
        <f>IFERROR((VLOOKUP(F69,'Planilha de Cadastro - Previsão'!$A$2:$N$1100,4,FALSE()))," ")</f>
        <v xml:space="preserve"> </v>
      </c>
      <c r="L69" s="42" t="str">
        <f>IFERROR((VLOOKUP(F69,'Planilha de Cadastro - Previsão'!$A$2:$N$1100,12,FALSE()))," ")</f>
        <v xml:space="preserve"> </v>
      </c>
      <c r="M69" s="41" t="str">
        <f>IFERROR((IF(VLOOKUP(F69,'Planilha de Cadastro - Previsão'!$A$2:$N$1100,10,FALSE())="","",VLOOKUP(F69,'Planilha de Cadastro - Previsão'!$A$2:$N$1100,10,FALSE()))),"")</f>
        <v/>
      </c>
      <c r="N69" s="41" t="str">
        <f>IFERROR((IF(VLOOKUP(F69,'Planilha de Cadastro - Previsão'!$A$2:$N$1100,9,FALSE())="","",VLOOKUP(F69,'Planilha de Cadastro - Previsão'!$A$2:$N$1100,9,FALSE()))),"")</f>
        <v/>
      </c>
      <c r="O69" s="40" t="str">
        <f>IFERROR((IF(VLOOKUP(F69,'Planilha de Cadastro - Previsão'!$A$2:$N$1100,11,FALSE())="","",VLOOKUP(F69,'Planilha de Cadastro - Previsão'!$A$2:$N$1100,11,FALSE()))),"")</f>
        <v/>
      </c>
      <c r="P69" s="41" t="str">
        <f>IFERROR((IF(VLOOKUP(F69,'Acompanhamento da Licitação'!$F$2:$O$1000,10,FALSE())="","",VLOOKUP(F69,'Acompanhamento da Licitação'!$F$2:$O$1000,10,FALSE()))),"")</f>
        <v/>
      </c>
      <c r="R69" s="61" t="str">
        <f>IFERROR(IF(F69&gt;0,(Final[[#This Row],[Valor da Venda Real]]-Final[[#This Row],[Valor de Compra Previsto]]-4%*Final[[#This Row],[Valor da Venda Real]])/Final[[#This Row],[Valor da Venda Real]],""),"")</f>
        <v/>
      </c>
      <c r="S69" s="61" t="str">
        <f t="shared" si="8"/>
        <v/>
      </c>
      <c r="T69" s="23" t="str">
        <f>IFERROR((R69*Final[[#This Row],[Valor da Venda Real]]*Final[[#This Row],[Quantidade ]]*S69),"")</f>
        <v/>
      </c>
    </row>
    <row r="70" spans="1:20" ht="15.75" x14ac:dyDescent="0.2">
      <c r="A70">
        <f>COUNTIF($C$2:C70,C70)</f>
        <v>69</v>
      </c>
      <c r="B70" s="1" t="str">
        <f t="shared" si="7"/>
        <v>69</v>
      </c>
      <c r="C70" s="1" t="str">
        <f>IFERROR(VLOOKUP(D70,'Planilha de Cadastro - Previsão'!$A$2:$N$1000,14,FALSE()),"")</f>
        <v/>
      </c>
      <c r="D70" s="1">
        <v>69</v>
      </c>
      <c r="F70" s="40" t="str">
        <f t="shared" si="5"/>
        <v/>
      </c>
      <c r="G70" s="40" t="str">
        <f>IF(F70="","",'Prosposta Inicial'!$O$2)</f>
        <v/>
      </c>
      <c r="H70" s="40" t="str">
        <f t="shared" si="6"/>
        <v xml:space="preserve"> </v>
      </c>
      <c r="I70" s="41" t="str">
        <f>IFERROR((VLOOKUP(F70,'Planilha de Cadastro - Previsão'!$A$2:$N$1100,2,FALSE()))," ")</f>
        <v xml:space="preserve"> </v>
      </c>
      <c r="J70" s="40" t="str">
        <f>IFERROR((VLOOKUP(F70,'Planilha de Cadastro - Previsão'!$A$2:$N$1100,3,FALSE()))," ")</f>
        <v xml:space="preserve"> </v>
      </c>
      <c r="K70" s="23" t="str">
        <f>IFERROR((VLOOKUP(F70,'Planilha de Cadastro - Previsão'!$A$2:$N$1100,4,FALSE()))," ")</f>
        <v xml:space="preserve"> </v>
      </c>
      <c r="L70" s="42" t="str">
        <f>IFERROR((VLOOKUP(F70,'Planilha de Cadastro - Previsão'!$A$2:$N$1100,12,FALSE()))," ")</f>
        <v xml:space="preserve"> </v>
      </c>
      <c r="M70" s="41" t="str">
        <f>IFERROR((IF(VLOOKUP(F70,'Planilha de Cadastro - Previsão'!$A$2:$N$1100,10,FALSE())="","",VLOOKUP(F70,'Planilha de Cadastro - Previsão'!$A$2:$N$1100,10,FALSE()))),"")</f>
        <v/>
      </c>
      <c r="N70" s="41" t="str">
        <f>IFERROR((IF(VLOOKUP(F70,'Planilha de Cadastro - Previsão'!$A$2:$N$1100,9,FALSE())="","",VLOOKUP(F70,'Planilha de Cadastro - Previsão'!$A$2:$N$1100,9,FALSE()))),"")</f>
        <v/>
      </c>
      <c r="O70" s="40" t="str">
        <f>IFERROR((IF(VLOOKUP(F70,'Planilha de Cadastro - Previsão'!$A$2:$N$1100,11,FALSE())="","",VLOOKUP(F70,'Planilha de Cadastro - Previsão'!$A$2:$N$1100,11,FALSE()))),"")</f>
        <v/>
      </c>
      <c r="P70" s="41" t="str">
        <f>IFERROR((IF(VLOOKUP(F70,'Acompanhamento da Licitação'!$F$2:$O$1000,10,FALSE())="","",VLOOKUP(F70,'Acompanhamento da Licitação'!$F$2:$O$1000,10,FALSE()))),"")</f>
        <v/>
      </c>
      <c r="R70" s="61" t="str">
        <f>IFERROR(IF(F70&gt;0,(Final[[#This Row],[Valor da Venda Real]]-Final[[#This Row],[Valor de Compra Previsto]]-4%*Final[[#This Row],[Valor da Venda Real]])/Final[[#This Row],[Valor da Venda Real]],""),"")</f>
        <v/>
      </c>
      <c r="S70" s="61" t="str">
        <f t="shared" si="8"/>
        <v/>
      </c>
      <c r="T70" s="23" t="str">
        <f>IFERROR((R70*Final[[#This Row],[Valor da Venda Real]]*Final[[#This Row],[Quantidade ]]*S70),"")</f>
        <v/>
      </c>
    </row>
    <row r="71" spans="1:20" ht="15.75" x14ac:dyDescent="0.2">
      <c r="A71">
        <f>COUNTIF($C$2:C71,C71)</f>
        <v>70</v>
      </c>
      <c r="B71" s="1" t="str">
        <f t="shared" si="7"/>
        <v>70</v>
      </c>
      <c r="C71" s="1" t="str">
        <f>IFERROR(VLOOKUP(D71,'Planilha de Cadastro - Previsão'!$A$2:$N$1000,14,FALSE()),"")</f>
        <v/>
      </c>
      <c r="D71" s="1">
        <v>70</v>
      </c>
      <c r="F71" s="40" t="str">
        <f t="shared" si="5"/>
        <v/>
      </c>
      <c r="G71" s="40" t="str">
        <f>IF(F71="","",'Prosposta Inicial'!$O$2)</f>
        <v/>
      </c>
      <c r="H71" s="40" t="str">
        <f t="shared" si="6"/>
        <v xml:space="preserve"> </v>
      </c>
      <c r="I71" s="41" t="str">
        <f>IFERROR((VLOOKUP(F71,'Planilha de Cadastro - Previsão'!$A$2:$N$1100,2,FALSE()))," ")</f>
        <v xml:space="preserve"> </v>
      </c>
      <c r="J71" s="40" t="str">
        <f>IFERROR((VLOOKUP(F71,'Planilha de Cadastro - Previsão'!$A$2:$N$1100,3,FALSE()))," ")</f>
        <v xml:space="preserve"> </v>
      </c>
      <c r="K71" s="23" t="str">
        <f>IFERROR((VLOOKUP(F71,'Planilha de Cadastro - Previsão'!$A$2:$N$1100,4,FALSE()))," ")</f>
        <v xml:space="preserve"> </v>
      </c>
      <c r="L71" s="42" t="str">
        <f>IFERROR((VLOOKUP(F71,'Planilha de Cadastro - Previsão'!$A$2:$N$1100,12,FALSE()))," ")</f>
        <v xml:space="preserve"> </v>
      </c>
      <c r="M71" s="41" t="str">
        <f>IFERROR((IF(VLOOKUP(F71,'Planilha de Cadastro - Previsão'!$A$2:$N$1100,10,FALSE())="","",VLOOKUP(F71,'Planilha de Cadastro - Previsão'!$A$2:$N$1100,10,FALSE()))),"")</f>
        <v/>
      </c>
      <c r="N71" s="41" t="str">
        <f>IFERROR((IF(VLOOKUP(F71,'Planilha de Cadastro - Previsão'!$A$2:$N$1100,9,FALSE())="","",VLOOKUP(F71,'Planilha de Cadastro - Previsão'!$A$2:$N$1100,9,FALSE()))),"")</f>
        <v/>
      </c>
      <c r="O71" s="40" t="str">
        <f>IFERROR((IF(VLOOKUP(F71,'Planilha de Cadastro - Previsão'!$A$2:$N$1100,11,FALSE())="","",VLOOKUP(F71,'Planilha de Cadastro - Previsão'!$A$2:$N$1100,11,FALSE()))),"")</f>
        <v/>
      </c>
      <c r="P71" s="41" t="str">
        <f>IFERROR((IF(VLOOKUP(F71,'Acompanhamento da Licitação'!$F$2:$O$1000,10,FALSE())="","",VLOOKUP(F71,'Acompanhamento da Licitação'!$F$2:$O$1000,10,FALSE()))),"")</f>
        <v/>
      </c>
      <c r="R71" s="61" t="str">
        <f>IFERROR(IF(F71&gt;0,(Final[[#This Row],[Valor da Venda Real]]-Final[[#This Row],[Valor de Compra Previsto]]-4%*Final[[#This Row],[Valor da Venda Real]])/Final[[#This Row],[Valor da Venda Real]],""),"")</f>
        <v/>
      </c>
      <c r="S71" s="61" t="str">
        <f t="shared" si="8"/>
        <v/>
      </c>
      <c r="T71" s="23" t="str">
        <f>IFERROR((R71*Final[[#This Row],[Valor da Venda Real]]*Final[[#This Row],[Quantidade ]]*S71),"")</f>
        <v/>
      </c>
    </row>
    <row r="72" spans="1:20" ht="15.75" x14ac:dyDescent="0.2">
      <c r="A72">
        <f>COUNTIF($C$2:C72,C72)</f>
        <v>71</v>
      </c>
      <c r="B72" s="1" t="str">
        <f t="shared" si="7"/>
        <v>71</v>
      </c>
      <c r="C72" s="1" t="str">
        <f>IFERROR(VLOOKUP(D72,'Planilha de Cadastro - Previsão'!$A$2:$N$1000,14,FALSE()),"")</f>
        <v/>
      </c>
      <c r="D72" s="1">
        <v>71</v>
      </c>
      <c r="F72" s="40" t="str">
        <f t="shared" si="5"/>
        <v/>
      </c>
      <c r="G72" s="40" t="str">
        <f>IF(F72="","",'Prosposta Inicial'!$O$2)</f>
        <v/>
      </c>
      <c r="H72" s="40" t="str">
        <f t="shared" si="6"/>
        <v xml:space="preserve"> </v>
      </c>
      <c r="I72" s="41" t="str">
        <f>IFERROR((VLOOKUP(F72,'Planilha de Cadastro - Previsão'!$A$2:$N$1100,2,FALSE()))," ")</f>
        <v xml:space="preserve"> </v>
      </c>
      <c r="J72" s="40" t="str">
        <f>IFERROR((VLOOKUP(F72,'Planilha de Cadastro - Previsão'!$A$2:$N$1100,3,FALSE()))," ")</f>
        <v xml:space="preserve"> </v>
      </c>
      <c r="K72" s="23" t="str">
        <f>IFERROR((VLOOKUP(F72,'Planilha de Cadastro - Previsão'!$A$2:$N$1100,4,FALSE()))," ")</f>
        <v xml:space="preserve"> </v>
      </c>
      <c r="L72" s="42" t="str">
        <f>IFERROR((VLOOKUP(F72,'Planilha de Cadastro - Previsão'!$A$2:$N$1100,12,FALSE()))," ")</f>
        <v xml:space="preserve"> </v>
      </c>
      <c r="M72" s="41" t="str">
        <f>IFERROR((IF(VLOOKUP(F72,'Planilha de Cadastro - Previsão'!$A$2:$N$1100,10,FALSE())="","",VLOOKUP(F72,'Planilha de Cadastro - Previsão'!$A$2:$N$1100,10,FALSE()))),"")</f>
        <v/>
      </c>
      <c r="N72" s="41" t="str">
        <f>IFERROR((IF(VLOOKUP(F72,'Planilha de Cadastro - Previsão'!$A$2:$N$1100,9,FALSE())="","",VLOOKUP(F72,'Planilha de Cadastro - Previsão'!$A$2:$N$1100,9,FALSE()))),"")</f>
        <v/>
      </c>
      <c r="O72" s="40" t="str">
        <f>IFERROR((IF(VLOOKUP(F72,'Planilha de Cadastro - Previsão'!$A$2:$N$1100,11,FALSE())="","",VLOOKUP(F72,'Planilha de Cadastro - Previsão'!$A$2:$N$1100,11,FALSE()))),"")</f>
        <v/>
      </c>
      <c r="P72" s="41" t="str">
        <f>IFERROR((IF(VLOOKUP(F72,'Acompanhamento da Licitação'!$F$2:$O$1000,10,FALSE())="","",VLOOKUP(F72,'Acompanhamento da Licitação'!$F$2:$O$1000,10,FALSE()))),"")</f>
        <v/>
      </c>
      <c r="R72" s="61" t="str">
        <f>IFERROR(IF(F72&gt;0,(Final[[#This Row],[Valor da Venda Real]]-Final[[#This Row],[Valor de Compra Previsto]]-4%*Final[[#This Row],[Valor da Venda Real]])/Final[[#This Row],[Valor da Venda Real]],""),"")</f>
        <v/>
      </c>
      <c r="S72" s="61" t="str">
        <f t="shared" si="8"/>
        <v/>
      </c>
      <c r="T72" s="23" t="str">
        <f>IFERROR((R72*Final[[#This Row],[Valor da Venda Real]]*Final[[#This Row],[Quantidade ]]*S72),"")</f>
        <v/>
      </c>
    </row>
    <row r="73" spans="1:20" ht="15.75" x14ac:dyDescent="0.2">
      <c r="A73">
        <f>COUNTIF($C$2:C73,C73)</f>
        <v>72</v>
      </c>
      <c r="B73" s="1" t="str">
        <f t="shared" si="7"/>
        <v>72</v>
      </c>
      <c r="C73" s="1" t="str">
        <f>IFERROR(VLOOKUP(D73,'Planilha de Cadastro - Previsão'!$A$2:$N$1000,14,FALSE()),"")</f>
        <v/>
      </c>
      <c r="D73" s="1">
        <v>72</v>
      </c>
      <c r="F73" s="40" t="str">
        <f t="shared" si="5"/>
        <v/>
      </c>
      <c r="G73" s="40" t="str">
        <f>IF(F73="","",'Prosposta Inicial'!$O$2)</f>
        <v/>
      </c>
      <c r="H73" s="40" t="str">
        <f t="shared" si="6"/>
        <v xml:space="preserve"> </v>
      </c>
      <c r="I73" s="41" t="str">
        <f>IFERROR((VLOOKUP(F73,'Planilha de Cadastro - Previsão'!$A$2:$N$1100,2,FALSE()))," ")</f>
        <v xml:space="preserve"> </v>
      </c>
      <c r="J73" s="40" t="str">
        <f>IFERROR((VLOOKUP(F73,'Planilha de Cadastro - Previsão'!$A$2:$N$1100,3,FALSE()))," ")</f>
        <v xml:space="preserve"> </v>
      </c>
      <c r="K73" s="23" t="str">
        <f>IFERROR((VLOOKUP(F73,'Planilha de Cadastro - Previsão'!$A$2:$N$1100,4,FALSE()))," ")</f>
        <v xml:space="preserve"> </v>
      </c>
      <c r="L73" s="42" t="str">
        <f>IFERROR((VLOOKUP(F73,'Planilha de Cadastro - Previsão'!$A$2:$N$1100,12,FALSE()))," ")</f>
        <v xml:space="preserve"> </v>
      </c>
      <c r="M73" s="41" t="str">
        <f>IFERROR((IF(VLOOKUP(F73,'Planilha de Cadastro - Previsão'!$A$2:$N$1100,10,FALSE())="","",VLOOKUP(F73,'Planilha de Cadastro - Previsão'!$A$2:$N$1100,10,FALSE()))),"")</f>
        <v/>
      </c>
      <c r="N73" s="41" t="str">
        <f>IFERROR((IF(VLOOKUP(F73,'Planilha de Cadastro - Previsão'!$A$2:$N$1100,9,FALSE())="","",VLOOKUP(F73,'Planilha de Cadastro - Previsão'!$A$2:$N$1100,9,FALSE()))),"")</f>
        <v/>
      </c>
      <c r="O73" s="40" t="str">
        <f>IFERROR((IF(VLOOKUP(F73,'Planilha de Cadastro - Previsão'!$A$2:$N$1100,11,FALSE())="","",VLOOKUP(F73,'Planilha de Cadastro - Previsão'!$A$2:$N$1100,11,FALSE()))),"")</f>
        <v/>
      </c>
      <c r="P73" s="41" t="str">
        <f>IFERROR((IF(VLOOKUP(F73,'Acompanhamento da Licitação'!$F$2:$O$1000,10,FALSE())="","",VLOOKUP(F73,'Acompanhamento da Licitação'!$F$2:$O$1000,10,FALSE()))),"")</f>
        <v/>
      </c>
      <c r="R73" s="61" t="str">
        <f>IFERROR(IF(F73&gt;0,(Final[[#This Row],[Valor da Venda Real]]-Final[[#This Row],[Valor de Compra Previsto]]-4%*Final[[#This Row],[Valor da Venda Real]])/Final[[#This Row],[Valor da Venda Real]],""),"")</f>
        <v/>
      </c>
      <c r="S73" s="61" t="str">
        <f t="shared" si="8"/>
        <v/>
      </c>
      <c r="T73" s="23" t="str">
        <f>IFERROR((R73*Final[[#This Row],[Valor da Venda Real]]*Final[[#This Row],[Quantidade ]]*S73),"")</f>
        <v/>
      </c>
    </row>
    <row r="74" spans="1:20" ht="15.75" x14ac:dyDescent="0.2">
      <c r="A74">
        <f>COUNTIF($C$2:C74,C74)</f>
        <v>73</v>
      </c>
      <c r="B74" s="1" t="str">
        <f t="shared" si="7"/>
        <v>73</v>
      </c>
      <c r="C74" s="1" t="str">
        <f>IFERROR(VLOOKUP(D74,'Planilha de Cadastro - Previsão'!$A$2:$N$1000,14,FALSE()),"")</f>
        <v/>
      </c>
      <c r="D74" s="1">
        <v>73</v>
      </c>
      <c r="F74" s="40" t="str">
        <f t="shared" si="5"/>
        <v/>
      </c>
      <c r="G74" s="40" t="str">
        <f>IF(F74="","",'Prosposta Inicial'!$O$2)</f>
        <v/>
      </c>
      <c r="H74" s="40" t="str">
        <f t="shared" si="6"/>
        <v xml:space="preserve"> </v>
      </c>
      <c r="I74" s="41" t="str">
        <f>IFERROR((VLOOKUP(F74,'Planilha de Cadastro - Previsão'!$A$2:$N$1100,2,FALSE()))," ")</f>
        <v xml:space="preserve"> </v>
      </c>
      <c r="J74" s="40" t="str">
        <f>IFERROR((VLOOKUP(F74,'Planilha de Cadastro - Previsão'!$A$2:$N$1100,3,FALSE()))," ")</f>
        <v xml:space="preserve"> </v>
      </c>
      <c r="K74" s="23" t="str">
        <f>IFERROR((VLOOKUP(F74,'Planilha de Cadastro - Previsão'!$A$2:$N$1100,4,FALSE()))," ")</f>
        <v xml:space="preserve"> </v>
      </c>
      <c r="L74" s="42" t="str">
        <f>IFERROR((VLOOKUP(F74,'Planilha de Cadastro - Previsão'!$A$2:$N$1100,12,FALSE()))," ")</f>
        <v xml:space="preserve"> </v>
      </c>
      <c r="M74" s="41" t="str">
        <f>IFERROR((IF(VLOOKUP(F74,'Planilha de Cadastro - Previsão'!$A$2:$N$1100,10,FALSE())="","",VLOOKUP(F74,'Planilha de Cadastro - Previsão'!$A$2:$N$1100,10,FALSE()))),"")</f>
        <v/>
      </c>
      <c r="N74" s="41" t="str">
        <f>IFERROR((IF(VLOOKUP(F74,'Planilha de Cadastro - Previsão'!$A$2:$N$1100,9,FALSE())="","",VLOOKUP(F74,'Planilha de Cadastro - Previsão'!$A$2:$N$1100,9,FALSE()))),"")</f>
        <v/>
      </c>
      <c r="O74" s="40" t="str">
        <f>IFERROR((IF(VLOOKUP(F74,'Planilha de Cadastro - Previsão'!$A$2:$N$1100,11,FALSE())="","",VLOOKUP(F74,'Planilha de Cadastro - Previsão'!$A$2:$N$1100,11,FALSE()))),"")</f>
        <v/>
      </c>
      <c r="P74" s="41" t="str">
        <f>IFERROR((IF(VLOOKUP(F74,'Acompanhamento da Licitação'!$F$2:$O$1000,10,FALSE())="","",VLOOKUP(F74,'Acompanhamento da Licitação'!$F$2:$O$1000,10,FALSE()))),"")</f>
        <v/>
      </c>
      <c r="R74" s="61" t="str">
        <f>IFERROR(IF(F74&gt;0,(Final[[#This Row],[Valor da Venda Real]]-Final[[#This Row],[Valor de Compra Previsto]]-4%*Final[[#This Row],[Valor da Venda Real]])/Final[[#This Row],[Valor da Venda Real]],""),"")</f>
        <v/>
      </c>
      <c r="S74" s="61" t="str">
        <f t="shared" si="8"/>
        <v/>
      </c>
      <c r="T74" s="23" t="str">
        <f>IFERROR((R74*Final[[#This Row],[Valor da Venda Real]]*Final[[#This Row],[Quantidade ]]*S74),"")</f>
        <v/>
      </c>
    </row>
    <row r="75" spans="1:20" ht="15.75" x14ac:dyDescent="0.2">
      <c r="A75">
        <f>COUNTIF($C$2:C75,C75)</f>
        <v>74</v>
      </c>
      <c r="B75" s="1" t="str">
        <f t="shared" si="7"/>
        <v>74</v>
      </c>
      <c r="C75" s="1" t="str">
        <f>IFERROR(VLOOKUP(D75,'Planilha de Cadastro - Previsão'!$A$2:$N$1000,14,FALSE()),"")</f>
        <v/>
      </c>
      <c r="D75" s="1">
        <v>74</v>
      </c>
      <c r="F75" s="40" t="str">
        <f t="shared" si="5"/>
        <v/>
      </c>
      <c r="G75" s="40" t="str">
        <f>IF(F75="","",'Prosposta Inicial'!$O$2)</f>
        <v/>
      </c>
      <c r="H75" s="40" t="str">
        <f t="shared" si="6"/>
        <v xml:space="preserve"> </v>
      </c>
      <c r="I75" s="41" t="str">
        <f>IFERROR((VLOOKUP(F75,'Planilha de Cadastro - Previsão'!$A$2:$N$1100,2,FALSE()))," ")</f>
        <v xml:space="preserve"> </v>
      </c>
      <c r="J75" s="40" t="str">
        <f>IFERROR((VLOOKUP(F75,'Planilha de Cadastro - Previsão'!$A$2:$N$1100,3,FALSE()))," ")</f>
        <v xml:space="preserve"> </v>
      </c>
      <c r="K75" s="23" t="str">
        <f>IFERROR((VLOOKUP(F75,'Planilha de Cadastro - Previsão'!$A$2:$N$1100,4,FALSE()))," ")</f>
        <v xml:space="preserve"> </v>
      </c>
      <c r="L75" s="42" t="str">
        <f>IFERROR((VLOOKUP(F75,'Planilha de Cadastro - Previsão'!$A$2:$N$1100,12,FALSE()))," ")</f>
        <v xml:space="preserve"> </v>
      </c>
      <c r="M75" s="41" t="str">
        <f>IFERROR((IF(VLOOKUP(F75,'Planilha de Cadastro - Previsão'!$A$2:$N$1100,10,FALSE())="","",VLOOKUP(F75,'Planilha de Cadastro - Previsão'!$A$2:$N$1100,10,FALSE()))),"")</f>
        <v/>
      </c>
      <c r="N75" s="41" t="str">
        <f>IFERROR((IF(VLOOKUP(F75,'Planilha de Cadastro - Previsão'!$A$2:$N$1100,9,FALSE())="","",VLOOKUP(F75,'Planilha de Cadastro - Previsão'!$A$2:$N$1100,9,FALSE()))),"")</f>
        <v/>
      </c>
      <c r="O75" s="40" t="str">
        <f>IFERROR((IF(VLOOKUP(F75,'Planilha de Cadastro - Previsão'!$A$2:$N$1100,11,FALSE())="","",VLOOKUP(F75,'Planilha de Cadastro - Previsão'!$A$2:$N$1100,11,FALSE()))),"")</f>
        <v/>
      </c>
      <c r="P75" s="41" t="str">
        <f>IFERROR((IF(VLOOKUP(F75,'Acompanhamento da Licitação'!$F$2:$O$1000,10,FALSE())="","",VLOOKUP(F75,'Acompanhamento da Licitação'!$F$2:$O$1000,10,FALSE()))),"")</f>
        <v/>
      </c>
      <c r="R75" s="61" t="str">
        <f>IFERROR(IF(F75&gt;0,(Final[[#This Row],[Valor da Venda Real]]-Final[[#This Row],[Valor de Compra Previsto]]-4%*Final[[#This Row],[Valor da Venda Real]])/Final[[#This Row],[Valor da Venda Real]],""),"")</f>
        <v/>
      </c>
      <c r="S75" s="61" t="str">
        <f t="shared" si="8"/>
        <v/>
      </c>
      <c r="T75" s="23" t="str">
        <f>IFERROR((R75*Final[[#This Row],[Valor da Venda Real]]*Final[[#This Row],[Quantidade ]]*S75),"")</f>
        <v/>
      </c>
    </row>
    <row r="76" spans="1:20" ht="15.75" x14ac:dyDescent="0.2">
      <c r="A76">
        <f>COUNTIF($C$2:C76,C76)</f>
        <v>75</v>
      </c>
      <c r="B76" s="1" t="str">
        <f t="shared" si="7"/>
        <v>75</v>
      </c>
      <c r="C76" s="1" t="str">
        <f>IFERROR(VLOOKUP(D76,'Planilha de Cadastro - Previsão'!$A$2:$N$1000,14,FALSE()),"")</f>
        <v/>
      </c>
      <c r="D76" s="1">
        <v>75</v>
      </c>
      <c r="F76" s="40" t="str">
        <f t="shared" si="5"/>
        <v/>
      </c>
      <c r="G76" s="40" t="str">
        <f>IF(F76="","",'Prosposta Inicial'!$O$2)</f>
        <v/>
      </c>
      <c r="H76" s="40" t="str">
        <f t="shared" si="6"/>
        <v xml:space="preserve"> </v>
      </c>
      <c r="I76" s="41" t="str">
        <f>IFERROR((VLOOKUP(F76,'Planilha de Cadastro - Previsão'!$A$2:$N$1100,2,FALSE()))," ")</f>
        <v xml:space="preserve"> </v>
      </c>
      <c r="J76" s="40" t="str">
        <f>IFERROR((VLOOKUP(F76,'Planilha de Cadastro - Previsão'!$A$2:$N$1100,3,FALSE()))," ")</f>
        <v xml:space="preserve"> </v>
      </c>
      <c r="K76" s="23" t="str">
        <f>IFERROR((VLOOKUP(F76,'Planilha de Cadastro - Previsão'!$A$2:$N$1100,4,FALSE()))," ")</f>
        <v xml:space="preserve"> </v>
      </c>
      <c r="L76" s="42" t="str">
        <f>IFERROR((VLOOKUP(F76,'Planilha de Cadastro - Previsão'!$A$2:$N$1100,12,FALSE()))," ")</f>
        <v xml:space="preserve"> </v>
      </c>
      <c r="M76" s="41" t="str">
        <f>IFERROR((IF(VLOOKUP(F76,'Planilha de Cadastro - Previsão'!$A$2:$N$1100,10,FALSE())="","",VLOOKUP(F76,'Planilha de Cadastro - Previsão'!$A$2:$N$1100,10,FALSE()))),"")</f>
        <v/>
      </c>
      <c r="N76" s="41" t="str">
        <f>IFERROR((IF(VLOOKUP(F76,'Planilha de Cadastro - Previsão'!$A$2:$N$1100,9,FALSE())="","",VLOOKUP(F76,'Planilha de Cadastro - Previsão'!$A$2:$N$1100,9,FALSE()))),"")</f>
        <v/>
      </c>
      <c r="O76" s="40" t="str">
        <f>IFERROR((IF(VLOOKUP(F76,'Planilha de Cadastro - Previsão'!$A$2:$N$1100,11,FALSE())="","",VLOOKUP(F76,'Planilha de Cadastro - Previsão'!$A$2:$N$1100,11,FALSE()))),"")</f>
        <v/>
      </c>
      <c r="P76" s="41" t="str">
        <f>IFERROR((IF(VLOOKUP(F76,'Acompanhamento da Licitação'!$F$2:$O$1000,10,FALSE())="","",VLOOKUP(F76,'Acompanhamento da Licitação'!$F$2:$O$1000,10,FALSE()))),"")</f>
        <v/>
      </c>
      <c r="R76" s="61" t="str">
        <f>IFERROR(IF(F76&gt;0,(Final[[#This Row],[Valor da Venda Real]]-Final[[#This Row],[Valor de Compra Previsto]]-4%*Final[[#This Row],[Valor da Venda Real]])/Final[[#This Row],[Valor da Venda Real]],""),"")</f>
        <v/>
      </c>
      <c r="S76" s="61" t="str">
        <f t="shared" si="8"/>
        <v/>
      </c>
      <c r="T76" s="23" t="str">
        <f>IFERROR((R76*Final[[#This Row],[Valor da Venda Real]]*Final[[#This Row],[Quantidade ]]*S76),"")</f>
        <v/>
      </c>
    </row>
    <row r="77" spans="1:20" ht="15.75" x14ac:dyDescent="0.2">
      <c r="A77">
        <f>COUNTIF($C$2:C77,C77)</f>
        <v>76</v>
      </c>
      <c r="B77" s="1" t="str">
        <f t="shared" si="7"/>
        <v>76</v>
      </c>
      <c r="C77" s="1" t="str">
        <f>IFERROR(VLOOKUP(D77,'Planilha de Cadastro - Previsão'!$A$2:$N$1000,14,FALSE()),"")</f>
        <v/>
      </c>
      <c r="D77" s="1">
        <v>76</v>
      </c>
      <c r="F77" s="40" t="str">
        <f t="shared" si="5"/>
        <v/>
      </c>
      <c r="G77" s="40" t="str">
        <f>IF(F77="","",'Prosposta Inicial'!$O$2)</f>
        <v/>
      </c>
      <c r="H77" s="40" t="str">
        <f t="shared" si="6"/>
        <v xml:space="preserve"> </v>
      </c>
      <c r="I77" s="41" t="str">
        <f>IFERROR((VLOOKUP(F77,'Planilha de Cadastro - Previsão'!$A$2:$N$1100,2,FALSE()))," ")</f>
        <v xml:space="preserve"> </v>
      </c>
      <c r="J77" s="40" t="str">
        <f>IFERROR((VLOOKUP(F77,'Planilha de Cadastro - Previsão'!$A$2:$N$1100,3,FALSE()))," ")</f>
        <v xml:space="preserve"> </v>
      </c>
      <c r="K77" s="23" t="str">
        <f>IFERROR((VLOOKUP(F77,'Planilha de Cadastro - Previsão'!$A$2:$N$1100,4,FALSE()))," ")</f>
        <v xml:space="preserve"> </v>
      </c>
      <c r="L77" s="42" t="str">
        <f>IFERROR((VLOOKUP(F77,'Planilha de Cadastro - Previsão'!$A$2:$N$1100,12,FALSE()))," ")</f>
        <v xml:space="preserve"> </v>
      </c>
      <c r="M77" s="41" t="str">
        <f>IFERROR((IF(VLOOKUP(F77,'Planilha de Cadastro - Previsão'!$A$2:$N$1100,10,FALSE())="","",VLOOKUP(F77,'Planilha de Cadastro - Previsão'!$A$2:$N$1100,10,FALSE()))),"")</f>
        <v/>
      </c>
      <c r="N77" s="41" t="str">
        <f>IFERROR((IF(VLOOKUP(F77,'Planilha de Cadastro - Previsão'!$A$2:$N$1100,9,FALSE())="","",VLOOKUP(F77,'Planilha de Cadastro - Previsão'!$A$2:$N$1100,9,FALSE()))),"")</f>
        <v/>
      </c>
      <c r="O77" s="40" t="str">
        <f>IFERROR((IF(VLOOKUP(F77,'Planilha de Cadastro - Previsão'!$A$2:$N$1100,11,FALSE())="","",VLOOKUP(F77,'Planilha de Cadastro - Previsão'!$A$2:$N$1100,11,FALSE()))),"")</f>
        <v/>
      </c>
      <c r="P77" s="41" t="str">
        <f>IFERROR((IF(VLOOKUP(F77,'Acompanhamento da Licitação'!$F$2:$O$1000,10,FALSE())="","",VLOOKUP(F77,'Acompanhamento da Licitação'!$F$2:$O$1000,10,FALSE()))),"")</f>
        <v/>
      </c>
      <c r="R77" s="61" t="str">
        <f>IFERROR(IF(F77&gt;0,(Final[[#This Row],[Valor da Venda Real]]-Final[[#This Row],[Valor de Compra Previsto]]-4%*Final[[#This Row],[Valor da Venda Real]])/Final[[#This Row],[Valor da Venda Real]],""),"")</f>
        <v/>
      </c>
      <c r="S77" s="61" t="str">
        <f t="shared" si="8"/>
        <v/>
      </c>
      <c r="T77" s="23" t="str">
        <f>IFERROR((R77*Final[[#This Row],[Valor da Venda Real]]*Final[[#This Row],[Quantidade ]]*S77),"")</f>
        <v/>
      </c>
    </row>
    <row r="78" spans="1:20" ht="15.75" x14ac:dyDescent="0.2">
      <c r="A78">
        <f>COUNTIF($C$2:C78,C78)</f>
        <v>77</v>
      </c>
      <c r="B78" s="1" t="str">
        <f t="shared" si="7"/>
        <v>77</v>
      </c>
      <c r="C78" s="1" t="str">
        <f>IFERROR(VLOOKUP(D78,'Planilha de Cadastro - Previsão'!$A$2:$N$1000,14,FALSE()),"")</f>
        <v/>
      </c>
      <c r="D78" s="1">
        <v>77</v>
      </c>
      <c r="F78" s="40" t="str">
        <f t="shared" si="5"/>
        <v/>
      </c>
      <c r="G78" s="40" t="str">
        <f>IF(F78="","",'Prosposta Inicial'!$O$2)</f>
        <v/>
      </c>
      <c r="H78" s="40" t="str">
        <f t="shared" si="6"/>
        <v xml:space="preserve"> </v>
      </c>
      <c r="I78" s="41" t="str">
        <f>IFERROR((VLOOKUP(F78,'Planilha de Cadastro - Previsão'!$A$2:$N$1100,2,FALSE()))," ")</f>
        <v xml:space="preserve"> </v>
      </c>
      <c r="J78" s="40" t="str">
        <f>IFERROR((VLOOKUP(F78,'Planilha de Cadastro - Previsão'!$A$2:$N$1100,3,FALSE()))," ")</f>
        <v xml:space="preserve"> </v>
      </c>
      <c r="K78" s="23" t="str">
        <f>IFERROR((VLOOKUP(F78,'Planilha de Cadastro - Previsão'!$A$2:$N$1100,4,FALSE()))," ")</f>
        <v xml:space="preserve"> </v>
      </c>
      <c r="L78" s="42" t="str">
        <f>IFERROR((VLOOKUP(F78,'Planilha de Cadastro - Previsão'!$A$2:$N$1100,12,FALSE()))," ")</f>
        <v xml:space="preserve"> </v>
      </c>
      <c r="M78" s="41" t="str">
        <f>IFERROR((IF(VLOOKUP(F78,'Planilha de Cadastro - Previsão'!$A$2:$N$1100,10,FALSE())="","",VLOOKUP(F78,'Planilha de Cadastro - Previsão'!$A$2:$N$1100,10,FALSE()))),"")</f>
        <v/>
      </c>
      <c r="N78" s="41" t="str">
        <f>IFERROR((IF(VLOOKUP(F78,'Planilha de Cadastro - Previsão'!$A$2:$N$1100,9,FALSE())="","",VLOOKUP(F78,'Planilha de Cadastro - Previsão'!$A$2:$N$1100,9,FALSE()))),"")</f>
        <v/>
      </c>
      <c r="O78" s="40" t="str">
        <f>IFERROR((IF(VLOOKUP(F78,'Planilha de Cadastro - Previsão'!$A$2:$N$1100,11,FALSE())="","",VLOOKUP(F78,'Planilha de Cadastro - Previsão'!$A$2:$N$1100,11,FALSE()))),"")</f>
        <v/>
      </c>
      <c r="P78" s="41" t="str">
        <f>IFERROR((IF(VLOOKUP(F78,'Acompanhamento da Licitação'!$F$2:$O$1000,10,FALSE())="","",VLOOKUP(F78,'Acompanhamento da Licitação'!$F$2:$O$1000,10,FALSE()))),"")</f>
        <v/>
      </c>
      <c r="R78" s="61" t="str">
        <f>IFERROR(IF(F78&gt;0,(Final[[#This Row],[Valor da Venda Real]]-Final[[#This Row],[Valor de Compra Previsto]]-4%*Final[[#This Row],[Valor da Venda Real]])/Final[[#This Row],[Valor da Venda Real]],""),"")</f>
        <v/>
      </c>
      <c r="S78" s="61" t="str">
        <f t="shared" si="8"/>
        <v/>
      </c>
      <c r="T78" s="23" t="str">
        <f>IFERROR((R78*Final[[#This Row],[Valor da Venda Real]]*Final[[#This Row],[Quantidade ]]*S78),"")</f>
        <v/>
      </c>
    </row>
    <row r="79" spans="1:20" ht="15.75" x14ac:dyDescent="0.2">
      <c r="A79">
        <f>COUNTIF($C$2:C79,C79)</f>
        <v>78</v>
      </c>
      <c r="B79" s="1" t="str">
        <f t="shared" si="7"/>
        <v>78</v>
      </c>
      <c r="C79" s="1" t="str">
        <f>IFERROR(VLOOKUP(D79,'Planilha de Cadastro - Previsão'!$A$2:$N$1000,14,FALSE()),"")</f>
        <v/>
      </c>
      <c r="D79" s="1">
        <v>78</v>
      </c>
      <c r="F79" s="40" t="str">
        <f t="shared" si="5"/>
        <v/>
      </c>
      <c r="G79" s="40" t="str">
        <f>IF(F79="","",'Prosposta Inicial'!$O$2)</f>
        <v/>
      </c>
      <c r="H79" s="40" t="str">
        <f t="shared" si="6"/>
        <v xml:space="preserve"> </v>
      </c>
      <c r="I79" s="41" t="str">
        <f>IFERROR((VLOOKUP(F79,'Planilha de Cadastro - Previsão'!$A$2:$N$1100,2,FALSE()))," ")</f>
        <v xml:space="preserve"> </v>
      </c>
      <c r="J79" s="40" t="str">
        <f>IFERROR((VLOOKUP(F79,'Planilha de Cadastro - Previsão'!$A$2:$N$1100,3,FALSE()))," ")</f>
        <v xml:space="preserve"> </v>
      </c>
      <c r="K79" s="23" t="str">
        <f>IFERROR((VLOOKUP(F79,'Planilha de Cadastro - Previsão'!$A$2:$N$1100,4,FALSE()))," ")</f>
        <v xml:space="preserve"> </v>
      </c>
      <c r="L79" s="42" t="str">
        <f>IFERROR((VLOOKUP(F79,'Planilha de Cadastro - Previsão'!$A$2:$N$1100,12,FALSE()))," ")</f>
        <v xml:space="preserve"> </v>
      </c>
      <c r="M79" s="41" t="str">
        <f>IFERROR((IF(VLOOKUP(F79,'Planilha de Cadastro - Previsão'!$A$2:$N$1100,10,FALSE())="","",VLOOKUP(F79,'Planilha de Cadastro - Previsão'!$A$2:$N$1100,10,FALSE()))),"")</f>
        <v/>
      </c>
      <c r="N79" s="41" t="str">
        <f>IFERROR((IF(VLOOKUP(F79,'Planilha de Cadastro - Previsão'!$A$2:$N$1100,9,FALSE())="","",VLOOKUP(F79,'Planilha de Cadastro - Previsão'!$A$2:$N$1100,9,FALSE()))),"")</f>
        <v/>
      </c>
      <c r="O79" s="40" t="str">
        <f>IFERROR((IF(VLOOKUP(F79,'Planilha de Cadastro - Previsão'!$A$2:$N$1100,11,FALSE())="","",VLOOKUP(F79,'Planilha de Cadastro - Previsão'!$A$2:$N$1100,11,FALSE()))),"")</f>
        <v/>
      </c>
      <c r="P79" s="41" t="str">
        <f>IFERROR((IF(VLOOKUP(F79,'Acompanhamento da Licitação'!$F$2:$O$1000,10,FALSE())="","",VLOOKUP(F79,'Acompanhamento da Licitação'!$F$2:$O$1000,10,FALSE()))),"")</f>
        <v/>
      </c>
      <c r="R79" s="61" t="str">
        <f>IFERROR(IF(F79&gt;0,(Final[[#This Row],[Valor da Venda Real]]-Final[[#This Row],[Valor de Compra Previsto]]-4%*Final[[#This Row],[Valor da Venda Real]])/Final[[#This Row],[Valor da Venda Real]],""),"")</f>
        <v/>
      </c>
      <c r="S79" s="61" t="str">
        <f t="shared" si="8"/>
        <v/>
      </c>
      <c r="T79" s="23" t="str">
        <f>IFERROR((R79*Final[[#This Row],[Valor da Venda Real]]*Final[[#This Row],[Quantidade ]]*S79),"")</f>
        <v/>
      </c>
    </row>
    <row r="80" spans="1:20" ht="15.75" x14ac:dyDescent="0.2">
      <c r="A80">
        <f>COUNTIF($C$2:C80,C80)</f>
        <v>79</v>
      </c>
      <c r="B80" s="1" t="str">
        <f t="shared" si="7"/>
        <v>79</v>
      </c>
      <c r="C80" s="1" t="str">
        <f>IFERROR(VLOOKUP(D80,'Planilha de Cadastro - Previsão'!$A$2:$N$1000,14,FALSE()),"")</f>
        <v/>
      </c>
      <c r="D80" s="1">
        <v>79</v>
      </c>
      <c r="F80" s="40" t="str">
        <f t="shared" si="5"/>
        <v/>
      </c>
      <c r="G80" s="40" t="str">
        <f>IF(F80="","",'Prosposta Inicial'!$O$2)</f>
        <v/>
      </c>
      <c r="H80" s="40" t="str">
        <f t="shared" si="6"/>
        <v xml:space="preserve"> </v>
      </c>
      <c r="I80" s="41" t="str">
        <f>IFERROR((VLOOKUP(F80,'Planilha de Cadastro - Previsão'!$A$2:$N$1100,2,FALSE()))," ")</f>
        <v xml:space="preserve"> </v>
      </c>
      <c r="J80" s="40" t="str">
        <f>IFERROR((VLOOKUP(F80,'Planilha de Cadastro - Previsão'!$A$2:$N$1100,3,FALSE()))," ")</f>
        <v xml:space="preserve"> </v>
      </c>
      <c r="K80" s="23" t="str">
        <f>IFERROR((VLOOKUP(F80,'Planilha de Cadastro - Previsão'!$A$2:$N$1100,4,FALSE()))," ")</f>
        <v xml:space="preserve"> </v>
      </c>
      <c r="L80" s="42" t="str">
        <f>IFERROR((VLOOKUP(F80,'Planilha de Cadastro - Previsão'!$A$2:$N$1100,12,FALSE()))," ")</f>
        <v xml:space="preserve"> </v>
      </c>
      <c r="M80" s="41" t="str">
        <f>IFERROR((IF(VLOOKUP(F80,'Planilha de Cadastro - Previsão'!$A$2:$N$1100,10,FALSE())="","",VLOOKUP(F80,'Planilha de Cadastro - Previsão'!$A$2:$N$1100,10,FALSE()))),"")</f>
        <v/>
      </c>
      <c r="N80" s="41" t="str">
        <f>IFERROR((IF(VLOOKUP(F80,'Planilha de Cadastro - Previsão'!$A$2:$N$1100,9,FALSE())="","",VLOOKUP(F80,'Planilha de Cadastro - Previsão'!$A$2:$N$1100,9,FALSE()))),"")</f>
        <v/>
      </c>
      <c r="O80" s="40" t="str">
        <f>IFERROR((IF(VLOOKUP(F80,'Planilha de Cadastro - Previsão'!$A$2:$N$1100,11,FALSE())="","",VLOOKUP(F80,'Planilha de Cadastro - Previsão'!$A$2:$N$1100,11,FALSE()))),"")</f>
        <v/>
      </c>
      <c r="P80" s="41" t="str">
        <f>IFERROR((IF(VLOOKUP(F80,'Acompanhamento da Licitação'!$F$2:$O$1000,10,FALSE())="","",VLOOKUP(F80,'Acompanhamento da Licitação'!$F$2:$O$1000,10,FALSE()))),"")</f>
        <v/>
      </c>
      <c r="R80" s="61" t="str">
        <f>IFERROR(IF(F80&gt;0,(Final[[#This Row],[Valor da Venda Real]]-Final[[#This Row],[Valor de Compra Previsto]]-4%*Final[[#This Row],[Valor da Venda Real]])/Final[[#This Row],[Valor da Venda Real]],""),"")</f>
        <v/>
      </c>
      <c r="S80" s="61" t="str">
        <f t="shared" si="8"/>
        <v/>
      </c>
      <c r="T80" s="23" t="str">
        <f>IFERROR((R80*Final[[#This Row],[Valor da Venda Real]]*Final[[#This Row],[Quantidade ]]*S80),"")</f>
        <v/>
      </c>
    </row>
    <row r="81" spans="1:20" ht="15.75" x14ac:dyDescent="0.2">
      <c r="A81">
        <f>COUNTIF($C$2:C81,C81)</f>
        <v>80</v>
      </c>
      <c r="B81" s="1" t="str">
        <f t="shared" si="7"/>
        <v>80</v>
      </c>
      <c r="C81" s="1" t="str">
        <f>IFERROR(VLOOKUP(D81,'Planilha de Cadastro - Previsão'!$A$2:$N$1000,14,FALSE()),"")</f>
        <v/>
      </c>
      <c r="D81" s="1">
        <v>80</v>
      </c>
      <c r="F81" s="40" t="str">
        <f t="shared" si="5"/>
        <v/>
      </c>
      <c r="G81" s="40" t="str">
        <f>IF(F81="","",'Prosposta Inicial'!$O$2)</f>
        <v/>
      </c>
      <c r="H81" s="40" t="str">
        <f t="shared" si="6"/>
        <v xml:space="preserve"> </v>
      </c>
      <c r="I81" s="41" t="str">
        <f>IFERROR((VLOOKUP(F81,'Planilha de Cadastro - Previsão'!$A$2:$N$1100,2,FALSE()))," ")</f>
        <v xml:space="preserve"> </v>
      </c>
      <c r="J81" s="40" t="str">
        <f>IFERROR((VLOOKUP(F81,'Planilha de Cadastro - Previsão'!$A$2:$N$1100,3,FALSE()))," ")</f>
        <v xml:space="preserve"> </v>
      </c>
      <c r="K81" s="23" t="str">
        <f>IFERROR((VLOOKUP(F81,'Planilha de Cadastro - Previsão'!$A$2:$N$1100,4,FALSE()))," ")</f>
        <v xml:space="preserve"> </v>
      </c>
      <c r="L81" s="42" t="str">
        <f>IFERROR((VLOOKUP(F81,'Planilha de Cadastro - Previsão'!$A$2:$N$1100,12,FALSE()))," ")</f>
        <v xml:space="preserve"> </v>
      </c>
      <c r="M81" s="41" t="str">
        <f>IFERROR((IF(VLOOKUP(F81,'Planilha de Cadastro - Previsão'!$A$2:$N$1100,10,FALSE())="","",VLOOKUP(F81,'Planilha de Cadastro - Previsão'!$A$2:$N$1100,10,FALSE()))),"")</f>
        <v/>
      </c>
      <c r="N81" s="41" t="str">
        <f>IFERROR((IF(VLOOKUP(F81,'Planilha de Cadastro - Previsão'!$A$2:$N$1100,9,FALSE())="","",VLOOKUP(F81,'Planilha de Cadastro - Previsão'!$A$2:$N$1100,9,FALSE()))),"")</f>
        <v/>
      </c>
      <c r="O81" s="40" t="str">
        <f>IFERROR((IF(VLOOKUP(F81,'Planilha de Cadastro - Previsão'!$A$2:$N$1100,11,FALSE())="","",VLOOKUP(F81,'Planilha de Cadastro - Previsão'!$A$2:$N$1100,11,FALSE()))),"")</f>
        <v/>
      </c>
      <c r="P81" s="41" t="str">
        <f>IFERROR((IF(VLOOKUP(F81,'Acompanhamento da Licitação'!$F$2:$O$1000,10,FALSE())="","",VLOOKUP(F81,'Acompanhamento da Licitação'!$F$2:$O$1000,10,FALSE()))),"")</f>
        <v/>
      </c>
      <c r="R81" s="61" t="str">
        <f>IFERROR(IF(F81&gt;0,(Final[[#This Row],[Valor da Venda Real]]-Final[[#This Row],[Valor de Compra Previsto]]-4%*Final[[#This Row],[Valor da Venda Real]])/Final[[#This Row],[Valor da Venda Real]],""),"")</f>
        <v/>
      </c>
      <c r="S81" s="61" t="str">
        <f t="shared" si="8"/>
        <v/>
      </c>
      <c r="T81" s="23" t="str">
        <f>IFERROR((R81*Final[[#This Row],[Valor da Venda Real]]*Final[[#This Row],[Quantidade ]]*S81),"")</f>
        <v/>
      </c>
    </row>
    <row r="82" spans="1:20" ht="15.75" x14ac:dyDescent="0.2">
      <c r="A82">
        <f>COUNTIF($C$2:C82,C82)</f>
        <v>81</v>
      </c>
      <c r="B82" s="1" t="str">
        <f t="shared" si="7"/>
        <v>81</v>
      </c>
      <c r="C82" s="1" t="str">
        <f>IFERROR(VLOOKUP(D82,'Planilha de Cadastro - Previsão'!$A$2:$N$1000,14,FALSE()),"")</f>
        <v/>
      </c>
      <c r="D82" s="1">
        <v>81</v>
      </c>
      <c r="F82" s="40" t="str">
        <f t="shared" si="5"/>
        <v/>
      </c>
      <c r="G82" s="40" t="str">
        <f>IF(F82="","",'Prosposta Inicial'!$O$2)</f>
        <v/>
      </c>
      <c r="H82" s="40" t="str">
        <f t="shared" si="6"/>
        <v xml:space="preserve"> </v>
      </c>
      <c r="I82" s="41" t="str">
        <f>IFERROR((VLOOKUP(F82,'Planilha de Cadastro - Previsão'!$A$2:$N$1100,2,FALSE()))," ")</f>
        <v xml:space="preserve"> </v>
      </c>
      <c r="J82" s="40" t="str">
        <f>IFERROR((VLOOKUP(F82,'Planilha de Cadastro - Previsão'!$A$2:$N$1100,3,FALSE()))," ")</f>
        <v xml:space="preserve"> </v>
      </c>
      <c r="K82" s="23" t="str">
        <f>IFERROR((VLOOKUP(F82,'Planilha de Cadastro - Previsão'!$A$2:$N$1100,4,FALSE()))," ")</f>
        <v xml:space="preserve"> </v>
      </c>
      <c r="L82" s="42" t="str">
        <f>IFERROR((VLOOKUP(F82,'Planilha de Cadastro - Previsão'!$A$2:$N$1100,12,FALSE()))," ")</f>
        <v xml:space="preserve"> </v>
      </c>
      <c r="M82" s="41" t="str">
        <f>IFERROR((IF(VLOOKUP(F82,'Planilha de Cadastro - Previsão'!$A$2:$N$1100,10,FALSE())="","",VLOOKUP(F82,'Planilha de Cadastro - Previsão'!$A$2:$N$1100,10,FALSE()))),"")</f>
        <v/>
      </c>
      <c r="N82" s="41" t="str">
        <f>IFERROR((IF(VLOOKUP(F82,'Planilha de Cadastro - Previsão'!$A$2:$N$1100,9,FALSE())="","",VLOOKUP(F82,'Planilha de Cadastro - Previsão'!$A$2:$N$1100,9,FALSE()))),"")</f>
        <v/>
      </c>
      <c r="O82" s="40" t="str">
        <f>IFERROR((IF(VLOOKUP(F82,'Planilha de Cadastro - Previsão'!$A$2:$N$1100,11,FALSE())="","",VLOOKUP(F82,'Planilha de Cadastro - Previsão'!$A$2:$N$1100,11,FALSE()))),"")</f>
        <v/>
      </c>
      <c r="P82" s="41" t="str">
        <f>IFERROR((IF(VLOOKUP(F82,'Acompanhamento da Licitação'!$F$2:$O$1000,10,FALSE())="","",VLOOKUP(F82,'Acompanhamento da Licitação'!$F$2:$O$1000,10,FALSE()))),"")</f>
        <v/>
      </c>
      <c r="R82" s="61" t="str">
        <f>IFERROR(IF(F82&gt;0,(Final[[#This Row],[Valor da Venda Real]]-Final[[#This Row],[Valor de Compra Previsto]]-4%*Final[[#This Row],[Valor da Venda Real]])/Final[[#This Row],[Valor da Venda Real]],""),"")</f>
        <v/>
      </c>
      <c r="S82" s="61" t="str">
        <f t="shared" si="8"/>
        <v/>
      </c>
      <c r="T82" s="23" t="str">
        <f>IFERROR((R82*Final[[#This Row],[Valor da Venda Real]]*Final[[#This Row],[Quantidade ]]*S82),"")</f>
        <v/>
      </c>
    </row>
    <row r="83" spans="1:20" ht="15.75" x14ac:dyDescent="0.2">
      <c r="A83">
        <f>COUNTIF($C$2:C83,C83)</f>
        <v>82</v>
      </c>
      <c r="B83" s="1" t="str">
        <f t="shared" si="7"/>
        <v>82</v>
      </c>
      <c r="C83" s="1" t="str">
        <f>IFERROR(VLOOKUP(D83,'Planilha de Cadastro - Previsão'!$A$2:$N$1000,14,FALSE()),"")</f>
        <v/>
      </c>
      <c r="D83" s="1">
        <v>82</v>
      </c>
      <c r="F83" s="40" t="str">
        <f t="shared" si="5"/>
        <v/>
      </c>
      <c r="G83" s="40" t="str">
        <f>IF(F83="","",'Prosposta Inicial'!$O$2)</f>
        <v/>
      </c>
      <c r="H83" s="40" t="str">
        <f t="shared" si="6"/>
        <v xml:space="preserve"> </v>
      </c>
      <c r="I83" s="41" t="str">
        <f>IFERROR((VLOOKUP(F83,'Planilha de Cadastro - Previsão'!$A$2:$N$1100,2,FALSE()))," ")</f>
        <v xml:space="preserve"> </v>
      </c>
      <c r="J83" s="40" t="str">
        <f>IFERROR((VLOOKUP(F83,'Planilha de Cadastro - Previsão'!$A$2:$N$1100,3,FALSE()))," ")</f>
        <v xml:space="preserve"> </v>
      </c>
      <c r="K83" s="23" t="str">
        <f>IFERROR((VLOOKUP(F83,'Planilha de Cadastro - Previsão'!$A$2:$N$1100,4,FALSE()))," ")</f>
        <v xml:space="preserve"> </v>
      </c>
      <c r="L83" s="42" t="str">
        <f>IFERROR((VLOOKUP(F83,'Planilha de Cadastro - Previsão'!$A$2:$N$1100,12,FALSE()))," ")</f>
        <v xml:space="preserve"> </v>
      </c>
      <c r="M83" s="41" t="str">
        <f>IFERROR((IF(VLOOKUP(F83,'Planilha de Cadastro - Previsão'!$A$2:$N$1100,10,FALSE())="","",VLOOKUP(F83,'Planilha de Cadastro - Previsão'!$A$2:$N$1100,10,FALSE()))),"")</f>
        <v/>
      </c>
      <c r="N83" s="41" t="str">
        <f>IFERROR((IF(VLOOKUP(F83,'Planilha de Cadastro - Previsão'!$A$2:$N$1100,9,FALSE())="","",VLOOKUP(F83,'Planilha de Cadastro - Previsão'!$A$2:$N$1100,9,FALSE()))),"")</f>
        <v/>
      </c>
      <c r="O83" s="40" t="str">
        <f>IFERROR((IF(VLOOKUP(F83,'Planilha de Cadastro - Previsão'!$A$2:$N$1100,11,FALSE())="","",VLOOKUP(F83,'Planilha de Cadastro - Previsão'!$A$2:$N$1100,11,FALSE()))),"")</f>
        <v/>
      </c>
      <c r="P83" s="41" t="str">
        <f>IFERROR((IF(VLOOKUP(F83,'Acompanhamento da Licitação'!$F$2:$O$1000,10,FALSE())="","",VLOOKUP(F83,'Acompanhamento da Licitação'!$F$2:$O$1000,10,FALSE()))),"")</f>
        <v/>
      </c>
      <c r="R83" s="61" t="str">
        <f>IFERROR(IF(F83&gt;0,(Final[[#This Row],[Valor da Venda Real]]-Final[[#This Row],[Valor de Compra Previsto]]-4%*Final[[#This Row],[Valor da Venda Real]])/Final[[#This Row],[Valor da Venda Real]],""),"")</f>
        <v/>
      </c>
      <c r="S83" s="61" t="str">
        <f t="shared" si="8"/>
        <v/>
      </c>
      <c r="T83" s="23" t="str">
        <f>IFERROR((R83*Final[[#This Row],[Valor da Venda Real]]*Final[[#This Row],[Quantidade ]]*S83),"")</f>
        <v/>
      </c>
    </row>
    <row r="84" spans="1:20" ht="15.75" x14ac:dyDescent="0.2">
      <c r="A84">
        <f>COUNTIF($C$2:C84,C84)</f>
        <v>83</v>
      </c>
      <c r="B84" s="1" t="str">
        <f t="shared" si="7"/>
        <v>83</v>
      </c>
      <c r="C84" s="1" t="str">
        <f>IFERROR(VLOOKUP(D84,'Planilha de Cadastro - Previsão'!$A$2:$N$1000,14,FALSE()),"")</f>
        <v/>
      </c>
      <c r="D84" s="1">
        <v>83</v>
      </c>
      <c r="F84" s="40" t="str">
        <f t="shared" si="5"/>
        <v/>
      </c>
      <c r="G84" s="40" t="str">
        <f>IF(F84="","",'Prosposta Inicial'!$O$2)</f>
        <v/>
      </c>
      <c r="H84" s="40" t="str">
        <f t="shared" si="6"/>
        <v xml:space="preserve"> </v>
      </c>
      <c r="I84" s="41" t="str">
        <f>IFERROR((VLOOKUP(F84,'Planilha de Cadastro - Previsão'!$A$2:$N$1100,2,FALSE()))," ")</f>
        <v xml:space="preserve"> </v>
      </c>
      <c r="J84" s="40" t="str">
        <f>IFERROR((VLOOKUP(F84,'Planilha de Cadastro - Previsão'!$A$2:$N$1100,3,FALSE()))," ")</f>
        <v xml:space="preserve"> </v>
      </c>
      <c r="K84" s="23" t="str">
        <f>IFERROR((VLOOKUP(F84,'Planilha de Cadastro - Previsão'!$A$2:$N$1100,4,FALSE()))," ")</f>
        <v xml:space="preserve"> </v>
      </c>
      <c r="L84" s="42" t="str">
        <f>IFERROR((VLOOKUP(F84,'Planilha de Cadastro - Previsão'!$A$2:$N$1100,12,FALSE()))," ")</f>
        <v xml:space="preserve"> </v>
      </c>
      <c r="M84" s="41" t="str">
        <f>IFERROR((IF(VLOOKUP(F84,'Planilha de Cadastro - Previsão'!$A$2:$N$1100,10,FALSE())="","",VLOOKUP(F84,'Planilha de Cadastro - Previsão'!$A$2:$N$1100,10,FALSE()))),"")</f>
        <v/>
      </c>
      <c r="N84" s="41" t="str">
        <f>IFERROR((IF(VLOOKUP(F84,'Planilha de Cadastro - Previsão'!$A$2:$N$1100,9,FALSE())="","",VLOOKUP(F84,'Planilha de Cadastro - Previsão'!$A$2:$N$1100,9,FALSE()))),"")</f>
        <v/>
      </c>
      <c r="O84" s="40" t="str">
        <f>IFERROR((IF(VLOOKUP(F84,'Planilha de Cadastro - Previsão'!$A$2:$N$1100,11,FALSE())="","",VLOOKUP(F84,'Planilha de Cadastro - Previsão'!$A$2:$N$1100,11,FALSE()))),"")</f>
        <v/>
      </c>
      <c r="P84" s="41" t="str">
        <f>IFERROR((IF(VLOOKUP(F84,'Acompanhamento da Licitação'!$F$2:$O$1000,10,FALSE())="","",VLOOKUP(F84,'Acompanhamento da Licitação'!$F$2:$O$1000,10,FALSE()))),"")</f>
        <v/>
      </c>
      <c r="R84" s="61" t="str">
        <f>IFERROR(IF(F84&gt;0,(Final[[#This Row],[Valor da Venda Real]]-Final[[#This Row],[Valor de Compra Previsto]]-4%*Final[[#This Row],[Valor da Venda Real]])/Final[[#This Row],[Valor da Venda Real]],""),"")</f>
        <v/>
      </c>
      <c r="S84" s="61" t="str">
        <f t="shared" si="8"/>
        <v/>
      </c>
      <c r="T84" s="23" t="str">
        <f>IFERROR((R84*Final[[#This Row],[Valor da Venda Real]]*Final[[#This Row],[Quantidade ]]*S84),"")</f>
        <v/>
      </c>
    </row>
    <row r="85" spans="1:20" ht="15.75" x14ac:dyDescent="0.2">
      <c r="A85">
        <f>COUNTIF($C$2:C85,C85)</f>
        <v>84</v>
      </c>
      <c r="B85" s="1" t="str">
        <f t="shared" si="7"/>
        <v>84</v>
      </c>
      <c r="C85" s="1" t="str">
        <f>IFERROR(VLOOKUP(D85,'Planilha de Cadastro - Previsão'!$A$2:$N$1000,14,FALSE()),"")</f>
        <v/>
      </c>
      <c r="D85" s="1">
        <v>84</v>
      </c>
      <c r="F85" s="40" t="str">
        <f t="shared" si="5"/>
        <v/>
      </c>
      <c r="G85" s="40" t="str">
        <f>IF(F85="","",'Prosposta Inicial'!$O$2)</f>
        <v/>
      </c>
      <c r="H85" s="40" t="str">
        <f t="shared" si="6"/>
        <v xml:space="preserve"> </v>
      </c>
      <c r="I85" s="41" t="str">
        <f>IFERROR((VLOOKUP(F85,'Planilha de Cadastro - Previsão'!$A$2:$N$1100,2,FALSE()))," ")</f>
        <v xml:space="preserve"> </v>
      </c>
      <c r="J85" s="40" t="str">
        <f>IFERROR((VLOOKUP(F85,'Planilha de Cadastro - Previsão'!$A$2:$N$1100,3,FALSE()))," ")</f>
        <v xml:space="preserve"> </v>
      </c>
      <c r="K85" s="23" t="str">
        <f>IFERROR((VLOOKUP(F85,'Planilha de Cadastro - Previsão'!$A$2:$N$1100,4,FALSE()))," ")</f>
        <v xml:space="preserve"> </v>
      </c>
      <c r="L85" s="42" t="str">
        <f>IFERROR((VLOOKUP(F85,'Planilha de Cadastro - Previsão'!$A$2:$N$1100,12,FALSE()))," ")</f>
        <v xml:space="preserve"> </v>
      </c>
      <c r="M85" s="41" t="str">
        <f>IFERROR((IF(VLOOKUP(F85,'Planilha de Cadastro - Previsão'!$A$2:$N$1100,10,FALSE())="","",VLOOKUP(F85,'Planilha de Cadastro - Previsão'!$A$2:$N$1100,10,FALSE()))),"")</f>
        <v/>
      </c>
      <c r="N85" s="41" t="str">
        <f>IFERROR((IF(VLOOKUP(F85,'Planilha de Cadastro - Previsão'!$A$2:$N$1100,9,FALSE())="","",VLOOKUP(F85,'Planilha de Cadastro - Previsão'!$A$2:$N$1100,9,FALSE()))),"")</f>
        <v/>
      </c>
      <c r="O85" s="40" t="str">
        <f>IFERROR((IF(VLOOKUP(F85,'Planilha de Cadastro - Previsão'!$A$2:$N$1100,11,FALSE())="","",VLOOKUP(F85,'Planilha de Cadastro - Previsão'!$A$2:$N$1100,11,FALSE()))),"")</f>
        <v/>
      </c>
      <c r="P85" s="41" t="str">
        <f>IFERROR((IF(VLOOKUP(F85,'Acompanhamento da Licitação'!$F$2:$O$1000,10,FALSE())="","",VLOOKUP(F85,'Acompanhamento da Licitação'!$F$2:$O$1000,10,FALSE()))),"")</f>
        <v/>
      </c>
      <c r="R85" s="61" t="str">
        <f>IFERROR(IF(F85&gt;0,(Final[[#This Row],[Valor da Venda Real]]-Final[[#This Row],[Valor de Compra Previsto]]-4%*Final[[#This Row],[Valor da Venda Real]])/Final[[#This Row],[Valor da Venda Real]],""),"")</f>
        <v/>
      </c>
      <c r="S85" s="61" t="str">
        <f t="shared" si="8"/>
        <v/>
      </c>
      <c r="T85" s="23" t="str">
        <f>IFERROR((R85*Final[[#This Row],[Valor da Venda Real]]*Final[[#This Row],[Quantidade ]]*S85),"")</f>
        <v/>
      </c>
    </row>
    <row r="86" spans="1:20" ht="15.75" x14ac:dyDescent="0.2">
      <c r="A86">
        <f>COUNTIF($C$2:C86,C86)</f>
        <v>85</v>
      </c>
      <c r="B86" s="1" t="str">
        <f t="shared" si="7"/>
        <v>85</v>
      </c>
      <c r="C86" s="1" t="str">
        <f>IFERROR(VLOOKUP(D86,'Planilha de Cadastro - Previsão'!$A$2:$N$1000,14,FALSE()),"")</f>
        <v/>
      </c>
      <c r="D86" s="1">
        <v>85</v>
      </c>
      <c r="F86" s="40" t="str">
        <f t="shared" si="5"/>
        <v/>
      </c>
      <c r="G86" s="40" t="str">
        <f>IF(F86="","",'Prosposta Inicial'!$O$2)</f>
        <v/>
      </c>
      <c r="H86" s="40" t="str">
        <f t="shared" si="6"/>
        <v xml:space="preserve"> </v>
      </c>
      <c r="I86" s="41" t="str">
        <f>IFERROR((VLOOKUP(F86,'Planilha de Cadastro - Previsão'!$A$2:$N$1100,2,FALSE()))," ")</f>
        <v xml:space="preserve"> </v>
      </c>
      <c r="J86" s="40" t="str">
        <f>IFERROR((VLOOKUP(F86,'Planilha de Cadastro - Previsão'!$A$2:$N$1100,3,FALSE()))," ")</f>
        <v xml:space="preserve"> </v>
      </c>
      <c r="K86" s="23" t="str">
        <f>IFERROR((VLOOKUP(F86,'Planilha de Cadastro - Previsão'!$A$2:$N$1100,4,FALSE()))," ")</f>
        <v xml:space="preserve"> </v>
      </c>
      <c r="L86" s="42" t="str">
        <f>IFERROR((VLOOKUP(F86,'Planilha de Cadastro - Previsão'!$A$2:$N$1100,12,FALSE()))," ")</f>
        <v xml:space="preserve"> </v>
      </c>
      <c r="M86" s="41" t="str">
        <f>IFERROR((IF(VLOOKUP(F86,'Planilha de Cadastro - Previsão'!$A$2:$N$1100,10,FALSE())="","",VLOOKUP(F86,'Planilha de Cadastro - Previsão'!$A$2:$N$1100,10,FALSE()))),"")</f>
        <v/>
      </c>
      <c r="N86" s="41" t="str">
        <f>IFERROR((IF(VLOOKUP(F86,'Planilha de Cadastro - Previsão'!$A$2:$N$1100,9,FALSE())="","",VLOOKUP(F86,'Planilha de Cadastro - Previsão'!$A$2:$N$1100,9,FALSE()))),"")</f>
        <v/>
      </c>
      <c r="O86" s="40" t="str">
        <f>IFERROR((IF(VLOOKUP(F86,'Planilha de Cadastro - Previsão'!$A$2:$N$1100,11,FALSE())="","",VLOOKUP(F86,'Planilha de Cadastro - Previsão'!$A$2:$N$1100,11,FALSE()))),"")</f>
        <v/>
      </c>
      <c r="P86" s="41" t="str">
        <f>IFERROR((IF(VLOOKUP(F86,'Acompanhamento da Licitação'!$F$2:$O$1000,10,FALSE())="","",VLOOKUP(F86,'Acompanhamento da Licitação'!$F$2:$O$1000,10,FALSE()))),"")</f>
        <v/>
      </c>
      <c r="R86" s="61" t="str">
        <f>IFERROR(IF(F86&gt;0,(Final[[#This Row],[Valor da Venda Real]]-Final[[#This Row],[Valor de Compra Previsto]]-4%*Final[[#This Row],[Valor da Venda Real]])/Final[[#This Row],[Valor da Venda Real]],""),"")</f>
        <v/>
      </c>
      <c r="S86" s="61" t="str">
        <f t="shared" si="8"/>
        <v/>
      </c>
      <c r="T86" s="23" t="str">
        <f>IFERROR((R86*Final[[#This Row],[Valor da Venda Real]]*Final[[#This Row],[Quantidade ]]*S86),"")</f>
        <v/>
      </c>
    </row>
    <row r="87" spans="1:20" ht="15.75" x14ac:dyDescent="0.2">
      <c r="A87">
        <f>COUNTIF($C$2:C87,C87)</f>
        <v>86</v>
      </c>
      <c r="B87" s="1" t="str">
        <f t="shared" si="7"/>
        <v>86</v>
      </c>
      <c r="C87" s="1" t="str">
        <f>IFERROR(VLOOKUP(D87,'Planilha de Cadastro - Previsão'!$A$2:$N$1000,14,FALSE()),"")</f>
        <v/>
      </c>
      <c r="D87" s="1">
        <v>86</v>
      </c>
      <c r="F87" s="40" t="str">
        <f t="shared" si="5"/>
        <v/>
      </c>
      <c r="G87" s="40" t="str">
        <f>IF(F87="","",'Prosposta Inicial'!$O$2)</f>
        <v/>
      </c>
      <c r="H87" s="40" t="str">
        <f t="shared" si="6"/>
        <v xml:space="preserve"> </v>
      </c>
      <c r="I87" s="41" t="str">
        <f>IFERROR((VLOOKUP(F87,'Planilha de Cadastro - Previsão'!$A$2:$N$1100,2,FALSE()))," ")</f>
        <v xml:space="preserve"> </v>
      </c>
      <c r="J87" s="40" t="str">
        <f>IFERROR((VLOOKUP(F87,'Planilha de Cadastro - Previsão'!$A$2:$N$1100,3,FALSE()))," ")</f>
        <v xml:space="preserve"> </v>
      </c>
      <c r="K87" s="23" t="str">
        <f>IFERROR((VLOOKUP(F87,'Planilha de Cadastro - Previsão'!$A$2:$N$1100,4,FALSE()))," ")</f>
        <v xml:space="preserve"> </v>
      </c>
      <c r="L87" s="42" t="str">
        <f>IFERROR((VLOOKUP(F87,'Planilha de Cadastro - Previsão'!$A$2:$N$1100,12,FALSE()))," ")</f>
        <v xml:space="preserve"> </v>
      </c>
      <c r="M87" s="41" t="str">
        <f>IFERROR((IF(VLOOKUP(F87,'Planilha de Cadastro - Previsão'!$A$2:$N$1100,10,FALSE())="","",VLOOKUP(F87,'Planilha de Cadastro - Previsão'!$A$2:$N$1100,10,FALSE()))),"")</f>
        <v/>
      </c>
      <c r="N87" s="41" t="str">
        <f>IFERROR((IF(VLOOKUP(F87,'Planilha de Cadastro - Previsão'!$A$2:$N$1100,9,FALSE())="","",VLOOKUP(F87,'Planilha de Cadastro - Previsão'!$A$2:$N$1100,9,FALSE()))),"")</f>
        <v/>
      </c>
      <c r="O87" s="40" t="str">
        <f>IFERROR((IF(VLOOKUP(F87,'Planilha de Cadastro - Previsão'!$A$2:$N$1100,11,FALSE())="","",VLOOKUP(F87,'Planilha de Cadastro - Previsão'!$A$2:$N$1100,11,FALSE()))),"")</f>
        <v/>
      </c>
      <c r="P87" s="41" t="str">
        <f>IFERROR((IF(VLOOKUP(F87,'Acompanhamento da Licitação'!$F$2:$O$1000,10,FALSE())="","",VLOOKUP(F87,'Acompanhamento da Licitação'!$F$2:$O$1000,10,FALSE()))),"")</f>
        <v/>
      </c>
      <c r="R87" s="61" t="str">
        <f>IFERROR(IF(F87&gt;0,(Final[[#This Row],[Valor da Venda Real]]-Final[[#This Row],[Valor de Compra Previsto]]-4%*Final[[#This Row],[Valor da Venda Real]])/Final[[#This Row],[Valor da Venda Real]],""),"")</f>
        <v/>
      </c>
      <c r="S87" s="61" t="str">
        <f t="shared" si="8"/>
        <v/>
      </c>
      <c r="T87" s="23" t="str">
        <f>IFERROR((R87*Final[[#This Row],[Valor da Venda Real]]*Final[[#This Row],[Quantidade ]]*S87),"")</f>
        <v/>
      </c>
    </row>
    <row r="88" spans="1:20" ht="15.75" x14ac:dyDescent="0.2">
      <c r="A88">
        <f>COUNTIF($C$2:C88,C88)</f>
        <v>87</v>
      </c>
      <c r="B88" s="1" t="str">
        <f t="shared" si="7"/>
        <v>87</v>
      </c>
      <c r="C88" s="1" t="str">
        <f>IFERROR(VLOOKUP(D88,'Planilha de Cadastro - Previsão'!$A$2:$N$1000,14,FALSE()),"")</f>
        <v/>
      </c>
      <c r="D88" s="1">
        <v>87</v>
      </c>
      <c r="F88" s="40" t="str">
        <f t="shared" si="5"/>
        <v/>
      </c>
      <c r="G88" s="40" t="str">
        <f>IF(F88="","",'Prosposta Inicial'!$O$2)</f>
        <v/>
      </c>
      <c r="H88" s="40" t="str">
        <f t="shared" si="6"/>
        <v xml:space="preserve"> </v>
      </c>
      <c r="I88" s="41" t="str">
        <f>IFERROR((VLOOKUP(F88,'Planilha de Cadastro - Previsão'!$A$2:$N$1100,2,FALSE()))," ")</f>
        <v xml:space="preserve"> </v>
      </c>
      <c r="J88" s="40" t="str">
        <f>IFERROR((VLOOKUP(F88,'Planilha de Cadastro - Previsão'!$A$2:$N$1100,3,FALSE()))," ")</f>
        <v xml:space="preserve"> </v>
      </c>
      <c r="K88" s="23" t="str">
        <f>IFERROR((VLOOKUP(F88,'Planilha de Cadastro - Previsão'!$A$2:$N$1100,4,FALSE()))," ")</f>
        <v xml:space="preserve"> </v>
      </c>
      <c r="L88" s="42" t="str">
        <f>IFERROR((VLOOKUP(F88,'Planilha de Cadastro - Previsão'!$A$2:$N$1100,12,FALSE()))," ")</f>
        <v xml:space="preserve"> </v>
      </c>
      <c r="M88" s="41" t="str">
        <f>IFERROR((IF(VLOOKUP(F88,'Planilha de Cadastro - Previsão'!$A$2:$N$1100,10,FALSE())="","",VLOOKUP(F88,'Planilha de Cadastro - Previsão'!$A$2:$N$1100,10,FALSE()))),"")</f>
        <v/>
      </c>
      <c r="N88" s="41" t="str">
        <f>IFERROR((IF(VLOOKUP(F88,'Planilha de Cadastro - Previsão'!$A$2:$N$1100,9,FALSE())="","",VLOOKUP(F88,'Planilha de Cadastro - Previsão'!$A$2:$N$1100,9,FALSE()))),"")</f>
        <v/>
      </c>
      <c r="O88" s="40" t="str">
        <f>IFERROR((IF(VLOOKUP(F88,'Planilha de Cadastro - Previsão'!$A$2:$N$1100,11,FALSE())="","",VLOOKUP(F88,'Planilha de Cadastro - Previsão'!$A$2:$N$1100,11,FALSE()))),"")</f>
        <v/>
      </c>
      <c r="P88" s="41" t="str">
        <f>IFERROR((IF(VLOOKUP(F88,'Acompanhamento da Licitação'!$F$2:$O$1000,10,FALSE())="","",VLOOKUP(F88,'Acompanhamento da Licitação'!$F$2:$O$1000,10,FALSE()))),"")</f>
        <v/>
      </c>
      <c r="R88" s="61" t="str">
        <f>IFERROR(IF(F88&gt;0,(Final[[#This Row],[Valor da Venda Real]]-Final[[#This Row],[Valor de Compra Previsto]]-4%*Final[[#This Row],[Valor da Venda Real]])/Final[[#This Row],[Valor da Venda Real]],""),"")</f>
        <v/>
      </c>
      <c r="S88" s="61" t="str">
        <f t="shared" si="8"/>
        <v/>
      </c>
      <c r="T88" s="23" t="str">
        <f>IFERROR((R88*Final[[#This Row],[Valor da Venda Real]]*Final[[#This Row],[Quantidade ]]*S88),"")</f>
        <v/>
      </c>
    </row>
    <row r="89" spans="1:20" ht="15.75" x14ac:dyDescent="0.2">
      <c r="A89">
        <f>COUNTIF($C$2:C89,C89)</f>
        <v>88</v>
      </c>
      <c r="B89" s="1" t="str">
        <f t="shared" si="7"/>
        <v>88</v>
      </c>
      <c r="C89" s="1" t="str">
        <f>IFERROR(VLOOKUP(D89,'Planilha de Cadastro - Previsão'!$A$2:$N$1000,14,FALSE()),"")</f>
        <v/>
      </c>
      <c r="D89" s="1">
        <v>88</v>
      </c>
      <c r="F89" s="40" t="str">
        <f t="shared" si="5"/>
        <v/>
      </c>
      <c r="G89" s="40" t="str">
        <f>IF(F89="","",'Prosposta Inicial'!$O$2)</f>
        <v/>
      </c>
      <c r="H89" s="40" t="str">
        <f t="shared" si="6"/>
        <v xml:space="preserve"> </v>
      </c>
      <c r="I89" s="41" t="str">
        <f>IFERROR((VLOOKUP(F89,'Planilha de Cadastro - Previsão'!$A$2:$N$1100,2,FALSE()))," ")</f>
        <v xml:space="preserve"> </v>
      </c>
      <c r="J89" s="40" t="str">
        <f>IFERROR((VLOOKUP(F89,'Planilha de Cadastro - Previsão'!$A$2:$N$1100,3,FALSE()))," ")</f>
        <v xml:space="preserve"> </v>
      </c>
      <c r="K89" s="23" t="str">
        <f>IFERROR((VLOOKUP(F89,'Planilha de Cadastro - Previsão'!$A$2:$N$1100,4,FALSE()))," ")</f>
        <v xml:space="preserve"> </v>
      </c>
      <c r="L89" s="42" t="str">
        <f>IFERROR((VLOOKUP(F89,'Planilha de Cadastro - Previsão'!$A$2:$N$1100,12,FALSE()))," ")</f>
        <v xml:space="preserve"> </v>
      </c>
      <c r="M89" s="41" t="str">
        <f>IFERROR((IF(VLOOKUP(F89,'Planilha de Cadastro - Previsão'!$A$2:$N$1100,10,FALSE())="","",VLOOKUP(F89,'Planilha de Cadastro - Previsão'!$A$2:$N$1100,10,FALSE()))),"")</f>
        <v/>
      </c>
      <c r="N89" s="41" t="str">
        <f>IFERROR((IF(VLOOKUP(F89,'Planilha de Cadastro - Previsão'!$A$2:$N$1100,9,FALSE())="","",VLOOKUP(F89,'Planilha de Cadastro - Previsão'!$A$2:$N$1100,9,FALSE()))),"")</f>
        <v/>
      </c>
      <c r="O89" s="40" t="str">
        <f>IFERROR((IF(VLOOKUP(F89,'Planilha de Cadastro - Previsão'!$A$2:$N$1100,11,FALSE())="","",VLOOKUP(F89,'Planilha de Cadastro - Previsão'!$A$2:$N$1100,11,FALSE()))),"")</f>
        <v/>
      </c>
      <c r="P89" s="41" t="str">
        <f>IFERROR((IF(VLOOKUP(F89,'Acompanhamento da Licitação'!$F$2:$O$1000,10,FALSE())="","",VLOOKUP(F89,'Acompanhamento da Licitação'!$F$2:$O$1000,10,FALSE()))),"")</f>
        <v/>
      </c>
      <c r="R89" s="61" t="str">
        <f>IFERROR(IF(F89&gt;0,(Final[[#This Row],[Valor da Venda Real]]-Final[[#This Row],[Valor de Compra Previsto]]-4%*Final[[#This Row],[Valor da Venda Real]])/Final[[#This Row],[Valor da Venda Real]],""),"")</f>
        <v/>
      </c>
      <c r="S89" s="61" t="str">
        <f t="shared" si="8"/>
        <v/>
      </c>
      <c r="T89" s="23" t="str">
        <f>IFERROR((R89*Final[[#This Row],[Valor da Venda Real]]*Final[[#This Row],[Quantidade ]]*S89),"")</f>
        <v/>
      </c>
    </row>
    <row r="90" spans="1:20" ht="15.75" x14ac:dyDescent="0.2">
      <c r="A90">
        <f>COUNTIF($C$2:C90,C90)</f>
        <v>89</v>
      </c>
      <c r="B90" s="1" t="str">
        <f t="shared" si="7"/>
        <v>89</v>
      </c>
      <c r="C90" s="1" t="str">
        <f>IFERROR(VLOOKUP(D90,'Planilha de Cadastro - Previsão'!$A$2:$N$1000,14,FALSE()),"")</f>
        <v/>
      </c>
      <c r="D90" s="1">
        <v>89</v>
      </c>
      <c r="F90" s="40" t="str">
        <f t="shared" si="5"/>
        <v/>
      </c>
      <c r="G90" s="40" t="str">
        <f>IF(F90="","",'Prosposta Inicial'!$O$2)</f>
        <v/>
      </c>
      <c r="H90" s="40" t="str">
        <f t="shared" si="6"/>
        <v xml:space="preserve"> </v>
      </c>
      <c r="I90" s="41" t="str">
        <f>IFERROR((VLOOKUP(F90,'Planilha de Cadastro - Previsão'!$A$2:$N$1100,2,FALSE()))," ")</f>
        <v xml:space="preserve"> </v>
      </c>
      <c r="J90" s="40" t="str">
        <f>IFERROR((VLOOKUP(F90,'Planilha de Cadastro - Previsão'!$A$2:$N$1100,3,FALSE()))," ")</f>
        <v xml:space="preserve"> </v>
      </c>
      <c r="K90" s="23" t="str">
        <f>IFERROR((VLOOKUP(F90,'Planilha de Cadastro - Previsão'!$A$2:$N$1100,4,FALSE()))," ")</f>
        <v xml:space="preserve"> </v>
      </c>
      <c r="L90" s="42" t="str">
        <f>IFERROR((VLOOKUP(F90,'Planilha de Cadastro - Previsão'!$A$2:$N$1100,12,FALSE()))," ")</f>
        <v xml:space="preserve"> </v>
      </c>
      <c r="M90" s="41" t="str">
        <f>IFERROR((IF(VLOOKUP(F90,'Planilha de Cadastro - Previsão'!$A$2:$N$1100,10,FALSE())="","",VLOOKUP(F90,'Planilha de Cadastro - Previsão'!$A$2:$N$1100,10,FALSE()))),"")</f>
        <v/>
      </c>
      <c r="N90" s="41" t="str">
        <f>IFERROR((IF(VLOOKUP(F90,'Planilha de Cadastro - Previsão'!$A$2:$N$1100,9,FALSE())="","",VLOOKUP(F90,'Planilha de Cadastro - Previsão'!$A$2:$N$1100,9,FALSE()))),"")</f>
        <v/>
      </c>
      <c r="O90" s="40" t="str">
        <f>IFERROR((IF(VLOOKUP(F90,'Planilha de Cadastro - Previsão'!$A$2:$N$1100,11,FALSE())="","",VLOOKUP(F90,'Planilha de Cadastro - Previsão'!$A$2:$N$1100,11,FALSE()))),"")</f>
        <v/>
      </c>
      <c r="P90" s="41" t="str">
        <f>IFERROR((IF(VLOOKUP(F90,'Acompanhamento da Licitação'!$F$2:$O$1000,10,FALSE())="","",VLOOKUP(F90,'Acompanhamento da Licitação'!$F$2:$O$1000,10,FALSE()))),"")</f>
        <v/>
      </c>
      <c r="R90" s="61" t="str">
        <f>IFERROR(IF(F90&gt;0,(Final[[#This Row],[Valor da Venda Real]]-Final[[#This Row],[Valor de Compra Previsto]]-4%*Final[[#This Row],[Valor da Venda Real]])/Final[[#This Row],[Valor da Venda Real]],""),"")</f>
        <v/>
      </c>
      <c r="S90" s="61" t="str">
        <f t="shared" si="8"/>
        <v/>
      </c>
      <c r="T90" s="23" t="str">
        <f>IFERROR((R90*Final[[#This Row],[Valor da Venda Real]]*Final[[#This Row],[Quantidade ]]*S90),"")</f>
        <v/>
      </c>
    </row>
    <row r="91" spans="1:20" ht="15.75" x14ac:dyDescent="0.2">
      <c r="A91">
        <f>COUNTIF($C$2:C91,C91)</f>
        <v>90</v>
      </c>
      <c r="B91" s="1" t="str">
        <f t="shared" si="7"/>
        <v>90</v>
      </c>
      <c r="C91" s="1" t="str">
        <f>IFERROR(VLOOKUP(D91,'Planilha de Cadastro - Previsão'!$A$2:$N$1000,14,FALSE()),"")</f>
        <v/>
      </c>
      <c r="D91" s="1">
        <v>90</v>
      </c>
      <c r="F91" s="40" t="str">
        <f t="shared" si="5"/>
        <v/>
      </c>
      <c r="G91" s="40" t="str">
        <f>IF(F91="","",'Prosposta Inicial'!$O$2)</f>
        <v/>
      </c>
      <c r="H91" s="40" t="str">
        <f t="shared" si="6"/>
        <v xml:space="preserve"> </v>
      </c>
      <c r="I91" s="41" t="str">
        <f>IFERROR((VLOOKUP(F91,'Planilha de Cadastro - Previsão'!$A$2:$N$1100,2,FALSE()))," ")</f>
        <v xml:space="preserve"> </v>
      </c>
      <c r="J91" s="40" t="str">
        <f>IFERROR((VLOOKUP(F91,'Planilha de Cadastro - Previsão'!$A$2:$N$1100,3,FALSE()))," ")</f>
        <v xml:space="preserve"> </v>
      </c>
      <c r="K91" s="23" t="str">
        <f>IFERROR((VLOOKUP(F91,'Planilha de Cadastro - Previsão'!$A$2:$N$1100,4,FALSE()))," ")</f>
        <v xml:space="preserve"> </v>
      </c>
      <c r="L91" s="42" t="str">
        <f>IFERROR((VLOOKUP(F91,'Planilha de Cadastro - Previsão'!$A$2:$N$1100,12,FALSE()))," ")</f>
        <v xml:space="preserve"> </v>
      </c>
      <c r="M91" s="41" t="str">
        <f>IFERROR((IF(VLOOKUP(F91,'Planilha de Cadastro - Previsão'!$A$2:$N$1100,10,FALSE())="","",VLOOKUP(F91,'Planilha de Cadastro - Previsão'!$A$2:$N$1100,10,FALSE()))),"")</f>
        <v/>
      </c>
      <c r="N91" s="41" t="str">
        <f>IFERROR((IF(VLOOKUP(F91,'Planilha de Cadastro - Previsão'!$A$2:$N$1100,9,FALSE())="","",VLOOKUP(F91,'Planilha de Cadastro - Previsão'!$A$2:$N$1100,9,FALSE()))),"")</f>
        <v/>
      </c>
      <c r="O91" s="40" t="str">
        <f>IFERROR((IF(VLOOKUP(F91,'Planilha de Cadastro - Previsão'!$A$2:$N$1100,11,FALSE())="","",VLOOKUP(F91,'Planilha de Cadastro - Previsão'!$A$2:$N$1100,11,FALSE()))),"")</f>
        <v/>
      </c>
      <c r="P91" s="41" t="str">
        <f>IFERROR((IF(VLOOKUP(F91,'Acompanhamento da Licitação'!$F$2:$O$1000,10,FALSE())="","",VLOOKUP(F91,'Acompanhamento da Licitação'!$F$2:$O$1000,10,FALSE()))),"")</f>
        <v/>
      </c>
      <c r="R91" s="61" t="str">
        <f>IFERROR(IF(F91&gt;0,(Final[[#This Row],[Valor da Venda Real]]-Final[[#This Row],[Valor de Compra Previsto]]-4%*Final[[#This Row],[Valor da Venda Real]])/Final[[#This Row],[Valor da Venda Real]],""),"")</f>
        <v/>
      </c>
      <c r="S91" s="61" t="str">
        <f t="shared" si="8"/>
        <v/>
      </c>
      <c r="T91" s="23" t="str">
        <f>IFERROR((R91*Final[[#This Row],[Valor da Venda Real]]*Final[[#This Row],[Quantidade ]]*S91),"")</f>
        <v/>
      </c>
    </row>
    <row r="92" spans="1:20" ht="15.75" x14ac:dyDescent="0.2">
      <c r="A92">
        <f>COUNTIF($C$2:C92,C92)</f>
        <v>91</v>
      </c>
      <c r="B92" s="1" t="str">
        <f t="shared" si="7"/>
        <v>91</v>
      </c>
      <c r="C92" s="1" t="str">
        <f>IFERROR(VLOOKUP(D92,'Planilha de Cadastro - Previsão'!$A$2:$N$1000,14,FALSE()),"")</f>
        <v/>
      </c>
      <c r="D92" s="1">
        <v>91</v>
      </c>
      <c r="F92" s="40" t="str">
        <f t="shared" si="5"/>
        <v/>
      </c>
      <c r="G92" s="40" t="str">
        <f>IF(F92="","",'Prosposta Inicial'!$O$2)</f>
        <v/>
      </c>
      <c r="H92" s="40" t="str">
        <f t="shared" si="6"/>
        <v xml:space="preserve"> </v>
      </c>
      <c r="I92" s="41" t="str">
        <f>IFERROR((VLOOKUP(F92,'Planilha de Cadastro - Previsão'!$A$2:$N$1100,2,FALSE()))," ")</f>
        <v xml:space="preserve"> </v>
      </c>
      <c r="J92" s="40" t="str">
        <f>IFERROR((VLOOKUP(F92,'Planilha de Cadastro - Previsão'!$A$2:$N$1100,3,FALSE()))," ")</f>
        <v xml:space="preserve"> </v>
      </c>
      <c r="K92" s="23" t="str">
        <f>IFERROR((VLOOKUP(F92,'Planilha de Cadastro - Previsão'!$A$2:$N$1100,4,FALSE()))," ")</f>
        <v xml:space="preserve"> </v>
      </c>
      <c r="L92" s="42" t="str">
        <f>IFERROR((VLOOKUP(F92,'Planilha de Cadastro - Previsão'!$A$2:$N$1100,12,FALSE()))," ")</f>
        <v xml:space="preserve"> </v>
      </c>
      <c r="M92" s="41" t="str">
        <f>IFERROR((IF(VLOOKUP(F92,'Planilha de Cadastro - Previsão'!$A$2:$N$1100,10,FALSE())="","",VLOOKUP(F92,'Planilha de Cadastro - Previsão'!$A$2:$N$1100,10,FALSE()))),"")</f>
        <v/>
      </c>
      <c r="N92" s="41" t="str">
        <f>IFERROR((IF(VLOOKUP(F92,'Planilha de Cadastro - Previsão'!$A$2:$N$1100,9,FALSE())="","",VLOOKUP(F92,'Planilha de Cadastro - Previsão'!$A$2:$N$1100,9,FALSE()))),"")</f>
        <v/>
      </c>
      <c r="O92" s="40" t="str">
        <f>IFERROR((IF(VLOOKUP(F92,'Planilha de Cadastro - Previsão'!$A$2:$N$1100,11,FALSE())="","",VLOOKUP(F92,'Planilha de Cadastro - Previsão'!$A$2:$N$1100,11,FALSE()))),"")</f>
        <v/>
      </c>
      <c r="P92" s="41" t="str">
        <f>IFERROR((IF(VLOOKUP(F92,'Acompanhamento da Licitação'!$F$2:$O$1000,10,FALSE())="","",VLOOKUP(F92,'Acompanhamento da Licitação'!$F$2:$O$1000,10,FALSE()))),"")</f>
        <v/>
      </c>
      <c r="R92" s="61" t="str">
        <f>IFERROR(IF(F92&gt;0,(Final[[#This Row],[Valor da Venda Real]]-Final[[#This Row],[Valor de Compra Previsto]]-4%*Final[[#This Row],[Valor da Venda Real]])/Final[[#This Row],[Valor da Venda Real]],""),"")</f>
        <v/>
      </c>
      <c r="S92" s="61" t="str">
        <f t="shared" si="8"/>
        <v/>
      </c>
      <c r="T92" s="23" t="str">
        <f>IFERROR((R92*Final[[#This Row],[Valor da Venda Real]]*Final[[#This Row],[Quantidade ]]*S92),"")</f>
        <v/>
      </c>
    </row>
    <row r="93" spans="1:20" ht="15.75" x14ac:dyDescent="0.2">
      <c r="A93">
        <f>COUNTIF($C$2:C93,C93)</f>
        <v>92</v>
      </c>
      <c r="B93" s="1" t="str">
        <f t="shared" si="7"/>
        <v>92</v>
      </c>
      <c r="C93" s="1" t="str">
        <f>IFERROR(VLOOKUP(D93,'Planilha de Cadastro - Previsão'!$A$2:$N$1000,14,FALSE()),"")</f>
        <v/>
      </c>
      <c r="D93" s="1">
        <v>92</v>
      </c>
      <c r="F93" s="40" t="str">
        <f t="shared" si="5"/>
        <v/>
      </c>
      <c r="G93" s="40" t="str">
        <f>IF(F93="","",'Prosposta Inicial'!$O$2)</f>
        <v/>
      </c>
      <c r="H93" s="40" t="str">
        <f t="shared" si="6"/>
        <v xml:space="preserve"> </v>
      </c>
      <c r="I93" s="41" t="str">
        <f>IFERROR((VLOOKUP(F93,'Planilha de Cadastro - Previsão'!$A$2:$N$1100,2,FALSE()))," ")</f>
        <v xml:space="preserve"> </v>
      </c>
      <c r="J93" s="40" t="str">
        <f>IFERROR((VLOOKUP(F93,'Planilha de Cadastro - Previsão'!$A$2:$N$1100,3,FALSE()))," ")</f>
        <v xml:space="preserve"> </v>
      </c>
      <c r="K93" s="23" t="str">
        <f>IFERROR((VLOOKUP(F93,'Planilha de Cadastro - Previsão'!$A$2:$N$1100,4,FALSE()))," ")</f>
        <v xml:space="preserve"> </v>
      </c>
      <c r="L93" s="42" t="str">
        <f>IFERROR((VLOOKUP(F93,'Planilha de Cadastro - Previsão'!$A$2:$N$1100,12,FALSE()))," ")</f>
        <v xml:space="preserve"> </v>
      </c>
      <c r="M93" s="41" t="str">
        <f>IFERROR((IF(VLOOKUP(F93,'Planilha de Cadastro - Previsão'!$A$2:$N$1100,10,FALSE())="","",VLOOKUP(F93,'Planilha de Cadastro - Previsão'!$A$2:$N$1100,10,FALSE()))),"")</f>
        <v/>
      </c>
      <c r="N93" s="41" t="str">
        <f>IFERROR((IF(VLOOKUP(F93,'Planilha de Cadastro - Previsão'!$A$2:$N$1100,9,FALSE())="","",VLOOKUP(F93,'Planilha de Cadastro - Previsão'!$A$2:$N$1100,9,FALSE()))),"")</f>
        <v/>
      </c>
      <c r="O93" s="40" t="str">
        <f>IFERROR((IF(VLOOKUP(F93,'Planilha de Cadastro - Previsão'!$A$2:$N$1100,11,FALSE())="","",VLOOKUP(F93,'Planilha de Cadastro - Previsão'!$A$2:$N$1100,11,FALSE()))),"")</f>
        <v/>
      </c>
      <c r="P93" s="41" t="str">
        <f>IFERROR((IF(VLOOKUP(F93,'Acompanhamento da Licitação'!$F$2:$O$1000,10,FALSE())="","",VLOOKUP(F93,'Acompanhamento da Licitação'!$F$2:$O$1000,10,FALSE()))),"")</f>
        <v/>
      </c>
      <c r="R93" s="61" t="str">
        <f>IFERROR(IF(F93&gt;0,(Final[[#This Row],[Valor da Venda Real]]-Final[[#This Row],[Valor de Compra Previsto]]-4%*Final[[#This Row],[Valor da Venda Real]])/Final[[#This Row],[Valor da Venda Real]],""),"")</f>
        <v/>
      </c>
      <c r="S93" s="61" t="str">
        <f t="shared" si="8"/>
        <v/>
      </c>
      <c r="T93" s="23" t="str">
        <f>IFERROR((R93*Final[[#This Row],[Valor da Venda Real]]*Final[[#This Row],[Quantidade ]]*S93),"")</f>
        <v/>
      </c>
    </row>
    <row r="94" spans="1:20" ht="15.75" x14ac:dyDescent="0.2">
      <c r="A94">
        <f>COUNTIF($C$2:C94,C94)</f>
        <v>93</v>
      </c>
      <c r="B94" s="1" t="str">
        <f t="shared" si="7"/>
        <v>93</v>
      </c>
      <c r="C94" s="1" t="str">
        <f>IFERROR(VLOOKUP(D94,'Planilha de Cadastro - Previsão'!$A$2:$N$1000,14,FALSE()),"")</f>
        <v/>
      </c>
      <c r="D94" s="1">
        <v>93</v>
      </c>
      <c r="F94" s="40" t="str">
        <f t="shared" si="5"/>
        <v/>
      </c>
      <c r="G94" s="40" t="str">
        <f>IF(F94="","",'Prosposta Inicial'!$O$2)</f>
        <v/>
      </c>
      <c r="H94" s="40" t="str">
        <f t="shared" si="6"/>
        <v xml:space="preserve"> </v>
      </c>
      <c r="I94" s="41" t="str">
        <f>IFERROR((VLOOKUP(F94,'Planilha de Cadastro - Previsão'!$A$2:$N$1100,2,FALSE()))," ")</f>
        <v xml:space="preserve"> </v>
      </c>
      <c r="J94" s="40" t="str">
        <f>IFERROR((VLOOKUP(F94,'Planilha de Cadastro - Previsão'!$A$2:$N$1100,3,FALSE()))," ")</f>
        <v xml:space="preserve"> </v>
      </c>
      <c r="K94" s="23" t="str">
        <f>IFERROR((VLOOKUP(F94,'Planilha de Cadastro - Previsão'!$A$2:$N$1100,4,FALSE()))," ")</f>
        <v xml:space="preserve"> </v>
      </c>
      <c r="L94" s="42" t="str">
        <f>IFERROR((VLOOKUP(F94,'Planilha de Cadastro - Previsão'!$A$2:$N$1100,12,FALSE()))," ")</f>
        <v xml:space="preserve"> </v>
      </c>
      <c r="M94" s="41" t="str">
        <f>IFERROR((IF(VLOOKUP(F94,'Planilha de Cadastro - Previsão'!$A$2:$N$1100,10,FALSE())="","",VLOOKUP(F94,'Planilha de Cadastro - Previsão'!$A$2:$N$1100,10,FALSE()))),"")</f>
        <v/>
      </c>
      <c r="N94" s="41" t="str">
        <f>IFERROR((IF(VLOOKUP(F94,'Planilha de Cadastro - Previsão'!$A$2:$N$1100,9,FALSE())="","",VLOOKUP(F94,'Planilha de Cadastro - Previsão'!$A$2:$N$1100,9,FALSE()))),"")</f>
        <v/>
      </c>
      <c r="O94" s="40" t="str">
        <f>IFERROR((IF(VLOOKUP(F94,'Planilha de Cadastro - Previsão'!$A$2:$N$1100,11,FALSE())="","",VLOOKUP(F94,'Planilha de Cadastro - Previsão'!$A$2:$N$1100,11,FALSE()))),"")</f>
        <v/>
      </c>
      <c r="P94" s="41" t="str">
        <f>IFERROR((IF(VLOOKUP(F94,'Acompanhamento da Licitação'!$F$2:$O$1000,10,FALSE())="","",VLOOKUP(F94,'Acompanhamento da Licitação'!$F$2:$O$1000,10,FALSE()))),"")</f>
        <v/>
      </c>
      <c r="R94" s="61" t="str">
        <f>IFERROR(IF(F94&gt;0,(Final[[#This Row],[Valor da Venda Real]]-Final[[#This Row],[Valor de Compra Previsto]]-4%*Final[[#This Row],[Valor da Venda Real]])/Final[[#This Row],[Valor da Venda Real]],""),"")</f>
        <v/>
      </c>
      <c r="S94" s="61" t="str">
        <f t="shared" si="8"/>
        <v/>
      </c>
      <c r="T94" s="23" t="str">
        <f>IFERROR((R94*Final[[#This Row],[Valor da Venda Real]]*Final[[#This Row],[Quantidade ]]*S94),"")</f>
        <v/>
      </c>
    </row>
    <row r="95" spans="1:20" ht="15.75" x14ac:dyDescent="0.2">
      <c r="A95">
        <f>COUNTIF($C$2:C95,C95)</f>
        <v>94</v>
      </c>
      <c r="B95" s="1" t="str">
        <f t="shared" si="7"/>
        <v>94</v>
      </c>
      <c r="C95" s="1" t="str">
        <f>IFERROR(VLOOKUP(D95,'Planilha de Cadastro - Previsão'!$A$2:$N$1000,14,FALSE()),"")</f>
        <v/>
      </c>
      <c r="D95" s="1">
        <v>94</v>
      </c>
      <c r="F95" s="40" t="str">
        <f t="shared" si="5"/>
        <v/>
      </c>
      <c r="G95" s="40" t="str">
        <f>IF(F95="","",'Prosposta Inicial'!$O$2)</f>
        <v/>
      </c>
      <c r="H95" s="40" t="str">
        <f t="shared" si="6"/>
        <v xml:space="preserve"> </v>
      </c>
      <c r="I95" s="41" t="str">
        <f>IFERROR((VLOOKUP(F95,'Planilha de Cadastro - Previsão'!$A$2:$N$1100,2,FALSE()))," ")</f>
        <v xml:space="preserve"> </v>
      </c>
      <c r="J95" s="40" t="str">
        <f>IFERROR((VLOOKUP(F95,'Planilha de Cadastro - Previsão'!$A$2:$N$1100,3,FALSE()))," ")</f>
        <v xml:space="preserve"> </v>
      </c>
      <c r="K95" s="23" t="str">
        <f>IFERROR((VLOOKUP(F95,'Planilha de Cadastro - Previsão'!$A$2:$N$1100,4,FALSE()))," ")</f>
        <v xml:space="preserve"> </v>
      </c>
      <c r="L95" s="42" t="str">
        <f>IFERROR((VLOOKUP(F95,'Planilha de Cadastro - Previsão'!$A$2:$N$1100,12,FALSE()))," ")</f>
        <v xml:space="preserve"> </v>
      </c>
      <c r="M95" s="41" t="str">
        <f>IFERROR((IF(VLOOKUP(F95,'Planilha de Cadastro - Previsão'!$A$2:$N$1100,10,FALSE())="","",VLOOKUP(F95,'Planilha de Cadastro - Previsão'!$A$2:$N$1100,10,FALSE()))),"")</f>
        <v/>
      </c>
      <c r="N95" s="41" t="str">
        <f>IFERROR((IF(VLOOKUP(F95,'Planilha de Cadastro - Previsão'!$A$2:$N$1100,9,FALSE())="","",VLOOKUP(F95,'Planilha de Cadastro - Previsão'!$A$2:$N$1100,9,FALSE()))),"")</f>
        <v/>
      </c>
      <c r="O95" s="40" t="str">
        <f>IFERROR((IF(VLOOKUP(F95,'Planilha de Cadastro - Previsão'!$A$2:$N$1100,11,FALSE())="","",VLOOKUP(F95,'Planilha de Cadastro - Previsão'!$A$2:$N$1100,11,FALSE()))),"")</f>
        <v/>
      </c>
      <c r="P95" s="41" t="str">
        <f>IFERROR((IF(VLOOKUP(F95,'Acompanhamento da Licitação'!$F$2:$O$1000,10,FALSE())="","",VLOOKUP(F95,'Acompanhamento da Licitação'!$F$2:$O$1000,10,FALSE()))),"")</f>
        <v/>
      </c>
      <c r="R95" s="61" t="str">
        <f>IFERROR(IF(F95&gt;0,(Final[[#This Row],[Valor da Venda Real]]-Final[[#This Row],[Valor de Compra Previsto]]-4%*Final[[#This Row],[Valor da Venda Real]])/Final[[#This Row],[Valor da Venda Real]],""),"")</f>
        <v/>
      </c>
      <c r="S95" s="61" t="str">
        <f t="shared" si="8"/>
        <v/>
      </c>
      <c r="T95" s="23" t="str">
        <f>IFERROR((R95*Final[[#This Row],[Valor da Venda Real]]*Final[[#This Row],[Quantidade ]]*S95),"")</f>
        <v/>
      </c>
    </row>
    <row r="96" spans="1:20" ht="15.75" x14ac:dyDescent="0.2">
      <c r="A96">
        <f>COUNTIF($C$2:C96,C96)</f>
        <v>95</v>
      </c>
      <c r="B96" s="1" t="str">
        <f t="shared" si="7"/>
        <v>95</v>
      </c>
      <c r="C96" s="1" t="str">
        <f>IFERROR(VLOOKUP(D96,'Planilha de Cadastro - Previsão'!$A$2:$N$1000,14,FALSE()),"")</f>
        <v/>
      </c>
      <c r="D96" s="1">
        <v>95</v>
      </c>
      <c r="F96" s="40" t="str">
        <f t="shared" si="5"/>
        <v/>
      </c>
      <c r="G96" s="40" t="str">
        <f>IF(F96="","",'Prosposta Inicial'!$O$2)</f>
        <v/>
      </c>
      <c r="H96" s="40" t="str">
        <f t="shared" si="6"/>
        <v xml:space="preserve"> </v>
      </c>
      <c r="I96" s="41" t="str">
        <f>IFERROR((VLOOKUP(F96,'Planilha de Cadastro - Previsão'!$A$2:$N$1100,2,FALSE()))," ")</f>
        <v xml:space="preserve"> </v>
      </c>
      <c r="J96" s="40" t="str">
        <f>IFERROR((VLOOKUP(F96,'Planilha de Cadastro - Previsão'!$A$2:$N$1100,3,FALSE()))," ")</f>
        <v xml:space="preserve"> </v>
      </c>
      <c r="K96" s="23" t="str">
        <f>IFERROR((VLOOKUP(F96,'Planilha de Cadastro - Previsão'!$A$2:$N$1100,4,FALSE()))," ")</f>
        <v xml:space="preserve"> </v>
      </c>
      <c r="L96" s="42" t="str">
        <f>IFERROR((VLOOKUP(F96,'Planilha de Cadastro - Previsão'!$A$2:$N$1100,12,FALSE()))," ")</f>
        <v xml:space="preserve"> </v>
      </c>
      <c r="M96" s="41" t="str">
        <f>IFERROR((IF(VLOOKUP(F96,'Planilha de Cadastro - Previsão'!$A$2:$N$1100,10,FALSE())="","",VLOOKUP(F96,'Planilha de Cadastro - Previsão'!$A$2:$N$1100,10,FALSE()))),"")</f>
        <v/>
      </c>
      <c r="N96" s="41" t="str">
        <f>IFERROR((IF(VLOOKUP(F96,'Planilha de Cadastro - Previsão'!$A$2:$N$1100,9,FALSE())="","",VLOOKUP(F96,'Planilha de Cadastro - Previsão'!$A$2:$N$1100,9,FALSE()))),"")</f>
        <v/>
      </c>
      <c r="O96" s="40" t="str">
        <f>IFERROR((IF(VLOOKUP(F96,'Planilha de Cadastro - Previsão'!$A$2:$N$1100,11,FALSE())="","",VLOOKUP(F96,'Planilha de Cadastro - Previsão'!$A$2:$N$1100,11,FALSE()))),"")</f>
        <v/>
      </c>
      <c r="P96" s="41" t="str">
        <f>IFERROR((IF(VLOOKUP(F96,'Acompanhamento da Licitação'!$F$2:$O$1000,10,FALSE())="","",VLOOKUP(F96,'Acompanhamento da Licitação'!$F$2:$O$1000,10,FALSE()))),"")</f>
        <v/>
      </c>
      <c r="R96" s="61" t="str">
        <f>IFERROR(IF(F96&gt;0,(Final[[#This Row],[Valor da Venda Real]]-Final[[#This Row],[Valor de Compra Previsto]]-4%*Final[[#This Row],[Valor da Venda Real]])/Final[[#This Row],[Valor da Venda Real]],""),"")</f>
        <v/>
      </c>
      <c r="S96" s="61" t="str">
        <f t="shared" si="8"/>
        <v/>
      </c>
      <c r="T96" s="23" t="str">
        <f>IFERROR((R96*Final[[#This Row],[Valor da Venda Real]]*Final[[#This Row],[Quantidade ]]*S96),"")</f>
        <v/>
      </c>
    </row>
    <row r="97" spans="1:20" ht="15.75" x14ac:dyDescent="0.2">
      <c r="A97">
        <f>COUNTIF($C$2:C97,C97)</f>
        <v>96</v>
      </c>
      <c r="B97" s="1" t="str">
        <f t="shared" si="7"/>
        <v>96</v>
      </c>
      <c r="C97" s="1" t="str">
        <f>IFERROR(VLOOKUP(D97,'Planilha de Cadastro - Previsão'!$A$2:$N$1000,14,FALSE()),"")</f>
        <v/>
      </c>
      <c r="D97" s="1">
        <v>96</v>
      </c>
      <c r="F97" s="40" t="str">
        <f t="shared" si="5"/>
        <v/>
      </c>
      <c r="G97" s="40" t="str">
        <f>IF(F97="","",'Prosposta Inicial'!$O$2)</f>
        <v/>
      </c>
      <c r="H97" s="40" t="str">
        <f t="shared" si="6"/>
        <v xml:space="preserve"> </v>
      </c>
      <c r="I97" s="41" t="str">
        <f>IFERROR((VLOOKUP(F97,'Planilha de Cadastro - Previsão'!$A$2:$N$1100,2,FALSE()))," ")</f>
        <v xml:space="preserve"> </v>
      </c>
      <c r="J97" s="40" t="str">
        <f>IFERROR((VLOOKUP(F97,'Planilha de Cadastro - Previsão'!$A$2:$N$1100,3,FALSE()))," ")</f>
        <v xml:space="preserve"> </v>
      </c>
      <c r="K97" s="23" t="str">
        <f>IFERROR((VLOOKUP(F97,'Planilha de Cadastro - Previsão'!$A$2:$N$1100,4,FALSE()))," ")</f>
        <v xml:space="preserve"> </v>
      </c>
      <c r="L97" s="42" t="str">
        <f>IFERROR((VLOOKUP(F97,'Planilha de Cadastro - Previsão'!$A$2:$N$1100,12,FALSE()))," ")</f>
        <v xml:space="preserve"> </v>
      </c>
      <c r="M97" s="41" t="str">
        <f>IFERROR((IF(VLOOKUP(F97,'Planilha de Cadastro - Previsão'!$A$2:$N$1100,10,FALSE())="","",VLOOKUP(F97,'Planilha de Cadastro - Previsão'!$A$2:$N$1100,10,FALSE()))),"")</f>
        <v/>
      </c>
      <c r="N97" s="41" t="str">
        <f>IFERROR((IF(VLOOKUP(F97,'Planilha de Cadastro - Previsão'!$A$2:$N$1100,9,FALSE())="","",VLOOKUP(F97,'Planilha de Cadastro - Previsão'!$A$2:$N$1100,9,FALSE()))),"")</f>
        <v/>
      </c>
      <c r="O97" s="40" t="str">
        <f>IFERROR((IF(VLOOKUP(F97,'Planilha de Cadastro - Previsão'!$A$2:$N$1100,11,FALSE())="","",VLOOKUP(F97,'Planilha de Cadastro - Previsão'!$A$2:$N$1100,11,FALSE()))),"")</f>
        <v/>
      </c>
      <c r="P97" s="41" t="str">
        <f>IFERROR((IF(VLOOKUP(F97,'Acompanhamento da Licitação'!$F$2:$O$1000,10,FALSE())="","",VLOOKUP(F97,'Acompanhamento da Licitação'!$F$2:$O$1000,10,FALSE()))),"")</f>
        <v/>
      </c>
      <c r="R97" s="61" t="str">
        <f>IFERROR(IF(F97&gt;0,(Final[[#This Row],[Valor da Venda Real]]-Final[[#This Row],[Valor de Compra Previsto]]-4%*Final[[#This Row],[Valor da Venda Real]])/Final[[#This Row],[Valor da Venda Real]],""),"")</f>
        <v/>
      </c>
      <c r="S97" s="61" t="str">
        <f t="shared" si="8"/>
        <v/>
      </c>
      <c r="T97" s="23" t="str">
        <f>IFERROR((R97*Final[[#This Row],[Valor da Venda Real]]*Final[[#This Row],[Quantidade ]]*S97),"")</f>
        <v/>
      </c>
    </row>
    <row r="98" spans="1:20" ht="15.75" x14ac:dyDescent="0.2">
      <c r="A98">
        <f>COUNTIF($C$2:C98,C98)</f>
        <v>97</v>
      </c>
      <c r="B98" s="1" t="str">
        <f t="shared" si="7"/>
        <v>97</v>
      </c>
      <c r="C98" s="1" t="str">
        <f>IFERROR(VLOOKUP(D98,'Planilha de Cadastro - Previsão'!$A$2:$N$1000,14,FALSE()),"")</f>
        <v/>
      </c>
      <c r="D98" s="1">
        <v>97</v>
      </c>
      <c r="F98" s="40" t="str">
        <f t="shared" si="5"/>
        <v/>
      </c>
      <c r="G98" s="40" t="str">
        <f>IF(F98="","",'Prosposta Inicial'!$O$2)</f>
        <v/>
      </c>
      <c r="H98" s="40" t="str">
        <f t="shared" ref="H98:H100" si="9">CONCATENATE(F98,G98,L98)</f>
        <v xml:space="preserve"> </v>
      </c>
      <c r="I98" s="41" t="str">
        <f>IFERROR((VLOOKUP(F98,'Planilha de Cadastro - Previsão'!$A$2:$N$1100,2,FALSE()))," ")</f>
        <v xml:space="preserve"> </v>
      </c>
      <c r="J98" s="40" t="str">
        <f>IFERROR((VLOOKUP(F98,'Planilha de Cadastro - Previsão'!$A$2:$N$1100,3,FALSE()))," ")</f>
        <v xml:space="preserve"> </v>
      </c>
      <c r="K98" s="23" t="str">
        <f>IFERROR((VLOOKUP(F98,'Planilha de Cadastro - Previsão'!$A$2:$N$1100,4,FALSE()))," ")</f>
        <v xml:space="preserve"> </v>
      </c>
      <c r="L98" s="42" t="str">
        <f>IFERROR((VLOOKUP(F98,'Planilha de Cadastro - Previsão'!$A$2:$N$1100,12,FALSE()))," ")</f>
        <v xml:space="preserve"> </v>
      </c>
      <c r="M98" s="41" t="str">
        <f>IFERROR((IF(VLOOKUP(F98,'Planilha de Cadastro - Previsão'!$A$2:$N$1100,10,FALSE())="","",VLOOKUP(F98,'Planilha de Cadastro - Previsão'!$A$2:$N$1100,10,FALSE()))),"")</f>
        <v/>
      </c>
      <c r="N98" s="41" t="str">
        <f>IFERROR((IF(VLOOKUP(F98,'Planilha de Cadastro - Previsão'!$A$2:$N$1100,9,FALSE())="","",VLOOKUP(F98,'Planilha de Cadastro - Previsão'!$A$2:$N$1100,9,FALSE()))),"")</f>
        <v/>
      </c>
      <c r="O98" s="40" t="str">
        <f>IFERROR((IF(VLOOKUP(F98,'Planilha de Cadastro - Previsão'!$A$2:$N$1100,11,FALSE())="","",VLOOKUP(F98,'Planilha de Cadastro - Previsão'!$A$2:$N$1100,11,FALSE()))),"")</f>
        <v/>
      </c>
      <c r="P98" s="41" t="str">
        <f>IFERROR((IF(VLOOKUP(F98,'Acompanhamento da Licitação'!$F$2:$O$1000,10,FALSE())="","",VLOOKUP(F98,'Acompanhamento da Licitação'!$F$2:$O$1000,10,FALSE()))),"")</f>
        <v/>
      </c>
      <c r="R98" s="61" t="str">
        <f>IFERROR(IF(F98&gt;0,(Final[[#This Row],[Valor da Venda Real]]-Final[[#This Row],[Valor de Compra Previsto]]-4%*Final[[#This Row],[Valor da Venda Real]])/Final[[#This Row],[Valor da Venda Real]],""),"")</f>
        <v/>
      </c>
      <c r="S98" s="61" t="str">
        <f t="shared" si="8"/>
        <v/>
      </c>
      <c r="T98" s="23" t="str">
        <f>IFERROR((R98*Final[[#This Row],[Valor da Venda Real]]*Final[[#This Row],[Quantidade ]]*S98),"")</f>
        <v/>
      </c>
    </row>
    <row r="99" spans="1:20" ht="15.75" x14ac:dyDescent="0.2">
      <c r="A99">
        <f>COUNTIF($C$2:C99,C99)</f>
        <v>98</v>
      </c>
      <c r="B99" s="1" t="str">
        <f t="shared" si="7"/>
        <v>98</v>
      </c>
      <c r="C99" s="1" t="str">
        <f>IFERROR(VLOOKUP(D99,'Planilha de Cadastro - Previsão'!$A$2:$N$1000,14,FALSE()),"")</f>
        <v/>
      </c>
      <c r="D99" s="1">
        <v>98</v>
      </c>
      <c r="F99" s="40" t="str">
        <f t="shared" si="5"/>
        <v/>
      </c>
      <c r="G99" s="40" t="str">
        <f>IF(F99="","",'Prosposta Inicial'!$O$2)</f>
        <v/>
      </c>
      <c r="H99" s="40" t="str">
        <f t="shared" si="9"/>
        <v xml:space="preserve"> </v>
      </c>
      <c r="I99" s="41" t="str">
        <f>IFERROR((VLOOKUP(F99,'Planilha de Cadastro - Previsão'!$A$2:$N$1100,2,FALSE()))," ")</f>
        <v xml:space="preserve"> </v>
      </c>
      <c r="J99" s="40" t="str">
        <f>IFERROR((VLOOKUP(F99,'Planilha de Cadastro - Previsão'!$A$2:$N$1100,3,FALSE()))," ")</f>
        <v xml:space="preserve"> </v>
      </c>
      <c r="K99" s="23" t="str">
        <f>IFERROR((VLOOKUP(F99,'Planilha de Cadastro - Previsão'!$A$2:$N$1100,4,FALSE()))," ")</f>
        <v xml:space="preserve"> </v>
      </c>
      <c r="L99" s="42" t="str">
        <f>IFERROR((VLOOKUP(F99,'Planilha de Cadastro - Previsão'!$A$2:$N$1100,12,FALSE()))," ")</f>
        <v xml:space="preserve"> </v>
      </c>
      <c r="M99" s="41" t="str">
        <f>IFERROR((IF(VLOOKUP(F99,'Planilha de Cadastro - Previsão'!$A$2:$N$1100,10,FALSE())="","",VLOOKUP(F99,'Planilha de Cadastro - Previsão'!$A$2:$N$1100,10,FALSE()))),"")</f>
        <v/>
      </c>
      <c r="N99" s="41" t="str">
        <f>IFERROR((IF(VLOOKUP(F99,'Planilha de Cadastro - Previsão'!$A$2:$N$1100,9,FALSE())="","",VLOOKUP(F99,'Planilha de Cadastro - Previsão'!$A$2:$N$1100,9,FALSE()))),"")</f>
        <v/>
      </c>
      <c r="O99" s="40" t="str">
        <f>IFERROR((IF(VLOOKUP(F99,'Planilha de Cadastro - Previsão'!$A$2:$N$1100,11,FALSE())="","",VLOOKUP(F99,'Planilha de Cadastro - Previsão'!$A$2:$N$1100,11,FALSE()))),"")</f>
        <v/>
      </c>
      <c r="P99" s="41" t="str">
        <f>IFERROR((IF(VLOOKUP(F99,'Acompanhamento da Licitação'!$F$2:$O$1000,10,FALSE())="","",VLOOKUP(F99,'Acompanhamento da Licitação'!$F$2:$O$1000,10,FALSE()))),"")</f>
        <v/>
      </c>
      <c r="R99" s="61" t="str">
        <f>IFERROR(IF(F99&gt;0,(Final[[#This Row],[Valor da Venda Real]]-Final[[#This Row],[Valor de Compra Previsto]]-4%*Final[[#This Row],[Valor da Venda Real]])/Final[[#This Row],[Valor da Venda Real]],""),"")</f>
        <v/>
      </c>
      <c r="S99" s="61" t="str">
        <f t="shared" si="8"/>
        <v/>
      </c>
      <c r="T99" s="23" t="str">
        <f>IFERROR((R99*Final[[#This Row],[Valor da Venda Real]]*Final[[#This Row],[Quantidade ]]*S99),"")</f>
        <v/>
      </c>
    </row>
    <row r="100" spans="1:20" ht="15.75" x14ac:dyDescent="0.2">
      <c r="A100">
        <f>COUNTIF($C$2:C100,C100)</f>
        <v>99</v>
      </c>
      <c r="B100" s="1" t="str">
        <f t="shared" si="7"/>
        <v>99</v>
      </c>
      <c r="C100" s="1" t="str">
        <f>IFERROR(VLOOKUP(D100,'Planilha de Cadastro - Previsão'!$A$2:$N$1000,14,FALSE()),"")</f>
        <v/>
      </c>
      <c r="D100" s="1">
        <v>99</v>
      </c>
      <c r="F100" s="40" t="str">
        <f t="shared" si="5"/>
        <v/>
      </c>
      <c r="G100" s="43" t="str">
        <f>IF(F100="","",'Prosposta Inicial'!$O$2)</f>
        <v/>
      </c>
      <c r="H100" s="40" t="str">
        <f t="shared" si="9"/>
        <v xml:space="preserve"> </v>
      </c>
      <c r="I100" s="44" t="str">
        <f>IFERROR((VLOOKUP(F100,'Planilha de Cadastro - Previsão'!$A$2:$N$1100,2,FALSE()))," ")</f>
        <v xml:space="preserve"> </v>
      </c>
      <c r="J100" s="43" t="str">
        <f>IFERROR((VLOOKUP(F100,'Planilha de Cadastro - Previsão'!$A$2:$N$1100,3,FALSE()))," ")</f>
        <v xml:space="preserve"> </v>
      </c>
      <c r="K100" s="23" t="str">
        <f>IFERROR((VLOOKUP(F100,'Planilha de Cadastro - Previsão'!$A$2:$N$1100,4,FALSE()))," ")</f>
        <v xml:space="preserve"> </v>
      </c>
      <c r="L100" s="45" t="str">
        <f>IFERROR((VLOOKUP(F100,'Planilha de Cadastro - Previsão'!$A$2:$N$1100,12,FALSE()))," ")</f>
        <v xml:space="preserve"> </v>
      </c>
      <c r="M100" s="44" t="str">
        <f>IFERROR((IF(VLOOKUP(F100,'Planilha de Cadastro - Previsão'!$A$2:$N$1100,10,FALSE())="","",VLOOKUP(F100,'Planilha de Cadastro - Previsão'!$A$2:$N$1100,10,FALSE()))),"")</f>
        <v/>
      </c>
      <c r="N100" s="44" t="str">
        <f>IFERROR((IF(VLOOKUP(F100,'Planilha de Cadastro - Previsão'!$A$2:$N$1100,9,FALSE())="","",VLOOKUP(F100,'Planilha de Cadastro - Previsão'!$A$2:$N$1100,9,FALSE()))),"")</f>
        <v/>
      </c>
      <c r="O100" s="40" t="str">
        <f>IFERROR((IF(VLOOKUP(F100,'Planilha de Cadastro - Previsão'!$A$2:$N$1100,11,FALSE())="","",VLOOKUP(F100,'Planilha de Cadastro - Previsão'!$A$2:$N$1100,11,FALSE()))),"")</f>
        <v/>
      </c>
      <c r="P100" s="41" t="str">
        <f>IFERROR((IF(VLOOKUP(F100,'Acompanhamento da Licitação'!$F$2:$O$1000,10,FALSE())="","",VLOOKUP(F100,'Acompanhamento da Licitação'!$F$2:$O$1000,10,FALSE()))),"")</f>
        <v/>
      </c>
      <c r="R100" s="61" t="str">
        <f>IFERROR(IF(F100&gt;0,(Final[[#This Row],[Valor da Venda Real]]-Final[[#This Row],[Valor de Compra Previsto]]-4%*Final[[#This Row],[Valor da Venda Real]])/Final[[#This Row],[Valor da Venda Real]],""),"")</f>
        <v/>
      </c>
      <c r="S100" s="61" t="str">
        <f t="shared" si="8"/>
        <v/>
      </c>
      <c r="T100" s="23" t="str">
        <f>IFERROR((R100*Final[[#This Row],[Valor da Venda Real]]*Final[[#This Row],[Quantidade ]]*S100),"")</f>
        <v/>
      </c>
    </row>
    <row r="101" spans="1:20" ht="15.75" x14ac:dyDescent="0.2">
      <c r="A101">
        <f>COUNTIF($C$2:C101,C101)</f>
        <v>100</v>
      </c>
      <c r="B101" s="1" t="str">
        <f t="shared" si="7"/>
        <v>100</v>
      </c>
      <c r="C101" s="1" t="str">
        <f>IFERROR(VLOOKUP(D101,'Planilha de Cadastro - Previsão'!$A$2:$N$1000,14,FALSE()),"")</f>
        <v/>
      </c>
      <c r="D101" s="1">
        <v>100</v>
      </c>
      <c r="F101" s="40" t="str">
        <f t="shared" si="5"/>
        <v/>
      </c>
      <c r="G101" s="40" t="str">
        <f>IF(F101="","",'Prosposta Inicial'!$O$2)</f>
        <v/>
      </c>
      <c r="H101" s="40" t="str">
        <f t="shared" ref="H101:H164" si="10">CONCATENATE(F101,G101,I101)</f>
        <v xml:space="preserve"> </v>
      </c>
      <c r="I101" s="41" t="str">
        <f>IFERROR((VLOOKUP(F101,'Planilha de Cadastro - Previsão'!$A$2:$N$1100,2,FALSE()))," ")</f>
        <v xml:space="preserve"> </v>
      </c>
      <c r="J101" s="40" t="str">
        <f>IFERROR((VLOOKUP(F101,'Planilha de Cadastro - Previsão'!$A$2:$N$1100,3,FALSE()))," ")</f>
        <v xml:space="preserve"> </v>
      </c>
      <c r="K101" s="40"/>
      <c r="L101" s="42" t="str">
        <f>IFERROR((VLOOKUP(F101,'Planilha de Cadastro - Previsão'!$A$2:$N$1100,11,FALSE()))," ")</f>
        <v xml:space="preserve"> </v>
      </c>
      <c r="M101" s="41" t="str">
        <f>IFERROR((IF(VLOOKUP(F101,'Planilha de Cadastro - Previsão'!$A$2:$N$1100,10,FALSE())="","",VLOOKUP(F101,'Planilha de Cadastro - Previsão'!$A$2:$N$1100,10,FALSE()))),"")</f>
        <v/>
      </c>
      <c r="N101" s="41"/>
      <c r="O101" s="41"/>
      <c r="P101" s="41" t="str">
        <f>IFERROR((IF(VLOOKUP(F101,'Acompanhamento da Licitação'!$F$2:$O$1000,10,FALSE())="","",VLOOKUP(F101,'Acompanhamento da Licitação'!$F$2:$O$1000,10,FALSE()))),"")</f>
        <v/>
      </c>
      <c r="R101" s="61" t="str">
        <f>IFERROR(IF(F101&gt;0,(Final[[#This Row],[Valor da Venda Real]]-Final[[#This Row],[Valor de Compra Previsto]]-4%*Final[[#This Row],[Valor da Venda Real]])/Final[[#This Row],[Valor da Venda Real]],""),"")</f>
        <v/>
      </c>
      <c r="S101" s="61" t="str">
        <f t="shared" si="8"/>
        <v/>
      </c>
      <c r="T101" s="23" t="str">
        <f>IFERROR((R101*Final[[#This Row],[Valor da Venda Real]]*Final[[#This Row],[Quantidade ]]*S101),"")</f>
        <v/>
      </c>
    </row>
    <row r="102" spans="1:20" ht="15.75" x14ac:dyDescent="0.2">
      <c r="A102">
        <f>COUNTIF($C$2:C102,C102)</f>
        <v>101</v>
      </c>
      <c r="B102" s="1" t="str">
        <f t="shared" si="7"/>
        <v>101</v>
      </c>
      <c r="C102" s="1" t="str">
        <f>IFERROR(VLOOKUP(D102,'Planilha de Cadastro - Previsão'!$A$2:$N$1000,14,FALSE()),"")</f>
        <v/>
      </c>
      <c r="D102" s="1">
        <v>101</v>
      </c>
      <c r="F102" s="40" t="str">
        <f t="shared" si="5"/>
        <v/>
      </c>
      <c r="G102" s="40" t="str">
        <f>IF(F102="","",'Prosposta Inicial'!$O$2)</f>
        <v/>
      </c>
      <c r="H102" s="40" t="str">
        <f t="shared" si="10"/>
        <v xml:space="preserve"> </v>
      </c>
      <c r="I102" s="41" t="str">
        <f>IFERROR((VLOOKUP(F102,'Planilha de Cadastro - Previsão'!$A$2:$N$1100,2,FALSE()))," ")</f>
        <v xml:space="preserve"> </v>
      </c>
      <c r="J102" s="40" t="str">
        <f>IFERROR((VLOOKUP(F102,'Planilha de Cadastro - Previsão'!$A$2:$N$1100,3,FALSE()))," ")</f>
        <v xml:space="preserve"> </v>
      </c>
      <c r="K102" s="40"/>
      <c r="L102" s="42" t="str">
        <f>IFERROR((VLOOKUP(F102,'Planilha de Cadastro - Previsão'!$A$2:$N$1100,11,FALSE()))," ")</f>
        <v xml:space="preserve"> </v>
      </c>
      <c r="M102" s="41" t="str">
        <f>IFERROR((IF(VLOOKUP(F102,'Planilha de Cadastro - Previsão'!$A$2:$N$1100,10,FALSE())="","",VLOOKUP(F102,'Planilha de Cadastro - Previsão'!$A$2:$N$1100,10,FALSE()))),"")</f>
        <v/>
      </c>
      <c r="N102" s="41"/>
      <c r="O102" s="41"/>
      <c r="P102" s="41" t="str">
        <f>IFERROR((IF(VLOOKUP(F102,'Acompanhamento da Licitação'!$F$2:$O$1000,10,FALSE())="","",VLOOKUP(F102,'Acompanhamento da Licitação'!$F$2:$O$1000,10,FALSE()))),"")</f>
        <v/>
      </c>
      <c r="R102" s="61" t="str">
        <f>IFERROR(IF(F102&gt;0,(Final[[#This Row],[Valor da Venda Real]]-Final[[#This Row],[Valor de Compra Previsto]]-4%*Final[[#This Row],[Valor da Venda Real]])/Final[[#This Row],[Valor da Venda Real]],""),"")</f>
        <v/>
      </c>
      <c r="S102" s="61" t="str">
        <f t="shared" si="8"/>
        <v/>
      </c>
      <c r="T102" s="23" t="str">
        <f>IFERROR((R102*Final[[#This Row],[Valor da Venda Real]]*Final[[#This Row],[Quantidade ]]*S102),"")</f>
        <v/>
      </c>
    </row>
    <row r="103" spans="1:20" ht="15.75" x14ac:dyDescent="0.2">
      <c r="A103">
        <f>COUNTIF($C$2:C103,C103)</f>
        <v>102</v>
      </c>
      <c r="B103" s="1" t="str">
        <f t="shared" si="7"/>
        <v>102</v>
      </c>
      <c r="C103" s="1" t="str">
        <f>IFERROR(VLOOKUP(D103,'Planilha de Cadastro - Previsão'!$A$2:$N$1000,14,FALSE()),"")</f>
        <v/>
      </c>
      <c r="D103" s="1">
        <v>102</v>
      </c>
      <c r="F103" s="40" t="str">
        <f t="shared" si="5"/>
        <v/>
      </c>
      <c r="G103" s="40" t="str">
        <f>IF(F103="","",'Prosposta Inicial'!$O$2)</f>
        <v/>
      </c>
      <c r="H103" s="40" t="str">
        <f t="shared" si="10"/>
        <v xml:space="preserve"> </v>
      </c>
      <c r="I103" s="41" t="str">
        <f>IFERROR((VLOOKUP(F103,'Planilha de Cadastro - Previsão'!$A$2:$N$1100,2,FALSE()))," ")</f>
        <v xml:space="preserve"> </v>
      </c>
      <c r="J103" s="40" t="str">
        <f>IFERROR((VLOOKUP(F103,'Planilha de Cadastro - Previsão'!$A$2:$N$1100,3,FALSE()))," ")</f>
        <v xml:space="preserve"> </v>
      </c>
      <c r="K103" s="40"/>
      <c r="L103" s="42" t="str">
        <f>IFERROR((VLOOKUP(F103,'Planilha de Cadastro - Previsão'!$A$2:$N$1100,11,FALSE()))," ")</f>
        <v xml:space="preserve"> </v>
      </c>
      <c r="M103" s="41" t="str">
        <f>IFERROR((IF(VLOOKUP(F103,'Planilha de Cadastro - Previsão'!$A$2:$N$1100,10,FALSE())="","",VLOOKUP(F103,'Planilha de Cadastro - Previsão'!$A$2:$N$1100,10,FALSE()))),"")</f>
        <v/>
      </c>
      <c r="N103" s="41"/>
      <c r="O103" s="41"/>
      <c r="P103" s="41" t="str">
        <f>IFERROR((IF(VLOOKUP(F103,'Acompanhamento da Licitação'!$F$2:$O$1000,10,FALSE())="","",VLOOKUP(F103,'Acompanhamento da Licitação'!$F$2:$O$1000,10,FALSE()))),"")</f>
        <v/>
      </c>
      <c r="R103" s="61" t="str">
        <f>IFERROR(IF(F103&gt;0,(Final[[#This Row],[Valor da Venda Real]]-Final[[#This Row],[Valor de Compra Previsto]]-4%*Final[[#This Row],[Valor da Venda Real]])/Final[[#This Row],[Valor da Venda Real]],""),"")</f>
        <v/>
      </c>
      <c r="S103" s="61" t="str">
        <f t="shared" si="8"/>
        <v/>
      </c>
      <c r="T103" s="23" t="str">
        <f>IFERROR((R103*Final[[#This Row],[Valor da Venda Real]]*Final[[#This Row],[Quantidade ]]*S103),"")</f>
        <v/>
      </c>
    </row>
    <row r="104" spans="1:20" ht="15.75" x14ac:dyDescent="0.2">
      <c r="A104">
        <f>COUNTIF($C$2:C104,C104)</f>
        <v>103</v>
      </c>
      <c r="B104" s="1" t="str">
        <f t="shared" si="7"/>
        <v>103</v>
      </c>
      <c r="C104" s="1" t="str">
        <f>IFERROR(VLOOKUP(D104,'Planilha de Cadastro - Previsão'!$A$2:$N$1000,14,FALSE()),"")</f>
        <v/>
      </c>
      <c r="D104" s="1">
        <v>103</v>
      </c>
      <c r="F104" s="40" t="str">
        <f t="shared" si="5"/>
        <v/>
      </c>
      <c r="G104" s="40" t="str">
        <f>IF(F104="","",'Prosposta Inicial'!$O$2)</f>
        <v/>
      </c>
      <c r="H104" s="40" t="str">
        <f t="shared" si="10"/>
        <v xml:space="preserve"> </v>
      </c>
      <c r="I104" s="41" t="str">
        <f>IFERROR((VLOOKUP(F104,'Planilha de Cadastro - Previsão'!$A$2:$N$1100,2,FALSE()))," ")</f>
        <v xml:space="preserve"> </v>
      </c>
      <c r="J104" s="40" t="str">
        <f>IFERROR((VLOOKUP(F104,'Planilha de Cadastro - Previsão'!$A$2:$N$1100,3,FALSE()))," ")</f>
        <v xml:space="preserve"> </v>
      </c>
      <c r="K104" s="40"/>
      <c r="L104" s="42" t="str">
        <f>IFERROR((VLOOKUP(F104,'Planilha de Cadastro - Previsão'!$A$2:$N$1100,11,FALSE()))," ")</f>
        <v xml:space="preserve"> </v>
      </c>
      <c r="M104" s="41" t="str">
        <f>IFERROR((IF(VLOOKUP(F104,'Planilha de Cadastro - Previsão'!$A$2:$N$1100,10,FALSE())="","",VLOOKUP(F104,'Planilha de Cadastro - Previsão'!$A$2:$N$1100,10,FALSE()))),"")</f>
        <v/>
      </c>
      <c r="N104" s="41"/>
      <c r="O104" s="41"/>
      <c r="P104" s="41" t="str">
        <f>IFERROR((IF(VLOOKUP(F104,'Acompanhamento da Licitação'!$F$2:$O$1000,10,FALSE())="","",VLOOKUP(F104,'Acompanhamento da Licitação'!$F$2:$O$1000,10,FALSE()))),"")</f>
        <v/>
      </c>
      <c r="R104" s="61" t="str">
        <f>IFERROR(IF(F104&gt;0,(Final[[#This Row],[Valor da Venda Real]]-Final[[#This Row],[Valor de Compra Previsto]]-4%*Final[[#This Row],[Valor da Venda Real]])/Final[[#This Row],[Valor da Venda Real]],""),"")</f>
        <v/>
      </c>
      <c r="S104" s="61" t="str">
        <f t="shared" si="8"/>
        <v/>
      </c>
      <c r="T104" s="23" t="str">
        <f>IFERROR((R104*Final[[#This Row],[Valor da Venda Real]]*Final[[#This Row],[Quantidade ]]*S104),"")</f>
        <v/>
      </c>
    </row>
    <row r="105" spans="1:20" ht="15.75" x14ac:dyDescent="0.2">
      <c r="A105">
        <f>COUNTIF($C$2:C105,C105)</f>
        <v>104</v>
      </c>
      <c r="B105" s="1" t="str">
        <f t="shared" si="7"/>
        <v>104</v>
      </c>
      <c r="C105" s="1" t="str">
        <f>IFERROR(VLOOKUP(D105,'Planilha de Cadastro - Previsão'!$A$2:$N$1000,14,FALSE()),"")</f>
        <v/>
      </c>
      <c r="D105" s="1">
        <v>104</v>
      </c>
      <c r="F105" s="40" t="str">
        <f t="shared" si="5"/>
        <v/>
      </c>
      <c r="G105" s="40" t="str">
        <f>IF(F105="","",'Prosposta Inicial'!$O$2)</f>
        <v/>
      </c>
      <c r="H105" s="40" t="str">
        <f t="shared" si="10"/>
        <v xml:space="preserve"> </v>
      </c>
      <c r="I105" s="41" t="str">
        <f>IFERROR((VLOOKUP(F105,'Planilha de Cadastro - Previsão'!$A$2:$N$1100,2,FALSE()))," ")</f>
        <v xml:space="preserve"> </v>
      </c>
      <c r="J105" s="40" t="str">
        <f>IFERROR((VLOOKUP(F105,'Planilha de Cadastro - Previsão'!$A$2:$N$1100,3,FALSE()))," ")</f>
        <v xml:space="preserve"> </v>
      </c>
      <c r="K105" s="40"/>
      <c r="L105" s="42" t="str">
        <f>IFERROR((VLOOKUP(F105,'Planilha de Cadastro - Previsão'!$A$2:$N$1100,11,FALSE()))," ")</f>
        <v xml:space="preserve"> </v>
      </c>
      <c r="M105" s="41" t="str">
        <f>IFERROR((IF(VLOOKUP(F105,'Planilha de Cadastro - Previsão'!$A$2:$N$1100,10,FALSE())="","",VLOOKUP(F105,'Planilha de Cadastro - Previsão'!$A$2:$N$1100,10,FALSE()))),"")</f>
        <v/>
      </c>
      <c r="N105" s="41"/>
      <c r="O105" s="41"/>
      <c r="P105" s="41" t="str">
        <f>IFERROR((IF(VLOOKUP(F105,'Acompanhamento da Licitação'!$F$2:$O$1000,10,FALSE())="","",VLOOKUP(F105,'Acompanhamento da Licitação'!$F$2:$O$1000,10,FALSE()))),"")</f>
        <v/>
      </c>
      <c r="R105" s="61" t="str">
        <f>IFERROR(IF(F105&gt;0,(Final[[#This Row],[Valor da Venda Real]]-Final[[#This Row],[Valor de Compra Previsto]]-4%*Final[[#This Row],[Valor da Venda Real]])/Final[[#This Row],[Valor da Venda Real]],""),"")</f>
        <v/>
      </c>
      <c r="S105" s="61" t="str">
        <f t="shared" si="8"/>
        <v/>
      </c>
      <c r="T105" s="23" t="str">
        <f>IFERROR((R105*Final[[#This Row],[Valor da Venda Real]]*Final[[#This Row],[Quantidade ]]*S105),"")</f>
        <v/>
      </c>
    </row>
    <row r="106" spans="1:20" ht="15.75" x14ac:dyDescent="0.2">
      <c r="A106">
        <f>COUNTIF($C$2:C106,C106)</f>
        <v>105</v>
      </c>
      <c r="B106" s="1" t="str">
        <f t="shared" si="7"/>
        <v>105</v>
      </c>
      <c r="C106" s="1" t="str">
        <f>IFERROR(VLOOKUP(D106,'Planilha de Cadastro - Previsão'!$A$2:$N$1000,14,FALSE()),"")</f>
        <v/>
      </c>
      <c r="D106" s="1">
        <v>105</v>
      </c>
      <c r="F106" s="40" t="str">
        <f t="shared" si="5"/>
        <v/>
      </c>
      <c r="G106" s="40" t="str">
        <f>IF(F106="","",'Prosposta Inicial'!$O$2)</f>
        <v/>
      </c>
      <c r="H106" s="40" t="str">
        <f t="shared" si="10"/>
        <v xml:space="preserve"> </v>
      </c>
      <c r="I106" s="41" t="str">
        <f>IFERROR((VLOOKUP(F106,'Planilha de Cadastro - Previsão'!$A$2:$N$1100,2,FALSE()))," ")</f>
        <v xml:space="preserve"> </v>
      </c>
      <c r="J106" s="40" t="str">
        <f>IFERROR((VLOOKUP(F106,'Planilha de Cadastro - Previsão'!$A$2:$N$1100,3,FALSE()))," ")</f>
        <v xml:space="preserve"> </v>
      </c>
      <c r="K106" s="40"/>
      <c r="L106" s="42" t="str">
        <f>IFERROR((VLOOKUP(F106,'Planilha de Cadastro - Previsão'!$A$2:$N$1100,11,FALSE()))," ")</f>
        <v xml:space="preserve"> </v>
      </c>
      <c r="M106" s="41" t="str">
        <f>IFERROR((IF(VLOOKUP(F106,'Planilha de Cadastro - Previsão'!$A$2:$N$1100,10,FALSE())="","",VLOOKUP(F106,'Planilha de Cadastro - Previsão'!$A$2:$N$1100,10,FALSE()))),"")</f>
        <v/>
      </c>
      <c r="N106" s="41"/>
      <c r="O106" s="41"/>
      <c r="P106" s="41" t="str">
        <f>IFERROR((IF(VLOOKUP(F106,'Acompanhamento da Licitação'!$F$2:$O$1000,10,FALSE())="","",VLOOKUP(F106,'Acompanhamento da Licitação'!$F$2:$O$1000,10,FALSE()))),"")</f>
        <v/>
      </c>
      <c r="R106" s="61" t="str">
        <f>IFERROR(IF(F106&gt;0,(Final[[#This Row],[Valor da Venda Real]]-Final[[#This Row],[Valor de Compra Previsto]]-4%*Final[[#This Row],[Valor da Venda Real]])/Final[[#This Row],[Valor da Venda Real]],""),"")</f>
        <v/>
      </c>
      <c r="S106" s="61" t="str">
        <f t="shared" si="8"/>
        <v/>
      </c>
      <c r="T106" s="23" t="str">
        <f>IFERROR((R106*Final[[#This Row],[Valor da Venda Real]]*Final[[#This Row],[Quantidade ]]*S106),"")</f>
        <v/>
      </c>
    </row>
    <row r="107" spans="1:20" ht="15.75" x14ac:dyDescent="0.2">
      <c r="A107">
        <f>COUNTIF($C$2:C107,C107)</f>
        <v>106</v>
      </c>
      <c r="B107" s="1" t="str">
        <f t="shared" si="7"/>
        <v>106</v>
      </c>
      <c r="C107" s="1" t="str">
        <f>IFERROR(VLOOKUP(D107,'Planilha de Cadastro - Previsão'!$A$2:$N$1000,14,FALSE()),"")</f>
        <v/>
      </c>
      <c r="D107" s="1">
        <v>106</v>
      </c>
      <c r="F107" s="40" t="str">
        <f t="shared" si="5"/>
        <v/>
      </c>
      <c r="G107" s="40" t="str">
        <f>IF(F107="","",'Prosposta Inicial'!$O$2)</f>
        <v/>
      </c>
      <c r="H107" s="40" t="str">
        <f t="shared" si="10"/>
        <v xml:space="preserve"> </v>
      </c>
      <c r="I107" s="41" t="str">
        <f>IFERROR((VLOOKUP(F107,'Planilha de Cadastro - Previsão'!$A$2:$N$1100,2,FALSE()))," ")</f>
        <v xml:space="preserve"> </v>
      </c>
      <c r="J107" s="40" t="str">
        <f>IFERROR((VLOOKUP(F107,'Planilha de Cadastro - Previsão'!$A$2:$N$1100,3,FALSE()))," ")</f>
        <v xml:space="preserve"> </v>
      </c>
      <c r="K107" s="40"/>
      <c r="L107" s="42" t="str">
        <f>IFERROR((VLOOKUP(F107,'Planilha de Cadastro - Previsão'!$A$2:$N$1100,11,FALSE()))," ")</f>
        <v xml:space="preserve"> </v>
      </c>
      <c r="M107" s="41" t="str">
        <f>IFERROR((IF(VLOOKUP(F107,'Planilha de Cadastro - Previsão'!$A$2:$N$1100,10,FALSE())="","",VLOOKUP(F107,'Planilha de Cadastro - Previsão'!$A$2:$N$1100,10,FALSE()))),"")</f>
        <v/>
      </c>
      <c r="N107" s="41"/>
      <c r="O107" s="41"/>
      <c r="P107" s="41" t="str">
        <f>IFERROR((IF(VLOOKUP(F107,'Acompanhamento da Licitação'!$F$2:$O$1000,10,FALSE())="","",VLOOKUP(F107,'Acompanhamento da Licitação'!$F$2:$O$1000,10,FALSE()))),"")</f>
        <v/>
      </c>
      <c r="R107" s="61" t="str">
        <f>IFERROR(IF(F107&gt;0,(Final[[#This Row],[Valor da Venda Real]]-Final[[#This Row],[Valor de Compra Previsto]]-4%*Final[[#This Row],[Valor da Venda Real]])/Final[[#This Row],[Valor da Venda Real]],""),"")</f>
        <v/>
      </c>
      <c r="S107" s="61" t="str">
        <f t="shared" si="8"/>
        <v/>
      </c>
      <c r="T107" s="23" t="str">
        <f>IFERROR((R107*Final[[#This Row],[Valor da Venda Real]]*Final[[#This Row],[Quantidade ]]*S107),"")</f>
        <v/>
      </c>
    </row>
    <row r="108" spans="1:20" ht="15.75" x14ac:dyDescent="0.2">
      <c r="A108">
        <f>COUNTIF($C$2:C108,C108)</f>
        <v>107</v>
      </c>
      <c r="B108" s="1" t="str">
        <f t="shared" si="7"/>
        <v>107</v>
      </c>
      <c r="C108" s="1" t="str">
        <f>IFERROR(VLOOKUP(D108,'Planilha de Cadastro - Previsão'!$A$2:$N$1000,14,FALSE()),"")</f>
        <v/>
      </c>
      <c r="D108" s="1">
        <v>107</v>
      </c>
      <c r="F108" s="40" t="str">
        <f t="shared" si="5"/>
        <v/>
      </c>
      <c r="G108" s="40" t="str">
        <f>IF(F108="","",'Prosposta Inicial'!$O$2)</f>
        <v/>
      </c>
      <c r="H108" s="40" t="str">
        <f t="shared" si="10"/>
        <v xml:space="preserve"> </v>
      </c>
      <c r="I108" s="41" t="str">
        <f>IFERROR((VLOOKUP(F108,'Planilha de Cadastro - Previsão'!$A$2:$N$1100,2,FALSE()))," ")</f>
        <v xml:space="preserve"> </v>
      </c>
      <c r="J108" s="40" t="str">
        <f>IFERROR((VLOOKUP(F108,'Planilha de Cadastro - Previsão'!$A$2:$N$1100,3,FALSE()))," ")</f>
        <v xml:space="preserve"> </v>
      </c>
      <c r="K108" s="40"/>
      <c r="L108" s="42" t="str">
        <f>IFERROR((VLOOKUP(F108,'Planilha de Cadastro - Previsão'!$A$2:$N$1100,11,FALSE()))," ")</f>
        <v xml:space="preserve"> </v>
      </c>
      <c r="M108" s="41" t="str">
        <f>IFERROR((IF(VLOOKUP(F108,'Planilha de Cadastro - Previsão'!$A$2:$N$1100,10,FALSE())="","",VLOOKUP(F108,'Planilha de Cadastro - Previsão'!$A$2:$N$1100,10,FALSE()))),"")</f>
        <v/>
      </c>
      <c r="N108" s="41"/>
      <c r="O108" s="41"/>
      <c r="P108" s="41" t="str">
        <f>IFERROR((IF(VLOOKUP(F108,'Acompanhamento da Licitação'!$F$2:$O$1000,10,FALSE())="","",VLOOKUP(F108,'Acompanhamento da Licitação'!$F$2:$O$1000,10,FALSE()))),"")</f>
        <v/>
      </c>
      <c r="R108" s="61" t="str">
        <f>IFERROR(IF(F108&gt;0,(Final[[#This Row],[Valor da Venda Real]]-Final[[#This Row],[Valor de Compra Previsto]]-4%*Final[[#This Row],[Valor da Venda Real]])/Final[[#This Row],[Valor da Venda Real]],""),"")</f>
        <v/>
      </c>
      <c r="S108" s="61" t="str">
        <f t="shared" si="8"/>
        <v/>
      </c>
      <c r="T108" s="23" t="str">
        <f>IFERROR((R108*Final[[#This Row],[Valor da Venda Real]]*Final[[#This Row],[Quantidade ]]*S108),"")</f>
        <v/>
      </c>
    </row>
    <row r="109" spans="1:20" ht="15.75" x14ac:dyDescent="0.2">
      <c r="A109">
        <f>COUNTIF($C$2:C109,C109)</f>
        <v>108</v>
      </c>
      <c r="B109" s="1" t="str">
        <f t="shared" si="7"/>
        <v>108</v>
      </c>
      <c r="C109" s="1" t="str">
        <f>IFERROR(VLOOKUP(D109,'Planilha de Cadastro - Previsão'!$A$2:$N$1000,14,FALSE()),"")</f>
        <v/>
      </c>
      <c r="D109" s="1">
        <v>108</v>
      </c>
      <c r="F109" s="40" t="str">
        <f t="shared" si="5"/>
        <v/>
      </c>
      <c r="G109" s="40" t="str">
        <f>IF(F109="","",'Prosposta Inicial'!$O$2)</f>
        <v/>
      </c>
      <c r="H109" s="40" t="str">
        <f t="shared" si="10"/>
        <v xml:space="preserve"> </v>
      </c>
      <c r="I109" s="41" t="str">
        <f>IFERROR((VLOOKUP(F109,'Planilha de Cadastro - Previsão'!$A$2:$N$1100,2,FALSE()))," ")</f>
        <v xml:space="preserve"> </v>
      </c>
      <c r="J109" s="40" t="str">
        <f>IFERROR((VLOOKUP(F109,'Planilha de Cadastro - Previsão'!$A$2:$N$1100,3,FALSE()))," ")</f>
        <v xml:space="preserve"> </v>
      </c>
      <c r="K109" s="40"/>
      <c r="L109" s="42" t="str">
        <f>IFERROR((VLOOKUP(F109,'Planilha de Cadastro - Previsão'!$A$2:$N$1100,11,FALSE()))," ")</f>
        <v xml:space="preserve"> </v>
      </c>
      <c r="M109" s="41" t="str">
        <f>IFERROR((IF(VLOOKUP(F109,'Planilha de Cadastro - Previsão'!$A$2:$N$1100,10,FALSE())="","",VLOOKUP(F109,'Planilha de Cadastro - Previsão'!$A$2:$N$1100,10,FALSE()))),"")</f>
        <v/>
      </c>
      <c r="N109" s="41"/>
      <c r="O109" s="41"/>
      <c r="P109" s="41" t="str">
        <f>IFERROR((IF(VLOOKUP(F109,'Acompanhamento da Licitação'!$F$2:$O$1000,10,FALSE())="","",VLOOKUP(F109,'Acompanhamento da Licitação'!$F$2:$O$1000,10,FALSE()))),"")</f>
        <v/>
      </c>
      <c r="R109" s="61" t="str">
        <f>IFERROR(IF(F109&gt;0,(Final[[#This Row],[Valor da Venda Real]]-Final[[#This Row],[Valor de Compra Previsto]]-4%*Final[[#This Row],[Valor da Venda Real]])/Final[[#This Row],[Valor da Venda Real]],""),"")</f>
        <v/>
      </c>
      <c r="S109" s="61" t="str">
        <f t="shared" si="8"/>
        <v/>
      </c>
      <c r="T109" s="23" t="str">
        <f>IFERROR((R109*Final[[#This Row],[Valor da Venda Real]]*Final[[#This Row],[Quantidade ]]*S109),"")</f>
        <v/>
      </c>
    </row>
    <row r="110" spans="1:20" ht="15.75" x14ac:dyDescent="0.2">
      <c r="A110">
        <f>COUNTIF($C$2:C110,C110)</f>
        <v>109</v>
      </c>
      <c r="B110" s="1" t="str">
        <f t="shared" si="7"/>
        <v>109</v>
      </c>
      <c r="C110" s="1" t="str">
        <f>IFERROR(VLOOKUP(D110,'Planilha de Cadastro - Previsão'!$A$2:$N$1000,14,FALSE()),"")</f>
        <v/>
      </c>
      <c r="D110" s="1">
        <v>109</v>
      </c>
      <c r="F110" s="40" t="str">
        <f t="shared" si="5"/>
        <v/>
      </c>
      <c r="G110" s="40" t="str">
        <f>IF(F110="","",'Prosposta Inicial'!$O$2)</f>
        <v/>
      </c>
      <c r="H110" s="40" t="str">
        <f t="shared" si="10"/>
        <v xml:space="preserve"> </v>
      </c>
      <c r="I110" s="41" t="str">
        <f>IFERROR((VLOOKUP(F110,'Planilha de Cadastro - Previsão'!$A$2:$N$1100,2,FALSE()))," ")</f>
        <v xml:space="preserve"> </v>
      </c>
      <c r="J110" s="40" t="str">
        <f>IFERROR((VLOOKUP(F110,'Planilha de Cadastro - Previsão'!$A$2:$N$1100,3,FALSE()))," ")</f>
        <v xml:space="preserve"> </v>
      </c>
      <c r="K110" s="40"/>
      <c r="L110" s="42" t="str">
        <f>IFERROR((VLOOKUP(F110,'Planilha de Cadastro - Previsão'!$A$2:$N$1100,11,FALSE()))," ")</f>
        <v xml:space="preserve"> </v>
      </c>
      <c r="M110" s="41" t="str">
        <f>IFERROR((IF(VLOOKUP(F110,'Planilha de Cadastro - Previsão'!$A$2:$N$1100,10,FALSE())="","",VLOOKUP(F110,'Planilha de Cadastro - Previsão'!$A$2:$N$1100,10,FALSE()))),"")</f>
        <v/>
      </c>
      <c r="N110" s="41"/>
      <c r="O110" s="41"/>
      <c r="P110" s="41" t="str">
        <f>IFERROR((IF(VLOOKUP(F110,'Acompanhamento da Licitação'!$F$2:$O$1000,10,FALSE())="","",VLOOKUP(F110,'Acompanhamento da Licitação'!$F$2:$O$1000,10,FALSE()))),"")</f>
        <v/>
      </c>
      <c r="R110" s="61" t="str">
        <f>IFERROR(IF(F110&gt;0,(Final[[#This Row],[Valor da Venda Real]]-Final[[#This Row],[Valor de Compra Previsto]]-4%*Final[[#This Row],[Valor da Venda Real]])/Final[[#This Row],[Valor da Venda Real]],""),"")</f>
        <v/>
      </c>
      <c r="S110" s="61" t="str">
        <f t="shared" si="8"/>
        <v/>
      </c>
      <c r="T110" s="23" t="str">
        <f>IFERROR((R110*Final[[#This Row],[Valor da Venda Real]]*Final[[#This Row],[Quantidade ]]*S110),"")</f>
        <v/>
      </c>
    </row>
    <row r="111" spans="1:20" ht="15.75" x14ac:dyDescent="0.2">
      <c r="A111">
        <f>COUNTIF($C$2:C111,C111)</f>
        <v>110</v>
      </c>
      <c r="B111" s="1" t="str">
        <f t="shared" si="7"/>
        <v>110</v>
      </c>
      <c r="C111" s="1" t="str">
        <f>IFERROR(VLOOKUP(D111,'Planilha de Cadastro - Previsão'!$A$2:$N$1000,14,FALSE()),"")</f>
        <v/>
      </c>
      <c r="D111" s="1">
        <v>110</v>
      </c>
      <c r="F111" s="40" t="str">
        <f t="shared" si="5"/>
        <v/>
      </c>
      <c r="G111" s="40" t="str">
        <f>IF(F111="","",'Prosposta Inicial'!$O$2)</f>
        <v/>
      </c>
      <c r="H111" s="40" t="str">
        <f t="shared" si="10"/>
        <v xml:space="preserve"> </v>
      </c>
      <c r="I111" s="41" t="str">
        <f>IFERROR((VLOOKUP(F111,'Planilha de Cadastro - Previsão'!$A$2:$N$1100,2,FALSE()))," ")</f>
        <v xml:space="preserve"> </v>
      </c>
      <c r="J111" s="40" t="str">
        <f>IFERROR((VLOOKUP(F111,'Planilha de Cadastro - Previsão'!$A$2:$N$1100,3,FALSE()))," ")</f>
        <v xml:space="preserve"> </v>
      </c>
      <c r="K111" s="40"/>
      <c r="L111" s="42" t="str">
        <f>IFERROR((VLOOKUP(F111,'Planilha de Cadastro - Previsão'!$A$2:$N$1100,11,FALSE()))," ")</f>
        <v xml:space="preserve"> </v>
      </c>
      <c r="M111" s="41" t="str">
        <f>IFERROR((IF(VLOOKUP(F111,'Planilha de Cadastro - Previsão'!$A$2:$N$1100,10,FALSE())="","",VLOOKUP(F111,'Planilha de Cadastro - Previsão'!$A$2:$N$1100,10,FALSE()))),"")</f>
        <v/>
      </c>
      <c r="N111" s="41"/>
      <c r="O111" s="41"/>
      <c r="P111" s="41" t="str">
        <f>IFERROR((IF(VLOOKUP(F111,'Acompanhamento da Licitação'!$F$2:$O$1000,10,FALSE())="","",VLOOKUP(F111,'Acompanhamento da Licitação'!$F$2:$O$1000,10,FALSE()))),"")</f>
        <v/>
      </c>
      <c r="R111" s="61" t="str">
        <f>IFERROR(IF(F111&gt;0,(Final[[#This Row],[Valor da Venda Real]]-Final[[#This Row],[Valor de Compra Previsto]]-4%*Final[[#This Row],[Valor da Venda Real]])/Final[[#This Row],[Valor da Venda Real]],""),"")</f>
        <v/>
      </c>
      <c r="S111" s="61" t="str">
        <f t="shared" si="8"/>
        <v/>
      </c>
      <c r="T111" s="23" t="str">
        <f>IFERROR((R111*Final[[#This Row],[Valor da Venda Real]]*Final[[#This Row],[Quantidade ]]*S111),"")</f>
        <v/>
      </c>
    </row>
    <row r="112" spans="1:20" ht="15.75" x14ac:dyDescent="0.2">
      <c r="A112">
        <f>COUNTIF($C$2:C112,C112)</f>
        <v>111</v>
      </c>
      <c r="B112" s="1" t="str">
        <f t="shared" si="7"/>
        <v>111</v>
      </c>
      <c r="C112" s="1" t="str">
        <f>IFERROR(VLOOKUP(D112,'Planilha de Cadastro - Previsão'!$A$2:$N$1000,14,FALSE()),"")</f>
        <v/>
      </c>
      <c r="D112" s="1">
        <v>111</v>
      </c>
      <c r="F112" s="40" t="str">
        <f t="shared" si="5"/>
        <v/>
      </c>
      <c r="G112" s="40" t="str">
        <f>IF(F112="","",'Prosposta Inicial'!$O$2)</f>
        <v/>
      </c>
      <c r="H112" s="40" t="str">
        <f t="shared" si="10"/>
        <v xml:space="preserve"> </v>
      </c>
      <c r="I112" s="41" t="str">
        <f>IFERROR((VLOOKUP(F112,'Planilha de Cadastro - Previsão'!$A$2:$N$1100,2,FALSE()))," ")</f>
        <v xml:space="preserve"> </v>
      </c>
      <c r="J112" s="40" t="str">
        <f>IFERROR((VLOOKUP(F112,'Planilha de Cadastro - Previsão'!$A$2:$N$1100,3,FALSE()))," ")</f>
        <v xml:space="preserve"> </v>
      </c>
      <c r="K112" s="40"/>
      <c r="L112" s="42" t="str">
        <f>IFERROR((VLOOKUP(F112,'Planilha de Cadastro - Previsão'!$A$2:$N$1100,11,FALSE()))," ")</f>
        <v xml:space="preserve"> </v>
      </c>
      <c r="M112" s="41" t="str">
        <f>IFERROR((IF(VLOOKUP(F112,'Planilha de Cadastro - Previsão'!$A$2:$N$1100,10,FALSE())="","",VLOOKUP(F112,'Planilha de Cadastro - Previsão'!$A$2:$N$1100,10,FALSE()))),"")</f>
        <v/>
      </c>
      <c r="N112" s="41"/>
      <c r="O112" s="41"/>
      <c r="P112" s="41" t="str">
        <f>IFERROR((IF(VLOOKUP(F112,'Acompanhamento da Licitação'!$F$2:$O$1000,10,FALSE())="","",VLOOKUP(F112,'Acompanhamento da Licitação'!$F$2:$O$1000,10,FALSE()))),"")</f>
        <v/>
      </c>
      <c r="R112" s="61" t="str">
        <f>IFERROR(IF(F112&gt;0,(Final[[#This Row],[Valor da Venda Real]]-Final[[#This Row],[Valor de Compra Previsto]]-4%*Final[[#This Row],[Valor da Venda Real]])/Final[[#This Row],[Valor da Venda Real]],""),"")</f>
        <v/>
      </c>
      <c r="S112" s="61" t="str">
        <f t="shared" si="8"/>
        <v/>
      </c>
      <c r="T112" s="23" t="str">
        <f>IFERROR((R112*Final[[#This Row],[Valor da Venda Real]]*Final[[#This Row],[Quantidade ]]*S112),"")</f>
        <v/>
      </c>
    </row>
    <row r="113" spans="1:20" ht="15.75" x14ac:dyDescent="0.2">
      <c r="A113">
        <f>COUNTIF($C$2:C113,C113)</f>
        <v>112</v>
      </c>
      <c r="B113" s="1" t="str">
        <f t="shared" si="7"/>
        <v>112</v>
      </c>
      <c r="C113" s="1" t="str">
        <f>IFERROR(VLOOKUP(D113,'Planilha de Cadastro - Previsão'!$A$2:$N$1000,14,FALSE()),"")</f>
        <v/>
      </c>
      <c r="D113" s="1">
        <v>112</v>
      </c>
      <c r="F113" s="40" t="str">
        <f t="shared" si="5"/>
        <v/>
      </c>
      <c r="G113" s="40" t="str">
        <f>IF(F113="","",'Prosposta Inicial'!$O$2)</f>
        <v/>
      </c>
      <c r="H113" s="40" t="str">
        <f t="shared" si="10"/>
        <v xml:space="preserve"> </v>
      </c>
      <c r="I113" s="41" t="str">
        <f>IFERROR((VLOOKUP(F113,'Planilha de Cadastro - Previsão'!$A$2:$N$1100,2,FALSE()))," ")</f>
        <v xml:space="preserve"> </v>
      </c>
      <c r="J113" s="40" t="str">
        <f>IFERROR((VLOOKUP(F113,'Planilha de Cadastro - Previsão'!$A$2:$N$1100,3,FALSE()))," ")</f>
        <v xml:space="preserve"> </v>
      </c>
      <c r="K113" s="40"/>
      <c r="L113" s="42" t="str">
        <f>IFERROR((VLOOKUP(F113,'Planilha de Cadastro - Previsão'!$A$2:$N$1100,11,FALSE()))," ")</f>
        <v xml:space="preserve"> </v>
      </c>
      <c r="M113" s="41" t="str">
        <f>IFERROR((IF(VLOOKUP(F113,'Planilha de Cadastro - Previsão'!$A$2:$N$1100,10,FALSE())="","",VLOOKUP(F113,'Planilha de Cadastro - Previsão'!$A$2:$N$1100,10,FALSE()))),"")</f>
        <v/>
      </c>
      <c r="N113" s="41"/>
      <c r="O113" s="41"/>
      <c r="P113" s="41" t="str">
        <f>IFERROR((IF(VLOOKUP(F113,'Acompanhamento da Licitação'!$F$2:$O$1000,10,FALSE())="","",VLOOKUP(F113,'Acompanhamento da Licitação'!$F$2:$O$1000,10,FALSE()))),"")</f>
        <v/>
      </c>
      <c r="R113" s="61" t="str">
        <f>IFERROR(IF(F113&gt;0,(Final[[#This Row],[Valor da Venda Real]]-Final[[#This Row],[Valor de Compra Previsto]]-4%*Final[[#This Row],[Valor da Venda Real]])/Final[[#This Row],[Valor da Venda Real]],""),"")</f>
        <v/>
      </c>
      <c r="S113" s="61" t="str">
        <f t="shared" si="8"/>
        <v/>
      </c>
      <c r="T113" s="23" t="str">
        <f>IFERROR((R113*Final[[#This Row],[Valor da Venda Real]]*Final[[#This Row],[Quantidade ]]*S113),"")</f>
        <v/>
      </c>
    </row>
    <row r="114" spans="1:20" ht="15.75" x14ac:dyDescent="0.2">
      <c r="A114">
        <f>COUNTIF($C$2:C114,C114)</f>
        <v>113</v>
      </c>
      <c r="B114" s="1" t="str">
        <f t="shared" si="7"/>
        <v>113</v>
      </c>
      <c r="C114" s="1" t="str">
        <f>IFERROR(VLOOKUP(D114,'Planilha de Cadastro - Previsão'!$A$2:$N$1000,14,FALSE()),"")</f>
        <v/>
      </c>
      <c r="D114" s="1">
        <v>113</v>
      </c>
      <c r="F114" s="40" t="str">
        <f t="shared" si="5"/>
        <v/>
      </c>
      <c r="G114" s="40" t="str">
        <f>IF(F114="","",'Prosposta Inicial'!$O$2)</f>
        <v/>
      </c>
      <c r="H114" s="40" t="str">
        <f t="shared" si="10"/>
        <v xml:space="preserve"> </v>
      </c>
      <c r="I114" s="41" t="str">
        <f>IFERROR((VLOOKUP(F114,'Planilha de Cadastro - Previsão'!$A$2:$N$1100,2,FALSE()))," ")</f>
        <v xml:space="preserve"> </v>
      </c>
      <c r="J114" s="40" t="str">
        <f>IFERROR((VLOOKUP(F114,'Planilha de Cadastro - Previsão'!$A$2:$N$1100,3,FALSE()))," ")</f>
        <v xml:space="preserve"> </v>
      </c>
      <c r="K114" s="40"/>
      <c r="L114" s="42" t="str">
        <f>IFERROR((VLOOKUP(F114,'Planilha de Cadastro - Previsão'!$A$2:$N$1100,11,FALSE()))," ")</f>
        <v xml:space="preserve"> </v>
      </c>
      <c r="M114" s="41" t="str">
        <f>IFERROR((IF(VLOOKUP(F114,'Planilha de Cadastro - Previsão'!$A$2:$N$1100,10,FALSE())="","",VLOOKUP(F114,'Planilha de Cadastro - Previsão'!$A$2:$N$1100,10,FALSE()))),"")</f>
        <v/>
      </c>
      <c r="N114" s="41"/>
      <c r="O114" s="41"/>
      <c r="P114" s="41" t="str">
        <f>IFERROR((IF(VLOOKUP(F114,'Acompanhamento da Licitação'!$F$2:$O$1000,10,FALSE())="","",VLOOKUP(F114,'Acompanhamento da Licitação'!$F$2:$O$1000,10,FALSE()))),"")</f>
        <v/>
      </c>
      <c r="R114" s="61" t="str">
        <f>IFERROR(IF(F114&gt;0,(Final[[#This Row],[Valor da Venda Real]]-Final[[#This Row],[Valor de Compra Previsto]]-4%*Final[[#This Row],[Valor da Venda Real]])/Final[[#This Row],[Valor da Venda Real]],""),"")</f>
        <v/>
      </c>
      <c r="S114" s="61" t="str">
        <f t="shared" si="8"/>
        <v/>
      </c>
      <c r="T114" s="23" t="str">
        <f>IFERROR((R114*Final[[#This Row],[Valor da Venda Real]]*Final[[#This Row],[Quantidade ]]*S114),"")</f>
        <v/>
      </c>
    </row>
    <row r="115" spans="1:20" ht="15.75" x14ac:dyDescent="0.2">
      <c r="A115">
        <f>COUNTIF($C$2:C115,C115)</f>
        <v>114</v>
      </c>
      <c r="B115" s="1" t="str">
        <f t="shared" si="7"/>
        <v>114</v>
      </c>
      <c r="C115" s="1" t="str">
        <f>IFERROR(VLOOKUP(D115,'Planilha de Cadastro - Previsão'!$A$2:$N$1000,14,FALSE()),"")</f>
        <v/>
      </c>
      <c r="D115" s="1">
        <v>114</v>
      </c>
      <c r="F115" s="40" t="str">
        <f t="shared" si="5"/>
        <v/>
      </c>
      <c r="G115" s="40" t="str">
        <f>IF(F115="","",'Prosposta Inicial'!$O$2)</f>
        <v/>
      </c>
      <c r="H115" s="40" t="str">
        <f t="shared" si="10"/>
        <v xml:space="preserve"> </v>
      </c>
      <c r="I115" s="41" t="str">
        <f>IFERROR((VLOOKUP(F115,'Planilha de Cadastro - Previsão'!$A$2:$N$1100,2,FALSE()))," ")</f>
        <v xml:space="preserve"> </v>
      </c>
      <c r="J115" s="40" t="str">
        <f>IFERROR((VLOOKUP(F115,'Planilha de Cadastro - Previsão'!$A$2:$N$1100,3,FALSE()))," ")</f>
        <v xml:space="preserve"> </v>
      </c>
      <c r="K115" s="40"/>
      <c r="L115" s="42" t="str">
        <f>IFERROR((VLOOKUP(F115,'Planilha de Cadastro - Previsão'!$A$2:$N$1100,11,FALSE()))," ")</f>
        <v xml:space="preserve"> </v>
      </c>
      <c r="M115" s="41" t="str">
        <f>IFERROR((IF(VLOOKUP(F115,'Planilha de Cadastro - Previsão'!$A$2:$N$1100,10,FALSE())="","",VLOOKUP(F115,'Planilha de Cadastro - Previsão'!$A$2:$N$1100,10,FALSE()))),"")</f>
        <v/>
      </c>
      <c r="N115" s="41"/>
      <c r="O115" s="41"/>
      <c r="P115" s="41" t="str">
        <f>IFERROR((IF(VLOOKUP(F115,'Acompanhamento da Licitação'!$F$2:$O$1000,10,FALSE())="","",VLOOKUP(F115,'Acompanhamento da Licitação'!$F$2:$O$1000,10,FALSE()))),"")</f>
        <v/>
      </c>
      <c r="R115" s="61" t="str">
        <f>IFERROR(IF(F115&gt;0,(Final[[#This Row],[Valor da Venda Real]]-Final[[#This Row],[Valor de Compra Previsto]]-4%*Final[[#This Row],[Valor da Venda Real]])/Final[[#This Row],[Valor da Venda Real]],""),"")</f>
        <v/>
      </c>
      <c r="S115" s="61" t="str">
        <f t="shared" si="8"/>
        <v/>
      </c>
      <c r="T115" s="23" t="str">
        <f>IFERROR((R115*Final[[#This Row],[Valor da Venda Real]]*Final[[#This Row],[Quantidade ]]*S115),"")</f>
        <v/>
      </c>
    </row>
    <row r="116" spans="1:20" ht="15.75" x14ac:dyDescent="0.2">
      <c r="A116">
        <f>COUNTIF($C$2:C116,C116)</f>
        <v>115</v>
      </c>
      <c r="B116" s="1" t="str">
        <f t="shared" si="7"/>
        <v>115</v>
      </c>
      <c r="C116" s="1" t="str">
        <f>IFERROR(VLOOKUP(D116,'Planilha de Cadastro - Previsão'!$A$2:$N$1000,14,FALSE()),"")</f>
        <v/>
      </c>
      <c r="D116" s="1">
        <v>115</v>
      </c>
      <c r="F116" s="40" t="str">
        <f t="shared" si="5"/>
        <v/>
      </c>
      <c r="G116" s="40" t="str">
        <f>IF(F116="","",'Prosposta Inicial'!$O$2)</f>
        <v/>
      </c>
      <c r="H116" s="40" t="str">
        <f t="shared" si="10"/>
        <v xml:space="preserve"> </v>
      </c>
      <c r="I116" s="41" t="str">
        <f>IFERROR((VLOOKUP(F116,'Planilha de Cadastro - Previsão'!$A$2:$N$1100,2,FALSE()))," ")</f>
        <v xml:space="preserve"> </v>
      </c>
      <c r="J116" s="40" t="str">
        <f>IFERROR((VLOOKUP(F116,'Planilha de Cadastro - Previsão'!$A$2:$N$1100,3,FALSE()))," ")</f>
        <v xml:space="preserve"> </v>
      </c>
      <c r="K116" s="40"/>
      <c r="L116" s="42" t="str">
        <f>IFERROR((VLOOKUP(F116,'Planilha de Cadastro - Previsão'!$A$2:$N$1100,11,FALSE()))," ")</f>
        <v xml:space="preserve"> </v>
      </c>
      <c r="M116" s="41" t="str">
        <f>IFERROR((IF(VLOOKUP(F116,'Planilha de Cadastro - Previsão'!$A$2:$N$1100,10,FALSE())="","",VLOOKUP(F116,'Planilha de Cadastro - Previsão'!$A$2:$N$1100,10,FALSE()))),"")</f>
        <v/>
      </c>
      <c r="N116" s="41"/>
      <c r="O116" s="41"/>
      <c r="P116" s="41" t="str">
        <f>IFERROR((IF(VLOOKUP(F116,'Acompanhamento da Licitação'!$F$2:$O$1000,10,FALSE())="","",VLOOKUP(F116,'Acompanhamento da Licitação'!$F$2:$O$1000,10,FALSE()))),"")</f>
        <v/>
      </c>
      <c r="R116" s="61" t="str">
        <f>IFERROR(IF(F116&gt;0,(Final[[#This Row],[Valor da Venda Real]]-Final[[#This Row],[Valor de Compra Previsto]]-4%*Final[[#This Row],[Valor da Venda Real]])/Final[[#This Row],[Valor da Venda Real]],""),"")</f>
        <v/>
      </c>
      <c r="S116" s="61" t="str">
        <f t="shared" si="8"/>
        <v/>
      </c>
      <c r="T116" s="23" t="str">
        <f>IFERROR((R116*Final[[#This Row],[Valor da Venda Real]]*Final[[#This Row],[Quantidade ]]*S116),"")</f>
        <v/>
      </c>
    </row>
    <row r="117" spans="1:20" ht="15.75" x14ac:dyDescent="0.2">
      <c r="A117">
        <f>COUNTIF($C$2:C117,C117)</f>
        <v>116</v>
      </c>
      <c r="B117" s="1" t="str">
        <f t="shared" si="7"/>
        <v>116</v>
      </c>
      <c r="C117" s="1" t="str">
        <f>IFERROR(VLOOKUP(D117,'Planilha de Cadastro - Previsão'!$A$2:$N$1000,14,FALSE()),"")</f>
        <v/>
      </c>
      <c r="D117" s="1">
        <v>116</v>
      </c>
      <c r="F117" s="40" t="str">
        <f t="shared" si="5"/>
        <v/>
      </c>
      <c r="G117" s="40" t="str">
        <f>IF(F117="","",'Prosposta Inicial'!$O$2)</f>
        <v/>
      </c>
      <c r="H117" s="40" t="str">
        <f t="shared" si="10"/>
        <v xml:space="preserve"> </v>
      </c>
      <c r="I117" s="41" t="str">
        <f>IFERROR((VLOOKUP(F117,'Planilha de Cadastro - Previsão'!$A$2:$N$1100,2,FALSE()))," ")</f>
        <v xml:space="preserve"> </v>
      </c>
      <c r="J117" s="40" t="str">
        <f>IFERROR((VLOOKUP(F117,'Planilha de Cadastro - Previsão'!$A$2:$N$1100,3,FALSE()))," ")</f>
        <v xml:space="preserve"> </v>
      </c>
      <c r="K117" s="40"/>
      <c r="L117" s="42" t="str">
        <f>IFERROR((VLOOKUP(F117,'Planilha de Cadastro - Previsão'!$A$2:$N$1100,11,FALSE()))," ")</f>
        <v xml:space="preserve"> </v>
      </c>
      <c r="M117" s="41" t="str">
        <f>IFERROR((IF(VLOOKUP(F117,'Planilha de Cadastro - Previsão'!$A$2:$N$1100,10,FALSE())="","",VLOOKUP(F117,'Planilha de Cadastro - Previsão'!$A$2:$N$1100,10,FALSE()))),"")</f>
        <v/>
      </c>
      <c r="N117" s="41"/>
      <c r="O117" s="41"/>
      <c r="P117" s="41" t="str">
        <f>IFERROR((IF(VLOOKUP(F117,'Acompanhamento da Licitação'!$F$2:$O$1000,10,FALSE())="","",VLOOKUP(F117,'Acompanhamento da Licitação'!$F$2:$O$1000,10,FALSE()))),"")</f>
        <v/>
      </c>
      <c r="R117" s="61" t="str">
        <f>IFERROR(IF(F117&gt;0,(Final[[#This Row],[Valor da Venda Real]]-Final[[#This Row],[Valor de Compra Previsto]]-4%*Final[[#This Row],[Valor da Venda Real]])/Final[[#This Row],[Valor da Venda Real]],""),"")</f>
        <v/>
      </c>
      <c r="S117" s="61" t="str">
        <f t="shared" si="8"/>
        <v/>
      </c>
      <c r="T117" s="23" t="str">
        <f>IFERROR((R117*Final[[#This Row],[Valor da Venda Real]]*Final[[#This Row],[Quantidade ]]*S117),"")</f>
        <v/>
      </c>
    </row>
    <row r="118" spans="1:20" ht="15.75" x14ac:dyDescent="0.2">
      <c r="A118">
        <f>COUNTIF($C$2:C118,C118)</f>
        <v>117</v>
      </c>
      <c r="B118" s="1" t="str">
        <f t="shared" si="7"/>
        <v>117</v>
      </c>
      <c r="C118" s="1" t="str">
        <f>IFERROR(VLOOKUP(D118,'Planilha de Cadastro - Previsão'!$A$2:$N$1000,14,FALSE()),"")</f>
        <v/>
      </c>
      <c r="D118" s="1">
        <v>117</v>
      </c>
      <c r="F118" s="40" t="str">
        <f t="shared" si="5"/>
        <v/>
      </c>
      <c r="G118" s="40" t="str">
        <f>IF(F118="","",'Prosposta Inicial'!$O$2)</f>
        <v/>
      </c>
      <c r="H118" s="40" t="str">
        <f t="shared" si="10"/>
        <v xml:space="preserve"> </v>
      </c>
      <c r="I118" s="41" t="str">
        <f>IFERROR((VLOOKUP(F118,'Planilha de Cadastro - Previsão'!$A$2:$N$1100,2,FALSE()))," ")</f>
        <v xml:space="preserve"> </v>
      </c>
      <c r="J118" s="40" t="str">
        <f>IFERROR((VLOOKUP(F118,'Planilha de Cadastro - Previsão'!$A$2:$N$1100,3,FALSE()))," ")</f>
        <v xml:space="preserve"> </v>
      </c>
      <c r="K118" s="40"/>
      <c r="L118" s="42" t="str">
        <f>IFERROR((VLOOKUP(F118,'Planilha de Cadastro - Previsão'!$A$2:$N$1100,11,FALSE()))," ")</f>
        <v xml:space="preserve"> </v>
      </c>
      <c r="M118" s="41" t="str">
        <f>IFERROR((IF(VLOOKUP(F118,'Planilha de Cadastro - Previsão'!$A$2:$N$1100,10,FALSE())="","",VLOOKUP(F118,'Planilha de Cadastro - Previsão'!$A$2:$N$1100,10,FALSE()))),"")</f>
        <v/>
      </c>
      <c r="N118" s="41"/>
      <c r="O118" s="41"/>
      <c r="P118" s="41" t="str">
        <f>IFERROR((IF(VLOOKUP(F118,'Acompanhamento da Licitação'!$F$2:$O$1000,10,FALSE())="","",VLOOKUP(F118,'Acompanhamento da Licitação'!$F$2:$O$1000,10,FALSE()))),"")</f>
        <v/>
      </c>
      <c r="R118" s="61" t="str">
        <f>IFERROR(IF(F118&gt;0,(Final[[#This Row],[Valor da Venda Real]]-Final[[#This Row],[Valor de Compra Previsto]]-4%*Final[[#This Row],[Valor da Venda Real]])/Final[[#This Row],[Valor da Venda Real]],""),"")</f>
        <v/>
      </c>
      <c r="S118" s="61" t="str">
        <f t="shared" si="8"/>
        <v/>
      </c>
      <c r="T118" s="23" t="str">
        <f>IFERROR((R118*Final[[#This Row],[Valor da Venda Real]]*Final[[#This Row],[Quantidade ]]*S118),"")</f>
        <v/>
      </c>
    </row>
    <row r="119" spans="1:20" ht="15.75" x14ac:dyDescent="0.2">
      <c r="A119">
        <f>COUNTIF($C$2:C119,C119)</f>
        <v>118</v>
      </c>
      <c r="B119" s="1" t="str">
        <f t="shared" si="7"/>
        <v>118</v>
      </c>
      <c r="C119" s="1" t="str">
        <f>IFERROR(VLOOKUP(D119,'Planilha de Cadastro - Previsão'!$A$2:$N$1000,14,FALSE()),"")</f>
        <v/>
      </c>
      <c r="D119" s="1">
        <v>118</v>
      </c>
      <c r="F119" s="40" t="str">
        <f t="shared" si="5"/>
        <v/>
      </c>
      <c r="G119" s="40" t="str">
        <f>IF(F119="","",'Prosposta Inicial'!$O$2)</f>
        <v/>
      </c>
      <c r="H119" s="40" t="str">
        <f t="shared" si="10"/>
        <v xml:space="preserve"> </v>
      </c>
      <c r="I119" s="41" t="str">
        <f>IFERROR((VLOOKUP(F119,'Planilha de Cadastro - Previsão'!$A$2:$N$1100,2,FALSE()))," ")</f>
        <v xml:space="preserve"> </v>
      </c>
      <c r="J119" s="40" t="str">
        <f>IFERROR((VLOOKUP(F119,'Planilha de Cadastro - Previsão'!$A$2:$N$1100,3,FALSE()))," ")</f>
        <v xml:space="preserve"> </v>
      </c>
      <c r="K119" s="40"/>
      <c r="L119" s="42" t="str">
        <f>IFERROR((VLOOKUP(F119,'Planilha de Cadastro - Previsão'!$A$2:$N$1100,11,FALSE()))," ")</f>
        <v xml:space="preserve"> </v>
      </c>
      <c r="M119" s="41" t="str">
        <f>IFERROR((IF(VLOOKUP(F119,'Planilha de Cadastro - Previsão'!$A$2:$N$1100,10,FALSE())="","",VLOOKUP(F119,'Planilha de Cadastro - Previsão'!$A$2:$N$1100,10,FALSE()))),"")</f>
        <v/>
      </c>
      <c r="N119" s="41"/>
      <c r="O119" s="41"/>
      <c r="P119" s="41" t="str">
        <f>IFERROR((IF(VLOOKUP(F119,'Acompanhamento da Licitação'!$F$2:$O$1000,10,FALSE())="","",VLOOKUP(F119,'Acompanhamento da Licitação'!$F$2:$O$1000,10,FALSE()))),"")</f>
        <v/>
      </c>
      <c r="R119" s="61" t="str">
        <f>IFERROR(IF(F119&gt;0,(Final[[#This Row],[Valor da Venda Real]]-Final[[#This Row],[Valor de Compra Previsto]]-4%*Final[[#This Row],[Valor da Venda Real]])/Final[[#This Row],[Valor da Venda Real]],""),"")</f>
        <v/>
      </c>
      <c r="S119" s="61" t="str">
        <f t="shared" si="8"/>
        <v/>
      </c>
      <c r="T119" s="23" t="str">
        <f>IFERROR((R119*Final[[#This Row],[Valor da Venda Real]]*Final[[#This Row],[Quantidade ]]*S119),"")</f>
        <v/>
      </c>
    </row>
    <row r="120" spans="1:20" ht="15.75" x14ac:dyDescent="0.2">
      <c r="A120">
        <f>COUNTIF($C$2:C120,C120)</f>
        <v>119</v>
      </c>
      <c r="B120" s="1" t="str">
        <f t="shared" si="7"/>
        <v>119</v>
      </c>
      <c r="C120" s="1" t="str">
        <f>IFERROR(VLOOKUP(D120,'Planilha de Cadastro - Previsão'!$A$2:$N$1000,14,FALSE()),"")</f>
        <v/>
      </c>
      <c r="D120" s="1">
        <v>119</v>
      </c>
      <c r="F120" s="40" t="str">
        <f t="shared" si="5"/>
        <v/>
      </c>
      <c r="G120" s="40" t="str">
        <f>IF(F120="","",'Prosposta Inicial'!$O$2)</f>
        <v/>
      </c>
      <c r="H120" s="40" t="str">
        <f t="shared" si="10"/>
        <v xml:space="preserve"> </v>
      </c>
      <c r="I120" s="41" t="str">
        <f>IFERROR((VLOOKUP(F120,'Planilha de Cadastro - Previsão'!$A$2:$N$1100,2,FALSE()))," ")</f>
        <v xml:space="preserve"> </v>
      </c>
      <c r="J120" s="40" t="str">
        <f>IFERROR((VLOOKUP(F120,'Planilha de Cadastro - Previsão'!$A$2:$N$1100,3,FALSE()))," ")</f>
        <v xml:space="preserve"> </v>
      </c>
      <c r="K120" s="40"/>
      <c r="L120" s="42" t="str">
        <f>IFERROR((VLOOKUP(F120,'Planilha de Cadastro - Previsão'!$A$2:$N$1100,11,FALSE()))," ")</f>
        <v xml:space="preserve"> </v>
      </c>
      <c r="M120" s="41" t="str">
        <f>IFERROR((IF(VLOOKUP(F120,'Planilha de Cadastro - Previsão'!$A$2:$N$1100,10,FALSE())="","",VLOOKUP(F120,'Planilha de Cadastro - Previsão'!$A$2:$N$1100,10,FALSE()))),"")</f>
        <v/>
      </c>
      <c r="N120" s="41"/>
      <c r="O120" s="41"/>
      <c r="P120" s="41" t="str">
        <f>IFERROR((IF(VLOOKUP(F120,'Acompanhamento da Licitação'!$F$2:$O$1000,10,FALSE())="","",VLOOKUP(F120,'Acompanhamento da Licitação'!$F$2:$O$1000,10,FALSE()))),"")</f>
        <v/>
      </c>
      <c r="R120" s="61" t="str">
        <f>IFERROR(IF(F120&gt;0,(Final[[#This Row],[Valor da Venda Real]]-Final[[#This Row],[Valor de Compra Previsto]]-4%*Final[[#This Row],[Valor da Venda Real]])/Final[[#This Row],[Valor da Venda Real]],""),"")</f>
        <v/>
      </c>
      <c r="S120" s="61" t="str">
        <f t="shared" si="8"/>
        <v/>
      </c>
      <c r="T120" s="23" t="str">
        <f>IFERROR((R120*Final[[#This Row],[Valor da Venda Real]]*Final[[#This Row],[Quantidade ]]*S120),"")</f>
        <v/>
      </c>
    </row>
    <row r="121" spans="1:20" ht="15.75" x14ac:dyDescent="0.2">
      <c r="A121">
        <f>COUNTIF($C$2:C121,C121)</f>
        <v>120</v>
      </c>
      <c r="B121" s="1" t="str">
        <f t="shared" si="7"/>
        <v>120</v>
      </c>
      <c r="C121" s="1" t="str">
        <f>IFERROR(VLOOKUP(D121,'Planilha de Cadastro - Previsão'!$A$2:$N$1000,14,FALSE()),"")</f>
        <v/>
      </c>
      <c r="D121" s="1">
        <v>120</v>
      </c>
      <c r="F121" s="40" t="str">
        <f t="shared" si="5"/>
        <v/>
      </c>
      <c r="G121" s="40" t="str">
        <f>IF(F121="","",'Prosposta Inicial'!$O$2)</f>
        <v/>
      </c>
      <c r="H121" s="40" t="str">
        <f t="shared" si="10"/>
        <v xml:space="preserve"> </v>
      </c>
      <c r="I121" s="41" t="str">
        <f>IFERROR((VLOOKUP(F121,'Planilha de Cadastro - Previsão'!$A$2:$N$1100,2,FALSE()))," ")</f>
        <v xml:space="preserve"> </v>
      </c>
      <c r="J121" s="40" t="str">
        <f>IFERROR((VLOOKUP(F121,'Planilha de Cadastro - Previsão'!$A$2:$N$1100,3,FALSE()))," ")</f>
        <v xml:space="preserve"> </v>
      </c>
      <c r="K121" s="40"/>
      <c r="L121" s="42" t="str">
        <f>IFERROR((VLOOKUP(F121,'Planilha de Cadastro - Previsão'!$A$2:$N$1100,11,FALSE()))," ")</f>
        <v xml:space="preserve"> </v>
      </c>
      <c r="M121" s="41" t="str">
        <f>IFERROR((IF(VLOOKUP(F121,'Planilha de Cadastro - Previsão'!$A$2:$N$1100,10,FALSE())="","",VLOOKUP(F121,'Planilha de Cadastro - Previsão'!$A$2:$N$1100,10,FALSE()))),"")</f>
        <v/>
      </c>
      <c r="N121" s="41"/>
      <c r="O121" s="41"/>
      <c r="P121" s="41" t="str">
        <f>IFERROR((IF(VLOOKUP(F121,'Acompanhamento da Licitação'!$F$2:$O$1000,10,FALSE())="","",VLOOKUP(F121,'Acompanhamento da Licitação'!$F$2:$O$1000,10,FALSE()))),"")</f>
        <v/>
      </c>
      <c r="R121" s="61" t="str">
        <f>IFERROR(IF(F121&gt;0,(Final[[#This Row],[Valor da Venda Real]]-Final[[#This Row],[Valor de Compra Previsto]]-4%*Final[[#This Row],[Valor da Venda Real]])/Final[[#This Row],[Valor da Venda Real]],""),"")</f>
        <v/>
      </c>
      <c r="S121" s="61" t="str">
        <f t="shared" si="8"/>
        <v/>
      </c>
      <c r="T121" s="23" t="str">
        <f>IFERROR((R121*Final[[#This Row],[Valor da Venda Real]]*Final[[#This Row],[Quantidade ]]*S121),"")</f>
        <v/>
      </c>
    </row>
    <row r="122" spans="1:20" ht="15.75" x14ac:dyDescent="0.2">
      <c r="A122">
        <f>COUNTIF($C$2:C122,C122)</f>
        <v>121</v>
      </c>
      <c r="B122" s="1" t="str">
        <f t="shared" si="7"/>
        <v>121</v>
      </c>
      <c r="C122" s="1" t="str">
        <f>IFERROR(VLOOKUP(D122,'Planilha de Cadastro - Previsão'!$A$2:$N$1000,14,FALSE()),"")</f>
        <v/>
      </c>
      <c r="D122" s="1">
        <v>121</v>
      </c>
      <c r="F122" s="40" t="str">
        <f t="shared" si="5"/>
        <v/>
      </c>
      <c r="G122" s="40" t="str">
        <f>IF(F122="","",'Prosposta Inicial'!$O$2)</f>
        <v/>
      </c>
      <c r="H122" s="40" t="str">
        <f t="shared" si="10"/>
        <v xml:space="preserve"> </v>
      </c>
      <c r="I122" s="41" t="str">
        <f>IFERROR((VLOOKUP(F122,'Planilha de Cadastro - Previsão'!$A$2:$N$1100,2,FALSE()))," ")</f>
        <v xml:space="preserve"> </v>
      </c>
      <c r="J122" s="40" t="str">
        <f>IFERROR((VLOOKUP(F122,'Planilha de Cadastro - Previsão'!$A$2:$N$1100,3,FALSE()))," ")</f>
        <v xml:space="preserve"> </v>
      </c>
      <c r="K122" s="40"/>
      <c r="L122" s="42" t="str">
        <f>IFERROR((VLOOKUP(F122,'Planilha de Cadastro - Previsão'!$A$2:$N$1100,11,FALSE()))," ")</f>
        <v xml:space="preserve"> </v>
      </c>
      <c r="M122" s="41" t="str">
        <f>IFERROR((IF(VLOOKUP(F122,'Planilha de Cadastro - Previsão'!$A$2:$N$1100,10,FALSE())="","",VLOOKUP(F122,'Planilha de Cadastro - Previsão'!$A$2:$N$1100,10,FALSE()))),"")</f>
        <v/>
      </c>
      <c r="N122" s="41"/>
      <c r="O122" s="41"/>
      <c r="P122" s="41" t="str">
        <f>IFERROR((IF(VLOOKUP(F122,'Acompanhamento da Licitação'!$F$2:$O$1000,10,FALSE())="","",VLOOKUP(F122,'Acompanhamento da Licitação'!$F$2:$O$1000,10,FALSE()))),"")</f>
        <v/>
      </c>
      <c r="R122" s="61" t="str">
        <f>IFERROR(IF(F122&gt;0,(Final[[#This Row],[Valor da Venda Real]]-Final[[#This Row],[Valor de Compra Previsto]]-4%*Final[[#This Row],[Valor da Venda Real]])/Final[[#This Row],[Valor da Venda Real]],""),"")</f>
        <v/>
      </c>
      <c r="S122" s="61" t="str">
        <f t="shared" si="8"/>
        <v/>
      </c>
      <c r="T122" s="23" t="str">
        <f>IFERROR((R122*Final[[#This Row],[Valor da Venda Real]]*Final[[#This Row],[Quantidade ]]*S122),"")</f>
        <v/>
      </c>
    </row>
    <row r="123" spans="1:20" ht="15.75" x14ac:dyDescent="0.2">
      <c r="A123">
        <f>COUNTIF($C$2:C123,C123)</f>
        <v>122</v>
      </c>
      <c r="B123" s="1" t="str">
        <f t="shared" si="7"/>
        <v>122</v>
      </c>
      <c r="C123" s="1" t="str">
        <f>IFERROR(VLOOKUP(D123,'Planilha de Cadastro - Previsão'!$A$2:$N$1000,14,FALSE()),"")</f>
        <v/>
      </c>
      <c r="D123" s="1">
        <v>122</v>
      </c>
      <c r="F123" s="40" t="str">
        <f t="shared" si="5"/>
        <v/>
      </c>
      <c r="G123" s="40" t="str">
        <f>IF(F123="","",'Prosposta Inicial'!$O$2)</f>
        <v/>
      </c>
      <c r="H123" s="40" t="str">
        <f t="shared" si="10"/>
        <v xml:space="preserve"> </v>
      </c>
      <c r="I123" s="41" t="str">
        <f>IFERROR((VLOOKUP(F123,'Planilha de Cadastro - Previsão'!$A$2:$N$1100,2,FALSE()))," ")</f>
        <v xml:space="preserve"> </v>
      </c>
      <c r="J123" s="40" t="str">
        <f>IFERROR((VLOOKUP(F123,'Planilha de Cadastro - Previsão'!$A$2:$N$1100,3,FALSE()))," ")</f>
        <v xml:space="preserve"> </v>
      </c>
      <c r="K123" s="40"/>
      <c r="L123" s="42" t="str">
        <f>IFERROR((VLOOKUP(F123,'Planilha de Cadastro - Previsão'!$A$2:$N$1100,11,FALSE()))," ")</f>
        <v xml:space="preserve"> </v>
      </c>
      <c r="M123" s="41" t="str">
        <f>IFERROR((IF(VLOOKUP(F123,'Planilha de Cadastro - Previsão'!$A$2:$N$1100,10,FALSE())="","",VLOOKUP(F123,'Planilha de Cadastro - Previsão'!$A$2:$N$1100,10,FALSE()))),"")</f>
        <v/>
      </c>
      <c r="N123" s="41"/>
      <c r="O123" s="41"/>
      <c r="P123" s="41" t="str">
        <f>IFERROR((IF(VLOOKUP(F123,'Acompanhamento da Licitação'!$F$2:$O$1000,10,FALSE())="","",VLOOKUP(F123,'Acompanhamento da Licitação'!$F$2:$O$1000,10,FALSE()))),"")</f>
        <v/>
      </c>
      <c r="R123" s="61" t="str">
        <f>IFERROR(IF(F123&gt;0,(Final[[#This Row],[Valor da Venda Real]]-Final[[#This Row],[Valor de Compra Previsto]]-4%*Final[[#This Row],[Valor da Venda Real]])/Final[[#This Row],[Valor da Venda Real]],""),"")</f>
        <v/>
      </c>
      <c r="S123" s="61" t="str">
        <f t="shared" si="8"/>
        <v/>
      </c>
      <c r="T123" s="23" t="str">
        <f>IFERROR((R123*Final[[#This Row],[Valor da Venda Real]]*Final[[#This Row],[Quantidade ]]*S123),"")</f>
        <v/>
      </c>
    </row>
    <row r="124" spans="1:20" ht="15.75" x14ac:dyDescent="0.2">
      <c r="A124">
        <f>COUNTIF($C$2:C124,C124)</f>
        <v>123</v>
      </c>
      <c r="B124" s="1" t="str">
        <f t="shared" si="7"/>
        <v>123</v>
      </c>
      <c r="C124" s="1" t="str">
        <f>IFERROR(VLOOKUP(D124,'Planilha de Cadastro - Previsão'!$A$2:$N$1000,14,FALSE()),"")</f>
        <v/>
      </c>
      <c r="D124" s="1">
        <v>123</v>
      </c>
      <c r="F124" s="40" t="str">
        <f t="shared" si="5"/>
        <v/>
      </c>
      <c r="G124" s="40" t="str">
        <f>IF(F124="","",'Prosposta Inicial'!$O$2)</f>
        <v/>
      </c>
      <c r="H124" s="40" t="str">
        <f t="shared" si="10"/>
        <v xml:space="preserve"> </v>
      </c>
      <c r="I124" s="41" t="str">
        <f>IFERROR((VLOOKUP(F124,'Planilha de Cadastro - Previsão'!$A$2:$N$1100,2,FALSE()))," ")</f>
        <v xml:space="preserve"> </v>
      </c>
      <c r="J124" s="40" t="str">
        <f>IFERROR((VLOOKUP(F124,'Planilha de Cadastro - Previsão'!$A$2:$N$1100,3,FALSE()))," ")</f>
        <v xml:space="preserve"> </v>
      </c>
      <c r="K124" s="40"/>
      <c r="L124" s="42" t="str">
        <f>IFERROR((VLOOKUP(F124,'Planilha de Cadastro - Previsão'!$A$2:$N$1100,11,FALSE()))," ")</f>
        <v xml:space="preserve"> </v>
      </c>
      <c r="M124" s="41" t="str">
        <f>IFERROR((IF(VLOOKUP(F124,'Planilha de Cadastro - Previsão'!$A$2:$N$1100,10,FALSE())="","",VLOOKUP(F124,'Planilha de Cadastro - Previsão'!$A$2:$N$1100,10,FALSE()))),"")</f>
        <v/>
      </c>
      <c r="N124" s="41"/>
      <c r="O124" s="41"/>
      <c r="P124" s="41" t="str">
        <f>IFERROR((IF(VLOOKUP(F124,'Acompanhamento da Licitação'!$F$2:$O$1000,10,FALSE())="","",VLOOKUP(F124,'Acompanhamento da Licitação'!$F$2:$O$1000,10,FALSE()))),"")</f>
        <v/>
      </c>
      <c r="R124" s="61" t="str">
        <f>IFERROR(IF(F124&gt;0,(Final[[#This Row],[Valor da Venda Real]]-Final[[#This Row],[Valor de Compra Previsto]]-4%*Final[[#This Row],[Valor da Venda Real]])/Final[[#This Row],[Valor da Venda Real]],""),"")</f>
        <v/>
      </c>
      <c r="S124" s="61" t="str">
        <f t="shared" si="8"/>
        <v/>
      </c>
      <c r="T124" s="23" t="str">
        <f>IFERROR((R124*Final[[#This Row],[Valor da Venda Real]]*Final[[#This Row],[Quantidade ]]*S124),"")</f>
        <v/>
      </c>
    </row>
    <row r="125" spans="1:20" ht="15.75" x14ac:dyDescent="0.2">
      <c r="A125">
        <f>COUNTIF($C$2:C125,C125)</f>
        <v>124</v>
      </c>
      <c r="B125" s="1" t="str">
        <f t="shared" si="7"/>
        <v>124</v>
      </c>
      <c r="C125" s="1" t="str">
        <f>IFERROR(VLOOKUP(D125,'Planilha de Cadastro - Previsão'!$A$2:$N$1000,14,FALSE()),"")</f>
        <v/>
      </c>
      <c r="D125" s="1">
        <v>124</v>
      </c>
      <c r="F125" s="40" t="str">
        <f t="shared" si="5"/>
        <v/>
      </c>
      <c r="G125" s="40" t="str">
        <f>IF(F125="","",'Prosposta Inicial'!$O$2)</f>
        <v/>
      </c>
      <c r="H125" s="40" t="str">
        <f t="shared" si="10"/>
        <v xml:space="preserve"> </v>
      </c>
      <c r="I125" s="41" t="str">
        <f>IFERROR((VLOOKUP(F125,'Planilha de Cadastro - Previsão'!$A$2:$N$1100,2,FALSE()))," ")</f>
        <v xml:space="preserve"> </v>
      </c>
      <c r="J125" s="40" t="str">
        <f>IFERROR((VLOOKUP(F125,'Planilha de Cadastro - Previsão'!$A$2:$N$1100,3,FALSE()))," ")</f>
        <v xml:space="preserve"> </v>
      </c>
      <c r="K125" s="40"/>
      <c r="L125" s="42" t="str">
        <f>IFERROR((VLOOKUP(F125,'Planilha de Cadastro - Previsão'!$A$2:$N$1100,11,FALSE()))," ")</f>
        <v xml:space="preserve"> </v>
      </c>
      <c r="M125" s="41" t="str">
        <f>IFERROR((IF(VLOOKUP(F125,'Planilha de Cadastro - Previsão'!$A$2:$N$1100,10,FALSE())="","",VLOOKUP(F125,'Planilha de Cadastro - Previsão'!$A$2:$N$1100,10,FALSE()))),"")</f>
        <v/>
      </c>
      <c r="N125" s="41"/>
      <c r="O125" s="41"/>
      <c r="P125" s="41" t="str">
        <f>IFERROR((IF(VLOOKUP(F125,'Acompanhamento da Licitação'!$F$2:$O$1000,10,FALSE())="","",VLOOKUP(F125,'Acompanhamento da Licitação'!$F$2:$O$1000,10,FALSE()))),"")</f>
        <v/>
      </c>
      <c r="R125" s="61" t="str">
        <f>IFERROR(IF(F125&gt;0,(Final[[#This Row],[Valor da Venda Real]]-Final[[#This Row],[Valor de Compra Previsto]]-4%*Final[[#This Row],[Valor da Venda Real]])/Final[[#This Row],[Valor da Venda Real]],""),"")</f>
        <v/>
      </c>
      <c r="S125" s="61" t="str">
        <f t="shared" si="8"/>
        <v/>
      </c>
      <c r="T125" s="23" t="str">
        <f>IFERROR((R125*Final[[#This Row],[Valor da Venda Real]]*Final[[#This Row],[Quantidade ]]*S125),"")</f>
        <v/>
      </c>
    </row>
    <row r="126" spans="1:20" ht="15.75" x14ac:dyDescent="0.2">
      <c r="A126">
        <f>COUNTIF($C$2:C126,C126)</f>
        <v>125</v>
      </c>
      <c r="B126" s="1" t="str">
        <f t="shared" si="7"/>
        <v>125</v>
      </c>
      <c r="C126" s="1" t="str">
        <f>IFERROR(VLOOKUP(D126,'Planilha de Cadastro - Previsão'!$A$2:$N$1000,14,FALSE()),"")</f>
        <v/>
      </c>
      <c r="D126" s="1">
        <v>125</v>
      </c>
      <c r="F126" s="40" t="str">
        <f t="shared" si="5"/>
        <v/>
      </c>
      <c r="G126" s="40" t="str">
        <f>IF(F126="","",'Prosposta Inicial'!$O$2)</f>
        <v/>
      </c>
      <c r="H126" s="40" t="str">
        <f t="shared" si="10"/>
        <v xml:space="preserve"> </v>
      </c>
      <c r="I126" s="41" t="str">
        <f>IFERROR((VLOOKUP(F126,'Planilha de Cadastro - Previsão'!$A$2:$N$1100,2,FALSE()))," ")</f>
        <v xml:space="preserve"> </v>
      </c>
      <c r="J126" s="40" t="str">
        <f>IFERROR((VLOOKUP(F126,'Planilha de Cadastro - Previsão'!$A$2:$N$1100,3,FALSE()))," ")</f>
        <v xml:space="preserve"> </v>
      </c>
      <c r="K126" s="40"/>
      <c r="L126" s="42" t="str">
        <f>IFERROR((VLOOKUP(F126,'Planilha de Cadastro - Previsão'!$A$2:$N$1100,11,FALSE()))," ")</f>
        <v xml:space="preserve"> </v>
      </c>
      <c r="M126" s="41" t="str">
        <f>IFERROR((IF(VLOOKUP(F126,'Planilha de Cadastro - Previsão'!$A$2:$N$1100,10,FALSE())="","",VLOOKUP(F126,'Planilha de Cadastro - Previsão'!$A$2:$N$1100,10,FALSE()))),"")</f>
        <v/>
      </c>
      <c r="N126" s="41"/>
      <c r="O126" s="41"/>
      <c r="P126" s="41" t="str">
        <f>IFERROR((IF(VLOOKUP(F126,'Acompanhamento da Licitação'!$F$2:$O$1000,10,FALSE())="","",VLOOKUP(F126,'Acompanhamento da Licitação'!$F$2:$O$1000,10,FALSE()))),"")</f>
        <v/>
      </c>
      <c r="R126" s="61" t="str">
        <f>IFERROR(IF(F126&gt;0,(Final[[#This Row],[Valor da Venda Real]]-Final[[#This Row],[Valor de Compra Previsto]]-4%*Final[[#This Row],[Valor da Venda Real]])/Final[[#This Row],[Valor da Venda Real]],""),"")</f>
        <v/>
      </c>
      <c r="S126" s="61" t="str">
        <f t="shared" si="8"/>
        <v/>
      </c>
      <c r="T126" s="23" t="str">
        <f>IFERROR((R126*Final[[#This Row],[Valor da Venda Real]]*Final[[#This Row],[Quantidade ]]*S126),"")</f>
        <v/>
      </c>
    </row>
    <row r="127" spans="1:20" ht="15.75" x14ac:dyDescent="0.2">
      <c r="A127">
        <f>COUNTIF($C$2:C127,C127)</f>
        <v>126</v>
      </c>
      <c r="B127" s="1" t="str">
        <f t="shared" si="7"/>
        <v>126</v>
      </c>
      <c r="C127" s="1" t="str">
        <f>IFERROR(VLOOKUP(D127,'Planilha de Cadastro - Previsão'!$A$2:$N$1000,14,FALSE()),"")</f>
        <v/>
      </c>
      <c r="D127" s="1">
        <v>126</v>
      </c>
      <c r="F127" s="40" t="str">
        <f t="shared" si="5"/>
        <v/>
      </c>
      <c r="G127" s="40" t="str">
        <f>IF(F127="","",'Prosposta Inicial'!$O$2)</f>
        <v/>
      </c>
      <c r="H127" s="40" t="str">
        <f t="shared" si="10"/>
        <v xml:space="preserve"> </v>
      </c>
      <c r="I127" s="41" t="str">
        <f>IFERROR((VLOOKUP(F127,'Planilha de Cadastro - Previsão'!$A$2:$N$1100,2,FALSE()))," ")</f>
        <v xml:space="preserve"> </v>
      </c>
      <c r="J127" s="40" t="str">
        <f>IFERROR((VLOOKUP(F127,'Planilha de Cadastro - Previsão'!$A$2:$N$1100,3,FALSE()))," ")</f>
        <v xml:space="preserve"> </v>
      </c>
      <c r="K127" s="40"/>
      <c r="L127" s="42" t="str">
        <f>IFERROR((VLOOKUP(F127,'Planilha de Cadastro - Previsão'!$A$2:$N$1100,11,FALSE()))," ")</f>
        <v xml:space="preserve"> </v>
      </c>
      <c r="M127" s="41" t="str">
        <f>IFERROR((IF(VLOOKUP(F127,'Planilha de Cadastro - Previsão'!$A$2:$N$1100,10,FALSE())="","",VLOOKUP(F127,'Planilha de Cadastro - Previsão'!$A$2:$N$1100,10,FALSE()))),"")</f>
        <v/>
      </c>
      <c r="N127" s="41"/>
      <c r="O127" s="41"/>
      <c r="P127" s="41" t="str">
        <f>IFERROR((IF(VLOOKUP(F127,'Acompanhamento da Licitação'!$F$2:$O$1000,10,FALSE())="","",VLOOKUP(F127,'Acompanhamento da Licitação'!$F$2:$O$1000,10,FALSE()))),"")</f>
        <v/>
      </c>
      <c r="R127" s="61" t="str">
        <f>IFERROR(IF(F127&gt;0,(Final[[#This Row],[Valor da Venda Real]]-Final[[#This Row],[Valor de Compra Previsto]]-4%*Final[[#This Row],[Valor da Venda Real]])/Final[[#This Row],[Valor da Venda Real]],""),"")</f>
        <v/>
      </c>
      <c r="S127" s="61" t="str">
        <f t="shared" si="8"/>
        <v/>
      </c>
      <c r="T127" s="23" t="str">
        <f>IFERROR((R127*Final[[#This Row],[Valor da Venda Real]]*Final[[#This Row],[Quantidade ]]*S127),"")</f>
        <v/>
      </c>
    </row>
    <row r="128" spans="1:20" ht="15.75" x14ac:dyDescent="0.2">
      <c r="A128">
        <f>COUNTIF($C$2:C128,C128)</f>
        <v>127</v>
      </c>
      <c r="B128" s="1" t="str">
        <f t="shared" si="7"/>
        <v>127</v>
      </c>
      <c r="C128" s="1" t="str">
        <f>IFERROR(VLOOKUP(D128,'Planilha de Cadastro - Previsão'!$A$2:$N$1000,14,FALSE()),"")</f>
        <v/>
      </c>
      <c r="D128" s="1">
        <v>127</v>
      </c>
      <c r="F128" s="40" t="str">
        <f t="shared" si="5"/>
        <v/>
      </c>
      <c r="G128" s="40" t="str">
        <f>IF(F128="","",'Prosposta Inicial'!$O$2)</f>
        <v/>
      </c>
      <c r="H128" s="40" t="str">
        <f t="shared" si="10"/>
        <v xml:space="preserve"> </v>
      </c>
      <c r="I128" s="41" t="str">
        <f>IFERROR((VLOOKUP(F128,'Planilha de Cadastro - Previsão'!$A$2:$N$1100,2,FALSE()))," ")</f>
        <v xml:space="preserve"> </v>
      </c>
      <c r="J128" s="40" t="str">
        <f>IFERROR((VLOOKUP(F128,'Planilha de Cadastro - Previsão'!$A$2:$N$1100,3,FALSE()))," ")</f>
        <v xml:space="preserve"> </v>
      </c>
      <c r="K128" s="40"/>
      <c r="L128" s="42" t="str">
        <f>IFERROR((VLOOKUP(F128,'Planilha de Cadastro - Previsão'!$A$2:$N$1100,11,FALSE()))," ")</f>
        <v xml:space="preserve"> </v>
      </c>
      <c r="M128" s="41" t="str">
        <f>IFERROR((IF(VLOOKUP(F128,'Planilha de Cadastro - Previsão'!$A$2:$N$1100,10,FALSE())="","",VLOOKUP(F128,'Planilha de Cadastro - Previsão'!$A$2:$N$1100,10,FALSE()))),"")</f>
        <v/>
      </c>
      <c r="N128" s="41"/>
      <c r="O128" s="41"/>
      <c r="P128" s="41" t="str">
        <f>IFERROR((IF(VLOOKUP(F128,'Acompanhamento da Licitação'!$F$2:$O$1000,10,FALSE())="","",VLOOKUP(F128,'Acompanhamento da Licitação'!$F$2:$O$1000,10,FALSE()))),"")</f>
        <v/>
      </c>
      <c r="R128" s="61" t="str">
        <f>IFERROR(IF(F128&gt;0,(Final[[#This Row],[Valor da Venda Real]]-Final[[#This Row],[Valor de Compra Previsto]]-4%*Final[[#This Row],[Valor da Venda Real]])/Final[[#This Row],[Valor da Venda Real]],""),"")</f>
        <v/>
      </c>
      <c r="S128" s="61" t="str">
        <f t="shared" si="8"/>
        <v/>
      </c>
      <c r="T128" s="23" t="str">
        <f>IFERROR((R128*Final[[#This Row],[Valor da Venda Real]]*Final[[#This Row],[Quantidade ]]*S128),"")</f>
        <v/>
      </c>
    </row>
    <row r="129" spans="1:20" ht="15.75" x14ac:dyDescent="0.2">
      <c r="A129">
        <f>COUNTIF($C$2:C129,C129)</f>
        <v>128</v>
      </c>
      <c r="B129" s="1" t="str">
        <f t="shared" si="7"/>
        <v>128</v>
      </c>
      <c r="C129" s="1" t="str">
        <f>IFERROR(VLOOKUP(D129,'Planilha de Cadastro - Previsão'!$A$2:$N$1000,14,FALSE()),"")</f>
        <v/>
      </c>
      <c r="D129" s="1">
        <v>128</v>
      </c>
      <c r="F129" s="40" t="str">
        <f t="shared" si="5"/>
        <v/>
      </c>
      <c r="G129" s="40" t="str">
        <f>IF(F129="","",'Prosposta Inicial'!$O$2)</f>
        <v/>
      </c>
      <c r="H129" s="40" t="str">
        <f t="shared" si="10"/>
        <v xml:space="preserve"> </v>
      </c>
      <c r="I129" s="41" t="str">
        <f>IFERROR((VLOOKUP(F129,'Planilha de Cadastro - Previsão'!$A$2:$N$1100,2,FALSE()))," ")</f>
        <v xml:space="preserve"> </v>
      </c>
      <c r="J129" s="40" t="str">
        <f>IFERROR((VLOOKUP(F129,'Planilha de Cadastro - Previsão'!$A$2:$N$1100,3,FALSE()))," ")</f>
        <v xml:space="preserve"> </v>
      </c>
      <c r="K129" s="40"/>
      <c r="L129" s="42" t="str">
        <f>IFERROR((VLOOKUP(F129,'Planilha de Cadastro - Previsão'!$A$2:$N$1100,11,FALSE()))," ")</f>
        <v xml:space="preserve"> </v>
      </c>
      <c r="M129" s="41" t="str">
        <f>IFERROR((IF(VLOOKUP(F129,'Planilha de Cadastro - Previsão'!$A$2:$N$1100,10,FALSE())="","",VLOOKUP(F129,'Planilha de Cadastro - Previsão'!$A$2:$N$1100,10,FALSE()))),"")</f>
        <v/>
      </c>
      <c r="N129" s="41"/>
      <c r="O129" s="41"/>
      <c r="P129" s="41" t="str">
        <f>IFERROR((IF(VLOOKUP(F129,'Acompanhamento da Licitação'!$F$2:$O$1000,10,FALSE())="","",VLOOKUP(F129,'Acompanhamento da Licitação'!$F$2:$O$1000,10,FALSE()))),"")</f>
        <v/>
      </c>
      <c r="R129" s="61" t="str">
        <f>IFERROR(IF(F129&gt;0,(Final[[#This Row],[Valor da Venda Real]]-Final[[#This Row],[Valor de Compra Previsto]]-4%*Final[[#This Row],[Valor da Venda Real]])/Final[[#This Row],[Valor da Venda Real]],""),"")</f>
        <v/>
      </c>
      <c r="S129" s="61" t="str">
        <f t="shared" si="8"/>
        <v/>
      </c>
      <c r="T129" s="23" t="str">
        <f>IFERROR((R129*Final[[#This Row],[Valor da Venda Real]]*Final[[#This Row],[Quantidade ]]*S129),"")</f>
        <v/>
      </c>
    </row>
    <row r="130" spans="1:20" ht="15.75" x14ac:dyDescent="0.2">
      <c r="A130">
        <f>COUNTIF($C$2:C130,C130)</f>
        <v>129</v>
      </c>
      <c r="B130" s="1" t="str">
        <f t="shared" si="7"/>
        <v>129</v>
      </c>
      <c r="C130" s="1" t="str">
        <f>IFERROR(VLOOKUP(D130,'Planilha de Cadastro - Previsão'!$A$2:$N$1000,14,FALSE()),"")</f>
        <v/>
      </c>
      <c r="D130" s="1">
        <v>129</v>
      </c>
      <c r="F130" s="40" t="str">
        <f t="shared" ref="F130:F193" si="11">IFERROR((VLOOKUP(CONCATENATE("Sim",D130),$B$2:$D$1000,3,FALSE())),"")</f>
        <v/>
      </c>
      <c r="G130" s="40" t="str">
        <f>IF(F130="","",'Prosposta Inicial'!$O$2)</f>
        <v/>
      </c>
      <c r="H130" s="40" t="str">
        <f t="shared" si="10"/>
        <v xml:space="preserve"> </v>
      </c>
      <c r="I130" s="41" t="str">
        <f>IFERROR((VLOOKUP(F130,'Planilha de Cadastro - Previsão'!$A$2:$N$1100,2,FALSE()))," ")</f>
        <v xml:space="preserve"> </v>
      </c>
      <c r="J130" s="40" t="str">
        <f>IFERROR((VLOOKUP(F130,'Planilha de Cadastro - Previsão'!$A$2:$N$1100,3,FALSE()))," ")</f>
        <v xml:space="preserve"> </v>
      </c>
      <c r="K130" s="40"/>
      <c r="L130" s="42" t="str">
        <f>IFERROR((VLOOKUP(F130,'Planilha de Cadastro - Previsão'!$A$2:$N$1100,11,FALSE()))," ")</f>
        <v xml:space="preserve"> </v>
      </c>
      <c r="M130" s="41" t="str">
        <f>IFERROR((IF(VLOOKUP(F130,'Planilha de Cadastro - Previsão'!$A$2:$N$1100,10,FALSE())="","",VLOOKUP(F130,'Planilha de Cadastro - Previsão'!$A$2:$N$1100,10,FALSE()))),"")</f>
        <v/>
      </c>
      <c r="N130" s="41"/>
      <c r="O130" s="41"/>
      <c r="P130" s="41" t="str">
        <f>IFERROR((IF(VLOOKUP(F130,'Acompanhamento da Licitação'!$F$2:$O$1000,10,FALSE())="","",VLOOKUP(F130,'Acompanhamento da Licitação'!$F$2:$O$1000,10,FALSE()))),"")</f>
        <v/>
      </c>
      <c r="R130" s="61" t="str">
        <f>IFERROR(IF(F130&gt;0,(Final[[#This Row],[Valor da Venda Real]]-Final[[#This Row],[Valor de Compra Previsto]]-4%*Final[[#This Row],[Valor da Venda Real]])/Final[[#This Row],[Valor da Venda Real]],""),"")</f>
        <v/>
      </c>
      <c r="S130" s="61" t="str">
        <f t="shared" si="8"/>
        <v/>
      </c>
      <c r="T130" s="23" t="str">
        <f>IFERROR((R130*Final[[#This Row],[Valor da Venda Real]]*Final[[#This Row],[Quantidade ]]*S130),"")</f>
        <v/>
      </c>
    </row>
    <row r="131" spans="1:20" ht="15.75" x14ac:dyDescent="0.2">
      <c r="A131">
        <f>COUNTIF($C$2:C131,C131)</f>
        <v>130</v>
      </c>
      <c r="B131" s="1" t="str">
        <f t="shared" ref="B131:B194" si="12">IFERROR(CONCATENATE(C131,A131),"")</f>
        <v>130</v>
      </c>
      <c r="C131" s="1" t="str">
        <f>IFERROR(VLOOKUP(D131,'Planilha de Cadastro - Previsão'!$A$2:$N$1000,14,FALSE()),"")</f>
        <v/>
      </c>
      <c r="D131" s="1">
        <v>130</v>
      </c>
      <c r="F131" s="40" t="str">
        <f t="shared" si="11"/>
        <v/>
      </c>
      <c r="G131" s="40" t="str">
        <f>IF(F131="","",'Prosposta Inicial'!$O$2)</f>
        <v/>
      </c>
      <c r="H131" s="40" t="str">
        <f t="shared" si="10"/>
        <v xml:space="preserve"> </v>
      </c>
      <c r="I131" s="41" t="str">
        <f>IFERROR((VLOOKUP(F131,'Planilha de Cadastro - Previsão'!$A$2:$N$1100,2,FALSE()))," ")</f>
        <v xml:space="preserve"> </v>
      </c>
      <c r="J131" s="40" t="str">
        <f>IFERROR((VLOOKUP(F131,'Planilha de Cadastro - Previsão'!$A$2:$N$1100,3,FALSE()))," ")</f>
        <v xml:space="preserve"> </v>
      </c>
      <c r="K131" s="40"/>
      <c r="L131" s="42" t="str">
        <f>IFERROR((VLOOKUP(F131,'Planilha de Cadastro - Previsão'!$A$2:$N$1100,11,FALSE()))," ")</f>
        <v xml:space="preserve"> </v>
      </c>
      <c r="M131" s="41" t="str">
        <f>IFERROR((IF(VLOOKUP(F131,'Planilha de Cadastro - Previsão'!$A$2:$N$1100,10,FALSE())="","",VLOOKUP(F131,'Planilha de Cadastro - Previsão'!$A$2:$N$1100,10,FALSE()))),"")</f>
        <v/>
      </c>
      <c r="N131" s="41"/>
      <c r="O131" s="41"/>
      <c r="P131" s="41" t="str">
        <f>IFERROR((IF(VLOOKUP(F131,'Acompanhamento da Licitação'!$F$2:$O$1000,10,FALSE())="","",VLOOKUP(F131,'Acompanhamento da Licitação'!$F$2:$O$1000,10,FALSE()))),"")</f>
        <v/>
      </c>
      <c r="R131" s="61" t="str">
        <f>IFERROR(IF(F131&gt;0,(Final[[#This Row],[Valor da Venda Real]]-Final[[#This Row],[Valor de Compra Previsto]]-4%*Final[[#This Row],[Valor da Venda Real]])/Final[[#This Row],[Valor da Venda Real]],""),"")</f>
        <v/>
      </c>
      <c r="S131" s="61" t="str">
        <f t="shared" ref="S131:S194" si="13">IF(R131="","",IF(R131&lt;0.2,0.05,IF(R131&lt;0.25,0.1,IF(R131&lt;0.3,0.15,IF(R131&lt;0.35,0.2,IF(R131&lt;0.45,0.25,IF(R131&lt;0.5,0.3,IF(R131&lt;0.6,0.35,0.4))))))))</f>
        <v/>
      </c>
      <c r="T131" s="23" t="str">
        <f>IFERROR((R131*Final[[#This Row],[Valor da Venda Real]]*Final[[#This Row],[Quantidade ]]*S131),"")</f>
        <v/>
      </c>
    </row>
    <row r="132" spans="1:20" ht="15.75" x14ac:dyDescent="0.2">
      <c r="A132">
        <f>COUNTIF($C$2:C132,C132)</f>
        <v>131</v>
      </c>
      <c r="B132" s="1" t="str">
        <f t="shared" si="12"/>
        <v>131</v>
      </c>
      <c r="C132" s="1" t="str">
        <f>IFERROR(VLOOKUP(D132,'Planilha de Cadastro - Previsão'!$A$2:$N$1000,14,FALSE()),"")</f>
        <v/>
      </c>
      <c r="D132" s="1">
        <v>131</v>
      </c>
      <c r="F132" s="40" t="str">
        <f t="shared" si="11"/>
        <v/>
      </c>
      <c r="G132" s="40" t="str">
        <f>IF(F132="","",'Prosposta Inicial'!$O$2)</f>
        <v/>
      </c>
      <c r="H132" s="40" t="str">
        <f t="shared" si="10"/>
        <v xml:space="preserve"> </v>
      </c>
      <c r="I132" s="41" t="str">
        <f>IFERROR((VLOOKUP(F132,'Planilha de Cadastro - Previsão'!$A$2:$N$1100,2,FALSE()))," ")</f>
        <v xml:space="preserve"> </v>
      </c>
      <c r="J132" s="40" t="str">
        <f>IFERROR((VLOOKUP(F132,'Planilha de Cadastro - Previsão'!$A$2:$N$1100,3,FALSE()))," ")</f>
        <v xml:space="preserve"> </v>
      </c>
      <c r="K132" s="40"/>
      <c r="L132" s="42" t="str">
        <f>IFERROR((VLOOKUP(F132,'Planilha de Cadastro - Previsão'!$A$2:$N$1100,11,FALSE()))," ")</f>
        <v xml:space="preserve"> </v>
      </c>
      <c r="M132" s="41" t="str">
        <f>IFERROR((IF(VLOOKUP(F132,'Planilha de Cadastro - Previsão'!$A$2:$N$1100,10,FALSE())="","",VLOOKUP(F132,'Planilha de Cadastro - Previsão'!$A$2:$N$1100,10,FALSE()))),"")</f>
        <v/>
      </c>
      <c r="N132" s="41"/>
      <c r="O132" s="41"/>
      <c r="P132" s="41" t="str">
        <f>IFERROR((IF(VLOOKUP(F132,'Acompanhamento da Licitação'!$F$2:$O$1000,10,FALSE())="","",VLOOKUP(F132,'Acompanhamento da Licitação'!$F$2:$O$1000,10,FALSE()))),"")</f>
        <v/>
      </c>
      <c r="R132" s="61" t="str">
        <f>IFERROR(IF(F132&gt;0,(Final[[#This Row],[Valor da Venda Real]]-Final[[#This Row],[Valor de Compra Previsto]]-4%*Final[[#This Row],[Valor da Venda Real]])/Final[[#This Row],[Valor da Venda Real]],""),"")</f>
        <v/>
      </c>
      <c r="S132" s="61" t="str">
        <f t="shared" si="13"/>
        <v/>
      </c>
      <c r="T132" s="23" t="str">
        <f>IFERROR((R132*Final[[#This Row],[Valor da Venda Real]]*Final[[#This Row],[Quantidade ]]*S132),"")</f>
        <v/>
      </c>
    </row>
    <row r="133" spans="1:20" ht="15.75" x14ac:dyDescent="0.2">
      <c r="A133">
        <f>COUNTIF($C$2:C133,C133)</f>
        <v>132</v>
      </c>
      <c r="B133" s="1" t="str">
        <f t="shared" si="12"/>
        <v>132</v>
      </c>
      <c r="C133" s="1" t="str">
        <f>IFERROR(VLOOKUP(D133,'Planilha de Cadastro - Previsão'!$A$2:$N$1000,14,FALSE()),"")</f>
        <v/>
      </c>
      <c r="D133" s="1">
        <v>132</v>
      </c>
      <c r="F133" s="40" t="str">
        <f t="shared" si="11"/>
        <v/>
      </c>
      <c r="G133" s="40" t="str">
        <f>IF(F133="","",'Prosposta Inicial'!$O$2)</f>
        <v/>
      </c>
      <c r="H133" s="40" t="str">
        <f t="shared" si="10"/>
        <v xml:space="preserve"> </v>
      </c>
      <c r="I133" s="41" t="str">
        <f>IFERROR((VLOOKUP(F133,'Planilha de Cadastro - Previsão'!$A$2:$N$1100,2,FALSE()))," ")</f>
        <v xml:space="preserve"> </v>
      </c>
      <c r="J133" s="40" t="str">
        <f>IFERROR((VLOOKUP(F133,'Planilha de Cadastro - Previsão'!$A$2:$N$1100,3,FALSE()))," ")</f>
        <v xml:space="preserve"> </v>
      </c>
      <c r="K133" s="40"/>
      <c r="L133" s="42" t="str">
        <f>IFERROR((VLOOKUP(F133,'Planilha de Cadastro - Previsão'!$A$2:$N$1100,11,FALSE()))," ")</f>
        <v xml:space="preserve"> </v>
      </c>
      <c r="M133" s="41" t="str">
        <f>IFERROR((IF(VLOOKUP(F133,'Planilha de Cadastro - Previsão'!$A$2:$N$1100,10,FALSE())="","",VLOOKUP(F133,'Planilha de Cadastro - Previsão'!$A$2:$N$1100,10,FALSE()))),"")</f>
        <v/>
      </c>
      <c r="N133" s="41"/>
      <c r="O133" s="41"/>
      <c r="P133" s="41" t="str">
        <f>IFERROR((IF(VLOOKUP(F133,'Acompanhamento da Licitação'!$F$2:$O$1000,10,FALSE())="","",VLOOKUP(F133,'Acompanhamento da Licitação'!$F$2:$O$1000,10,FALSE()))),"")</f>
        <v/>
      </c>
      <c r="R133" s="61" t="str">
        <f>IFERROR(IF(F133&gt;0,(Final[[#This Row],[Valor da Venda Real]]-Final[[#This Row],[Valor de Compra Previsto]]-4%*Final[[#This Row],[Valor da Venda Real]])/Final[[#This Row],[Valor da Venda Real]],""),"")</f>
        <v/>
      </c>
      <c r="S133" s="61" t="str">
        <f t="shared" si="13"/>
        <v/>
      </c>
      <c r="T133" s="23" t="str">
        <f>IFERROR((R133*Final[[#This Row],[Valor da Venda Real]]*Final[[#This Row],[Quantidade ]]*S133),"")</f>
        <v/>
      </c>
    </row>
    <row r="134" spans="1:20" ht="15.75" x14ac:dyDescent="0.2">
      <c r="A134">
        <f>COUNTIF($C$2:C134,C134)</f>
        <v>133</v>
      </c>
      <c r="B134" s="1" t="str">
        <f t="shared" si="12"/>
        <v>133</v>
      </c>
      <c r="C134" s="1" t="str">
        <f>IFERROR(VLOOKUP(D134,'Planilha de Cadastro - Previsão'!$A$2:$N$1000,14,FALSE()),"")</f>
        <v/>
      </c>
      <c r="D134" s="1">
        <v>133</v>
      </c>
      <c r="F134" s="40" t="str">
        <f t="shared" si="11"/>
        <v/>
      </c>
      <c r="G134" s="40" t="str">
        <f>IF(F134="","",'Prosposta Inicial'!$O$2)</f>
        <v/>
      </c>
      <c r="H134" s="40" t="str">
        <f t="shared" si="10"/>
        <v xml:space="preserve"> </v>
      </c>
      <c r="I134" s="41" t="str">
        <f>IFERROR((VLOOKUP(F134,'Planilha de Cadastro - Previsão'!$A$2:$N$1100,2,FALSE()))," ")</f>
        <v xml:space="preserve"> </v>
      </c>
      <c r="J134" s="40" t="str">
        <f>IFERROR((VLOOKUP(F134,'Planilha de Cadastro - Previsão'!$A$2:$N$1100,3,FALSE()))," ")</f>
        <v xml:space="preserve"> </v>
      </c>
      <c r="K134" s="40"/>
      <c r="L134" s="42" t="str">
        <f>IFERROR((VLOOKUP(F134,'Planilha de Cadastro - Previsão'!$A$2:$N$1100,11,FALSE()))," ")</f>
        <v xml:space="preserve"> </v>
      </c>
      <c r="M134" s="41" t="str">
        <f>IFERROR((IF(VLOOKUP(F134,'Planilha de Cadastro - Previsão'!$A$2:$N$1100,10,FALSE())="","",VLOOKUP(F134,'Planilha de Cadastro - Previsão'!$A$2:$N$1100,10,FALSE()))),"")</f>
        <v/>
      </c>
      <c r="N134" s="41"/>
      <c r="O134" s="41"/>
      <c r="P134" s="41" t="str">
        <f>IFERROR((IF(VLOOKUP(F134,'Acompanhamento da Licitação'!$F$2:$O$1000,10,FALSE())="","",VLOOKUP(F134,'Acompanhamento da Licitação'!$F$2:$O$1000,10,FALSE()))),"")</f>
        <v/>
      </c>
      <c r="R134" s="61" t="str">
        <f>IFERROR(IF(F134&gt;0,(Final[[#This Row],[Valor da Venda Real]]-Final[[#This Row],[Valor de Compra Previsto]]-4%*Final[[#This Row],[Valor da Venda Real]])/Final[[#This Row],[Valor da Venda Real]],""),"")</f>
        <v/>
      </c>
      <c r="S134" s="61" t="str">
        <f t="shared" si="13"/>
        <v/>
      </c>
      <c r="T134" s="23" t="str">
        <f>IFERROR((R134*Final[[#This Row],[Valor da Venda Real]]*Final[[#This Row],[Quantidade ]]*S134),"")</f>
        <v/>
      </c>
    </row>
    <row r="135" spans="1:20" ht="15.75" x14ac:dyDescent="0.2">
      <c r="A135">
        <f>COUNTIF($C$2:C135,C135)</f>
        <v>134</v>
      </c>
      <c r="B135" s="1" t="str">
        <f t="shared" si="12"/>
        <v>134</v>
      </c>
      <c r="C135" s="1" t="str">
        <f>IFERROR(VLOOKUP(D135,'Planilha de Cadastro - Previsão'!$A$2:$N$1000,14,FALSE()),"")</f>
        <v/>
      </c>
      <c r="D135" s="1">
        <v>134</v>
      </c>
      <c r="F135" s="40" t="str">
        <f t="shared" si="11"/>
        <v/>
      </c>
      <c r="G135" s="40" t="str">
        <f>IF(F135="","",'Prosposta Inicial'!$O$2)</f>
        <v/>
      </c>
      <c r="H135" s="40" t="str">
        <f t="shared" si="10"/>
        <v xml:space="preserve"> </v>
      </c>
      <c r="I135" s="41" t="str">
        <f>IFERROR((VLOOKUP(F135,'Planilha de Cadastro - Previsão'!$A$2:$N$1100,2,FALSE()))," ")</f>
        <v xml:space="preserve"> </v>
      </c>
      <c r="J135" s="40" t="str">
        <f>IFERROR((VLOOKUP(F135,'Planilha de Cadastro - Previsão'!$A$2:$N$1100,3,FALSE()))," ")</f>
        <v xml:space="preserve"> </v>
      </c>
      <c r="K135" s="40"/>
      <c r="L135" s="42" t="str">
        <f>IFERROR((VLOOKUP(F135,'Planilha de Cadastro - Previsão'!$A$2:$N$1100,11,FALSE()))," ")</f>
        <v xml:space="preserve"> </v>
      </c>
      <c r="M135" s="41" t="str">
        <f>IFERROR((IF(VLOOKUP(F135,'Planilha de Cadastro - Previsão'!$A$2:$N$1100,10,FALSE())="","",VLOOKUP(F135,'Planilha de Cadastro - Previsão'!$A$2:$N$1100,10,FALSE()))),"")</f>
        <v/>
      </c>
      <c r="N135" s="41"/>
      <c r="O135" s="41"/>
      <c r="P135" s="41" t="str">
        <f>IFERROR((IF(VLOOKUP(F135,'Acompanhamento da Licitação'!$F$2:$O$1000,10,FALSE())="","",VLOOKUP(F135,'Acompanhamento da Licitação'!$F$2:$O$1000,10,FALSE()))),"")</f>
        <v/>
      </c>
      <c r="R135" s="61" t="str">
        <f>IFERROR(IF(F135&gt;0,(Final[[#This Row],[Valor da Venda Real]]-Final[[#This Row],[Valor de Compra Previsto]]-4%*Final[[#This Row],[Valor da Venda Real]])/Final[[#This Row],[Valor da Venda Real]],""),"")</f>
        <v/>
      </c>
      <c r="S135" s="61" t="str">
        <f t="shared" si="13"/>
        <v/>
      </c>
      <c r="T135" s="23" t="str">
        <f>IFERROR((R135*Final[[#This Row],[Valor da Venda Real]]*Final[[#This Row],[Quantidade ]]*S135),"")</f>
        <v/>
      </c>
    </row>
    <row r="136" spans="1:20" ht="15.75" x14ac:dyDescent="0.2">
      <c r="A136">
        <f>COUNTIF($C$2:C136,C136)</f>
        <v>135</v>
      </c>
      <c r="B136" s="1" t="str">
        <f t="shared" si="12"/>
        <v>135</v>
      </c>
      <c r="C136" s="1" t="str">
        <f>IFERROR(VLOOKUP(D136,'Planilha de Cadastro - Previsão'!$A$2:$N$1000,14,FALSE()),"")</f>
        <v/>
      </c>
      <c r="D136" s="1">
        <v>135</v>
      </c>
      <c r="F136" s="40" t="str">
        <f t="shared" si="11"/>
        <v/>
      </c>
      <c r="G136" s="40" t="str">
        <f>IF(F136="","",'Prosposta Inicial'!$O$2)</f>
        <v/>
      </c>
      <c r="H136" s="40" t="str">
        <f t="shared" si="10"/>
        <v xml:space="preserve"> </v>
      </c>
      <c r="I136" s="41" t="str">
        <f>IFERROR((VLOOKUP(F136,'Planilha de Cadastro - Previsão'!$A$2:$N$1100,2,FALSE()))," ")</f>
        <v xml:space="preserve"> </v>
      </c>
      <c r="J136" s="40" t="str">
        <f>IFERROR((VLOOKUP(F136,'Planilha de Cadastro - Previsão'!$A$2:$N$1100,3,FALSE()))," ")</f>
        <v xml:space="preserve"> </v>
      </c>
      <c r="K136" s="40"/>
      <c r="L136" s="42" t="str">
        <f>IFERROR((VLOOKUP(F136,'Planilha de Cadastro - Previsão'!$A$2:$N$1100,11,FALSE()))," ")</f>
        <v xml:space="preserve"> </v>
      </c>
      <c r="M136" s="41" t="str">
        <f>IFERROR((IF(VLOOKUP(F136,'Planilha de Cadastro - Previsão'!$A$2:$N$1100,10,FALSE())="","",VLOOKUP(F136,'Planilha de Cadastro - Previsão'!$A$2:$N$1100,10,FALSE()))),"")</f>
        <v/>
      </c>
      <c r="N136" s="41"/>
      <c r="O136" s="41"/>
      <c r="P136" s="41" t="str">
        <f>IFERROR((IF(VLOOKUP(F136,'Acompanhamento da Licitação'!$F$2:$O$1000,10,FALSE())="","",VLOOKUP(F136,'Acompanhamento da Licitação'!$F$2:$O$1000,10,FALSE()))),"")</f>
        <v/>
      </c>
      <c r="R136" s="61" t="str">
        <f>IFERROR(IF(F136&gt;0,(Final[[#This Row],[Valor da Venda Real]]-Final[[#This Row],[Valor de Compra Previsto]]-4%*Final[[#This Row],[Valor da Venda Real]])/Final[[#This Row],[Valor da Venda Real]],""),"")</f>
        <v/>
      </c>
      <c r="S136" s="61" t="str">
        <f t="shared" si="13"/>
        <v/>
      </c>
      <c r="T136" s="23" t="str">
        <f>IFERROR((R136*Final[[#This Row],[Valor da Venda Real]]*Final[[#This Row],[Quantidade ]]*S136),"")</f>
        <v/>
      </c>
    </row>
    <row r="137" spans="1:20" ht="15.75" x14ac:dyDescent="0.2">
      <c r="A137">
        <f>COUNTIF($C$2:C137,C137)</f>
        <v>136</v>
      </c>
      <c r="B137" s="1" t="str">
        <f t="shared" si="12"/>
        <v>136</v>
      </c>
      <c r="C137" s="1" t="str">
        <f>IFERROR(VLOOKUP(D137,'Planilha de Cadastro - Previsão'!$A$2:$N$1000,14,FALSE()),"")</f>
        <v/>
      </c>
      <c r="D137" s="1">
        <v>136</v>
      </c>
      <c r="F137" s="40" t="str">
        <f t="shared" si="11"/>
        <v/>
      </c>
      <c r="G137" s="40" t="str">
        <f>IF(F137="","",'Prosposta Inicial'!$O$2)</f>
        <v/>
      </c>
      <c r="H137" s="40" t="str">
        <f t="shared" si="10"/>
        <v xml:space="preserve"> </v>
      </c>
      <c r="I137" s="41" t="str">
        <f>IFERROR((VLOOKUP(F137,'Planilha de Cadastro - Previsão'!$A$2:$N$1100,2,FALSE()))," ")</f>
        <v xml:space="preserve"> </v>
      </c>
      <c r="J137" s="40" t="str">
        <f>IFERROR((VLOOKUP(F137,'Planilha de Cadastro - Previsão'!$A$2:$N$1100,3,FALSE()))," ")</f>
        <v xml:space="preserve"> </v>
      </c>
      <c r="K137" s="40"/>
      <c r="L137" s="42" t="str">
        <f>IFERROR((VLOOKUP(F137,'Planilha de Cadastro - Previsão'!$A$2:$N$1100,11,FALSE()))," ")</f>
        <v xml:space="preserve"> </v>
      </c>
      <c r="M137" s="41" t="str">
        <f>IFERROR((IF(VLOOKUP(F137,'Planilha de Cadastro - Previsão'!$A$2:$N$1100,10,FALSE())="","",VLOOKUP(F137,'Planilha de Cadastro - Previsão'!$A$2:$N$1100,10,FALSE()))),"")</f>
        <v/>
      </c>
      <c r="N137" s="41"/>
      <c r="O137" s="41"/>
      <c r="P137" s="41" t="str">
        <f>IFERROR((IF(VLOOKUP(F137,'Acompanhamento da Licitação'!$F$2:$O$1000,10,FALSE())="","",VLOOKUP(F137,'Acompanhamento da Licitação'!$F$2:$O$1000,10,FALSE()))),"")</f>
        <v/>
      </c>
      <c r="R137" s="61" t="str">
        <f>IFERROR(IF(F137&gt;0,(Final[[#This Row],[Valor da Venda Real]]-Final[[#This Row],[Valor de Compra Previsto]]-4%*Final[[#This Row],[Valor da Venda Real]])/Final[[#This Row],[Valor da Venda Real]],""),"")</f>
        <v/>
      </c>
      <c r="S137" s="61" t="str">
        <f t="shared" si="13"/>
        <v/>
      </c>
      <c r="T137" s="23" t="str">
        <f>IFERROR((R137*Final[[#This Row],[Valor da Venda Real]]*Final[[#This Row],[Quantidade ]]*S137),"")</f>
        <v/>
      </c>
    </row>
    <row r="138" spans="1:20" ht="15.75" x14ac:dyDescent="0.2">
      <c r="A138">
        <f>COUNTIF($C$2:C138,C138)</f>
        <v>137</v>
      </c>
      <c r="B138" s="1" t="str">
        <f t="shared" si="12"/>
        <v>137</v>
      </c>
      <c r="C138" s="1" t="str">
        <f>IFERROR(VLOOKUP(D138,'Planilha de Cadastro - Previsão'!$A$2:$N$1000,14,FALSE()),"")</f>
        <v/>
      </c>
      <c r="D138" s="1">
        <v>137</v>
      </c>
      <c r="F138" s="40" t="str">
        <f t="shared" si="11"/>
        <v/>
      </c>
      <c r="G138" s="40" t="str">
        <f>IF(F138="","",'Prosposta Inicial'!$O$2)</f>
        <v/>
      </c>
      <c r="H138" s="40" t="str">
        <f t="shared" si="10"/>
        <v xml:space="preserve"> </v>
      </c>
      <c r="I138" s="41" t="str">
        <f>IFERROR((VLOOKUP(F138,'Planilha de Cadastro - Previsão'!$A$2:$N$1100,2,FALSE()))," ")</f>
        <v xml:space="preserve"> </v>
      </c>
      <c r="J138" s="40" t="str">
        <f>IFERROR((VLOOKUP(F138,'Planilha de Cadastro - Previsão'!$A$2:$N$1100,3,FALSE()))," ")</f>
        <v xml:space="preserve"> </v>
      </c>
      <c r="K138" s="40"/>
      <c r="L138" s="42" t="str">
        <f>IFERROR((VLOOKUP(F138,'Planilha de Cadastro - Previsão'!$A$2:$N$1100,11,FALSE()))," ")</f>
        <v xml:space="preserve"> </v>
      </c>
      <c r="M138" s="41" t="str">
        <f>IFERROR((IF(VLOOKUP(F138,'Planilha de Cadastro - Previsão'!$A$2:$N$1100,10,FALSE())="","",VLOOKUP(F138,'Planilha de Cadastro - Previsão'!$A$2:$N$1100,10,FALSE()))),"")</f>
        <v/>
      </c>
      <c r="N138" s="41"/>
      <c r="O138" s="41"/>
      <c r="P138" s="41" t="str">
        <f>IFERROR((IF(VLOOKUP(F138,'Acompanhamento da Licitação'!$F$2:$O$1000,10,FALSE())="","",VLOOKUP(F138,'Acompanhamento da Licitação'!$F$2:$O$1000,10,FALSE()))),"")</f>
        <v/>
      </c>
      <c r="R138" s="61" t="str">
        <f>IFERROR(IF(F138&gt;0,(Final[[#This Row],[Valor da Venda Real]]-Final[[#This Row],[Valor de Compra Previsto]]-4%*Final[[#This Row],[Valor da Venda Real]])/Final[[#This Row],[Valor da Venda Real]],""),"")</f>
        <v/>
      </c>
      <c r="S138" s="61" t="str">
        <f t="shared" si="13"/>
        <v/>
      </c>
      <c r="T138" s="23" t="str">
        <f>IFERROR((R138*Final[[#This Row],[Valor da Venda Real]]*Final[[#This Row],[Quantidade ]]*S138),"")</f>
        <v/>
      </c>
    </row>
    <row r="139" spans="1:20" ht="15.75" x14ac:dyDescent="0.2">
      <c r="A139">
        <f>COUNTIF($C$2:C139,C139)</f>
        <v>138</v>
      </c>
      <c r="B139" s="1" t="str">
        <f t="shared" si="12"/>
        <v>138</v>
      </c>
      <c r="C139" s="1" t="str">
        <f>IFERROR(VLOOKUP(D139,'Planilha de Cadastro - Previsão'!$A$2:$N$1000,14,FALSE()),"")</f>
        <v/>
      </c>
      <c r="D139" s="1">
        <v>138</v>
      </c>
      <c r="F139" s="40" t="str">
        <f t="shared" si="11"/>
        <v/>
      </c>
      <c r="G139" s="40" t="str">
        <f>IF(F139="","",'Prosposta Inicial'!$O$2)</f>
        <v/>
      </c>
      <c r="H139" s="40" t="str">
        <f t="shared" si="10"/>
        <v xml:space="preserve"> </v>
      </c>
      <c r="I139" s="41" t="str">
        <f>IFERROR((VLOOKUP(F139,'Planilha de Cadastro - Previsão'!$A$2:$N$1100,2,FALSE()))," ")</f>
        <v xml:space="preserve"> </v>
      </c>
      <c r="J139" s="40" t="str">
        <f>IFERROR((VLOOKUP(F139,'Planilha de Cadastro - Previsão'!$A$2:$N$1100,3,FALSE()))," ")</f>
        <v xml:space="preserve"> </v>
      </c>
      <c r="K139" s="40"/>
      <c r="L139" s="42" t="str">
        <f>IFERROR((VLOOKUP(F139,'Planilha de Cadastro - Previsão'!$A$2:$N$1100,11,FALSE()))," ")</f>
        <v xml:space="preserve"> </v>
      </c>
      <c r="M139" s="41" t="str">
        <f>IFERROR((IF(VLOOKUP(F139,'Planilha de Cadastro - Previsão'!$A$2:$N$1100,10,FALSE())="","",VLOOKUP(F139,'Planilha de Cadastro - Previsão'!$A$2:$N$1100,10,FALSE()))),"")</f>
        <v/>
      </c>
      <c r="N139" s="41"/>
      <c r="O139" s="41"/>
      <c r="P139" s="41" t="str">
        <f>IFERROR((IF(VLOOKUP(F139,'Acompanhamento da Licitação'!$F$2:$O$1000,10,FALSE())="","",VLOOKUP(F139,'Acompanhamento da Licitação'!$F$2:$O$1000,10,FALSE()))),"")</f>
        <v/>
      </c>
      <c r="R139" s="61" t="str">
        <f>IFERROR(IF(F139&gt;0,(Final[[#This Row],[Valor da Venda Real]]-Final[[#This Row],[Valor de Compra Previsto]]-4%*Final[[#This Row],[Valor da Venda Real]])/Final[[#This Row],[Valor da Venda Real]],""),"")</f>
        <v/>
      </c>
      <c r="S139" s="61" t="str">
        <f t="shared" si="13"/>
        <v/>
      </c>
      <c r="T139" s="23" t="str">
        <f>IFERROR((R139*Final[[#This Row],[Valor da Venda Real]]*Final[[#This Row],[Quantidade ]]*S139),"")</f>
        <v/>
      </c>
    </row>
    <row r="140" spans="1:20" ht="15.75" x14ac:dyDescent="0.2">
      <c r="A140">
        <f>COUNTIF($C$2:C140,C140)</f>
        <v>139</v>
      </c>
      <c r="B140" s="1" t="str">
        <f t="shared" si="12"/>
        <v>139</v>
      </c>
      <c r="C140" s="1" t="str">
        <f>IFERROR(VLOOKUP(D140,'Planilha de Cadastro - Previsão'!$A$2:$N$1000,14,FALSE()),"")</f>
        <v/>
      </c>
      <c r="D140" s="1">
        <v>139</v>
      </c>
      <c r="F140" s="40" t="str">
        <f t="shared" si="11"/>
        <v/>
      </c>
      <c r="G140" s="40" t="str">
        <f>IF(F140="","",'Prosposta Inicial'!$O$2)</f>
        <v/>
      </c>
      <c r="H140" s="40" t="str">
        <f t="shared" si="10"/>
        <v xml:space="preserve"> </v>
      </c>
      <c r="I140" s="41" t="str">
        <f>IFERROR((VLOOKUP(F140,'Planilha de Cadastro - Previsão'!$A$2:$N$1100,2,FALSE()))," ")</f>
        <v xml:space="preserve"> </v>
      </c>
      <c r="J140" s="40" t="str">
        <f>IFERROR((VLOOKUP(F140,'Planilha de Cadastro - Previsão'!$A$2:$N$1100,3,FALSE()))," ")</f>
        <v xml:space="preserve"> </v>
      </c>
      <c r="K140" s="40"/>
      <c r="L140" s="42" t="str">
        <f>IFERROR((VLOOKUP(F140,'Planilha de Cadastro - Previsão'!$A$2:$N$1100,11,FALSE()))," ")</f>
        <v xml:space="preserve"> </v>
      </c>
      <c r="M140" s="41" t="str">
        <f>IFERROR((IF(VLOOKUP(F140,'Planilha de Cadastro - Previsão'!$A$2:$N$1100,10,FALSE())="","",VLOOKUP(F140,'Planilha de Cadastro - Previsão'!$A$2:$N$1100,10,FALSE()))),"")</f>
        <v/>
      </c>
      <c r="N140" s="41"/>
      <c r="O140" s="41"/>
      <c r="P140" s="41" t="str">
        <f>IFERROR((IF(VLOOKUP(F140,'Acompanhamento da Licitação'!$F$2:$O$1000,10,FALSE())="","",VLOOKUP(F140,'Acompanhamento da Licitação'!$F$2:$O$1000,10,FALSE()))),"")</f>
        <v/>
      </c>
      <c r="R140" s="61" t="str">
        <f>IFERROR(IF(F140&gt;0,(Final[[#This Row],[Valor da Venda Real]]-Final[[#This Row],[Valor de Compra Previsto]]-4%*Final[[#This Row],[Valor da Venda Real]])/Final[[#This Row],[Valor da Venda Real]],""),"")</f>
        <v/>
      </c>
      <c r="S140" s="61" t="str">
        <f t="shared" si="13"/>
        <v/>
      </c>
      <c r="T140" s="23" t="str">
        <f>IFERROR((R140*Final[[#This Row],[Valor da Venda Real]]*Final[[#This Row],[Quantidade ]]*S140),"")</f>
        <v/>
      </c>
    </row>
    <row r="141" spans="1:20" ht="15.75" x14ac:dyDescent="0.2">
      <c r="A141">
        <f>COUNTIF($C$2:C141,C141)</f>
        <v>140</v>
      </c>
      <c r="B141" s="1" t="str">
        <f t="shared" si="12"/>
        <v>140</v>
      </c>
      <c r="C141" s="1" t="str">
        <f>IFERROR(VLOOKUP(D141,'Planilha de Cadastro - Previsão'!$A$2:$N$1000,14,FALSE()),"")</f>
        <v/>
      </c>
      <c r="D141" s="1">
        <v>140</v>
      </c>
      <c r="F141" s="40" t="str">
        <f t="shared" si="11"/>
        <v/>
      </c>
      <c r="G141" s="40" t="str">
        <f>IF(F141="","",'Prosposta Inicial'!$O$2)</f>
        <v/>
      </c>
      <c r="H141" s="40" t="str">
        <f t="shared" si="10"/>
        <v xml:space="preserve"> </v>
      </c>
      <c r="I141" s="41" t="str">
        <f>IFERROR((VLOOKUP(F141,'Planilha de Cadastro - Previsão'!$A$2:$N$1100,2,FALSE()))," ")</f>
        <v xml:space="preserve"> </v>
      </c>
      <c r="J141" s="40" t="str">
        <f>IFERROR((VLOOKUP(F141,'Planilha de Cadastro - Previsão'!$A$2:$N$1100,3,FALSE()))," ")</f>
        <v xml:space="preserve"> </v>
      </c>
      <c r="K141" s="40"/>
      <c r="L141" s="42" t="str">
        <f>IFERROR((VLOOKUP(F141,'Planilha de Cadastro - Previsão'!$A$2:$N$1100,11,FALSE()))," ")</f>
        <v xml:space="preserve"> </v>
      </c>
      <c r="M141" s="41" t="str">
        <f>IFERROR((IF(VLOOKUP(F141,'Planilha de Cadastro - Previsão'!$A$2:$N$1100,10,FALSE())="","",VLOOKUP(F141,'Planilha de Cadastro - Previsão'!$A$2:$N$1100,10,FALSE()))),"")</f>
        <v/>
      </c>
      <c r="N141" s="41"/>
      <c r="O141" s="41"/>
      <c r="P141" s="41" t="str">
        <f>IFERROR((IF(VLOOKUP(F141,'Acompanhamento da Licitação'!$F$2:$O$1000,10,FALSE())="","",VLOOKUP(F141,'Acompanhamento da Licitação'!$F$2:$O$1000,10,FALSE()))),"")</f>
        <v/>
      </c>
      <c r="R141" s="61" t="str">
        <f>IFERROR(IF(F141&gt;0,(Final[[#This Row],[Valor da Venda Real]]-Final[[#This Row],[Valor de Compra Previsto]]-4%*Final[[#This Row],[Valor da Venda Real]])/Final[[#This Row],[Valor da Venda Real]],""),"")</f>
        <v/>
      </c>
      <c r="S141" s="61" t="str">
        <f t="shared" si="13"/>
        <v/>
      </c>
      <c r="T141" s="23" t="str">
        <f>IFERROR((R141*Final[[#This Row],[Valor da Venda Real]]*Final[[#This Row],[Quantidade ]]*S141),"")</f>
        <v/>
      </c>
    </row>
    <row r="142" spans="1:20" ht="15.75" x14ac:dyDescent="0.2">
      <c r="A142">
        <f>COUNTIF($C$2:C142,C142)</f>
        <v>141</v>
      </c>
      <c r="B142" s="1" t="str">
        <f t="shared" si="12"/>
        <v>141</v>
      </c>
      <c r="C142" s="1" t="str">
        <f>IFERROR(VLOOKUP(D142,'Planilha de Cadastro - Previsão'!$A$2:$N$1000,14,FALSE()),"")</f>
        <v/>
      </c>
      <c r="D142" s="1">
        <v>141</v>
      </c>
      <c r="F142" s="40" t="str">
        <f t="shared" si="11"/>
        <v/>
      </c>
      <c r="G142" s="40" t="str">
        <f>IF(F142="","",'Prosposta Inicial'!$O$2)</f>
        <v/>
      </c>
      <c r="H142" s="40" t="str">
        <f t="shared" si="10"/>
        <v xml:space="preserve"> </v>
      </c>
      <c r="I142" s="41" t="str">
        <f>IFERROR((VLOOKUP(F142,'Planilha de Cadastro - Previsão'!$A$2:$N$1100,2,FALSE()))," ")</f>
        <v xml:space="preserve"> </v>
      </c>
      <c r="J142" s="40" t="str">
        <f>IFERROR((VLOOKUP(F142,'Planilha de Cadastro - Previsão'!$A$2:$N$1100,3,FALSE()))," ")</f>
        <v xml:space="preserve"> </v>
      </c>
      <c r="K142" s="40"/>
      <c r="L142" s="42" t="str">
        <f>IFERROR((VLOOKUP(F142,'Planilha de Cadastro - Previsão'!$A$2:$N$1100,11,FALSE()))," ")</f>
        <v xml:space="preserve"> </v>
      </c>
      <c r="M142" s="41" t="str">
        <f>IFERROR((IF(VLOOKUP(F142,'Planilha de Cadastro - Previsão'!$A$2:$N$1100,10,FALSE())="","",VLOOKUP(F142,'Planilha de Cadastro - Previsão'!$A$2:$N$1100,10,FALSE()))),"")</f>
        <v/>
      </c>
      <c r="N142" s="41"/>
      <c r="O142" s="41"/>
      <c r="P142" s="41" t="str">
        <f>IFERROR((IF(VLOOKUP(F142,'Acompanhamento da Licitação'!$F$2:$O$1000,10,FALSE())="","",VLOOKUP(F142,'Acompanhamento da Licitação'!$F$2:$O$1000,10,FALSE()))),"")</f>
        <v/>
      </c>
      <c r="R142" s="61" t="str">
        <f>IFERROR(IF(F142&gt;0,(Final[[#This Row],[Valor da Venda Real]]-Final[[#This Row],[Valor de Compra Previsto]]-4%*Final[[#This Row],[Valor da Venda Real]])/Final[[#This Row],[Valor da Venda Real]],""),"")</f>
        <v/>
      </c>
      <c r="S142" s="61" t="str">
        <f t="shared" si="13"/>
        <v/>
      </c>
      <c r="T142" s="23" t="str">
        <f>IFERROR((R142*Final[[#This Row],[Valor da Venda Real]]*Final[[#This Row],[Quantidade ]]*S142),"")</f>
        <v/>
      </c>
    </row>
    <row r="143" spans="1:20" ht="15.75" x14ac:dyDescent="0.2">
      <c r="A143">
        <f>COUNTIF($C$2:C143,C143)</f>
        <v>142</v>
      </c>
      <c r="B143" s="1" t="str">
        <f t="shared" si="12"/>
        <v>142</v>
      </c>
      <c r="C143" s="1" t="str">
        <f>IFERROR(VLOOKUP(D143,'Planilha de Cadastro - Previsão'!$A$2:$N$1000,14,FALSE()),"")</f>
        <v/>
      </c>
      <c r="D143" s="1">
        <v>142</v>
      </c>
      <c r="F143" s="40" t="str">
        <f t="shared" si="11"/>
        <v/>
      </c>
      <c r="G143" s="40" t="str">
        <f>IF(F143="","",'Prosposta Inicial'!$O$2)</f>
        <v/>
      </c>
      <c r="H143" s="40" t="str">
        <f t="shared" si="10"/>
        <v xml:space="preserve"> </v>
      </c>
      <c r="I143" s="41" t="str">
        <f>IFERROR((VLOOKUP(F143,'Planilha de Cadastro - Previsão'!$A$2:$N$1100,2,FALSE()))," ")</f>
        <v xml:space="preserve"> </v>
      </c>
      <c r="J143" s="40" t="str">
        <f>IFERROR((VLOOKUP(F143,'Planilha de Cadastro - Previsão'!$A$2:$N$1100,3,FALSE()))," ")</f>
        <v xml:space="preserve"> </v>
      </c>
      <c r="K143" s="40"/>
      <c r="L143" s="42" t="str">
        <f>IFERROR((VLOOKUP(F143,'Planilha de Cadastro - Previsão'!$A$2:$N$1100,11,FALSE()))," ")</f>
        <v xml:space="preserve"> </v>
      </c>
      <c r="M143" s="41" t="str">
        <f>IFERROR((IF(VLOOKUP(F143,'Planilha de Cadastro - Previsão'!$A$2:$N$1100,10,FALSE())="","",VLOOKUP(F143,'Planilha de Cadastro - Previsão'!$A$2:$N$1100,10,FALSE()))),"")</f>
        <v/>
      </c>
      <c r="N143" s="41"/>
      <c r="O143" s="41"/>
      <c r="P143" s="41" t="str">
        <f>IFERROR((IF(VLOOKUP(F143,'Acompanhamento da Licitação'!$F$2:$O$1000,10,FALSE())="","",VLOOKUP(F143,'Acompanhamento da Licitação'!$F$2:$O$1000,10,FALSE()))),"")</f>
        <v/>
      </c>
      <c r="R143" s="61" t="str">
        <f>IFERROR(IF(F143&gt;0,(Final[[#This Row],[Valor da Venda Real]]-Final[[#This Row],[Valor de Compra Previsto]]-4%*Final[[#This Row],[Valor da Venda Real]])/Final[[#This Row],[Valor da Venda Real]],""),"")</f>
        <v/>
      </c>
      <c r="S143" s="61" t="str">
        <f t="shared" si="13"/>
        <v/>
      </c>
      <c r="T143" s="23" t="str">
        <f>IFERROR((R143*Final[[#This Row],[Valor da Venda Real]]*Final[[#This Row],[Quantidade ]]*S143),"")</f>
        <v/>
      </c>
    </row>
    <row r="144" spans="1:20" ht="15.75" x14ac:dyDescent="0.2">
      <c r="A144">
        <f>COUNTIF($C$2:C144,C144)</f>
        <v>143</v>
      </c>
      <c r="B144" s="1" t="str">
        <f t="shared" si="12"/>
        <v>143</v>
      </c>
      <c r="C144" s="1" t="str">
        <f>IFERROR(VLOOKUP(D144,'Planilha de Cadastro - Previsão'!$A$2:$N$1000,14,FALSE()),"")</f>
        <v/>
      </c>
      <c r="D144" s="1">
        <v>143</v>
      </c>
      <c r="F144" s="40" t="str">
        <f t="shared" si="11"/>
        <v/>
      </c>
      <c r="G144" s="40" t="str">
        <f>IF(F144="","",'Prosposta Inicial'!$O$2)</f>
        <v/>
      </c>
      <c r="H144" s="40" t="str">
        <f t="shared" si="10"/>
        <v xml:space="preserve"> </v>
      </c>
      <c r="I144" s="41" t="str">
        <f>IFERROR((VLOOKUP(F144,'Planilha de Cadastro - Previsão'!$A$2:$N$1100,2,FALSE()))," ")</f>
        <v xml:space="preserve"> </v>
      </c>
      <c r="J144" s="40" t="str">
        <f>IFERROR((VLOOKUP(F144,'Planilha de Cadastro - Previsão'!$A$2:$N$1100,3,FALSE()))," ")</f>
        <v xml:space="preserve"> </v>
      </c>
      <c r="K144" s="40"/>
      <c r="L144" s="42" t="str">
        <f>IFERROR((VLOOKUP(F144,'Planilha de Cadastro - Previsão'!$A$2:$N$1100,11,FALSE()))," ")</f>
        <v xml:space="preserve"> </v>
      </c>
      <c r="M144" s="41" t="str">
        <f>IFERROR((IF(VLOOKUP(F144,'Planilha de Cadastro - Previsão'!$A$2:$N$1100,10,FALSE())="","",VLOOKUP(F144,'Planilha de Cadastro - Previsão'!$A$2:$N$1100,10,FALSE()))),"")</f>
        <v/>
      </c>
      <c r="N144" s="41"/>
      <c r="O144" s="41"/>
      <c r="P144" s="41" t="str">
        <f>IFERROR((IF(VLOOKUP(F144,'Acompanhamento da Licitação'!$F$2:$O$1000,10,FALSE())="","",VLOOKUP(F144,'Acompanhamento da Licitação'!$F$2:$O$1000,10,FALSE()))),"")</f>
        <v/>
      </c>
      <c r="R144" s="61" t="str">
        <f>IFERROR(IF(F144&gt;0,(Final[[#This Row],[Valor da Venda Real]]-Final[[#This Row],[Valor de Compra Previsto]]-4%*Final[[#This Row],[Valor da Venda Real]])/Final[[#This Row],[Valor da Venda Real]],""),"")</f>
        <v/>
      </c>
      <c r="S144" s="61" t="str">
        <f t="shared" si="13"/>
        <v/>
      </c>
      <c r="T144" s="23" t="str">
        <f>IFERROR((R144*Final[[#This Row],[Valor da Venda Real]]*Final[[#This Row],[Quantidade ]]*S144),"")</f>
        <v/>
      </c>
    </row>
    <row r="145" spans="1:20" ht="15.75" x14ac:dyDescent="0.2">
      <c r="A145">
        <f>COUNTIF($C$2:C145,C145)</f>
        <v>144</v>
      </c>
      <c r="B145" s="1" t="str">
        <f t="shared" si="12"/>
        <v>144</v>
      </c>
      <c r="C145" s="1" t="str">
        <f>IFERROR(VLOOKUP(D145,'Planilha de Cadastro - Previsão'!$A$2:$N$1000,14,FALSE()),"")</f>
        <v/>
      </c>
      <c r="D145" s="1">
        <v>144</v>
      </c>
      <c r="F145" s="40" t="str">
        <f t="shared" si="11"/>
        <v/>
      </c>
      <c r="G145" s="40" t="str">
        <f>IF(F145="","",'Prosposta Inicial'!$O$2)</f>
        <v/>
      </c>
      <c r="H145" s="40" t="str">
        <f t="shared" si="10"/>
        <v xml:space="preserve"> </v>
      </c>
      <c r="I145" s="41" t="str">
        <f>IFERROR((VLOOKUP(F145,'Planilha de Cadastro - Previsão'!$A$2:$N$1100,2,FALSE()))," ")</f>
        <v xml:space="preserve"> </v>
      </c>
      <c r="J145" s="40" t="str">
        <f>IFERROR((VLOOKUP(F145,'Planilha de Cadastro - Previsão'!$A$2:$N$1100,3,FALSE()))," ")</f>
        <v xml:space="preserve"> </v>
      </c>
      <c r="K145" s="40"/>
      <c r="L145" s="42" t="str">
        <f>IFERROR((VLOOKUP(F145,'Planilha de Cadastro - Previsão'!$A$2:$N$1100,11,FALSE()))," ")</f>
        <v xml:space="preserve"> </v>
      </c>
      <c r="M145" s="41" t="str">
        <f>IFERROR((IF(VLOOKUP(F145,'Planilha de Cadastro - Previsão'!$A$2:$N$1100,10,FALSE())="","",VLOOKUP(F145,'Planilha de Cadastro - Previsão'!$A$2:$N$1100,10,FALSE()))),"")</f>
        <v/>
      </c>
      <c r="N145" s="41"/>
      <c r="O145" s="41"/>
      <c r="P145" s="41" t="str">
        <f>IFERROR((IF(VLOOKUP(F145,'Acompanhamento da Licitação'!$F$2:$O$1000,10,FALSE())="","",VLOOKUP(F145,'Acompanhamento da Licitação'!$F$2:$O$1000,10,FALSE()))),"")</f>
        <v/>
      </c>
      <c r="R145" s="61" t="str">
        <f>IFERROR(IF(F145&gt;0,(Final[[#This Row],[Valor da Venda Real]]-Final[[#This Row],[Valor de Compra Previsto]]-4%*Final[[#This Row],[Valor da Venda Real]])/Final[[#This Row],[Valor da Venda Real]],""),"")</f>
        <v/>
      </c>
      <c r="S145" s="61" t="str">
        <f t="shared" si="13"/>
        <v/>
      </c>
      <c r="T145" s="23" t="str">
        <f>IFERROR((R145*Final[[#This Row],[Valor da Venda Real]]*Final[[#This Row],[Quantidade ]]*S145),"")</f>
        <v/>
      </c>
    </row>
    <row r="146" spans="1:20" ht="15.75" x14ac:dyDescent="0.2">
      <c r="A146">
        <f>COUNTIF($C$2:C146,C146)</f>
        <v>145</v>
      </c>
      <c r="B146" s="1" t="str">
        <f t="shared" si="12"/>
        <v>145</v>
      </c>
      <c r="C146" s="1" t="str">
        <f>IFERROR(VLOOKUP(D146,'Planilha de Cadastro - Previsão'!$A$2:$N$1000,14,FALSE()),"")</f>
        <v/>
      </c>
      <c r="D146" s="1">
        <v>145</v>
      </c>
      <c r="F146" s="40" t="str">
        <f t="shared" si="11"/>
        <v/>
      </c>
      <c r="G146" s="40" t="str">
        <f>IF(F146="","",'Prosposta Inicial'!$O$2)</f>
        <v/>
      </c>
      <c r="H146" s="40" t="str">
        <f t="shared" si="10"/>
        <v xml:space="preserve"> </v>
      </c>
      <c r="I146" s="41" t="str">
        <f>IFERROR((VLOOKUP(F146,'Planilha de Cadastro - Previsão'!$A$2:$N$1100,2,FALSE()))," ")</f>
        <v xml:space="preserve"> </v>
      </c>
      <c r="J146" s="40" t="str">
        <f>IFERROR((VLOOKUP(F146,'Planilha de Cadastro - Previsão'!$A$2:$N$1100,3,FALSE()))," ")</f>
        <v xml:space="preserve"> </v>
      </c>
      <c r="K146" s="40"/>
      <c r="L146" s="42" t="str">
        <f>IFERROR((VLOOKUP(F146,'Planilha de Cadastro - Previsão'!$A$2:$N$1100,11,FALSE()))," ")</f>
        <v xml:space="preserve"> </v>
      </c>
      <c r="M146" s="41" t="str">
        <f>IFERROR((IF(VLOOKUP(F146,'Planilha de Cadastro - Previsão'!$A$2:$N$1100,10,FALSE())="","",VLOOKUP(F146,'Planilha de Cadastro - Previsão'!$A$2:$N$1100,10,FALSE()))),"")</f>
        <v/>
      </c>
      <c r="N146" s="41"/>
      <c r="O146" s="41"/>
      <c r="P146" s="41" t="str">
        <f>IFERROR((IF(VLOOKUP(F146,'Acompanhamento da Licitação'!$F$2:$O$1000,10,FALSE())="","",VLOOKUP(F146,'Acompanhamento da Licitação'!$F$2:$O$1000,10,FALSE()))),"")</f>
        <v/>
      </c>
      <c r="R146" s="61" t="str">
        <f>IFERROR(IF(F146&gt;0,(Final[[#This Row],[Valor da Venda Real]]-Final[[#This Row],[Valor de Compra Previsto]]-4%*Final[[#This Row],[Valor da Venda Real]])/Final[[#This Row],[Valor da Venda Real]],""),"")</f>
        <v/>
      </c>
      <c r="S146" s="61" t="str">
        <f t="shared" si="13"/>
        <v/>
      </c>
      <c r="T146" s="23" t="str">
        <f>IFERROR((R146*Final[[#This Row],[Valor da Venda Real]]*Final[[#This Row],[Quantidade ]]*S146),"")</f>
        <v/>
      </c>
    </row>
    <row r="147" spans="1:20" ht="15.75" x14ac:dyDescent="0.2">
      <c r="A147">
        <f>COUNTIF($C$2:C147,C147)</f>
        <v>146</v>
      </c>
      <c r="B147" s="1" t="str">
        <f t="shared" si="12"/>
        <v>146</v>
      </c>
      <c r="C147" s="1" t="str">
        <f>IFERROR(VLOOKUP(D147,'Planilha de Cadastro - Previsão'!$A$2:$N$1000,14,FALSE()),"")</f>
        <v/>
      </c>
      <c r="D147" s="1">
        <v>146</v>
      </c>
      <c r="F147" s="40" t="str">
        <f t="shared" si="11"/>
        <v/>
      </c>
      <c r="G147" s="40" t="str">
        <f>IF(F147="","",'Prosposta Inicial'!$O$2)</f>
        <v/>
      </c>
      <c r="H147" s="40" t="str">
        <f t="shared" si="10"/>
        <v xml:space="preserve"> </v>
      </c>
      <c r="I147" s="41" t="str">
        <f>IFERROR((VLOOKUP(F147,'Planilha de Cadastro - Previsão'!$A$2:$N$1100,2,FALSE()))," ")</f>
        <v xml:space="preserve"> </v>
      </c>
      <c r="J147" s="40" t="str">
        <f>IFERROR((VLOOKUP(F147,'Planilha de Cadastro - Previsão'!$A$2:$N$1100,3,FALSE()))," ")</f>
        <v xml:space="preserve"> </v>
      </c>
      <c r="K147" s="40"/>
      <c r="L147" s="42" t="str">
        <f>IFERROR((VLOOKUP(F147,'Planilha de Cadastro - Previsão'!$A$2:$N$1100,11,FALSE()))," ")</f>
        <v xml:space="preserve"> </v>
      </c>
      <c r="M147" s="41" t="str">
        <f>IFERROR((IF(VLOOKUP(F147,'Planilha de Cadastro - Previsão'!$A$2:$N$1100,10,FALSE())="","",VLOOKUP(F147,'Planilha de Cadastro - Previsão'!$A$2:$N$1100,10,FALSE()))),"")</f>
        <v/>
      </c>
      <c r="N147" s="41"/>
      <c r="O147" s="41"/>
      <c r="P147" s="41" t="str">
        <f>IFERROR((IF(VLOOKUP(F147,'Acompanhamento da Licitação'!$F$2:$O$1000,10,FALSE())="","",VLOOKUP(F147,'Acompanhamento da Licitação'!$F$2:$O$1000,10,FALSE()))),"")</f>
        <v/>
      </c>
      <c r="R147" s="61" t="str">
        <f>IFERROR(IF(F147&gt;0,(Final[[#This Row],[Valor da Venda Real]]-Final[[#This Row],[Valor de Compra Previsto]]-4%*Final[[#This Row],[Valor da Venda Real]])/Final[[#This Row],[Valor da Venda Real]],""),"")</f>
        <v/>
      </c>
      <c r="S147" s="61" t="str">
        <f t="shared" si="13"/>
        <v/>
      </c>
      <c r="T147" s="23" t="str">
        <f>IFERROR((R147*Final[[#This Row],[Valor da Venda Real]]*Final[[#This Row],[Quantidade ]]*S147),"")</f>
        <v/>
      </c>
    </row>
    <row r="148" spans="1:20" ht="15.75" x14ac:dyDescent="0.2">
      <c r="A148">
        <f>COUNTIF($C$2:C148,C148)</f>
        <v>147</v>
      </c>
      <c r="B148" s="1" t="str">
        <f t="shared" si="12"/>
        <v>147</v>
      </c>
      <c r="C148" s="1" t="str">
        <f>IFERROR(VLOOKUP(D148,'Planilha de Cadastro - Previsão'!$A$2:$N$1000,14,FALSE()),"")</f>
        <v/>
      </c>
      <c r="D148" s="1">
        <v>147</v>
      </c>
      <c r="F148" s="40" t="str">
        <f t="shared" si="11"/>
        <v/>
      </c>
      <c r="G148" s="40" t="str">
        <f>IF(F148="","",'Prosposta Inicial'!$O$2)</f>
        <v/>
      </c>
      <c r="H148" s="40" t="str">
        <f t="shared" si="10"/>
        <v xml:space="preserve"> </v>
      </c>
      <c r="I148" s="41" t="str">
        <f>IFERROR((VLOOKUP(F148,'Planilha de Cadastro - Previsão'!$A$2:$N$1100,2,FALSE()))," ")</f>
        <v xml:space="preserve"> </v>
      </c>
      <c r="J148" s="40" t="str">
        <f>IFERROR((VLOOKUP(F148,'Planilha de Cadastro - Previsão'!$A$2:$N$1100,3,FALSE()))," ")</f>
        <v xml:space="preserve"> </v>
      </c>
      <c r="K148" s="40"/>
      <c r="L148" s="42" t="str">
        <f>IFERROR((VLOOKUP(F148,'Planilha de Cadastro - Previsão'!$A$2:$N$1100,11,FALSE()))," ")</f>
        <v xml:space="preserve"> </v>
      </c>
      <c r="M148" s="41" t="str">
        <f>IFERROR((IF(VLOOKUP(F148,'Planilha de Cadastro - Previsão'!$A$2:$N$1100,10,FALSE())="","",VLOOKUP(F148,'Planilha de Cadastro - Previsão'!$A$2:$N$1100,10,FALSE()))),"")</f>
        <v/>
      </c>
      <c r="N148" s="41"/>
      <c r="O148" s="41"/>
      <c r="P148" s="41" t="str">
        <f>IFERROR((IF(VLOOKUP(F148,'Acompanhamento da Licitação'!$F$2:$O$1000,10,FALSE())="","",VLOOKUP(F148,'Acompanhamento da Licitação'!$F$2:$O$1000,10,FALSE()))),"")</f>
        <v/>
      </c>
      <c r="R148" s="61" t="str">
        <f>IFERROR(IF(F148&gt;0,(Final[[#This Row],[Valor da Venda Real]]-Final[[#This Row],[Valor de Compra Previsto]]-4%*Final[[#This Row],[Valor da Venda Real]])/Final[[#This Row],[Valor da Venda Real]],""),"")</f>
        <v/>
      </c>
      <c r="S148" s="61" t="str">
        <f t="shared" si="13"/>
        <v/>
      </c>
      <c r="T148" s="23" t="str">
        <f>IFERROR((R148*Final[[#This Row],[Valor da Venda Real]]*Final[[#This Row],[Quantidade ]]*S148),"")</f>
        <v/>
      </c>
    </row>
    <row r="149" spans="1:20" ht="15.75" x14ac:dyDescent="0.2">
      <c r="A149">
        <f>COUNTIF($C$2:C149,C149)</f>
        <v>148</v>
      </c>
      <c r="B149" s="1" t="str">
        <f t="shared" si="12"/>
        <v>148</v>
      </c>
      <c r="C149" s="1" t="str">
        <f>IFERROR(VLOOKUP(D149,'Planilha de Cadastro - Previsão'!$A$2:$N$1000,14,FALSE()),"")</f>
        <v/>
      </c>
      <c r="D149" s="1">
        <v>148</v>
      </c>
      <c r="F149" s="40" t="str">
        <f t="shared" si="11"/>
        <v/>
      </c>
      <c r="G149" s="40" t="str">
        <f>IF(F149="","",'Prosposta Inicial'!$O$2)</f>
        <v/>
      </c>
      <c r="H149" s="40" t="str">
        <f t="shared" si="10"/>
        <v xml:space="preserve"> </v>
      </c>
      <c r="I149" s="41" t="str">
        <f>IFERROR((VLOOKUP(F149,'Planilha de Cadastro - Previsão'!$A$2:$N$1100,2,FALSE()))," ")</f>
        <v xml:space="preserve"> </v>
      </c>
      <c r="J149" s="40" t="str">
        <f>IFERROR((VLOOKUP(F149,'Planilha de Cadastro - Previsão'!$A$2:$N$1100,3,FALSE()))," ")</f>
        <v xml:space="preserve"> </v>
      </c>
      <c r="K149" s="40"/>
      <c r="L149" s="42" t="str">
        <f>IFERROR((VLOOKUP(F149,'Planilha de Cadastro - Previsão'!$A$2:$N$1100,11,FALSE()))," ")</f>
        <v xml:space="preserve"> </v>
      </c>
      <c r="M149" s="41" t="str">
        <f>IFERROR((IF(VLOOKUP(F149,'Planilha de Cadastro - Previsão'!$A$2:$N$1100,10,FALSE())="","",VLOOKUP(F149,'Planilha de Cadastro - Previsão'!$A$2:$N$1100,10,FALSE()))),"")</f>
        <v/>
      </c>
      <c r="N149" s="41"/>
      <c r="O149" s="41"/>
      <c r="P149" s="41" t="str">
        <f>IFERROR((IF(VLOOKUP(F149,'Acompanhamento da Licitação'!$F$2:$O$1000,10,FALSE())="","",VLOOKUP(F149,'Acompanhamento da Licitação'!$F$2:$O$1000,10,FALSE()))),"")</f>
        <v/>
      </c>
      <c r="R149" s="61" t="str">
        <f>IFERROR(IF(F149&gt;0,(Final[[#This Row],[Valor da Venda Real]]-Final[[#This Row],[Valor de Compra Previsto]]-4%*Final[[#This Row],[Valor da Venda Real]])/Final[[#This Row],[Valor da Venda Real]],""),"")</f>
        <v/>
      </c>
      <c r="S149" s="61" t="str">
        <f t="shared" si="13"/>
        <v/>
      </c>
      <c r="T149" s="23" t="str">
        <f>IFERROR((R149*Final[[#This Row],[Valor da Venda Real]]*Final[[#This Row],[Quantidade ]]*S149),"")</f>
        <v/>
      </c>
    </row>
    <row r="150" spans="1:20" ht="15.75" x14ac:dyDescent="0.2">
      <c r="A150">
        <f>COUNTIF($C$2:C150,C150)</f>
        <v>149</v>
      </c>
      <c r="B150" s="1" t="str">
        <f t="shared" si="12"/>
        <v>149</v>
      </c>
      <c r="C150" s="1" t="str">
        <f>IFERROR(VLOOKUP(D150,'Planilha de Cadastro - Previsão'!$A$2:$N$1000,14,FALSE()),"")</f>
        <v/>
      </c>
      <c r="D150" s="1">
        <v>149</v>
      </c>
      <c r="F150" s="40" t="str">
        <f t="shared" si="11"/>
        <v/>
      </c>
      <c r="G150" s="40" t="str">
        <f>IF(F150="","",'Prosposta Inicial'!$O$2)</f>
        <v/>
      </c>
      <c r="H150" s="40" t="str">
        <f t="shared" si="10"/>
        <v xml:space="preserve"> </v>
      </c>
      <c r="I150" s="41" t="str">
        <f>IFERROR((VLOOKUP(F150,'Planilha de Cadastro - Previsão'!$A$2:$N$1100,2,FALSE()))," ")</f>
        <v xml:space="preserve"> </v>
      </c>
      <c r="J150" s="40" t="str">
        <f>IFERROR((VLOOKUP(F150,'Planilha de Cadastro - Previsão'!$A$2:$N$1100,3,FALSE()))," ")</f>
        <v xml:space="preserve"> </v>
      </c>
      <c r="K150" s="40"/>
      <c r="L150" s="42" t="str">
        <f>IFERROR((VLOOKUP(F150,'Planilha de Cadastro - Previsão'!$A$2:$N$1100,11,FALSE()))," ")</f>
        <v xml:space="preserve"> </v>
      </c>
      <c r="M150" s="41" t="str">
        <f>IFERROR((IF(VLOOKUP(F150,'Planilha de Cadastro - Previsão'!$A$2:$N$1100,10,FALSE())="","",VLOOKUP(F150,'Planilha de Cadastro - Previsão'!$A$2:$N$1100,10,FALSE()))),"")</f>
        <v/>
      </c>
      <c r="N150" s="41"/>
      <c r="O150" s="41"/>
      <c r="P150" s="41" t="str">
        <f>IFERROR((IF(VLOOKUP(F150,'Acompanhamento da Licitação'!$F$2:$O$1000,10,FALSE())="","",VLOOKUP(F150,'Acompanhamento da Licitação'!$F$2:$O$1000,10,FALSE()))),"")</f>
        <v/>
      </c>
      <c r="R150" s="61" t="str">
        <f>IFERROR(IF(F150&gt;0,(Final[[#This Row],[Valor da Venda Real]]-Final[[#This Row],[Valor de Compra Previsto]]-4%*Final[[#This Row],[Valor da Venda Real]])/Final[[#This Row],[Valor da Venda Real]],""),"")</f>
        <v/>
      </c>
      <c r="S150" s="61" t="str">
        <f t="shared" si="13"/>
        <v/>
      </c>
      <c r="T150" s="23" t="str">
        <f>IFERROR((R150*Final[[#This Row],[Valor da Venda Real]]*Final[[#This Row],[Quantidade ]]*S150),"")</f>
        <v/>
      </c>
    </row>
    <row r="151" spans="1:20" ht="15.75" x14ac:dyDescent="0.2">
      <c r="A151">
        <f>COUNTIF($C$2:C151,C151)</f>
        <v>150</v>
      </c>
      <c r="B151" s="1" t="str">
        <f t="shared" si="12"/>
        <v>150</v>
      </c>
      <c r="C151" s="1" t="str">
        <f>IFERROR(VLOOKUP(D151,'Planilha de Cadastro - Previsão'!$A$2:$N$1000,14,FALSE()),"")</f>
        <v/>
      </c>
      <c r="D151" s="1">
        <v>150</v>
      </c>
      <c r="F151" s="40" t="str">
        <f t="shared" si="11"/>
        <v/>
      </c>
      <c r="G151" s="40" t="str">
        <f>IF(F151="","",'Prosposta Inicial'!$O$2)</f>
        <v/>
      </c>
      <c r="H151" s="40" t="str">
        <f t="shared" si="10"/>
        <v xml:space="preserve"> </v>
      </c>
      <c r="I151" s="41" t="str">
        <f>IFERROR((VLOOKUP(F151,'Planilha de Cadastro - Previsão'!$A$2:$N$1100,2,FALSE()))," ")</f>
        <v xml:space="preserve"> </v>
      </c>
      <c r="J151" s="40" t="str">
        <f>IFERROR((VLOOKUP(F151,'Planilha de Cadastro - Previsão'!$A$2:$N$1100,3,FALSE()))," ")</f>
        <v xml:space="preserve"> </v>
      </c>
      <c r="K151" s="40"/>
      <c r="L151" s="42" t="str">
        <f>IFERROR((VLOOKUP(F151,'Planilha de Cadastro - Previsão'!$A$2:$N$1100,11,FALSE()))," ")</f>
        <v xml:space="preserve"> </v>
      </c>
      <c r="M151" s="41" t="str">
        <f>IFERROR((IF(VLOOKUP(F151,'Planilha de Cadastro - Previsão'!$A$2:$N$1100,10,FALSE())="","",VLOOKUP(F151,'Planilha de Cadastro - Previsão'!$A$2:$N$1100,10,FALSE()))),"")</f>
        <v/>
      </c>
      <c r="N151" s="41"/>
      <c r="O151" s="41"/>
      <c r="P151" s="41" t="str">
        <f>IFERROR((IF(VLOOKUP(F151,'Acompanhamento da Licitação'!$F$2:$O$1000,10,FALSE())="","",VLOOKUP(F151,'Acompanhamento da Licitação'!$F$2:$O$1000,10,FALSE()))),"")</f>
        <v/>
      </c>
      <c r="R151" s="61" t="str">
        <f>IFERROR(IF(F151&gt;0,(Final[[#This Row],[Valor da Venda Real]]-Final[[#This Row],[Valor de Compra Previsto]]-4%*Final[[#This Row],[Valor da Venda Real]])/Final[[#This Row],[Valor da Venda Real]],""),"")</f>
        <v/>
      </c>
      <c r="S151" s="61" t="str">
        <f t="shared" si="13"/>
        <v/>
      </c>
      <c r="T151" s="23" t="str">
        <f>IFERROR((R151*Final[[#This Row],[Valor da Venda Real]]*Final[[#This Row],[Quantidade ]]*S151),"")</f>
        <v/>
      </c>
    </row>
    <row r="152" spans="1:20" ht="15.75" x14ac:dyDescent="0.2">
      <c r="A152">
        <f>COUNTIF($C$2:C152,C152)</f>
        <v>151</v>
      </c>
      <c r="B152" s="1" t="str">
        <f t="shared" si="12"/>
        <v>151</v>
      </c>
      <c r="C152" s="1" t="str">
        <f>IFERROR(VLOOKUP(D152,'Planilha de Cadastro - Previsão'!$A$2:$N$1000,14,FALSE()),"")</f>
        <v/>
      </c>
      <c r="D152" s="1">
        <v>151</v>
      </c>
      <c r="F152" s="40" t="str">
        <f t="shared" si="11"/>
        <v/>
      </c>
      <c r="G152" s="40" t="str">
        <f>IF(F152="","",'Prosposta Inicial'!$O$2)</f>
        <v/>
      </c>
      <c r="H152" s="40" t="str">
        <f t="shared" si="10"/>
        <v xml:space="preserve"> </v>
      </c>
      <c r="I152" s="41" t="str">
        <f>IFERROR((VLOOKUP(F152,'Planilha de Cadastro - Previsão'!$A$2:$N$1100,2,FALSE()))," ")</f>
        <v xml:space="preserve"> </v>
      </c>
      <c r="J152" s="40" t="str">
        <f>IFERROR((VLOOKUP(F152,'Planilha de Cadastro - Previsão'!$A$2:$N$1100,3,FALSE()))," ")</f>
        <v xml:space="preserve"> </v>
      </c>
      <c r="K152" s="40"/>
      <c r="L152" s="42" t="str">
        <f>IFERROR((VLOOKUP(F152,'Planilha de Cadastro - Previsão'!$A$2:$N$1100,11,FALSE()))," ")</f>
        <v xml:space="preserve"> </v>
      </c>
      <c r="M152" s="41" t="str">
        <f>IFERROR((IF(VLOOKUP(F152,'Planilha de Cadastro - Previsão'!$A$2:$N$1100,10,FALSE())="","",VLOOKUP(F152,'Planilha de Cadastro - Previsão'!$A$2:$N$1100,10,FALSE()))),"")</f>
        <v/>
      </c>
      <c r="N152" s="41"/>
      <c r="O152" s="41"/>
      <c r="P152" s="41" t="str">
        <f>IFERROR((IF(VLOOKUP(F152,'Acompanhamento da Licitação'!$F$2:$O$1000,10,FALSE())="","",VLOOKUP(F152,'Acompanhamento da Licitação'!$F$2:$O$1000,10,FALSE()))),"")</f>
        <v/>
      </c>
      <c r="R152" s="61" t="str">
        <f>IFERROR(IF(F152&gt;0,(Final[[#This Row],[Valor da Venda Real]]-Final[[#This Row],[Valor de Compra Previsto]]-4%*Final[[#This Row],[Valor da Venda Real]])/Final[[#This Row],[Valor da Venda Real]],""),"")</f>
        <v/>
      </c>
      <c r="S152" s="61" t="str">
        <f t="shared" si="13"/>
        <v/>
      </c>
      <c r="T152" s="23" t="str">
        <f>IFERROR((R152*Final[[#This Row],[Valor da Venda Real]]*Final[[#This Row],[Quantidade ]]*S152),"")</f>
        <v/>
      </c>
    </row>
    <row r="153" spans="1:20" ht="15.75" x14ac:dyDescent="0.2">
      <c r="A153">
        <f>COUNTIF($C$2:C153,C153)</f>
        <v>152</v>
      </c>
      <c r="B153" s="1" t="str">
        <f t="shared" si="12"/>
        <v>152</v>
      </c>
      <c r="C153" s="1" t="str">
        <f>IFERROR(VLOOKUP(D153,'Planilha de Cadastro - Previsão'!$A$2:$N$1000,14,FALSE()),"")</f>
        <v/>
      </c>
      <c r="D153" s="1">
        <v>152</v>
      </c>
      <c r="F153" s="40" t="str">
        <f t="shared" si="11"/>
        <v/>
      </c>
      <c r="G153" s="40" t="str">
        <f>IF(F153="","",'Prosposta Inicial'!$O$2)</f>
        <v/>
      </c>
      <c r="H153" s="40" t="str">
        <f t="shared" si="10"/>
        <v xml:space="preserve"> </v>
      </c>
      <c r="I153" s="41" t="str">
        <f>IFERROR((VLOOKUP(F153,'Planilha de Cadastro - Previsão'!$A$2:$N$1100,2,FALSE()))," ")</f>
        <v xml:space="preserve"> </v>
      </c>
      <c r="J153" s="40" t="str">
        <f>IFERROR((VLOOKUP(F153,'Planilha de Cadastro - Previsão'!$A$2:$N$1100,3,FALSE()))," ")</f>
        <v xml:space="preserve"> </v>
      </c>
      <c r="K153" s="40"/>
      <c r="L153" s="42" t="str">
        <f>IFERROR((VLOOKUP(F153,'Planilha de Cadastro - Previsão'!$A$2:$N$1100,11,FALSE()))," ")</f>
        <v xml:space="preserve"> </v>
      </c>
      <c r="M153" s="41" t="str">
        <f>IFERROR((IF(VLOOKUP(F153,'Planilha de Cadastro - Previsão'!$A$2:$N$1100,10,FALSE())="","",VLOOKUP(F153,'Planilha de Cadastro - Previsão'!$A$2:$N$1100,10,FALSE()))),"")</f>
        <v/>
      </c>
      <c r="N153" s="41"/>
      <c r="O153" s="41"/>
      <c r="P153" s="41" t="str">
        <f>IFERROR((IF(VLOOKUP(F153,'Acompanhamento da Licitação'!$F$2:$O$1000,10,FALSE())="","",VLOOKUP(F153,'Acompanhamento da Licitação'!$F$2:$O$1000,10,FALSE()))),"")</f>
        <v/>
      </c>
      <c r="R153" s="61" t="str">
        <f>IFERROR(IF(F153&gt;0,(Final[[#This Row],[Valor da Venda Real]]-Final[[#This Row],[Valor de Compra Previsto]]-4%*Final[[#This Row],[Valor da Venda Real]])/Final[[#This Row],[Valor da Venda Real]],""),"")</f>
        <v/>
      </c>
      <c r="S153" s="61" t="str">
        <f t="shared" si="13"/>
        <v/>
      </c>
      <c r="T153" s="23" t="str">
        <f>IFERROR((R153*Final[[#This Row],[Valor da Venda Real]]*Final[[#This Row],[Quantidade ]]*S153),"")</f>
        <v/>
      </c>
    </row>
    <row r="154" spans="1:20" ht="15.75" x14ac:dyDescent="0.2">
      <c r="A154">
        <f>COUNTIF($C$2:C154,C154)</f>
        <v>153</v>
      </c>
      <c r="B154" s="1" t="str">
        <f t="shared" si="12"/>
        <v>153</v>
      </c>
      <c r="C154" s="1" t="str">
        <f>IFERROR(VLOOKUP(D154,'Planilha de Cadastro - Previsão'!$A$2:$N$1000,14,FALSE()),"")</f>
        <v/>
      </c>
      <c r="D154" s="1">
        <v>153</v>
      </c>
      <c r="F154" s="40" t="str">
        <f t="shared" si="11"/>
        <v/>
      </c>
      <c r="G154" s="40" t="str">
        <f>IF(F154="","",'Prosposta Inicial'!$O$2)</f>
        <v/>
      </c>
      <c r="H154" s="40" t="str">
        <f t="shared" si="10"/>
        <v xml:space="preserve"> </v>
      </c>
      <c r="I154" s="41" t="str">
        <f>IFERROR((VLOOKUP(F154,'Planilha de Cadastro - Previsão'!$A$2:$N$1100,2,FALSE()))," ")</f>
        <v xml:space="preserve"> </v>
      </c>
      <c r="J154" s="40" t="str">
        <f>IFERROR((VLOOKUP(F154,'Planilha de Cadastro - Previsão'!$A$2:$N$1100,3,FALSE()))," ")</f>
        <v xml:space="preserve"> </v>
      </c>
      <c r="K154" s="40"/>
      <c r="L154" s="42" t="str">
        <f>IFERROR((VLOOKUP(F154,'Planilha de Cadastro - Previsão'!$A$2:$N$1100,11,FALSE()))," ")</f>
        <v xml:space="preserve"> </v>
      </c>
      <c r="M154" s="41" t="str">
        <f>IFERROR((IF(VLOOKUP(F154,'Planilha de Cadastro - Previsão'!$A$2:$N$1100,10,FALSE())="","",VLOOKUP(F154,'Planilha de Cadastro - Previsão'!$A$2:$N$1100,10,FALSE()))),"")</f>
        <v/>
      </c>
      <c r="N154" s="41"/>
      <c r="O154" s="41"/>
      <c r="P154" s="41" t="str">
        <f>IFERROR((IF(VLOOKUP(F154,'Acompanhamento da Licitação'!$F$2:$O$1000,10,FALSE())="","",VLOOKUP(F154,'Acompanhamento da Licitação'!$F$2:$O$1000,10,FALSE()))),"")</f>
        <v/>
      </c>
      <c r="R154" s="61" t="str">
        <f>IFERROR(IF(F154&gt;0,(Final[[#This Row],[Valor da Venda Real]]-Final[[#This Row],[Valor de Compra Previsto]]-4%*Final[[#This Row],[Valor da Venda Real]])/Final[[#This Row],[Valor da Venda Real]],""),"")</f>
        <v/>
      </c>
      <c r="S154" s="61" t="str">
        <f t="shared" si="13"/>
        <v/>
      </c>
      <c r="T154" s="23" t="str">
        <f>IFERROR((R154*Final[[#This Row],[Valor da Venda Real]]*Final[[#This Row],[Quantidade ]]*S154),"")</f>
        <v/>
      </c>
    </row>
    <row r="155" spans="1:20" ht="15.75" x14ac:dyDescent="0.2">
      <c r="A155">
        <f>COUNTIF($C$2:C155,C155)</f>
        <v>154</v>
      </c>
      <c r="B155" s="1" t="str">
        <f t="shared" si="12"/>
        <v>154</v>
      </c>
      <c r="C155" s="1" t="str">
        <f>IFERROR(VLOOKUP(D155,'Planilha de Cadastro - Previsão'!$A$2:$N$1000,14,FALSE()),"")</f>
        <v/>
      </c>
      <c r="D155" s="1">
        <v>154</v>
      </c>
      <c r="F155" s="40" t="str">
        <f t="shared" si="11"/>
        <v/>
      </c>
      <c r="G155" s="40" t="str">
        <f>IF(F155="","",'Prosposta Inicial'!$O$2)</f>
        <v/>
      </c>
      <c r="H155" s="40" t="str">
        <f t="shared" si="10"/>
        <v xml:space="preserve"> </v>
      </c>
      <c r="I155" s="41" t="str">
        <f>IFERROR((VLOOKUP(F155,'Planilha de Cadastro - Previsão'!$A$2:$N$1100,2,FALSE()))," ")</f>
        <v xml:space="preserve"> </v>
      </c>
      <c r="J155" s="40" t="str">
        <f>IFERROR((VLOOKUP(F155,'Planilha de Cadastro - Previsão'!$A$2:$N$1100,3,FALSE()))," ")</f>
        <v xml:space="preserve"> </v>
      </c>
      <c r="K155" s="40"/>
      <c r="L155" s="42" t="str">
        <f>IFERROR((VLOOKUP(F155,'Planilha de Cadastro - Previsão'!$A$2:$N$1100,11,FALSE()))," ")</f>
        <v xml:space="preserve"> </v>
      </c>
      <c r="M155" s="41" t="str">
        <f>IFERROR((IF(VLOOKUP(F155,'Planilha de Cadastro - Previsão'!$A$2:$N$1100,10,FALSE())="","",VLOOKUP(F155,'Planilha de Cadastro - Previsão'!$A$2:$N$1100,10,FALSE()))),"")</f>
        <v/>
      </c>
      <c r="N155" s="41"/>
      <c r="O155" s="41"/>
      <c r="P155" s="41" t="str">
        <f>IFERROR((IF(VLOOKUP(F155,'Acompanhamento da Licitação'!$F$2:$O$1000,10,FALSE())="","",VLOOKUP(F155,'Acompanhamento da Licitação'!$F$2:$O$1000,10,FALSE()))),"")</f>
        <v/>
      </c>
      <c r="R155" s="61" t="str">
        <f>IFERROR(IF(F155&gt;0,(Final[[#This Row],[Valor da Venda Real]]-Final[[#This Row],[Valor de Compra Previsto]]-4%*Final[[#This Row],[Valor da Venda Real]])/Final[[#This Row],[Valor da Venda Real]],""),"")</f>
        <v/>
      </c>
      <c r="S155" s="61" t="str">
        <f t="shared" si="13"/>
        <v/>
      </c>
      <c r="T155" s="23" t="str">
        <f>IFERROR((R155*Final[[#This Row],[Valor da Venda Real]]*Final[[#This Row],[Quantidade ]]*S155),"")</f>
        <v/>
      </c>
    </row>
    <row r="156" spans="1:20" ht="15.75" x14ac:dyDescent="0.2">
      <c r="A156">
        <f>COUNTIF($C$2:C156,C156)</f>
        <v>155</v>
      </c>
      <c r="B156" s="1" t="str">
        <f t="shared" si="12"/>
        <v>155</v>
      </c>
      <c r="C156" s="1" t="str">
        <f>IFERROR(VLOOKUP(D156,'Planilha de Cadastro - Previsão'!$A$2:$N$1000,14,FALSE()),"")</f>
        <v/>
      </c>
      <c r="D156" s="1">
        <v>155</v>
      </c>
      <c r="F156" s="40" t="str">
        <f t="shared" si="11"/>
        <v/>
      </c>
      <c r="G156" s="40" t="str">
        <f>IF(F156="","",'Prosposta Inicial'!$O$2)</f>
        <v/>
      </c>
      <c r="H156" s="40" t="str">
        <f t="shared" si="10"/>
        <v xml:space="preserve"> </v>
      </c>
      <c r="I156" s="41" t="str">
        <f>IFERROR((VLOOKUP(F156,'Planilha de Cadastro - Previsão'!$A$2:$N$1100,2,FALSE()))," ")</f>
        <v xml:space="preserve"> </v>
      </c>
      <c r="J156" s="40" t="str">
        <f>IFERROR((VLOOKUP(F156,'Planilha de Cadastro - Previsão'!$A$2:$N$1100,3,FALSE()))," ")</f>
        <v xml:space="preserve"> </v>
      </c>
      <c r="K156" s="40"/>
      <c r="L156" s="42" t="str">
        <f>IFERROR((VLOOKUP(F156,'Planilha de Cadastro - Previsão'!$A$2:$N$1100,11,FALSE()))," ")</f>
        <v xml:space="preserve"> </v>
      </c>
      <c r="M156" s="41" t="str">
        <f>IFERROR((IF(VLOOKUP(F156,'Planilha de Cadastro - Previsão'!$A$2:$N$1100,10,FALSE())="","",VLOOKUP(F156,'Planilha de Cadastro - Previsão'!$A$2:$N$1100,10,FALSE()))),"")</f>
        <v/>
      </c>
      <c r="N156" s="41"/>
      <c r="O156" s="41"/>
      <c r="P156" s="41" t="str">
        <f>IFERROR((IF(VLOOKUP(F156,'Acompanhamento da Licitação'!$F$2:$O$1000,10,FALSE())="","",VLOOKUP(F156,'Acompanhamento da Licitação'!$F$2:$O$1000,10,FALSE()))),"")</f>
        <v/>
      </c>
      <c r="R156" s="61" t="str">
        <f>IFERROR(IF(F156&gt;0,(Final[[#This Row],[Valor da Venda Real]]-Final[[#This Row],[Valor de Compra Previsto]]-4%*Final[[#This Row],[Valor da Venda Real]])/Final[[#This Row],[Valor da Venda Real]],""),"")</f>
        <v/>
      </c>
      <c r="S156" s="61" t="str">
        <f t="shared" si="13"/>
        <v/>
      </c>
      <c r="T156" s="23" t="str">
        <f>IFERROR((R156*Final[[#This Row],[Valor da Venda Real]]*Final[[#This Row],[Quantidade ]]*S156),"")</f>
        <v/>
      </c>
    </row>
    <row r="157" spans="1:20" ht="15.75" x14ac:dyDescent="0.2">
      <c r="A157">
        <f>COUNTIF($C$2:C157,C157)</f>
        <v>156</v>
      </c>
      <c r="B157" s="1" t="str">
        <f t="shared" si="12"/>
        <v>156</v>
      </c>
      <c r="C157" s="1" t="str">
        <f>IFERROR(VLOOKUP(D157,'Planilha de Cadastro - Previsão'!$A$2:$N$1000,14,FALSE()),"")</f>
        <v/>
      </c>
      <c r="D157" s="1">
        <v>156</v>
      </c>
      <c r="F157" s="40" t="str">
        <f t="shared" si="11"/>
        <v/>
      </c>
      <c r="G157" s="40" t="str">
        <f>IF(F157="","",'Prosposta Inicial'!$O$2)</f>
        <v/>
      </c>
      <c r="H157" s="40" t="str">
        <f t="shared" si="10"/>
        <v xml:space="preserve"> </v>
      </c>
      <c r="I157" s="41" t="str">
        <f>IFERROR((VLOOKUP(F157,'Planilha de Cadastro - Previsão'!$A$2:$N$1100,2,FALSE()))," ")</f>
        <v xml:space="preserve"> </v>
      </c>
      <c r="J157" s="40" t="str">
        <f>IFERROR((VLOOKUP(F157,'Planilha de Cadastro - Previsão'!$A$2:$N$1100,3,FALSE()))," ")</f>
        <v xml:space="preserve"> </v>
      </c>
      <c r="K157" s="40"/>
      <c r="L157" s="42" t="str">
        <f>IFERROR((VLOOKUP(F157,'Planilha de Cadastro - Previsão'!$A$2:$N$1100,11,FALSE()))," ")</f>
        <v xml:space="preserve"> </v>
      </c>
      <c r="M157" s="41" t="str">
        <f>IFERROR((IF(VLOOKUP(F157,'Planilha de Cadastro - Previsão'!$A$2:$N$1100,10,FALSE())="","",VLOOKUP(F157,'Planilha de Cadastro - Previsão'!$A$2:$N$1100,10,FALSE()))),"")</f>
        <v/>
      </c>
      <c r="N157" s="41"/>
      <c r="O157" s="41"/>
      <c r="P157" s="41" t="str">
        <f>IFERROR((IF(VLOOKUP(F157,'Acompanhamento da Licitação'!$F$2:$O$1000,10,FALSE())="","",VLOOKUP(F157,'Acompanhamento da Licitação'!$F$2:$O$1000,10,FALSE()))),"")</f>
        <v/>
      </c>
      <c r="R157" s="61" t="str">
        <f>IFERROR(IF(F157&gt;0,(Final[[#This Row],[Valor da Venda Real]]-Final[[#This Row],[Valor de Compra Previsto]]-4%*Final[[#This Row],[Valor da Venda Real]])/Final[[#This Row],[Valor da Venda Real]],""),"")</f>
        <v/>
      </c>
      <c r="S157" s="61" t="str">
        <f t="shared" si="13"/>
        <v/>
      </c>
      <c r="T157" s="23" t="str">
        <f>IFERROR((R157*Final[[#This Row],[Valor da Venda Real]]*Final[[#This Row],[Quantidade ]]*S157),"")</f>
        <v/>
      </c>
    </row>
    <row r="158" spans="1:20" ht="15.75" x14ac:dyDescent="0.2">
      <c r="A158">
        <f>COUNTIF($C$2:C158,C158)</f>
        <v>157</v>
      </c>
      <c r="B158" s="1" t="str">
        <f t="shared" si="12"/>
        <v>157</v>
      </c>
      <c r="C158" s="1" t="str">
        <f>IFERROR(VLOOKUP(D158,'Planilha de Cadastro - Previsão'!$A$2:$N$1000,14,FALSE()),"")</f>
        <v/>
      </c>
      <c r="D158" s="1">
        <v>157</v>
      </c>
      <c r="F158" s="40" t="str">
        <f t="shared" si="11"/>
        <v/>
      </c>
      <c r="G158" s="40" t="str">
        <f>IF(F158="","",'Prosposta Inicial'!$O$2)</f>
        <v/>
      </c>
      <c r="H158" s="40" t="str">
        <f t="shared" si="10"/>
        <v xml:space="preserve"> </v>
      </c>
      <c r="I158" s="41" t="str">
        <f>IFERROR((VLOOKUP(F158,'Planilha de Cadastro - Previsão'!$A$2:$N$1100,2,FALSE()))," ")</f>
        <v xml:space="preserve"> </v>
      </c>
      <c r="J158" s="40" t="str">
        <f>IFERROR((VLOOKUP(F158,'Planilha de Cadastro - Previsão'!$A$2:$N$1100,3,FALSE()))," ")</f>
        <v xml:space="preserve"> </v>
      </c>
      <c r="K158" s="40"/>
      <c r="L158" s="42" t="str">
        <f>IFERROR((VLOOKUP(F158,'Planilha de Cadastro - Previsão'!$A$2:$N$1100,11,FALSE()))," ")</f>
        <v xml:space="preserve"> </v>
      </c>
      <c r="M158" s="41" t="str">
        <f>IFERROR((IF(VLOOKUP(F158,'Planilha de Cadastro - Previsão'!$A$2:$N$1100,10,FALSE())="","",VLOOKUP(F158,'Planilha de Cadastro - Previsão'!$A$2:$N$1100,10,FALSE()))),"")</f>
        <v/>
      </c>
      <c r="N158" s="41"/>
      <c r="O158" s="41"/>
      <c r="P158" s="41" t="str">
        <f>IFERROR((IF(VLOOKUP(F158,'Acompanhamento da Licitação'!$F$2:$O$1000,10,FALSE())="","",VLOOKUP(F158,'Acompanhamento da Licitação'!$F$2:$O$1000,10,FALSE()))),"")</f>
        <v/>
      </c>
      <c r="R158" s="61" t="str">
        <f>IFERROR(IF(F158&gt;0,(Final[[#This Row],[Valor da Venda Real]]-Final[[#This Row],[Valor de Compra Previsto]]-4%*Final[[#This Row],[Valor da Venda Real]])/Final[[#This Row],[Valor da Venda Real]],""),"")</f>
        <v/>
      </c>
      <c r="S158" s="61" t="str">
        <f t="shared" si="13"/>
        <v/>
      </c>
      <c r="T158" s="23" t="str">
        <f>IFERROR((R158*Final[[#This Row],[Valor da Venda Real]]*Final[[#This Row],[Quantidade ]]*S158),"")</f>
        <v/>
      </c>
    </row>
    <row r="159" spans="1:20" ht="15.75" x14ac:dyDescent="0.2">
      <c r="A159">
        <f>COUNTIF($C$2:C159,C159)</f>
        <v>158</v>
      </c>
      <c r="B159" s="1" t="str">
        <f t="shared" si="12"/>
        <v>158</v>
      </c>
      <c r="C159" s="1" t="str">
        <f>IFERROR(VLOOKUP(D159,'Planilha de Cadastro - Previsão'!$A$2:$N$1000,14,FALSE()),"")</f>
        <v/>
      </c>
      <c r="D159" s="1">
        <v>158</v>
      </c>
      <c r="F159" s="40" t="str">
        <f t="shared" si="11"/>
        <v/>
      </c>
      <c r="G159" s="40" t="str">
        <f>IF(F159="","",'Prosposta Inicial'!$O$2)</f>
        <v/>
      </c>
      <c r="H159" s="40" t="str">
        <f t="shared" si="10"/>
        <v xml:space="preserve"> </v>
      </c>
      <c r="I159" s="41" t="str">
        <f>IFERROR((VLOOKUP(F159,'Planilha de Cadastro - Previsão'!$A$2:$N$1100,2,FALSE()))," ")</f>
        <v xml:space="preserve"> </v>
      </c>
      <c r="J159" s="40" t="str">
        <f>IFERROR((VLOOKUP(F159,'Planilha de Cadastro - Previsão'!$A$2:$N$1100,3,FALSE()))," ")</f>
        <v xml:space="preserve"> </v>
      </c>
      <c r="K159" s="40"/>
      <c r="L159" s="42" t="str">
        <f>IFERROR((VLOOKUP(F159,'Planilha de Cadastro - Previsão'!$A$2:$N$1100,11,FALSE()))," ")</f>
        <v xml:space="preserve"> </v>
      </c>
      <c r="M159" s="41" t="str">
        <f>IFERROR((IF(VLOOKUP(F159,'Planilha de Cadastro - Previsão'!$A$2:$N$1100,10,FALSE())="","",VLOOKUP(F159,'Planilha de Cadastro - Previsão'!$A$2:$N$1100,10,FALSE()))),"")</f>
        <v/>
      </c>
      <c r="N159" s="41"/>
      <c r="O159" s="41"/>
      <c r="P159" s="41" t="str">
        <f>IFERROR((IF(VLOOKUP(F159,'Acompanhamento da Licitação'!$F$2:$O$1000,10,FALSE())="","",VLOOKUP(F159,'Acompanhamento da Licitação'!$F$2:$O$1000,10,FALSE()))),"")</f>
        <v/>
      </c>
      <c r="R159" s="61" t="str">
        <f>IFERROR(IF(F159&gt;0,(Final[[#This Row],[Valor da Venda Real]]-Final[[#This Row],[Valor de Compra Previsto]]-4%*Final[[#This Row],[Valor da Venda Real]])/Final[[#This Row],[Valor da Venda Real]],""),"")</f>
        <v/>
      </c>
      <c r="S159" s="61" t="str">
        <f t="shared" si="13"/>
        <v/>
      </c>
      <c r="T159" s="23" t="str">
        <f>IFERROR((R159*Final[[#This Row],[Valor da Venda Real]]*Final[[#This Row],[Quantidade ]]*S159),"")</f>
        <v/>
      </c>
    </row>
    <row r="160" spans="1:20" ht="15.75" x14ac:dyDescent="0.2">
      <c r="A160">
        <f>COUNTIF($C$2:C160,C160)</f>
        <v>159</v>
      </c>
      <c r="B160" s="1" t="str">
        <f t="shared" si="12"/>
        <v>159</v>
      </c>
      <c r="C160" s="1" t="str">
        <f>IFERROR(VLOOKUP(D160,'Planilha de Cadastro - Previsão'!$A$2:$N$1000,14,FALSE()),"")</f>
        <v/>
      </c>
      <c r="D160" s="1">
        <v>159</v>
      </c>
      <c r="F160" s="40" t="str">
        <f t="shared" si="11"/>
        <v/>
      </c>
      <c r="G160" s="40" t="str">
        <f>IF(F160="","",'Prosposta Inicial'!$O$2)</f>
        <v/>
      </c>
      <c r="H160" s="40" t="str">
        <f t="shared" si="10"/>
        <v xml:space="preserve"> </v>
      </c>
      <c r="I160" s="41" t="str">
        <f>IFERROR((VLOOKUP(F160,'Planilha de Cadastro - Previsão'!$A$2:$N$1100,2,FALSE()))," ")</f>
        <v xml:space="preserve"> </v>
      </c>
      <c r="J160" s="40" t="str">
        <f>IFERROR((VLOOKUP(F160,'Planilha de Cadastro - Previsão'!$A$2:$N$1100,3,FALSE()))," ")</f>
        <v xml:space="preserve"> </v>
      </c>
      <c r="K160" s="40"/>
      <c r="L160" s="42" t="str">
        <f>IFERROR((VLOOKUP(F160,'Planilha de Cadastro - Previsão'!$A$2:$N$1100,11,FALSE()))," ")</f>
        <v xml:space="preserve"> </v>
      </c>
      <c r="M160" s="41" t="str">
        <f>IFERROR((IF(VLOOKUP(F160,'Planilha de Cadastro - Previsão'!$A$2:$N$1100,10,FALSE())="","",VLOOKUP(F160,'Planilha de Cadastro - Previsão'!$A$2:$N$1100,10,FALSE()))),"")</f>
        <v/>
      </c>
      <c r="N160" s="41"/>
      <c r="O160" s="41"/>
      <c r="P160" s="41" t="str">
        <f>IFERROR((IF(VLOOKUP(F160,'Acompanhamento da Licitação'!$F$2:$O$1000,10,FALSE())="","",VLOOKUP(F160,'Acompanhamento da Licitação'!$F$2:$O$1000,10,FALSE()))),"")</f>
        <v/>
      </c>
      <c r="R160" s="61" t="str">
        <f>IFERROR(IF(F160&gt;0,(Final[[#This Row],[Valor da Venda Real]]-Final[[#This Row],[Valor de Compra Previsto]]-4%*Final[[#This Row],[Valor da Venda Real]])/Final[[#This Row],[Valor da Venda Real]],""),"")</f>
        <v/>
      </c>
      <c r="S160" s="61" t="str">
        <f t="shared" si="13"/>
        <v/>
      </c>
      <c r="T160" s="23" t="str">
        <f>IFERROR((R160*Final[[#This Row],[Valor da Venda Real]]*Final[[#This Row],[Quantidade ]]*S160),"")</f>
        <v/>
      </c>
    </row>
    <row r="161" spans="1:20" ht="15.75" x14ac:dyDescent="0.2">
      <c r="A161">
        <f>COUNTIF($C$2:C161,C161)</f>
        <v>160</v>
      </c>
      <c r="B161" s="1" t="str">
        <f t="shared" si="12"/>
        <v>160</v>
      </c>
      <c r="C161" s="1" t="str">
        <f>IFERROR(VLOOKUP(D161,'Planilha de Cadastro - Previsão'!$A$2:$N$1000,14,FALSE()),"")</f>
        <v/>
      </c>
      <c r="D161" s="1">
        <v>160</v>
      </c>
      <c r="F161" s="40" t="str">
        <f t="shared" si="11"/>
        <v/>
      </c>
      <c r="G161" s="40" t="str">
        <f>IF(F161="","",'Prosposta Inicial'!$O$2)</f>
        <v/>
      </c>
      <c r="H161" s="40" t="str">
        <f t="shared" si="10"/>
        <v xml:space="preserve"> </v>
      </c>
      <c r="I161" s="41" t="str">
        <f>IFERROR((VLOOKUP(F161,'Planilha de Cadastro - Previsão'!$A$2:$N$1100,2,FALSE()))," ")</f>
        <v xml:space="preserve"> </v>
      </c>
      <c r="J161" s="40" t="str">
        <f>IFERROR((VLOOKUP(F161,'Planilha de Cadastro - Previsão'!$A$2:$N$1100,3,FALSE()))," ")</f>
        <v xml:space="preserve"> </v>
      </c>
      <c r="K161" s="40"/>
      <c r="L161" s="42" t="str">
        <f>IFERROR((VLOOKUP(F161,'Planilha de Cadastro - Previsão'!$A$2:$N$1100,11,FALSE()))," ")</f>
        <v xml:space="preserve"> </v>
      </c>
      <c r="M161" s="41" t="str">
        <f>IFERROR((IF(VLOOKUP(F161,'Planilha de Cadastro - Previsão'!$A$2:$N$1100,10,FALSE())="","",VLOOKUP(F161,'Planilha de Cadastro - Previsão'!$A$2:$N$1100,10,FALSE()))),"")</f>
        <v/>
      </c>
      <c r="N161" s="41"/>
      <c r="O161" s="41"/>
      <c r="P161" s="41" t="str">
        <f>IFERROR((IF(VLOOKUP(F161,'Acompanhamento da Licitação'!$F$2:$O$1000,10,FALSE())="","",VLOOKUP(F161,'Acompanhamento da Licitação'!$F$2:$O$1000,10,FALSE()))),"")</f>
        <v/>
      </c>
      <c r="R161" s="61" t="str">
        <f>IFERROR(IF(F161&gt;0,(Final[[#This Row],[Valor da Venda Real]]-Final[[#This Row],[Valor de Compra Previsto]]-4%*Final[[#This Row],[Valor da Venda Real]])/Final[[#This Row],[Valor da Venda Real]],""),"")</f>
        <v/>
      </c>
      <c r="S161" s="61" t="str">
        <f t="shared" si="13"/>
        <v/>
      </c>
      <c r="T161" s="23" t="str">
        <f>IFERROR((R161*Final[[#This Row],[Valor da Venda Real]]*Final[[#This Row],[Quantidade ]]*S161),"")</f>
        <v/>
      </c>
    </row>
    <row r="162" spans="1:20" ht="15.75" x14ac:dyDescent="0.2">
      <c r="A162">
        <f>COUNTIF($C$2:C162,C162)</f>
        <v>161</v>
      </c>
      <c r="B162" s="1" t="str">
        <f t="shared" si="12"/>
        <v>161</v>
      </c>
      <c r="C162" s="1" t="str">
        <f>IFERROR(VLOOKUP(D162,'Planilha de Cadastro - Previsão'!$A$2:$N$1000,14,FALSE()),"")</f>
        <v/>
      </c>
      <c r="D162" s="1">
        <v>161</v>
      </c>
      <c r="F162" s="40" t="str">
        <f t="shared" si="11"/>
        <v/>
      </c>
      <c r="G162" s="40" t="str">
        <f>IF(F162="","",'Prosposta Inicial'!$O$2)</f>
        <v/>
      </c>
      <c r="H162" s="40" t="str">
        <f t="shared" si="10"/>
        <v xml:space="preserve"> </v>
      </c>
      <c r="I162" s="41" t="str">
        <f>IFERROR((VLOOKUP(F162,'Planilha de Cadastro - Previsão'!$A$2:$N$1100,2,FALSE()))," ")</f>
        <v xml:space="preserve"> </v>
      </c>
      <c r="J162" s="40" t="str">
        <f>IFERROR((VLOOKUP(F162,'Planilha de Cadastro - Previsão'!$A$2:$N$1100,3,FALSE()))," ")</f>
        <v xml:space="preserve"> </v>
      </c>
      <c r="K162" s="40"/>
      <c r="L162" s="42" t="str">
        <f>IFERROR((VLOOKUP(F162,'Planilha de Cadastro - Previsão'!$A$2:$N$1100,11,FALSE()))," ")</f>
        <v xml:space="preserve"> </v>
      </c>
      <c r="M162" s="41" t="str">
        <f>IFERROR((IF(VLOOKUP(F162,'Planilha de Cadastro - Previsão'!$A$2:$N$1100,10,FALSE())="","",VLOOKUP(F162,'Planilha de Cadastro - Previsão'!$A$2:$N$1100,10,FALSE()))),"")</f>
        <v/>
      </c>
      <c r="N162" s="41"/>
      <c r="O162" s="41"/>
      <c r="P162" s="41" t="str">
        <f>IFERROR((IF(VLOOKUP(F162,'Acompanhamento da Licitação'!$F$2:$O$1000,10,FALSE())="","",VLOOKUP(F162,'Acompanhamento da Licitação'!$F$2:$O$1000,10,FALSE()))),"")</f>
        <v/>
      </c>
      <c r="R162" s="61" t="str">
        <f>IFERROR(IF(F162&gt;0,(Final[[#This Row],[Valor da Venda Real]]-Final[[#This Row],[Valor de Compra Previsto]]-4%*Final[[#This Row],[Valor da Venda Real]])/Final[[#This Row],[Valor da Venda Real]],""),"")</f>
        <v/>
      </c>
      <c r="S162" s="61" t="str">
        <f t="shared" si="13"/>
        <v/>
      </c>
      <c r="T162" s="23" t="str">
        <f>IFERROR((R162*Final[[#This Row],[Valor da Venda Real]]*Final[[#This Row],[Quantidade ]]*S162),"")</f>
        <v/>
      </c>
    </row>
    <row r="163" spans="1:20" ht="15.75" x14ac:dyDescent="0.2">
      <c r="A163">
        <f>COUNTIF($C$2:C163,C163)</f>
        <v>162</v>
      </c>
      <c r="B163" s="1" t="str">
        <f t="shared" si="12"/>
        <v>162</v>
      </c>
      <c r="C163" s="1" t="str">
        <f>IFERROR(VLOOKUP(D163,'Planilha de Cadastro - Previsão'!$A$2:$N$1000,14,FALSE()),"")</f>
        <v/>
      </c>
      <c r="D163" s="1">
        <v>162</v>
      </c>
      <c r="F163" s="40" t="str">
        <f t="shared" si="11"/>
        <v/>
      </c>
      <c r="G163" s="40" t="str">
        <f>IF(F163="","",'Prosposta Inicial'!$O$2)</f>
        <v/>
      </c>
      <c r="H163" s="40" t="str">
        <f t="shared" si="10"/>
        <v xml:space="preserve"> </v>
      </c>
      <c r="I163" s="41" t="str">
        <f>IFERROR((VLOOKUP(F163,'Planilha de Cadastro - Previsão'!$A$2:$N$1100,2,FALSE()))," ")</f>
        <v xml:space="preserve"> </v>
      </c>
      <c r="J163" s="40" t="str">
        <f>IFERROR((VLOOKUP(F163,'Planilha de Cadastro - Previsão'!$A$2:$N$1100,3,FALSE()))," ")</f>
        <v xml:space="preserve"> </v>
      </c>
      <c r="K163" s="40"/>
      <c r="L163" s="42" t="str">
        <f>IFERROR((VLOOKUP(F163,'Planilha de Cadastro - Previsão'!$A$2:$N$1100,11,FALSE()))," ")</f>
        <v xml:space="preserve"> </v>
      </c>
      <c r="M163" s="41" t="str">
        <f>IFERROR((IF(VLOOKUP(F163,'Planilha de Cadastro - Previsão'!$A$2:$N$1100,10,FALSE())="","",VLOOKUP(F163,'Planilha de Cadastro - Previsão'!$A$2:$N$1100,10,FALSE()))),"")</f>
        <v/>
      </c>
      <c r="N163" s="41"/>
      <c r="O163" s="41"/>
      <c r="P163" s="41" t="str">
        <f>IFERROR((IF(VLOOKUP(F163,'Acompanhamento da Licitação'!$F$2:$O$1000,10,FALSE())="","",VLOOKUP(F163,'Acompanhamento da Licitação'!$F$2:$O$1000,10,FALSE()))),"")</f>
        <v/>
      </c>
      <c r="R163" s="61" t="str">
        <f>IFERROR(IF(F163&gt;0,(Final[[#This Row],[Valor da Venda Real]]-Final[[#This Row],[Valor de Compra Previsto]]-4%*Final[[#This Row],[Valor da Venda Real]])/Final[[#This Row],[Valor da Venda Real]],""),"")</f>
        <v/>
      </c>
      <c r="S163" s="61" t="str">
        <f t="shared" si="13"/>
        <v/>
      </c>
      <c r="T163" s="23" t="str">
        <f>IFERROR((R163*Final[[#This Row],[Valor da Venda Real]]*Final[[#This Row],[Quantidade ]]*S163),"")</f>
        <v/>
      </c>
    </row>
    <row r="164" spans="1:20" ht="15.75" x14ac:dyDescent="0.2">
      <c r="A164">
        <f>COUNTIF($C$2:C164,C164)</f>
        <v>163</v>
      </c>
      <c r="B164" s="1" t="str">
        <f t="shared" si="12"/>
        <v>163</v>
      </c>
      <c r="C164" s="1" t="str">
        <f>IFERROR(VLOOKUP(D164,'Planilha de Cadastro - Previsão'!$A$2:$N$1000,14,FALSE()),"")</f>
        <v/>
      </c>
      <c r="D164" s="1">
        <v>163</v>
      </c>
      <c r="F164" s="40" t="str">
        <f t="shared" si="11"/>
        <v/>
      </c>
      <c r="G164" s="40" t="str">
        <f>IF(F164="","",'Prosposta Inicial'!$O$2)</f>
        <v/>
      </c>
      <c r="H164" s="40" t="str">
        <f t="shared" si="10"/>
        <v xml:space="preserve"> </v>
      </c>
      <c r="I164" s="41" t="str">
        <f>IFERROR((VLOOKUP(F164,'Planilha de Cadastro - Previsão'!$A$2:$N$1100,2,FALSE()))," ")</f>
        <v xml:space="preserve"> </v>
      </c>
      <c r="J164" s="40" t="str">
        <f>IFERROR((VLOOKUP(F164,'Planilha de Cadastro - Previsão'!$A$2:$N$1100,3,FALSE()))," ")</f>
        <v xml:space="preserve"> </v>
      </c>
      <c r="K164" s="40"/>
      <c r="L164" s="42" t="str">
        <f>IFERROR((VLOOKUP(F164,'Planilha de Cadastro - Previsão'!$A$2:$N$1100,11,FALSE()))," ")</f>
        <v xml:space="preserve"> </v>
      </c>
      <c r="M164" s="41" t="str">
        <f>IFERROR((IF(VLOOKUP(F164,'Planilha de Cadastro - Previsão'!$A$2:$N$1100,10,FALSE())="","",VLOOKUP(F164,'Planilha de Cadastro - Previsão'!$A$2:$N$1100,10,FALSE()))),"")</f>
        <v/>
      </c>
      <c r="N164" s="41"/>
      <c r="O164" s="41"/>
      <c r="P164" s="41" t="str">
        <f>IFERROR((IF(VLOOKUP(F164,'Acompanhamento da Licitação'!$F$2:$O$1000,10,FALSE())="","",VLOOKUP(F164,'Acompanhamento da Licitação'!$F$2:$O$1000,10,FALSE()))),"")</f>
        <v/>
      </c>
      <c r="R164" s="61" t="str">
        <f>IFERROR(IF(F164&gt;0,(Final[[#This Row],[Valor da Venda Real]]-Final[[#This Row],[Valor de Compra Previsto]]-4%*Final[[#This Row],[Valor da Venda Real]])/Final[[#This Row],[Valor da Venda Real]],""),"")</f>
        <v/>
      </c>
      <c r="S164" s="61" t="str">
        <f t="shared" si="13"/>
        <v/>
      </c>
      <c r="T164" s="23" t="str">
        <f>IFERROR((R164*Final[[#This Row],[Valor da Venda Real]]*Final[[#This Row],[Quantidade ]]*S164),"")</f>
        <v/>
      </c>
    </row>
    <row r="165" spans="1:20" ht="15.75" x14ac:dyDescent="0.2">
      <c r="A165">
        <f>COUNTIF($C$2:C165,C165)</f>
        <v>164</v>
      </c>
      <c r="B165" s="1" t="str">
        <f t="shared" si="12"/>
        <v>164</v>
      </c>
      <c r="C165" s="1" t="str">
        <f>IFERROR(VLOOKUP(D165,'Planilha de Cadastro - Previsão'!$A$2:$N$1000,14,FALSE()),"")</f>
        <v/>
      </c>
      <c r="D165" s="1">
        <v>164</v>
      </c>
      <c r="F165" s="40" t="str">
        <f t="shared" si="11"/>
        <v/>
      </c>
      <c r="G165" s="40" t="str">
        <f>IF(F165="","",'Prosposta Inicial'!$O$2)</f>
        <v/>
      </c>
      <c r="H165" s="40" t="str">
        <f t="shared" ref="H165:H228" si="14">CONCATENATE(F165,G165,I165)</f>
        <v xml:space="preserve"> </v>
      </c>
      <c r="I165" s="41" t="str">
        <f>IFERROR((VLOOKUP(F165,'Planilha de Cadastro - Previsão'!$A$2:$N$1100,2,FALSE()))," ")</f>
        <v xml:space="preserve"> </v>
      </c>
      <c r="J165" s="40" t="str">
        <f>IFERROR((VLOOKUP(F165,'Planilha de Cadastro - Previsão'!$A$2:$N$1100,3,FALSE()))," ")</f>
        <v xml:space="preserve"> </v>
      </c>
      <c r="K165" s="40"/>
      <c r="L165" s="42" t="str">
        <f>IFERROR((VLOOKUP(F165,'Planilha de Cadastro - Previsão'!$A$2:$N$1100,11,FALSE()))," ")</f>
        <v xml:space="preserve"> </v>
      </c>
      <c r="M165" s="41" t="str">
        <f>IFERROR((IF(VLOOKUP(F165,'Planilha de Cadastro - Previsão'!$A$2:$N$1100,10,FALSE())="","",VLOOKUP(F165,'Planilha de Cadastro - Previsão'!$A$2:$N$1100,10,FALSE()))),"")</f>
        <v/>
      </c>
      <c r="N165" s="41"/>
      <c r="O165" s="41"/>
      <c r="P165" s="41" t="str">
        <f>IFERROR((IF(VLOOKUP(F165,'Acompanhamento da Licitação'!$F$2:$O$1000,10,FALSE())="","",VLOOKUP(F165,'Acompanhamento da Licitação'!$F$2:$O$1000,10,FALSE()))),"")</f>
        <v/>
      </c>
      <c r="R165" s="61" t="str">
        <f>IFERROR(IF(F165&gt;0,(Final[[#This Row],[Valor da Venda Real]]-Final[[#This Row],[Valor de Compra Previsto]]-4%*Final[[#This Row],[Valor da Venda Real]])/Final[[#This Row],[Valor da Venda Real]],""),"")</f>
        <v/>
      </c>
      <c r="S165" s="61" t="str">
        <f t="shared" si="13"/>
        <v/>
      </c>
      <c r="T165" s="23" t="str">
        <f>IFERROR((R165*Final[[#This Row],[Valor da Venda Real]]*Final[[#This Row],[Quantidade ]]*S165),"")</f>
        <v/>
      </c>
    </row>
    <row r="166" spans="1:20" ht="15.75" x14ac:dyDescent="0.2">
      <c r="A166">
        <f>COUNTIF($C$2:C166,C166)</f>
        <v>165</v>
      </c>
      <c r="B166" s="1" t="str">
        <f t="shared" si="12"/>
        <v>165</v>
      </c>
      <c r="C166" s="1" t="str">
        <f>IFERROR(VLOOKUP(D166,'Planilha de Cadastro - Previsão'!$A$2:$N$1000,14,FALSE()),"")</f>
        <v/>
      </c>
      <c r="D166" s="1">
        <v>165</v>
      </c>
      <c r="F166" s="40" t="str">
        <f t="shared" si="11"/>
        <v/>
      </c>
      <c r="G166" s="40" t="str">
        <f>IF(F166="","",'Prosposta Inicial'!$O$2)</f>
        <v/>
      </c>
      <c r="H166" s="40" t="str">
        <f t="shared" si="14"/>
        <v xml:space="preserve"> </v>
      </c>
      <c r="I166" s="41" t="str">
        <f>IFERROR((VLOOKUP(F166,'Planilha de Cadastro - Previsão'!$A$2:$N$1100,2,FALSE()))," ")</f>
        <v xml:space="preserve"> </v>
      </c>
      <c r="J166" s="40" t="str">
        <f>IFERROR((VLOOKUP(F166,'Planilha de Cadastro - Previsão'!$A$2:$N$1100,3,FALSE()))," ")</f>
        <v xml:space="preserve"> </v>
      </c>
      <c r="K166" s="40"/>
      <c r="L166" s="42" t="str">
        <f>IFERROR((VLOOKUP(F166,'Planilha de Cadastro - Previsão'!$A$2:$N$1100,11,FALSE()))," ")</f>
        <v xml:space="preserve"> </v>
      </c>
      <c r="M166" s="41" t="str">
        <f>IFERROR((IF(VLOOKUP(F166,'Planilha de Cadastro - Previsão'!$A$2:$N$1100,10,FALSE())="","",VLOOKUP(F166,'Planilha de Cadastro - Previsão'!$A$2:$N$1100,10,FALSE()))),"")</f>
        <v/>
      </c>
      <c r="N166" s="41"/>
      <c r="O166" s="41"/>
      <c r="P166" s="41" t="str">
        <f>IFERROR((IF(VLOOKUP(F166,'Acompanhamento da Licitação'!$F$2:$O$1000,10,FALSE())="","",VLOOKUP(F166,'Acompanhamento da Licitação'!$F$2:$O$1000,10,FALSE()))),"")</f>
        <v/>
      </c>
      <c r="R166" s="61" t="str">
        <f>IFERROR(IF(F166&gt;0,(Final[[#This Row],[Valor da Venda Real]]-Final[[#This Row],[Valor de Compra Previsto]]-4%*Final[[#This Row],[Valor da Venda Real]])/Final[[#This Row],[Valor da Venda Real]],""),"")</f>
        <v/>
      </c>
      <c r="S166" s="61" t="str">
        <f t="shared" si="13"/>
        <v/>
      </c>
      <c r="T166" s="23" t="str">
        <f>IFERROR((R166*Final[[#This Row],[Valor da Venda Real]]*Final[[#This Row],[Quantidade ]]*S166),"")</f>
        <v/>
      </c>
    </row>
    <row r="167" spans="1:20" ht="15.75" x14ac:dyDescent="0.2">
      <c r="A167">
        <f>COUNTIF($C$2:C167,C167)</f>
        <v>166</v>
      </c>
      <c r="B167" s="1" t="str">
        <f t="shared" si="12"/>
        <v>166</v>
      </c>
      <c r="C167" s="1" t="str">
        <f>IFERROR(VLOOKUP(D167,'Planilha de Cadastro - Previsão'!$A$2:$N$1000,14,FALSE()),"")</f>
        <v/>
      </c>
      <c r="D167" s="1">
        <v>166</v>
      </c>
      <c r="F167" s="40" t="str">
        <f t="shared" si="11"/>
        <v/>
      </c>
      <c r="G167" s="40" t="str">
        <f>IF(F167="","",'Prosposta Inicial'!$O$2)</f>
        <v/>
      </c>
      <c r="H167" s="40" t="str">
        <f t="shared" si="14"/>
        <v xml:space="preserve"> </v>
      </c>
      <c r="I167" s="41" t="str">
        <f>IFERROR((VLOOKUP(F167,'Planilha de Cadastro - Previsão'!$A$2:$N$1100,2,FALSE()))," ")</f>
        <v xml:space="preserve"> </v>
      </c>
      <c r="J167" s="40" t="str">
        <f>IFERROR((VLOOKUP(F167,'Planilha de Cadastro - Previsão'!$A$2:$N$1100,3,FALSE()))," ")</f>
        <v xml:space="preserve"> </v>
      </c>
      <c r="K167" s="40"/>
      <c r="L167" s="42" t="str">
        <f>IFERROR((VLOOKUP(F167,'Planilha de Cadastro - Previsão'!$A$2:$N$1100,11,FALSE()))," ")</f>
        <v xml:space="preserve"> </v>
      </c>
      <c r="M167" s="41" t="str">
        <f>IFERROR((IF(VLOOKUP(F167,'Planilha de Cadastro - Previsão'!$A$2:$N$1100,10,FALSE())="","",VLOOKUP(F167,'Planilha de Cadastro - Previsão'!$A$2:$N$1100,10,FALSE()))),"")</f>
        <v/>
      </c>
      <c r="N167" s="41"/>
      <c r="O167" s="41"/>
      <c r="P167" s="41" t="str">
        <f>IFERROR((IF(VLOOKUP(F167,'Acompanhamento da Licitação'!$F$2:$O$1000,10,FALSE())="","",VLOOKUP(F167,'Acompanhamento da Licitação'!$F$2:$O$1000,10,FALSE()))),"")</f>
        <v/>
      </c>
      <c r="R167" s="61" t="str">
        <f>IFERROR(IF(F167&gt;0,(Final[[#This Row],[Valor da Venda Real]]-Final[[#This Row],[Valor de Compra Previsto]]-4%*Final[[#This Row],[Valor da Venda Real]])/Final[[#This Row],[Valor da Venda Real]],""),"")</f>
        <v/>
      </c>
      <c r="S167" s="61" t="str">
        <f t="shared" si="13"/>
        <v/>
      </c>
      <c r="T167" s="23" t="str">
        <f>IFERROR((R167*Final[[#This Row],[Valor da Venda Real]]*Final[[#This Row],[Quantidade ]]*S167),"")</f>
        <v/>
      </c>
    </row>
    <row r="168" spans="1:20" ht="15.75" x14ac:dyDescent="0.2">
      <c r="A168">
        <f>COUNTIF($C$2:C168,C168)</f>
        <v>167</v>
      </c>
      <c r="B168" s="1" t="str">
        <f t="shared" si="12"/>
        <v>167</v>
      </c>
      <c r="C168" s="1" t="str">
        <f>IFERROR(VLOOKUP(D168,'Planilha de Cadastro - Previsão'!$A$2:$N$1000,14,FALSE()),"")</f>
        <v/>
      </c>
      <c r="D168" s="1">
        <v>167</v>
      </c>
      <c r="F168" s="40" t="str">
        <f t="shared" si="11"/>
        <v/>
      </c>
      <c r="G168" s="40" t="str">
        <f>IF(F168="","",'Prosposta Inicial'!$O$2)</f>
        <v/>
      </c>
      <c r="H168" s="40" t="str">
        <f t="shared" si="14"/>
        <v xml:space="preserve"> </v>
      </c>
      <c r="I168" s="41" t="str">
        <f>IFERROR((VLOOKUP(F168,'Planilha de Cadastro - Previsão'!$A$2:$N$1100,2,FALSE()))," ")</f>
        <v xml:space="preserve"> </v>
      </c>
      <c r="J168" s="40" t="str">
        <f>IFERROR((VLOOKUP(F168,'Planilha de Cadastro - Previsão'!$A$2:$N$1100,3,FALSE()))," ")</f>
        <v xml:space="preserve"> </v>
      </c>
      <c r="K168" s="40"/>
      <c r="L168" s="42" t="str">
        <f>IFERROR((VLOOKUP(F168,'Planilha de Cadastro - Previsão'!$A$2:$N$1100,11,FALSE()))," ")</f>
        <v xml:space="preserve"> </v>
      </c>
      <c r="M168" s="41" t="str">
        <f>IFERROR((IF(VLOOKUP(F168,'Planilha de Cadastro - Previsão'!$A$2:$N$1100,10,FALSE())="","",VLOOKUP(F168,'Planilha de Cadastro - Previsão'!$A$2:$N$1100,10,FALSE()))),"")</f>
        <v/>
      </c>
      <c r="N168" s="41"/>
      <c r="O168" s="41"/>
      <c r="P168" s="41" t="str">
        <f>IFERROR((IF(VLOOKUP(F168,'Acompanhamento da Licitação'!$F$2:$O$1000,10,FALSE())="","",VLOOKUP(F168,'Acompanhamento da Licitação'!$F$2:$O$1000,10,FALSE()))),"")</f>
        <v/>
      </c>
      <c r="R168" s="61" t="str">
        <f>IFERROR(IF(F168&gt;0,(Final[[#This Row],[Valor da Venda Real]]-Final[[#This Row],[Valor de Compra Previsto]]-4%*Final[[#This Row],[Valor da Venda Real]])/Final[[#This Row],[Valor da Venda Real]],""),"")</f>
        <v/>
      </c>
      <c r="S168" s="61" t="str">
        <f t="shared" si="13"/>
        <v/>
      </c>
      <c r="T168" s="23" t="str">
        <f>IFERROR((R168*Final[[#This Row],[Valor da Venda Real]]*Final[[#This Row],[Quantidade ]]*S168),"")</f>
        <v/>
      </c>
    </row>
    <row r="169" spans="1:20" ht="15.75" x14ac:dyDescent="0.2">
      <c r="A169">
        <f>COUNTIF($C$2:C169,C169)</f>
        <v>168</v>
      </c>
      <c r="B169" s="1" t="str">
        <f t="shared" si="12"/>
        <v>168</v>
      </c>
      <c r="C169" s="1" t="str">
        <f>IFERROR(VLOOKUP(D169,'Planilha de Cadastro - Previsão'!$A$2:$N$1000,14,FALSE()),"")</f>
        <v/>
      </c>
      <c r="D169" s="1">
        <v>168</v>
      </c>
      <c r="F169" s="40" t="str">
        <f t="shared" si="11"/>
        <v/>
      </c>
      <c r="G169" s="40" t="str">
        <f>IF(F169="","",'Prosposta Inicial'!$O$2)</f>
        <v/>
      </c>
      <c r="H169" s="40" t="str">
        <f t="shared" si="14"/>
        <v xml:space="preserve"> </v>
      </c>
      <c r="I169" s="41" t="str">
        <f>IFERROR((VLOOKUP(F169,'Planilha de Cadastro - Previsão'!$A$2:$N$1100,2,FALSE()))," ")</f>
        <v xml:space="preserve"> </v>
      </c>
      <c r="J169" s="40" t="str">
        <f>IFERROR((VLOOKUP(F169,'Planilha de Cadastro - Previsão'!$A$2:$N$1100,3,FALSE()))," ")</f>
        <v xml:space="preserve"> </v>
      </c>
      <c r="K169" s="40"/>
      <c r="L169" s="42" t="str">
        <f>IFERROR((VLOOKUP(F169,'Planilha de Cadastro - Previsão'!$A$2:$N$1100,11,FALSE()))," ")</f>
        <v xml:space="preserve"> </v>
      </c>
      <c r="M169" s="41" t="str">
        <f>IFERROR((IF(VLOOKUP(F169,'Planilha de Cadastro - Previsão'!$A$2:$N$1100,10,FALSE())="","",VLOOKUP(F169,'Planilha de Cadastro - Previsão'!$A$2:$N$1100,10,FALSE()))),"")</f>
        <v/>
      </c>
      <c r="N169" s="41"/>
      <c r="O169" s="41"/>
      <c r="P169" s="41" t="str">
        <f>IFERROR((IF(VLOOKUP(F169,'Acompanhamento da Licitação'!$F$2:$O$1000,10,FALSE())="","",VLOOKUP(F169,'Acompanhamento da Licitação'!$F$2:$O$1000,10,FALSE()))),"")</f>
        <v/>
      </c>
      <c r="R169" s="61" t="str">
        <f>IFERROR(IF(F169&gt;0,(Final[[#This Row],[Valor da Venda Real]]-Final[[#This Row],[Valor de Compra Previsto]]-4%*Final[[#This Row],[Valor da Venda Real]])/Final[[#This Row],[Valor da Venda Real]],""),"")</f>
        <v/>
      </c>
      <c r="S169" s="61" t="str">
        <f t="shared" si="13"/>
        <v/>
      </c>
      <c r="T169" s="23" t="str">
        <f>IFERROR((R169*Final[[#This Row],[Valor da Venda Real]]*Final[[#This Row],[Quantidade ]]*S169),"")</f>
        <v/>
      </c>
    </row>
    <row r="170" spans="1:20" ht="15.75" x14ac:dyDescent="0.2">
      <c r="A170">
        <f>COUNTIF($C$2:C170,C170)</f>
        <v>169</v>
      </c>
      <c r="B170" s="1" t="str">
        <f t="shared" si="12"/>
        <v>169</v>
      </c>
      <c r="C170" s="1" t="str">
        <f>IFERROR(VLOOKUP(D170,'Planilha de Cadastro - Previsão'!$A$2:$N$1000,14,FALSE()),"")</f>
        <v/>
      </c>
      <c r="D170" s="1">
        <v>169</v>
      </c>
      <c r="F170" s="40" t="str">
        <f t="shared" si="11"/>
        <v/>
      </c>
      <c r="G170" s="40" t="str">
        <f>IF(F170="","",'Prosposta Inicial'!$O$2)</f>
        <v/>
      </c>
      <c r="H170" s="40" t="str">
        <f t="shared" si="14"/>
        <v xml:space="preserve"> </v>
      </c>
      <c r="I170" s="41" t="str">
        <f>IFERROR((VLOOKUP(F170,'Planilha de Cadastro - Previsão'!$A$2:$N$1100,2,FALSE()))," ")</f>
        <v xml:space="preserve"> </v>
      </c>
      <c r="J170" s="40" t="str">
        <f>IFERROR((VLOOKUP(F170,'Planilha de Cadastro - Previsão'!$A$2:$N$1100,3,FALSE()))," ")</f>
        <v xml:space="preserve"> </v>
      </c>
      <c r="K170" s="40"/>
      <c r="L170" s="42" t="str">
        <f>IFERROR((VLOOKUP(F170,'Planilha de Cadastro - Previsão'!$A$2:$N$1100,11,FALSE()))," ")</f>
        <v xml:space="preserve"> </v>
      </c>
      <c r="M170" s="41" t="str">
        <f>IFERROR((IF(VLOOKUP(F170,'Planilha de Cadastro - Previsão'!$A$2:$N$1100,10,FALSE())="","",VLOOKUP(F170,'Planilha de Cadastro - Previsão'!$A$2:$N$1100,10,FALSE()))),"")</f>
        <v/>
      </c>
      <c r="N170" s="41"/>
      <c r="O170" s="41"/>
      <c r="P170" s="41" t="str">
        <f>IFERROR((IF(VLOOKUP(F170,'Acompanhamento da Licitação'!$F$2:$O$1000,10,FALSE())="","",VLOOKUP(F170,'Acompanhamento da Licitação'!$F$2:$O$1000,10,FALSE()))),"")</f>
        <v/>
      </c>
      <c r="R170" s="61" t="str">
        <f>IFERROR(IF(F170&gt;0,(Final[[#This Row],[Valor da Venda Real]]-Final[[#This Row],[Valor de Compra Previsto]]-4%*Final[[#This Row],[Valor da Venda Real]])/Final[[#This Row],[Valor da Venda Real]],""),"")</f>
        <v/>
      </c>
      <c r="S170" s="61" t="str">
        <f t="shared" si="13"/>
        <v/>
      </c>
      <c r="T170" s="23" t="str">
        <f>IFERROR((R170*Final[[#This Row],[Valor da Venda Real]]*Final[[#This Row],[Quantidade ]]*S170),"")</f>
        <v/>
      </c>
    </row>
    <row r="171" spans="1:20" ht="15.75" x14ac:dyDescent="0.2">
      <c r="A171">
        <f>COUNTIF($C$2:C171,C171)</f>
        <v>170</v>
      </c>
      <c r="B171" s="1" t="str">
        <f t="shared" si="12"/>
        <v>170</v>
      </c>
      <c r="C171" s="1" t="str">
        <f>IFERROR(VLOOKUP(D171,'Planilha de Cadastro - Previsão'!$A$2:$N$1000,14,FALSE()),"")</f>
        <v/>
      </c>
      <c r="D171" s="1">
        <v>170</v>
      </c>
      <c r="F171" s="40" t="str">
        <f t="shared" si="11"/>
        <v/>
      </c>
      <c r="G171" s="40" t="str">
        <f>IF(F171="","",'Prosposta Inicial'!$O$2)</f>
        <v/>
      </c>
      <c r="H171" s="40" t="str">
        <f t="shared" si="14"/>
        <v xml:space="preserve"> </v>
      </c>
      <c r="I171" s="41" t="str">
        <f>IFERROR((VLOOKUP(F171,'Planilha de Cadastro - Previsão'!$A$2:$N$1100,2,FALSE()))," ")</f>
        <v xml:space="preserve"> </v>
      </c>
      <c r="J171" s="40" t="str">
        <f>IFERROR((VLOOKUP(F171,'Planilha de Cadastro - Previsão'!$A$2:$N$1100,3,FALSE()))," ")</f>
        <v xml:space="preserve"> </v>
      </c>
      <c r="K171" s="40"/>
      <c r="L171" s="42" t="str">
        <f>IFERROR((VLOOKUP(F171,'Planilha de Cadastro - Previsão'!$A$2:$N$1100,11,FALSE()))," ")</f>
        <v xml:space="preserve"> </v>
      </c>
      <c r="M171" s="41" t="str">
        <f>IFERROR((IF(VLOOKUP(F171,'Planilha de Cadastro - Previsão'!$A$2:$N$1100,10,FALSE())="","",VLOOKUP(F171,'Planilha de Cadastro - Previsão'!$A$2:$N$1100,10,FALSE()))),"")</f>
        <v/>
      </c>
      <c r="N171" s="41"/>
      <c r="O171" s="41"/>
      <c r="P171" s="41" t="str">
        <f>IFERROR((IF(VLOOKUP(F171,'Acompanhamento da Licitação'!$F$2:$O$1000,10,FALSE())="","",VLOOKUP(F171,'Acompanhamento da Licitação'!$F$2:$O$1000,10,FALSE()))),"")</f>
        <v/>
      </c>
      <c r="R171" s="61" t="str">
        <f>IFERROR(IF(F171&gt;0,(Final[[#This Row],[Valor da Venda Real]]-Final[[#This Row],[Valor de Compra Previsto]]-4%*Final[[#This Row],[Valor da Venda Real]])/Final[[#This Row],[Valor da Venda Real]],""),"")</f>
        <v/>
      </c>
      <c r="S171" s="61" t="str">
        <f t="shared" si="13"/>
        <v/>
      </c>
      <c r="T171" s="23" t="str">
        <f>IFERROR((R171*Final[[#This Row],[Valor da Venda Real]]*Final[[#This Row],[Quantidade ]]*S171),"")</f>
        <v/>
      </c>
    </row>
    <row r="172" spans="1:20" ht="15.75" x14ac:dyDescent="0.2">
      <c r="A172">
        <f>COUNTIF($C$2:C172,C172)</f>
        <v>171</v>
      </c>
      <c r="B172" s="1" t="str">
        <f t="shared" si="12"/>
        <v>171</v>
      </c>
      <c r="C172" s="1" t="str">
        <f>IFERROR(VLOOKUP(D172,'Planilha de Cadastro - Previsão'!$A$2:$N$1000,14,FALSE()),"")</f>
        <v/>
      </c>
      <c r="D172" s="1">
        <v>171</v>
      </c>
      <c r="F172" s="40" t="str">
        <f t="shared" si="11"/>
        <v/>
      </c>
      <c r="G172" s="40" t="str">
        <f>IF(F172="","",'Prosposta Inicial'!$O$2)</f>
        <v/>
      </c>
      <c r="H172" s="40" t="str">
        <f t="shared" si="14"/>
        <v xml:space="preserve"> </v>
      </c>
      <c r="I172" s="41" t="str">
        <f>IFERROR((VLOOKUP(F172,'Planilha de Cadastro - Previsão'!$A$2:$N$1100,2,FALSE()))," ")</f>
        <v xml:space="preserve"> </v>
      </c>
      <c r="J172" s="40" t="str">
        <f>IFERROR((VLOOKUP(F172,'Planilha de Cadastro - Previsão'!$A$2:$N$1100,3,FALSE()))," ")</f>
        <v xml:space="preserve"> </v>
      </c>
      <c r="K172" s="40"/>
      <c r="L172" s="42" t="str">
        <f>IFERROR((VLOOKUP(F172,'Planilha de Cadastro - Previsão'!$A$2:$N$1100,11,FALSE()))," ")</f>
        <v xml:space="preserve"> </v>
      </c>
      <c r="M172" s="41" t="str">
        <f>IFERROR((IF(VLOOKUP(F172,'Planilha de Cadastro - Previsão'!$A$2:$N$1100,10,FALSE())="","",VLOOKUP(F172,'Planilha de Cadastro - Previsão'!$A$2:$N$1100,10,FALSE()))),"")</f>
        <v/>
      </c>
      <c r="N172" s="41"/>
      <c r="O172" s="41"/>
      <c r="P172" s="41" t="str">
        <f>IFERROR((IF(VLOOKUP(F172,'Acompanhamento da Licitação'!$F$2:$O$1000,10,FALSE())="","",VLOOKUP(F172,'Acompanhamento da Licitação'!$F$2:$O$1000,10,FALSE()))),"")</f>
        <v/>
      </c>
      <c r="R172" s="61" t="str">
        <f>IFERROR(IF(F172&gt;0,(Final[[#This Row],[Valor da Venda Real]]-Final[[#This Row],[Valor de Compra Previsto]]-4%*Final[[#This Row],[Valor da Venda Real]])/Final[[#This Row],[Valor da Venda Real]],""),"")</f>
        <v/>
      </c>
      <c r="S172" s="61" t="str">
        <f t="shared" si="13"/>
        <v/>
      </c>
      <c r="T172" s="23" t="str">
        <f>IFERROR((R172*Final[[#This Row],[Valor da Venda Real]]*Final[[#This Row],[Quantidade ]]*S172),"")</f>
        <v/>
      </c>
    </row>
    <row r="173" spans="1:20" ht="15.75" x14ac:dyDescent="0.2">
      <c r="A173">
        <f>COUNTIF($C$2:C173,C173)</f>
        <v>172</v>
      </c>
      <c r="B173" s="1" t="str">
        <f t="shared" si="12"/>
        <v>172</v>
      </c>
      <c r="C173" s="1" t="str">
        <f>IFERROR(VLOOKUP(D173,'Planilha de Cadastro - Previsão'!$A$2:$N$1000,14,FALSE()),"")</f>
        <v/>
      </c>
      <c r="D173" s="1">
        <v>172</v>
      </c>
      <c r="F173" s="40" t="str">
        <f t="shared" si="11"/>
        <v/>
      </c>
      <c r="G173" s="40" t="str">
        <f>IF(F173="","",'Prosposta Inicial'!$O$2)</f>
        <v/>
      </c>
      <c r="H173" s="40" t="str">
        <f t="shared" si="14"/>
        <v xml:space="preserve"> </v>
      </c>
      <c r="I173" s="41" t="str">
        <f>IFERROR((VLOOKUP(F173,'Planilha de Cadastro - Previsão'!$A$2:$N$1100,2,FALSE()))," ")</f>
        <v xml:space="preserve"> </v>
      </c>
      <c r="J173" s="40" t="str">
        <f>IFERROR((VLOOKUP(F173,'Planilha de Cadastro - Previsão'!$A$2:$N$1100,3,FALSE()))," ")</f>
        <v xml:space="preserve"> </v>
      </c>
      <c r="K173" s="40"/>
      <c r="L173" s="42" t="str">
        <f>IFERROR((VLOOKUP(F173,'Planilha de Cadastro - Previsão'!$A$2:$N$1100,11,FALSE()))," ")</f>
        <v xml:space="preserve"> </v>
      </c>
      <c r="M173" s="41" t="str">
        <f>IFERROR((IF(VLOOKUP(F173,'Planilha de Cadastro - Previsão'!$A$2:$N$1100,10,FALSE())="","",VLOOKUP(F173,'Planilha de Cadastro - Previsão'!$A$2:$N$1100,10,FALSE()))),"")</f>
        <v/>
      </c>
      <c r="N173" s="41"/>
      <c r="O173" s="41"/>
      <c r="P173" s="41" t="str">
        <f>IFERROR((IF(VLOOKUP(F173,'Acompanhamento da Licitação'!$F$2:$O$1000,10,FALSE())="","",VLOOKUP(F173,'Acompanhamento da Licitação'!$F$2:$O$1000,10,FALSE()))),"")</f>
        <v/>
      </c>
      <c r="R173" s="61" t="str">
        <f>IFERROR(IF(F173&gt;0,(Final[[#This Row],[Valor da Venda Real]]-Final[[#This Row],[Valor de Compra Previsto]]-4%*Final[[#This Row],[Valor da Venda Real]])/Final[[#This Row],[Valor da Venda Real]],""),"")</f>
        <v/>
      </c>
      <c r="S173" s="61" t="str">
        <f t="shared" si="13"/>
        <v/>
      </c>
      <c r="T173" s="23" t="str">
        <f>IFERROR((R173*Final[[#This Row],[Valor da Venda Real]]*Final[[#This Row],[Quantidade ]]*S173),"")</f>
        <v/>
      </c>
    </row>
    <row r="174" spans="1:20" ht="15.75" x14ac:dyDescent="0.2">
      <c r="A174">
        <f>COUNTIF($C$2:C174,C174)</f>
        <v>173</v>
      </c>
      <c r="B174" s="1" t="str">
        <f t="shared" si="12"/>
        <v>173</v>
      </c>
      <c r="C174" s="1" t="str">
        <f>IFERROR(VLOOKUP(D174,'Planilha de Cadastro - Previsão'!$A$2:$N$1000,14,FALSE()),"")</f>
        <v/>
      </c>
      <c r="D174" s="1">
        <v>173</v>
      </c>
      <c r="F174" s="40" t="str">
        <f t="shared" si="11"/>
        <v/>
      </c>
      <c r="G174" s="40" t="str">
        <f>IF(F174="","",'Prosposta Inicial'!$O$2)</f>
        <v/>
      </c>
      <c r="H174" s="40" t="str">
        <f t="shared" si="14"/>
        <v xml:space="preserve"> </v>
      </c>
      <c r="I174" s="41" t="str">
        <f>IFERROR((VLOOKUP(F174,'Planilha de Cadastro - Previsão'!$A$2:$N$1100,2,FALSE()))," ")</f>
        <v xml:space="preserve"> </v>
      </c>
      <c r="J174" s="40" t="str">
        <f>IFERROR((VLOOKUP(F174,'Planilha de Cadastro - Previsão'!$A$2:$N$1100,3,FALSE()))," ")</f>
        <v xml:space="preserve"> </v>
      </c>
      <c r="K174" s="40"/>
      <c r="L174" s="42" t="str">
        <f>IFERROR((VLOOKUP(F174,'Planilha de Cadastro - Previsão'!$A$2:$N$1100,11,FALSE()))," ")</f>
        <v xml:space="preserve"> </v>
      </c>
      <c r="M174" s="41" t="str">
        <f>IFERROR((IF(VLOOKUP(F174,'Planilha de Cadastro - Previsão'!$A$2:$N$1100,10,FALSE())="","",VLOOKUP(F174,'Planilha de Cadastro - Previsão'!$A$2:$N$1100,10,FALSE()))),"")</f>
        <v/>
      </c>
      <c r="N174" s="41"/>
      <c r="O174" s="41"/>
      <c r="P174" s="41" t="str">
        <f>IFERROR((IF(VLOOKUP(F174,'Acompanhamento da Licitação'!$F$2:$O$1000,10,FALSE())="","",VLOOKUP(F174,'Acompanhamento da Licitação'!$F$2:$O$1000,10,FALSE()))),"")</f>
        <v/>
      </c>
      <c r="R174" s="61" t="str">
        <f>IFERROR(IF(F174&gt;0,(Final[[#This Row],[Valor da Venda Real]]-Final[[#This Row],[Valor de Compra Previsto]]-4%*Final[[#This Row],[Valor da Venda Real]])/Final[[#This Row],[Valor da Venda Real]],""),"")</f>
        <v/>
      </c>
      <c r="S174" s="61" t="str">
        <f t="shared" si="13"/>
        <v/>
      </c>
      <c r="T174" s="23" t="str">
        <f>IFERROR((R174*Final[[#This Row],[Valor da Venda Real]]*Final[[#This Row],[Quantidade ]]*S174),"")</f>
        <v/>
      </c>
    </row>
    <row r="175" spans="1:20" ht="15.75" x14ac:dyDescent="0.2">
      <c r="A175">
        <f>COUNTIF($C$2:C175,C175)</f>
        <v>174</v>
      </c>
      <c r="B175" s="1" t="str">
        <f t="shared" si="12"/>
        <v>174</v>
      </c>
      <c r="C175" s="1" t="str">
        <f>IFERROR(VLOOKUP(D175,'Planilha de Cadastro - Previsão'!$A$2:$N$1000,14,FALSE()),"")</f>
        <v/>
      </c>
      <c r="D175" s="1">
        <v>174</v>
      </c>
      <c r="F175" s="40" t="str">
        <f t="shared" si="11"/>
        <v/>
      </c>
      <c r="G175" s="40" t="str">
        <f>IF(F175="","",'Prosposta Inicial'!$O$2)</f>
        <v/>
      </c>
      <c r="H175" s="40" t="str">
        <f t="shared" si="14"/>
        <v xml:space="preserve"> </v>
      </c>
      <c r="I175" s="41" t="str">
        <f>IFERROR((VLOOKUP(F175,'Planilha de Cadastro - Previsão'!$A$2:$N$1100,2,FALSE()))," ")</f>
        <v xml:space="preserve"> </v>
      </c>
      <c r="J175" s="40" t="str">
        <f>IFERROR((VLOOKUP(F175,'Planilha de Cadastro - Previsão'!$A$2:$N$1100,3,FALSE()))," ")</f>
        <v xml:space="preserve"> </v>
      </c>
      <c r="K175" s="40"/>
      <c r="L175" s="42" t="str">
        <f>IFERROR((VLOOKUP(F175,'Planilha de Cadastro - Previsão'!$A$2:$N$1100,11,FALSE()))," ")</f>
        <v xml:space="preserve"> </v>
      </c>
      <c r="M175" s="41" t="str">
        <f>IFERROR((IF(VLOOKUP(F175,'Planilha de Cadastro - Previsão'!$A$2:$N$1100,10,FALSE())="","",VLOOKUP(F175,'Planilha de Cadastro - Previsão'!$A$2:$N$1100,10,FALSE()))),"")</f>
        <v/>
      </c>
      <c r="N175" s="41"/>
      <c r="O175" s="41"/>
      <c r="P175" s="41" t="str">
        <f>IFERROR((IF(VLOOKUP(F175,'Acompanhamento da Licitação'!$F$2:$O$1000,10,FALSE())="","",VLOOKUP(F175,'Acompanhamento da Licitação'!$F$2:$O$1000,10,FALSE()))),"")</f>
        <v/>
      </c>
      <c r="R175" s="61" t="str">
        <f>IFERROR(IF(F175&gt;0,(Final[[#This Row],[Valor da Venda Real]]-Final[[#This Row],[Valor de Compra Previsto]]-4%*Final[[#This Row],[Valor da Venda Real]])/Final[[#This Row],[Valor da Venda Real]],""),"")</f>
        <v/>
      </c>
      <c r="S175" s="61" t="str">
        <f t="shared" si="13"/>
        <v/>
      </c>
      <c r="T175" s="23" t="str">
        <f>IFERROR((R175*Final[[#This Row],[Valor da Venda Real]]*Final[[#This Row],[Quantidade ]]*S175),"")</f>
        <v/>
      </c>
    </row>
    <row r="176" spans="1:20" ht="15.75" x14ac:dyDescent="0.2">
      <c r="A176">
        <f>COUNTIF($C$2:C176,C176)</f>
        <v>175</v>
      </c>
      <c r="B176" s="1" t="str">
        <f t="shared" si="12"/>
        <v>175</v>
      </c>
      <c r="C176" s="1" t="str">
        <f>IFERROR(VLOOKUP(D176,'Planilha de Cadastro - Previsão'!$A$2:$N$1000,14,FALSE()),"")</f>
        <v/>
      </c>
      <c r="D176" s="1">
        <v>175</v>
      </c>
      <c r="F176" s="40" t="str">
        <f t="shared" si="11"/>
        <v/>
      </c>
      <c r="G176" s="40" t="str">
        <f>IF(F176="","",'Prosposta Inicial'!$O$2)</f>
        <v/>
      </c>
      <c r="H176" s="40" t="str">
        <f t="shared" si="14"/>
        <v xml:space="preserve"> </v>
      </c>
      <c r="I176" s="41" t="str">
        <f>IFERROR((VLOOKUP(F176,'Planilha de Cadastro - Previsão'!$A$2:$N$1100,2,FALSE()))," ")</f>
        <v xml:space="preserve"> </v>
      </c>
      <c r="J176" s="40" t="str">
        <f>IFERROR((VLOOKUP(F176,'Planilha de Cadastro - Previsão'!$A$2:$N$1100,3,FALSE()))," ")</f>
        <v xml:space="preserve"> </v>
      </c>
      <c r="K176" s="40"/>
      <c r="L176" s="42" t="str">
        <f>IFERROR((VLOOKUP(F176,'Planilha de Cadastro - Previsão'!$A$2:$N$1100,11,FALSE()))," ")</f>
        <v xml:space="preserve"> </v>
      </c>
      <c r="M176" s="41" t="str">
        <f>IFERROR((IF(VLOOKUP(F176,'Planilha de Cadastro - Previsão'!$A$2:$N$1100,10,FALSE())="","",VLOOKUP(F176,'Planilha de Cadastro - Previsão'!$A$2:$N$1100,10,FALSE()))),"")</f>
        <v/>
      </c>
      <c r="N176" s="41"/>
      <c r="O176" s="41"/>
      <c r="P176" s="41" t="str">
        <f>IFERROR((IF(VLOOKUP(F176,'Acompanhamento da Licitação'!$F$2:$O$1000,10,FALSE())="","",VLOOKUP(F176,'Acompanhamento da Licitação'!$F$2:$O$1000,10,FALSE()))),"")</f>
        <v/>
      </c>
      <c r="R176" s="61" t="str">
        <f>IFERROR(IF(F176&gt;0,(Final[[#This Row],[Valor da Venda Real]]-Final[[#This Row],[Valor de Compra Previsto]]-4%*Final[[#This Row],[Valor da Venda Real]])/Final[[#This Row],[Valor da Venda Real]],""),"")</f>
        <v/>
      </c>
      <c r="S176" s="61" t="str">
        <f t="shared" si="13"/>
        <v/>
      </c>
      <c r="T176" s="23" t="str">
        <f>IFERROR((R176*Final[[#This Row],[Valor da Venda Real]]*Final[[#This Row],[Quantidade ]]*S176),"")</f>
        <v/>
      </c>
    </row>
    <row r="177" spans="1:20" ht="15.75" x14ac:dyDescent="0.2">
      <c r="A177">
        <f>COUNTIF($C$2:C177,C177)</f>
        <v>176</v>
      </c>
      <c r="B177" s="1" t="str">
        <f t="shared" si="12"/>
        <v>176</v>
      </c>
      <c r="C177" s="1" t="str">
        <f>IFERROR(VLOOKUP(D177,'Planilha de Cadastro - Previsão'!$A$2:$N$1000,14,FALSE()),"")</f>
        <v/>
      </c>
      <c r="D177" s="1">
        <v>176</v>
      </c>
      <c r="F177" s="40" t="str">
        <f t="shared" si="11"/>
        <v/>
      </c>
      <c r="G177" s="40" t="str">
        <f>IF(F177="","",'Prosposta Inicial'!$O$2)</f>
        <v/>
      </c>
      <c r="H177" s="40" t="str">
        <f t="shared" si="14"/>
        <v xml:space="preserve"> </v>
      </c>
      <c r="I177" s="41" t="str">
        <f>IFERROR((VLOOKUP(F177,'Planilha de Cadastro - Previsão'!$A$2:$N$1100,2,FALSE()))," ")</f>
        <v xml:space="preserve"> </v>
      </c>
      <c r="J177" s="40" t="str">
        <f>IFERROR((VLOOKUP(F177,'Planilha de Cadastro - Previsão'!$A$2:$N$1100,3,FALSE()))," ")</f>
        <v xml:space="preserve"> </v>
      </c>
      <c r="K177" s="40"/>
      <c r="L177" s="42" t="str">
        <f>IFERROR((VLOOKUP(F177,'Planilha de Cadastro - Previsão'!$A$2:$N$1100,11,FALSE()))," ")</f>
        <v xml:space="preserve"> </v>
      </c>
      <c r="M177" s="41" t="str">
        <f>IFERROR((IF(VLOOKUP(F177,'Planilha de Cadastro - Previsão'!$A$2:$N$1100,10,FALSE())="","",VLOOKUP(F177,'Planilha de Cadastro - Previsão'!$A$2:$N$1100,10,FALSE()))),"")</f>
        <v/>
      </c>
      <c r="N177" s="41"/>
      <c r="O177" s="41"/>
      <c r="P177" s="41" t="str">
        <f>IFERROR((IF(VLOOKUP(F177,'Acompanhamento da Licitação'!$F$2:$O$1000,10,FALSE())="","",VLOOKUP(F177,'Acompanhamento da Licitação'!$F$2:$O$1000,10,FALSE()))),"")</f>
        <v/>
      </c>
      <c r="R177" s="61" t="str">
        <f>IFERROR(IF(F177&gt;0,(Final[[#This Row],[Valor da Venda Real]]-Final[[#This Row],[Valor de Compra Previsto]]-4%*Final[[#This Row],[Valor da Venda Real]])/Final[[#This Row],[Valor da Venda Real]],""),"")</f>
        <v/>
      </c>
      <c r="S177" s="61" t="str">
        <f t="shared" si="13"/>
        <v/>
      </c>
      <c r="T177" s="23" t="str">
        <f>IFERROR((R177*Final[[#This Row],[Valor da Venda Real]]*Final[[#This Row],[Quantidade ]]*S177),"")</f>
        <v/>
      </c>
    </row>
    <row r="178" spans="1:20" ht="15.75" x14ac:dyDescent="0.2">
      <c r="A178">
        <f>COUNTIF($C$2:C178,C178)</f>
        <v>177</v>
      </c>
      <c r="B178" s="1" t="str">
        <f t="shared" si="12"/>
        <v>177</v>
      </c>
      <c r="C178" s="1" t="str">
        <f>IFERROR(VLOOKUP(D178,'Planilha de Cadastro - Previsão'!$A$2:$N$1000,14,FALSE()),"")</f>
        <v/>
      </c>
      <c r="D178" s="1">
        <v>177</v>
      </c>
      <c r="F178" s="40" t="str">
        <f t="shared" si="11"/>
        <v/>
      </c>
      <c r="G178" s="40" t="str">
        <f>IF(F178="","",'Prosposta Inicial'!$O$2)</f>
        <v/>
      </c>
      <c r="H178" s="40" t="str">
        <f t="shared" si="14"/>
        <v xml:space="preserve"> </v>
      </c>
      <c r="I178" s="41" t="str">
        <f>IFERROR((VLOOKUP(F178,'Planilha de Cadastro - Previsão'!$A$2:$N$1100,2,FALSE()))," ")</f>
        <v xml:space="preserve"> </v>
      </c>
      <c r="J178" s="40" t="str">
        <f>IFERROR((VLOOKUP(F178,'Planilha de Cadastro - Previsão'!$A$2:$N$1100,3,FALSE()))," ")</f>
        <v xml:space="preserve"> </v>
      </c>
      <c r="K178" s="40"/>
      <c r="L178" s="42" t="str">
        <f>IFERROR((VLOOKUP(F178,'Planilha de Cadastro - Previsão'!$A$2:$N$1100,11,FALSE()))," ")</f>
        <v xml:space="preserve"> </v>
      </c>
      <c r="M178" s="41" t="str">
        <f>IFERROR((IF(VLOOKUP(F178,'Planilha de Cadastro - Previsão'!$A$2:$N$1100,10,FALSE())="","",VLOOKUP(F178,'Planilha de Cadastro - Previsão'!$A$2:$N$1100,10,FALSE()))),"")</f>
        <v/>
      </c>
      <c r="N178" s="41"/>
      <c r="O178" s="41"/>
      <c r="P178" s="41" t="str">
        <f>IFERROR((IF(VLOOKUP(F178,'Acompanhamento da Licitação'!$F$2:$O$1000,10,FALSE())="","",VLOOKUP(F178,'Acompanhamento da Licitação'!$F$2:$O$1000,10,FALSE()))),"")</f>
        <v/>
      </c>
      <c r="R178" s="61" t="str">
        <f>IFERROR(IF(F178&gt;0,(Final[[#This Row],[Valor da Venda Real]]-Final[[#This Row],[Valor de Compra Previsto]]-4%*Final[[#This Row],[Valor da Venda Real]])/Final[[#This Row],[Valor da Venda Real]],""),"")</f>
        <v/>
      </c>
      <c r="S178" s="61" t="str">
        <f t="shared" si="13"/>
        <v/>
      </c>
      <c r="T178" s="23" t="str">
        <f>IFERROR((R178*Final[[#This Row],[Valor da Venda Real]]*Final[[#This Row],[Quantidade ]]*S178),"")</f>
        <v/>
      </c>
    </row>
    <row r="179" spans="1:20" ht="15.75" x14ac:dyDescent="0.2">
      <c r="A179">
        <f>COUNTIF($C$2:C179,C179)</f>
        <v>178</v>
      </c>
      <c r="B179" s="1" t="str">
        <f t="shared" si="12"/>
        <v>178</v>
      </c>
      <c r="C179" s="1" t="str">
        <f>IFERROR(VLOOKUP(D179,'Planilha de Cadastro - Previsão'!$A$2:$N$1000,14,FALSE()),"")</f>
        <v/>
      </c>
      <c r="D179" s="1">
        <v>178</v>
      </c>
      <c r="F179" s="40" t="str">
        <f t="shared" si="11"/>
        <v/>
      </c>
      <c r="G179" s="40" t="str">
        <f>IF(F179="","",'Prosposta Inicial'!$O$2)</f>
        <v/>
      </c>
      <c r="H179" s="40" t="str">
        <f t="shared" si="14"/>
        <v xml:space="preserve"> </v>
      </c>
      <c r="I179" s="41" t="str">
        <f>IFERROR((VLOOKUP(F179,'Planilha de Cadastro - Previsão'!$A$2:$N$1100,2,FALSE()))," ")</f>
        <v xml:space="preserve"> </v>
      </c>
      <c r="J179" s="40" t="str">
        <f>IFERROR((VLOOKUP(F179,'Planilha de Cadastro - Previsão'!$A$2:$N$1100,3,FALSE()))," ")</f>
        <v xml:space="preserve"> </v>
      </c>
      <c r="K179" s="40"/>
      <c r="L179" s="42" t="str">
        <f>IFERROR((VLOOKUP(F179,'Planilha de Cadastro - Previsão'!$A$2:$N$1100,11,FALSE()))," ")</f>
        <v xml:space="preserve"> </v>
      </c>
      <c r="M179" s="41" t="str">
        <f>IFERROR((IF(VLOOKUP(F179,'Planilha de Cadastro - Previsão'!$A$2:$N$1100,10,FALSE())="","",VLOOKUP(F179,'Planilha de Cadastro - Previsão'!$A$2:$N$1100,10,FALSE()))),"")</f>
        <v/>
      </c>
      <c r="N179" s="41"/>
      <c r="O179" s="41"/>
      <c r="P179" s="41" t="str">
        <f>IFERROR((IF(VLOOKUP(F179,'Acompanhamento da Licitação'!$F$2:$O$1000,10,FALSE())="","",VLOOKUP(F179,'Acompanhamento da Licitação'!$F$2:$O$1000,10,FALSE()))),"")</f>
        <v/>
      </c>
      <c r="R179" s="61" t="str">
        <f>IFERROR(IF(F179&gt;0,(Final[[#This Row],[Valor da Venda Real]]-Final[[#This Row],[Valor de Compra Previsto]]-4%*Final[[#This Row],[Valor da Venda Real]])/Final[[#This Row],[Valor da Venda Real]],""),"")</f>
        <v/>
      </c>
      <c r="S179" s="61" t="str">
        <f t="shared" si="13"/>
        <v/>
      </c>
      <c r="T179" s="23" t="str">
        <f>IFERROR((R179*Final[[#This Row],[Valor da Venda Real]]*Final[[#This Row],[Quantidade ]]*S179),"")</f>
        <v/>
      </c>
    </row>
    <row r="180" spans="1:20" ht="15.75" x14ac:dyDescent="0.2">
      <c r="A180">
        <f>COUNTIF($C$2:C180,C180)</f>
        <v>179</v>
      </c>
      <c r="B180" s="1" t="str">
        <f t="shared" si="12"/>
        <v>179</v>
      </c>
      <c r="C180" s="1" t="str">
        <f>IFERROR(VLOOKUP(D180,'Planilha de Cadastro - Previsão'!$A$2:$N$1000,14,FALSE()),"")</f>
        <v/>
      </c>
      <c r="D180" s="1">
        <v>179</v>
      </c>
      <c r="F180" s="40" t="str">
        <f t="shared" si="11"/>
        <v/>
      </c>
      <c r="G180" s="40" t="str">
        <f>IF(F180="","",'Prosposta Inicial'!$O$2)</f>
        <v/>
      </c>
      <c r="H180" s="40" t="str">
        <f t="shared" si="14"/>
        <v xml:space="preserve"> </v>
      </c>
      <c r="I180" s="41" t="str">
        <f>IFERROR((VLOOKUP(F180,'Planilha de Cadastro - Previsão'!$A$2:$N$1100,2,FALSE()))," ")</f>
        <v xml:space="preserve"> </v>
      </c>
      <c r="J180" s="40" t="str">
        <f>IFERROR((VLOOKUP(F180,'Planilha de Cadastro - Previsão'!$A$2:$N$1100,3,FALSE()))," ")</f>
        <v xml:space="preserve"> </v>
      </c>
      <c r="K180" s="40"/>
      <c r="L180" s="42" t="str">
        <f>IFERROR((VLOOKUP(F180,'Planilha de Cadastro - Previsão'!$A$2:$N$1100,11,FALSE()))," ")</f>
        <v xml:space="preserve"> </v>
      </c>
      <c r="M180" s="41" t="str">
        <f>IFERROR((IF(VLOOKUP(F180,'Planilha de Cadastro - Previsão'!$A$2:$N$1100,10,FALSE())="","",VLOOKUP(F180,'Planilha de Cadastro - Previsão'!$A$2:$N$1100,10,FALSE()))),"")</f>
        <v/>
      </c>
      <c r="N180" s="41"/>
      <c r="O180" s="41"/>
      <c r="P180" s="41" t="str">
        <f>IFERROR((IF(VLOOKUP(F180,'Acompanhamento da Licitação'!$F$2:$O$1000,10,FALSE())="","",VLOOKUP(F180,'Acompanhamento da Licitação'!$F$2:$O$1000,10,FALSE()))),"")</f>
        <v/>
      </c>
      <c r="R180" s="61" t="str">
        <f>IFERROR(IF(F180&gt;0,(Final[[#This Row],[Valor da Venda Real]]-Final[[#This Row],[Valor de Compra Previsto]]-4%*Final[[#This Row],[Valor da Venda Real]])/Final[[#This Row],[Valor da Venda Real]],""),"")</f>
        <v/>
      </c>
      <c r="S180" s="61" t="str">
        <f t="shared" si="13"/>
        <v/>
      </c>
      <c r="T180" s="23" t="str">
        <f>IFERROR((R180*Final[[#This Row],[Valor da Venda Real]]*Final[[#This Row],[Quantidade ]]*S180),"")</f>
        <v/>
      </c>
    </row>
    <row r="181" spans="1:20" ht="15.75" x14ac:dyDescent="0.2">
      <c r="A181">
        <f>COUNTIF($C$2:C181,C181)</f>
        <v>180</v>
      </c>
      <c r="B181" s="1" t="str">
        <f t="shared" si="12"/>
        <v>180</v>
      </c>
      <c r="C181" s="1" t="str">
        <f>IFERROR(VLOOKUP(D181,'Planilha de Cadastro - Previsão'!$A$2:$N$1000,14,FALSE()),"")</f>
        <v/>
      </c>
      <c r="D181" s="1">
        <v>180</v>
      </c>
      <c r="F181" s="40" t="str">
        <f t="shared" si="11"/>
        <v/>
      </c>
      <c r="G181" s="40" t="str">
        <f>IF(F181="","",'Prosposta Inicial'!$O$2)</f>
        <v/>
      </c>
      <c r="H181" s="40" t="str">
        <f t="shared" si="14"/>
        <v xml:space="preserve"> </v>
      </c>
      <c r="I181" s="41" t="str">
        <f>IFERROR((VLOOKUP(F181,'Planilha de Cadastro - Previsão'!$A$2:$N$1100,2,FALSE()))," ")</f>
        <v xml:space="preserve"> </v>
      </c>
      <c r="J181" s="40" t="str">
        <f>IFERROR((VLOOKUP(F181,'Planilha de Cadastro - Previsão'!$A$2:$N$1100,3,FALSE()))," ")</f>
        <v xml:space="preserve"> </v>
      </c>
      <c r="K181" s="40"/>
      <c r="L181" s="42" t="str">
        <f>IFERROR((VLOOKUP(F181,'Planilha de Cadastro - Previsão'!$A$2:$N$1100,11,FALSE()))," ")</f>
        <v xml:space="preserve"> </v>
      </c>
      <c r="M181" s="41" t="str">
        <f>IFERROR((IF(VLOOKUP(F181,'Planilha de Cadastro - Previsão'!$A$2:$N$1100,10,FALSE())="","",VLOOKUP(F181,'Planilha de Cadastro - Previsão'!$A$2:$N$1100,10,FALSE()))),"")</f>
        <v/>
      </c>
      <c r="N181" s="41"/>
      <c r="O181" s="41"/>
      <c r="P181" s="41" t="str">
        <f>IFERROR((IF(VLOOKUP(F181,'Acompanhamento da Licitação'!$F$2:$O$1000,10,FALSE())="","",VLOOKUP(F181,'Acompanhamento da Licitação'!$F$2:$O$1000,10,FALSE()))),"")</f>
        <v/>
      </c>
      <c r="R181" s="61" t="str">
        <f>IFERROR(IF(F181&gt;0,(Final[[#This Row],[Valor da Venda Real]]-Final[[#This Row],[Valor de Compra Previsto]]-4%*Final[[#This Row],[Valor da Venda Real]])/Final[[#This Row],[Valor da Venda Real]],""),"")</f>
        <v/>
      </c>
      <c r="S181" s="61" t="str">
        <f t="shared" si="13"/>
        <v/>
      </c>
      <c r="T181" s="23" t="str">
        <f>IFERROR((R181*Final[[#This Row],[Valor da Venda Real]]*Final[[#This Row],[Quantidade ]]*S181),"")</f>
        <v/>
      </c>
    </row>
    <row r="182" spans="1:20" ht="15.75" x14ac:dyDescent="0.2">
      <c r="A182">
        <f>COUNTIF($C$2:C182,C182)</f>
        <v>181</v>
      </c>
      <c r="B182" s="1" t="str">
        <f t="shared" si="12"/>
        <v>181</v>
      </c>
      <c r="C182" s="1" t="str">
        <f>IFERROR(VLOOKUP(D182,'Planilha de Cadastro - Previsão'!$A$2:$N$1000,14,FALSE()),"")</f>
        <v/>
      </c>
      <c r="D182" s="1">
        <v>181</v>
      </c>
      <c r="F182" s="40" t="str">
        <f t="shared" si="11"/>
        <v/>
      </c>
      <c r="G182" s="40" t="str">
        <f>IF(F182="","",'Prosposta Inicial'!$O$2)</f>
        <v/>
      </c>
      <c r="H182" s="40" t="str">
        <f t="shared" si="14"/>
        <v xml:space="preserve"> </v>
      </c>
      <c r="I182" s="41" t="str">
        <f>IFERROR((VLOOKUP(F182,'Planilha de Cadastro - Previsão'!$A$2:$N$1100,2,FALSE()))," ")</f>
        <v xml:space="preserve"> </v>
      </c>
      <c r="J182" s="40" t="str">
        <f>IFERROR((VLOOKUP(F182,'Planilha de Cadastro - Previsão'!$A$2:$N$1100,3,FALSE()))," ")</f>
        <v xml:space="preserve"> </v>
      </c>
      <c r="K182" s="40"/>
      <c r="L182" s="42" t="str">
        <f>IFERROR((VLOOKUP(F182,'Planilha de Cadastro - Previsão'!$A$2:$N$1100,11,FALSE()))," ")</f>
        <v xml:space="preserve"> </v>
      </c>
      <c r="M182" s="41" t="str">
        <f>IFERROR((IF(VLOOKUP(F182,'Planilha de Cadastro - Previsão'!$A$2:$N$1100,10,FALSE())="","",VLOOKUP(F182,'Planilha de Cadastro - Previsão'!$A$2:$N$1100,10,FALSE()))),"")</f>
        <v/>
      </c>
      <c r="N182" s="41"/>
      <c r="O182" s="41"/>
      <c r="P182" s="41" t="str">
        <f>IFERROR((IF(VLOOKUP(F182,'Acompanhamento da Licitação'!$F$2:$O$1000,10,FALSE())="","",VLOOKUP(F182,'Acompanhamento da Licitação'!$F$2:$O$1000,10,FALSE()))),"")</f>
        <v/>
      </c>
      <c r="R182" s="61" t="str">
        <f>IFERROR(IF(F182&gt;0,(Final[[#This Row],[Valor da Venda Real]]-Final[[#This Row],[Valor de Compra Previsto]]-4%*Final[[#This Row],[Valor da Venda Real]])/Final[[#This Row],[Valor da Venda Real]],""),"")</f>
        <v/>
      </c>
      <c r="S182" s="61" t="str">
        <f t="shared" si="13"/>
        <v/>
      </c>
      <c r="T182" s="23" t="str">
        <f>IFERROR((R182*Final[[#This Row],[Valor da Venda Real]]*Final[[#This Row],[Quantidade ]]*S182),"")</f>
        <v/>
      </c>
    </row>
    <row r="183" spans="1:20" ht="15.75" x14ac:dyDescent="0.2">
      <c r="A183">
        <f>COUNTIF($C$2:C183,C183)</f>
        <v>182</v>
      </c>
      <c r="B183" s="1" t="str">
        <f t="shared" si="12"/>
        <v>182</v>
      </c>
      <c r="C183" s="1" t="str">
        <f>IFERROR(VLOOKUP(D183,'Planilha de Cadastro - Previsão'!$A$2:$N$1000,14,FALSE()),"")</f>
        <v/>
      </c>
      <c r="D183" s="1">
        <v>182</v>
      </c>
      <c r="F183" s="40" t="str">
        <f t="shared" si="11"/>
        <v/>
      </c>
      <c r="G183" s="40" t="str">
        <f>IF(F183="","",'Prosposta Inicial'!$O$2)</f>
        <v/>
      </c>
      <c r="H183" s="40" t="str">
        <f t="shared" si="14"/>
        <v xml:space="preserve"> </v>
      </c>
      <c r="I183" s="41" t="str">
        <f>IFERROR((VLOOKUP(F183,'Planilha de Cadastro - Previsão'!$A$2:$N$1100,2,FALSE()))," ")</f>
        <v xml:space="preserve"> </v>
      </c>
      <c r="J183" s="40" t="str">
        <f>IFERROR((VLOOKUP(F183,'Planilha de Cadastro - Previsão'!$A$2:$N$1100,3,FALSE()))," ")</f>
        <v xml:space="preserve"> </v>
      </c>
      <c r="K183" s="40"/>
      <c r="L183" s="42" t="str">
        <f>IFERROR((VLOOKUP(F183,'Planilha de Cadastro - Previsão'!$A$2:$N$1100,11,FALSE()))," ")</f>
        <v xml:space="preserve"> </v>
      </c>
      <c r="M183" s="41" t="str">
        <f>IFERROR((IF(VLOOKUP(F183,'Planilha de Cadastro - Previsão'!$A$2:$N$1100,10,FALSE())="","",VLOOKUP(F183,'Planilha de Cadastro - Previsão'!$A$2:$N$1100,10,FALSE()))),"")</f>
        <v/>
      </c>
      <c r="N183" s="41"/>
      <c r="O183" s="41"/>
      <c r="P183" s="41" t="str">
        <f>IFERROR((IF(VLOOKUP(F183,'Acompanhamento da Licitação'!$F$2:$O$1000,10,FALSE())="","",VLOOKUP(F183,'Acompanhamento da Licitação'!$F$2:$O$1000,10,FALSE()))),"")</f>
        <v/>
      </c>
      <c r="R183" s="61" t="str">
        <f>IFERROR(IF(F183&gt;0,(Final[[#This Row],[Valor da Venda Real]]-Final[[#This Row],[Valor de Compra Previsto]]-4%*Final[[#This Row],[Valor da Venda Real]])/Final[[#This Row],[Valor da Venda Real]],""),"")</f>
        <v/>
      </c>
      <c r="S183" s="61" t="str">
        <f t="shared" si="13"/>
        <v/>
      </c>
      <c r="T183" s="23" t="str">
        <f>IFERROR((R183*Final[[#This Row],[Valor da Venda Real]]*Final[[#This Row],[Quantidade ]]*S183),"")</f>
        <v/>
      </c>
    </row>
    <row r="184" spans="1:20" ht="15.75" x14ac:dyDescent="0.2">
      <c r="A184">
        <f>COUNTIF($C$2:C184,C184)</f>
        <v>183</v>
      </c>
      <c r="B184" s="1" t="str">
        <f t="shared" si="12"/>
        <v>183</v>
      </c>
      <c r="C184" s="1" t="str">
        <f>IFERROR(VLOOKUP(D184,'Planilha de Cadastro - Previsão'!$A$2:$N$1000,14,FALSE()),"")</f>
        <v/>
      </c>
      <c r="D184" s="1">
        <v>183</v>
      </c>
      <c r="F184" s="40" t="str">
        <f t="shared" si="11"/>
        <v/>
      </c>
      <c r="G184" s="40" t="str">
        <f>IF(F184="","",'Prosposta Inicial'!$O$2)</f>
        <v/>
      </c>
      <c r="H184" s="40" t="str">
        <f t="shared" si="14"/>
        <v xml:space="preserve"> </v>
      </c>
      <c r="I184" s="41" t="str">
        <f>IFERROR((VLOOKUP(F184,'Planilha de Cadastro - Previsão'!$A$2:$N$1100,2,FALSE()))," ")</f>
        <v xml:space="preserve"> </v>
      </c>
      <c r="J184" s="40" t="str">
        <f>IFERROR((VLOOKUP(F184,'Planilha de Cadastro - Previsão'!$A$2:$N$1100,3,FALSE()))," ")</f>
        <v xml:space="preserve"> </v>
      </c>
      <c r="K184" s="40"/>
      <c r="L184" s="42" t="str">
        <f>IFERROR((VLOOKUP(F184,'Planilha de Cadastro - Previsão'!$A$2:$N$1100,11,FALSE()))," ")</f>
        <v xml:space="preserve"> </v>
      </c>
      <c r="M184" s="41" t="str">
        <f>IFERROR((IF(VLOOKUP(F184,'Planilha de Cadastro - Previsão'!$A$2:$N$1100,10,FALSE())="","",VLOOKUP(F184,'Planilha de Cadastro - Previsão'!$A$2:$N$1100,10,FALSE()))),"")</f>
        <v/>
      </c>
      <c r="N184" s="41"/>
      <c r="O184" s="41"/>
      <c r="P184" s="41" t="str">
        <f>IFERROR((IF(VLOOKUP(F184,'Acompanhamento da Licitação'!$F$2:$O$1000,10,FALSE())="","",VLOOKUP(F184,'Acompanhamento da Licitação'!$F$2:$O$1000,10,FALSE()))),"")</f>
        <v/>
      </c>
      <c r="R184" s="61" t="str">
        <f>IFERROR(IF(F184&gt;0,(Final[[#This Row],[Valor da Venda Real]]-Final[[#This Row],[Valor de Compra Previsto]]-4%*Final[[#This Row],[Valor da Venda Real]])/Final[[#This Row],[Valor da Venda Real]],""),"")</f>
        <v/>
      </c>
      <c r="S184" s="61" t="str">
        <f t="shared" si="13"/>
        <v/>
      </c>
      <c r="T184" s="23" t="str">
        <f>IFERROR((R184*Final[[#This Row],[Valor da Venda Real]]*Final[[#This Row],[Quantidade ]]*S184),"")</f>
        <v/>
      </c>
    </row>
    <row r="185" spans="1:20" ht="15.75" x14ac:dyDescent="0.2">
      <c r="A185">
        <f>COUNTIF($C$2:C185,C185)</f>
        <v>184</v>
      </c>
      <c r="B185" s="1" t="str">
        <f t="shared" si="12"/>
        <v>184</v>
      </c>
      <c r="C185" s="1" t="str">
        <f>IFERROR(VLOOKUP(D185,'Planilha de Cadastro - Previsão'!$A$2:$N$1000,14,FALSE()),"")</f>
        <v/>
      </c>
      <c r="D185" s="1">
        <v>184</v>
      </c>
      <c r="F185" s="40" t="str">
        <f t="shared" si="11"/>
        <v/>
      </c>
      <c r="G185" s="40" t="str">
        <f>IF(F185="","",'Prosposta Inicial'!$O$2)</f>
        <v/>
      </c>
      <c r="H185" s="40" t="str">
        <f t="shared" si="14"/>
        <v xml:space="preserve"> </v>
      </c>
      <c r="I185" s="41" t="str">
        <f>IFERROR((VLOOKUP(F185,'Planilha de Cadastro - Previsão'!$A$2:$N$1100,2,FALSE()))," ")</f>
        <v xml:space="preserve"> </v>
      </c>
      <c r="J185" s="40" t="str">
        <f>IFERROR((VLOOKUP(F185,'Planilha de Cadastro - Previsão'!$A$2:$N$1100,3,FALSE()))," ")</f>
        <v xml:space="preserve"> </v>
      </c>
      <c r="K185" s="40"/>
      <c r="L185" s="42" t="str">
        <f>IFERROR((VLOOKUP(F185,'Planilha de Cadastro - Previsão'!$A$2:$N$1100,11,FALSE()))," ")</f>
        <v xml:space="preserve"> </v>
      </c>
      <c r="M185" s="41" t="str">
        <f>IFERROR((IF(VLOOKUP(F185,'Planilha de Cadastro - Previsão'!$A$2:$N$1100,10,FALSE())="","",VLOOKUP(F185,'Planilha de Cadastro - Previsão'!$A$2:$N$1100,10,FALSE()))),"")</f>
        <v/>
      </c>
      <c r="N185" s="41"/>
      <c r="O185" s="41"/>
      <c r="P185" s="41" t="str">
        <f>IFERROR((IF(VLOOKUP(F185,'Acompanhamento da Licitação'!$F$2:$O$1000,10,FALSE())="","",VLOOKUP(F185,'Acompanhamento da Licitação'!$F$2:$O$1000,10,FALSE()))),"")</f>
        <v/>
      </c>
      <c r="R185" s="61" t="str">
        <f>IFERROR(IF(F185&gt;0,(Final[[#This Row],[Valor da Venda Real]]-Final[[#This Row],[Valor de Compra Previsto]]-4%*Final[[#This Row],[Valor da Venda Real]])/Final[[#This Row],[Valor da Venda Real]],""),"")</f>
        <v/>
      </c>
      <c r="S185" s="61" t="str">
        <f t="shared" si="13"/>
        <v/>
      </c>
      <c r="T185" s="23" t="str">
        <f>IFERROR((R185*Final[[#This Row],[Valor da Venda Real]]*Final[[#This Row],[Quantidade ]]*S185),"")</f>
        <v/>
      </c>
    </row>
    <row r="186" spans="1:20" ht="15.75" x14ac:dyDescent="0.2">
      <c r="A186">
        <f>COUNTIF($C$2:C186,C186)</f>
        <v>185</v>
      </c>
      <c r="B186" s="1" t="str">
        <f t="shared" si="12"/>
        <v>185</v>
      </c>
      <c r="C186" s="1" t="str">
        <f>IFERROR(VLOOKUP(D186,'Planilha de Cadastro - Previsão'!$A$2:$N$1000,14,FALSE()),"")</f>
        <v/>
      </c>
      <c r="D186" s="1">
        <v>185</v>
      </c>
      <c r="F186" s="40" t="str">
        <f t="shared" si="11"/>
        <v/>
      </c>
      <c r="G186" s="40" t="str">
        <f>IF(F186="","",'Prosposta Inicial'!$O$2)</f>
        <v/>
      </c>
      <c r="H186" s="40" t="str">
        <f t="shared" si="14"/>
        <v xml:space="preserve"> </v>
      </c>
      <c r="I186" s="41" t="str">
        <f>IFERROR((VLOOKUP(F186,'Planilha de Cadastro - Previsão'!$A$2:$N$1100,2,FALSE()))," ")</f>
        <v xml:space="preserve"> </v>
      </c>
      <c r="J186" s="40" t="str">
        <f>IFERROR((VLOOKUP(F186,'Planilha de Cadastro - Previsão'!$A$2:$N$1100,3,FALSE()))," ")</f>
        <v xml:space="preserve"> </v>
      </c>
      <c r="K186" s="40"/>
      <c r="L186" s="42" t="str">
        <f>IFERROR((VLOOKUP(F186,'Planilha de Cadastro - Previsão'!$A$2:$N$1100,11,FALSE()))," ")</f>
        <v xml:space="preserve"> </v>
      </c>
      <c r="M186" s="41" t="str">
        <f>IFERROR((IF(VLOOKUP(F186,'Planilha de Cadastro - Previsão'!$A$2:$N$1100,10,FALSE())="","",VLOOKUP(F186,'Planilha de Cadastro - Previsão'!$A$2:$N$1100,10,FALSE()))),"")</f>
        <v/>
      </c>
      <c r="N186" s="41"/>
      <c r="O186" s="41"/>
      <c r="P186" s="41" t="str">
        <f>IFERROR((IF(VLOOKUP(F186,'Acompanhamento da Licitação'!$F$2:$O$1000,10,FALSE())="","",VLOOKUP(F186,'Acompanhamento da Licitação'!$F$2:$O$1000,10,FALSE()))),"")</f>
        <v/>
      </c>
      <c r="R186" s="61" t="str">
        <f>IFERROR(IF(F186&gt;0,(Final[[#This Row],[Valor da Venda Real]]-Final[[#This Row],[Valor de Compra Previsto]]-4%*Final[[#This Row],[Valor da Venda Real]])/Final[[#This Row],[Valor da Venda Real]],""),"")</f>
        <v/>
      </c>
      <c r="S186" s="61" t="str">
        <f t="shared" si="13"/>
        <v/>
      </c>
      <c r="T186" s="23" t="str">
        <f>IFERROR((R186*Final[[#This Row],[Valor da Venda Real]]*Final[[#This Row],[Quantidade ]]*S186),"")</f>
        <v/>
      </c>
    </row>
    <row r="187" spans="1:20" ht="15.75" x14ac:dyDescent="0.2">
      <c r="A187">
        <f>COUNTIF($C$2:C187,C187)</f>
        <v>186</v>
      </c>
      <c r="B187" s="1" t="str">
        <f t="shared" si="12"/>
        <v>186</v>
      </c>
      <c r="C187" s="1" t="str">
        <f>IFERROR(VLOOKUP(D187,'Planilha de Cadastro - Previsão'!$A$2:$N$1000,14,FALSE()),"")</f>
        <v/>
      </c>
      <c r="D187" s="1">
        <v>186</v>
      </c>
      <c r="F187" s="40" t="str">
        <f t="shared" si="11"/>
        <v/>
      </c>
      <c r="G187" s="40" t="str">
        <f>IF(F187="","",'Prosposta Inicial'!$O$2)</f>
        <v/>
      </c>
      <c r="H187" s="40" t="str">
        <f t="shared" si="14"/>
        <v xml:space="preserve"> </v>
      </c>
      <c r="I187" s="41" t="str">
        <f>IFERROR((VLOOKUP(F187,'Planilha de Cadastro - Previsão'!$A$2:$N$1100,2,FALSE()))," ")</f>
        <v xml:space="preserve"> </v>
      </c>
      <c r="J187" s="40" t="str">
        <f>IFERROR((VLOOKUP(F187,'Planilha de Cadastro - Previsão'!$A$2:$N$1100,3,FALSE()))," ")</f>
        <v xml:space="preserve"> </v>
      </c>
      <c r="K187" s="40"/>
      <c r="L187" s="42" t="str">
        <f>IFERROR((VLOOKUP(F187,'Planilha de Cadastro - Previsão'!$A$2:$N$1100,11,FALSE()))," ")</f>
        <v xml:space="preserve"> </v>
      </c>
      <c r="M187" s="41" t="str">
        <f>IFERROR((IF(VLOOKUP(F187,'Planilha de Cadastro - Previsão'!$A$2:$N$1100,10,FALSE())="","",VLOOKUP(F187,'Planilha de Cadastro - Previsão'!$A$2:$N$1100,10,FALSE()))),"")</f>
        <v/>
      </c>
      <c r="N187" s="41"/>
      <c r="O187" s="41"/>
      <c r="P187" s="41" t="str">
        <f>IFERROR((IF(VLOOKUP(F187,'Acompanhamento da Licitação'!$F$2:$O$1000,10,FALSE())="","",VLOOKUP(F187,'Acompanhamento da Licitação'!$F$2:$O$1000,10,FALSE()))),"")</f>
        <v/>
      </c>
      <c r="R187" s="61" t="str">
        <f>IFERROR(IF(F187&gt;0,(Final[[#This Row],[Valor da Venda Real]]-Final[[#This Row],[Valor de Compra Previsto]]-4%*Final[[#This Row],[Valor da Venda Real]])/Final[[#This Row],[Valor da Venda Real]],""),"")</f>
        <v/>
      </c>
      <c r="S187" s="61" t="str">
        <f t="shared" si="13"/>
        <v/>
      </c>
      <c r="T187" s="23" t="str">
        <f>IFERROR((R187*Final[[#This Row],[Valor da Venda Real]]*Final[[#This Row],[Quantidade ]]*S187),"")</f>
        <v/>
      </c>
    </row>
    <row r="188" spans="1:20" ht="15.75" x14ac:dyDescent="0.2">
      <c r="A188">
        <f>COUNTIF($C$2:C188,C188)</f>
        <v>187</v>
      </c>
      <c r="B188" s="1" t="str">
        <f t="shared" si="12"/>
        <v>187</v>
      </c>
      <c r="C188" s="1" t="str">
        <f>IFERROR(VLOOKUP(D188,'Planilha de Cadastro - Previsão'!$A$2:$N$1000,14,FALSE()),"")</f>
        <v/>
      </c>
      <c r="D188" s="1">
        <v>187</v>
      </c>
      <c r="F188" s="40" t="str">
        <f t="shared" si="11"/>
        <v/>
      </c>
      <c r="G188" s="40" t="str">
        <f>IF(F188="","",'Prosposta Inicial'!$O$2)</f>
        <v/>
      </c>
      <c r="H188" s="40" t="str">
        <f t="shared" si="14"/>
        <v xml:space="preserve"> </v>
      </c>
      <c r="I188" s="41" t="str">
        <f>IFERROR((VLOOKUP(F188,'Planilha de Cadastro - Previsão'!$A$2:$N$1100,2,FALSE()))," ")</f>
        <v xml:space="preserve"> </v>
      </c>
      <c r="J188" s="40" t="str">
        <f>IFERROR((VLOOKUP(F188,'Planilha de Cadastro - Previsão'!$A$2:$N$1100,3,FALSE()))," ")</f>
        <v xml:space="preserve"> </v>
      </c>
      <c r="K188" s="40"/>
      <c r="L188" s="42" t="str">
        <f>IFERROR((VLOOKUP(F188,'Planilha de Cadastro - Previsão'!$A$2:$N$1100,11,FALSE()))," ")</f>
        <v xml:space="preserve"> </v>
      </c>
      <c r="M188" s="41" t="str">
        <f>IFERROR((IF(VLOOKUP(F188,'Planilha de Cadastro - Previsão'!$A$2:$N$1100,10,FALSE())="","",VLOOKUP(F188,'Planilha de Cadastro - Previsão'!$A$2:$N$1100,10,FALSE()))),"")</f>
        <v/>
      </c>
      <c r="N188" s="41"/>
      <c r="O188" s="41"/>
      <c r="P188" s="41" t="str">
        <f>IFERROR((IF(VLOOKUP(F188,'Acompanhamento da Licitação'!$F$2:$O$1000,10,FALSE())="","",VLOOKUP(F188,'Acompanhamento da Licitação'!$F$2:$O$1000,10,FALSE()))),"")</f>
        <v/>
      </c>
      <c r="R188" s="61" t="str">
        <f>IFERROR(IF(F188&gt;0,(Final[[#This Row],[Valor da Venda Real]]-Final[[#This Row],[Valor de Compra Previsto]]-4%*Final[[#This Row],[Valor da Venda Real]])/Final[[#This Row],[Valor da Venda Real]],""),"")</f>
        <v/>
      </c>
      <c r="S188" s="61" t="str">
        <f t="shared" si="13"/>
        <v/>
      </c>
      <c r="T188" s="23" t="str">
        <f>IFERROR((R188*Final[[#This Row],[Valor da Venda Real]]*Final[[#This Row],[Quantidade ]]*S188),"")</f>
        <v/>
      </c>
    </row>
    <row r="189" spans="1:20" ht="15.75" x14ac:dyDescent="0.2">
      <c r="A189">
        <f>COUNTIF($C$2:C189,C189)</f>
        <v>188</v>
      </c>
      <c r="B189" s="1" t="str">
        <f t="shared" si="12"/>
        <v>188</v>
      </c>
      <c r="C189" s="1" t="str">
        <f>IFERROR(VLOOKUP(D189,'Planilha de Cadastro - Previsão'!$A$2:$N$1000,14,FALSE()),"")</f>
        <v/>
      </c>
      <c r="D189" s="1">
        <v>188</v>
      </c>
      <c r="F189" s="40" t="str">
        <f t="shared" si="11"/>
        <v/>
      </c>
      <c r="G189" s="40" t="str">
        <f>IF(F189="","",'Prosposta Inicial'!$O$2)</f>
        <v/>
      </c>
      <c r="H189" s="40" t="str">
        <f t="shared" si="14"/>
        <v xml:space="preserve"> </v>
      </c>
      <c r="I189" s="41" t="str">
        <f>IFERROR((VLOOKUP(F189,'Planilha de Cadastro - Previsão'!$A$2:$N$1100,2,FALSE()))," ")</f>
        <v xml:space="preserve"> </v>
      </c>
      <c r="J189" s="40" t="str">
        <f>IFERROR((VLOOKUP(F189,'Planilha de Cadastro - Previsão'!$A$2:$N$1100,3,FALSE()))," ")</f>
        <v xml:space="preserve"> </v>
      </c>
      <c r="K189" s="40"/>
      <c r="L189" s="42" t="str">
        <f>IFERROR((VLOOKUP(F189,'Planilha de Cadastro - Previsão'!$A$2:$N$1100,11,FALSE()))," ")</f>
        <v xml:space="preserve"> </v>
      </c>
      <c r="M189" s="41" t="str">
        <f>IFERROR((IF(VLOOKUP(F189,'Planilha de Cadastro - Previsão'!$A$2:$N$1100,10,FALSE())="","",VLOOKUP(F189,'Planilha de Cadastro - Previsão'!$A$2:$N$1100,10,FALSE()))),"")</f>
        <v/>
      </c>
      <c r="N189" s="41"/>
      <c r="O189" s="41"/>
      <c r="P189" s="41" t="str">
        <f>IFERROR((IF(VLOOKUP(F189,'Acompanhamento da Licitação'!$F$2:$O$1000,10,FALSE())="","",VLOOKUP(F189,'Acompanhamento da Licitação'!$F$2:$O$1000,10,FALSE()))),"")</f>
        <v/>
      </c>
      <c r="R189" s="61" t="str">
        <f>IFERROR(IF(F189&gt;0,(Final[[#This Row],[Valor da Venda Real]]-Final[[#This Row],[Valor de Compra Previsto]]-4%*Final[[#This Row],[Valor da Venda Real]])/Final[[#This Row],[Valor da Venda Real]],""),"")</f>
        <v/>
      </c>
      <c r="S189" s="61" t="str">
        <f t="shared" si="13"/>
        <v/>
      </c>
      <c r="T189" s="23" t="str">
        <f>IFERROR((R189*Final[[#This Row],[Valor da Venda Real]]*Final[[#This Row],[Quantidade ]]*S189),"")</f>
        <v/>
      </c>
    </row>
    <row r="190" spans="1:20" ht="15.75" x14ac:dyDescent="0.2">
      <c r="A190">
        <f>COUNTIF($C$2:C190,C190)</f>
        <v>189</v>
      </c>
      <c r="B190" s="1" t="str">
        <f t="shared" si="12"/>
        <v>189</v>
      </c>
      <c r="C190" s="1" t="str">
        <f>IFERROR(VLOOKUP(D190,'Planilha de Cadastro - Previsão'!$A$2:$N$1000,14,FALSE()),"")</f>
        <v/>
      </c>
      <c r="D190" s="1">
        <v>189</v>
      </c>
      <c r="F190" s="40" t="str">
        <f t="shared" si="11"/>
        <v/>
      </c>
      <c r="G190" s="40" t="str">
        <f>IF(F190="","",'Prosposta Inicial'!$O$2)</f>
        <v/>
      </c>
      <c r="H190" s="40" t="str">
        <f t="shared" si="14"/>
        <v xml:space="preserve"> </v>
      </c>
      <c r="I190" s="41" t="str">
        <f>IFERROR((VLOOKUP(F190,'Planilha de Cadastro - Previsão'!$A$2:$N$1100,2,FALSE()))," ")</f>
        <v xml:space="preserve"> </v>
      </c>
      <c r="J190" s="40" t="str">
        <f>IFERROR((VLOOKUP(F190,'Planilha de Cadastro - Previsão'!$A$2:$N$1100,3,FALSE()))," ")</f>
        <v xml:space="preserve"> </v>
      </c>
      <c r="K190" s="40"/>
      <c r="L190" s="42" t="str">
        <f>IFERROR((VLOOKUP(F190,'Planilha de Cadastro - Previsão'!$A$2:$N$1100,11,FALSE()))," ")</f>
        <v xml:space="preserve"> </v>
      </c>
      <c r="M190" s="41" t="str">
        <f>IFERROR((IF(VLOOKUP(F190,'Planilha de Cadastro - Previsão'!$A$2:$N$1100,10,FALSE())="","",VLOOKUP(F190,'Planilha de Cadastro - Previsão'!$A$2:$N$1100,10,FALSE()))),"")</f>
        <v/>
      </c>
      <c r="N190" s="41"/>
      <c r="O190" s="41"/>
      <c r="P190" s="41" t="str">
        <f>IFERROR((IF(VLOOKUP(F190,'Acompanhamento da Licitação'!$F$2:$O$1000,10,FALSE())="","",VLOOKUP(F190,'Acompanhamento da Licitação'!$F$2:$O$1000,10,FALSE()))),"")</f>
        <v/>
      </c>
      <c r="R190" s="61" t="str">
        <f>IFERROR(IF(F190&gt;0,(Final[[#This Row],[Valor da Venda Real]]-Final[[#This Row],[Valor de Compra Previsto]]-4%*Final[[#This Row],[Valor da Venda Real]])/Final[[#This Row],[Valor da Venda Real]],""),"")</f>
        <v/>
      </c>
      <c r="S190" s="61" t="str">
        <f t="shared" si="13"/>
        <v/>
      </c>
      <c r="T190" s="23" t="str">
        <f>IFERROR((R190*Final[[#This Row],[Valor da Venda Real]]*Final[[#This Row],[Quantidade ]]*S190),"")</f>
        <v/>
      </c>
    </row>
    <row r="191" spans="1:20" ht="15.75" x14ac:dyDescent="0.2">
      <c r="A191">
        <f>COUNTIF($C$2:C191,C191)</f>
        <v>190</v>
      </c>
      <c r="B191" s="1" t="str">
        <f t="shared" si="12"/>
        <v>190</v>
      </c>
      <c r="C191" s="1" t="str">
        <f>IFERROR(VLOOKUP(D191,'Planilha de Cadastro - Previsão'!$A$2:$N$1000,14,FALSE()),"")</f>
        <v/>
      </c>
      <c r="D191" s="1">
        <v>190</v>
      </c>
      <c r="F191" s="40" t="str">
        <f t="shared" si="11"/>
        <v/>
      </c>
      <c r="G191" s="40" t="str">
        <f>IF(F191="","",'Prosposta Inicial'!$O$2)</f>
        <v/>
      </c>
      <c r="H191" s="40" t="str">
        <f t="shared" si="14"/>
        <v xml:space="preserve"> </v>
      </c>
      <c r="I191" s="41" t="str">
        <f>IFERROR((VLOOKUP(F191,'Planilha de Cadastro - Previsão'!$A$2:$N$1100,2,FALSE()))," ")</f>
        <v xml:space="preserve"> </v>
      </c>
      <c r="J191" s="40" t="str">
        <f>IFERROR((VLOOKUP(F191,'Planilha de Cadastro - Previsão'!$A$2:$N$1100,3,FALSE()))," ")</f>
        <v xml:space="preserve"> </v>
      </c>
      <c r="K191" s="40"/>
      <c r="L191" s="42" t="str">
        <f>IFERROR((VLOOKUP(F191,'Planilha de Cadastro - Previsão'!$A$2:$N$1100,11,FALSE()))," ")</f>
        <v xml:space="preserve"> </v>
      </c>
      <c r="M191" s="41" t="str">
        <f>IFERROR((IF(VLOOKUP(F191,'Planilha de Cadastro - Previsão'!$A$2:$N$1100,10,FALSE())="","",VLOOKUP(F191,'Planilha de Cadastro - Previsão'!$A$2:$N$1100,10,FALSE()))),"")</f>
        <v/>
      </c>
      <c r="N191" s="41"/>
      <c r="O191" s="41"/>
      <c r="P191" s="41" t="str">
        <f>IFERROR((IF(VLOOKUP(F191,'Acompanhamento da Licitação'!$F$2:$O$1000,10,FALSE())="","",VLOOKUP(F191,'Acompanhamento da Licitação'!$F$2:$O$1000,10,FALSE()))),"")</f>
        <v/>
      </c>
      <c r="R191" s="61" t="str">
        <f>IFERROR(IF(F191&gt;0,(Final[[#This Row],[Valor da Venda Real]]-Final[[#This Row],[Valor de Compra Previsto]]-4%*Final[[#This Row],[Valor da Venda Real]])/Final[[#This Row],[Valor da Venda Real]],""),"")</f>
        <v/>
      </c>
      <c r="S191" s="61" t="str">
        <f t="shared" si="13"/>
        <v/>
      </c>
      <c r="T191" s="23" t="str">
        <f>IFERROR((R191*Final[[#This Row],[Valor da Venda Real]]*Final[[#This Row],[Quantidade ]]*S191),"")</f>
        <v/>
      </c>
    </row>
    <row r="192" spans="1:20" ht="15.75" x14ac:dyDescent="0.2">
      <c r="A192">
        <f>COUNTIF($C$2:C192,C192)</f>
        <v>191</v>
      </c>
      <c r="B192" s="1" t="str">
        <f t="shared" si="12"/>
        <v>191</v>
      </c>
      <c r="C192" s="1" t="str">
        <f>IFERROR(VLOOKUP(D192,'Planilha de Cadastro - Previsão'!$A$2:$N$1000,14,FALSE()),"")</f>
        <v/>
      </c>
      <c r="D192" s="1">
        <v>191</v>
      </c>
      <c r="F192" s="40" t="str">
        <f t="shared" si="11"/>
        <v/>
      </c>
      <c r="G192" s="40" t="str">
        <f>IF(F192="","",'Prosposta Inicial'!$O$2)</f>
        <v/>
      </c>
      <c r="H192" s="40" t="str">
        <f t="shared" si="14"/>
        <v xml:space="preserve"> </v>
      </c>
      <c r="I192" s="41" t="str">
        <f>IFERROR((VLOOKUP(F192,'Planilha de Cadastro - Previsão'!$A$2:$N$1100,2,FALSE()))," ")</f>
        <v xml:space="preserve"> </v>
      </c>
      <c r="J192" s="40" t="str">
        <f>IFERROR((VLOOKUP(F192,'Planilha de Cadastro - Previsão'!$A$2:$N$1100,3,FALSE()))," ")</f>
        <v xml:space="preserve"> </v>
      </c>
      <c r="K192" s="40"/>
      <c r="L192" s="42" t="str">
        <f>IFERROR((VLOOKUP(F192,'Planilha de Cadastro - Previsão'!$A$2:$N$1100,11,FALSE()))," ")</f>
        <v xml:space="preserve"> </v>
      </c>
      <c r="M192" s="41" t="str">
        <f>IFERROR((IF(VLOOKUP(F192,'Planilha de Cadastro - Previsão'!$A$2:$N$1100,10,FALSE())="","",VLOOKUP(F192,'Planilha de Cadastro - Previsão'!$A$2:$N$1100,10,FALSE()))),"")</f>
        <v/>
      </c>
      <c r="N192" s="41"/>
      <c r="O192" s="41"/>
      <c r="P192" s="41" t="str">
        <f>IFERROR((IF(VLOOKUP(F192,'Acompanhamento da Licitação'!$F$2:$O$1000,10,FALSE())="","",VLOOKUP(F192,'Acompanhamento da Licitação'!$F$2:$O$1000,10,FALSE()))),"")</f>
        <v/>
      </c>
      <c r="R192" s="61" t="str">
        <f>IFERROR(IF(F192&gt;0,(Final[[#This Row],[Valor da Venda Real]]-Final[[#This Row],[Valor de Compra Previsto]]-4%*Final[[#This Row],[Valor da Venda Real]])/Final[[#This Row],[Valor da Venda Real]],""),"")</f>
        <v/>
      </c>
      <c r="S192" s="61" t="str">
        <f t="shared" si="13"/>
        <v/>
      </c>
      <c r="T192" s="23" t="str">
        <f>IFERROR((R192*Final[[#This Row],[Valor da Venda Real]]*Final[[#This Row],[Quantidade ]]*S192),"")</f>
        <v/>
      </c>
    </row>
    <row r="193" spans="1:20" ht="15.75" x14ac:dyDescent="0.2">
      <c r="A193">
        <f>COUNTIF($C$2:C193,C193)</f>
        <v>192</v>
      </c>
      <c r="B193" s="1" t="str">
        <f t="shared" si="12"/>
        <v>192</v>
      </c>
      <c r="C193" s="1" t="str">
        <f>IFERROR(VLOOKUP(D193,'Planilha de Cadastro - Previsão'!$A$2:$N$1000,14,FALSE()),"")</f>
        <v/>
      </c>
      <c r="D193" s="1">
        <v>192</v>
      </c>
      <c r="F193" s="40" t="str">
        <f t="shared" si="11"/>
        <v/>
      </c>
      <c r="G193" s="40" t="str">
        <f>IF(F193="","",'Prosposta Inicial'!$O$2)</f>
        <v/>
      </c>
      <c r="H193" s="40" t="str">
        <f t="shared" si="14"/>
        <v xml:space="preserve"> </v>
      </c>
      <c r="I193" s="41" t="str">
        <f>IFERROR((VLOOKUP(F193,'Planilha de Cadastro - Previsão'!$A$2:$N$1100,2,FALSE()))," ")</f>
        <v xml:space="preserve"> </v>
      </c>
      <c r="J193" s="40" t="str">
        <f>IFERROR((VLOOKUP(F193,'Planilha de Cadastro - Previsão'!$A$2:$N$1100,3,FALSE()))," ")</f>
        <v xml:space="preserve"> </v>
      </c>
      <c r="K193" s="40"/>
      <c r="L193" s="42" t="str">
        <f>IFERROR((VLOOKUP(F193,'Planilha de Cadastro - Previsão'!$A$2:$N$1100,11,FALSE()))," ")</f>
        <v xml:space="preserve"> </v>
      </c>
      <c r="M193" s="41" t="str">
        <f>IFERROR((IF(VLOOKUP(F193,'Planilha de Cadastro - Previsão'!$A$2:$N$1100,10,FALSE())="","",VLOOKUP(F193,'Planilha de Cadastro - Previsão'!$A$2:$N$1100,10,FALSE()))),"")</f>
        <v/>
      </c>
      <c r="N193" s="41"/>
      <c r="O193" s="41"/>
      <c r="P193" s="41" t="str">
        <f>IFERROR((IF(VLOOKUP(F193,'Acompanhamento da Licitação'!$F$2:$O$1000,10,FALSE())="","",VLOOKUP(F193,'Acompanhamento da Licitação'!$F$2:$O$1000,10,FALSE()))),"")</f>
        <v/>
      </c>
      <c r="R193" s="61" t="str">
        <f>IFERROR(IF(F193&gt;0,(Final[[#This Row],[Valor da Venda Real]]-Final[[#This Row],[Valor de Compra Previsto]]-4%*Final[[#This Row],[Valor da Venda Real]])/Final[[#This Row],[Valor da Venda Real]],""),"")</f>
        <v/>
      </c>
      <c r="S193" s="61" t="str">
        <f t="shared" si="13"/>
        <v/>
      </c>
      <c r="T193" s="23" t="str">
        <f>IFERROR((R193*Final[[#This Row],[Valor da Venda Real]]*Final[[#This Row],[Quantidade ]]*S193),"")</f>
        <v/>
      </c>
    </row>
    <row r="194" spans="1:20" ht="15.75" x14ac:dyDescent="0.2">
      <c r="A194">
        <f>COUNTIF($C$2:C194,C194)</f>
        <v>193</v>
      </c>
      <c r="B194" s="1" t="str">
        <f t="shared" si="12"/>
        <v>193</v>
      </c>
      <c r="C194" s="1" t="str">
        <f>IFERROR(VLOOKUP(D194,'Planilha de Cadastro - Previsão'!$A$2:$N$1000,14,FALSE()),"")</f>
        <v/>
      </c>
      <c r="D194" s="1">
        <v>193</v>
      </c>
      <c r="F194" s="40" t="str">
        <f t="shared" ref="F194:F257" si="15">IFERROR((VLOOKUP(CONCATENATE("Sim",D194),$B$2:$D$1000,3,FALSE())),"")</f>
        <v/>
      </c>
      <c r="G194" s="40" t="str">
        <f>IF(F194="","",'Prosposta Inicial'!$O$2)</f>
        <v/>
      </c>
      <c r="H194" s="40" t="str">
        <f t="shared" si="14"/>
        <v xml:space="preserve"> </v>
      </c>
      <c r="I194" s="41" t="str">
        <f>IFERROR((VLOOKUP(F194,'Planilha de Cadastro - Previsão'!$A$2:$N$1100,2,FALSE()))," ")</f>
        <v xml:space="preserve"> </v>
      </c>
      <c r="J194" s="40" t="str">
        <f>IFERROR((VLOOKUP(F194,'Planilha de Cadastro - Previsão'!$A$2:$N$1100,3,FALSE()))," ")</f>
        <v xml:space="preserve"> </v>
      </c>
      <c r="K194" s="40"/>
      <c r="L194" s="42" t="str">
        <f>IFERROR((VLOOKUP(F194,'Planilha de Cadastro - Previsão'!$A$2:$N$1100,11,FALSE()))," ")</f>
        <v xml:space="preserve"> </v>
      </c>
      <c r="M194" s="41" t="str">
        <f>IFERROR((IF(VLOOKUP(F194,'Planilha de Cadastro - Previsão'!$A$2:$N$1100,10,FALSE())="","",VLOOKUP(F194,'Planilha de Cadastro - Previsão'!$A$2:$N$1100,10,FALSE()))),"")</f>
        <v/>
      </c>
      <c r="N194" s="41"/>
      <c r="O194" s="41"/>
      <c r="P194" s="41" t="str">
        <f>IFERROR((IF(VLOOKUP(F194,'Acompanhamento da Licitação'!$F$2:$O$1000,10,FALSE())="","",VLOOKUP(F194,'Acompanhamento da Licitação'!$F$2:$O$1000,10,FALSE()))),"")</f>
        <v/>
      </c>
      <c r="R194" s="61" t="str">
        <f>IFERROR(IF(F194&gt;0,(Final[[#This Row],[Valor da Venda Real]]-Final[[#This Row],[Valor de Compra Previsto]]-4%*Final[[#This Row],[Valor da Venda Real]])/Final[[#This Row],[Valor da Venda Real]],""),"")</f>
        <v/>
      </c>
      <c r="S194" s="61" t="str">
        <f t="shared" si="13"/>
        <v/>
      </c>
      <c r="T194" s="23" t="str">
        <f>IFERROR((R194*Final[[#This Row],[Valor da Venda Real]]*Final[[#This Row],[Quantidade ]]*S194),"")</f>
        <v/>
      </c>
    </row>
    <row r="195" spans="1:20" ht="15.75" x14ac:dyDescent="0.2">
      <c r="A195">
        <f>COUNTIF($C$2:C195,C195)</f>
        <v>194</v>
      </c>
      <c r="B195" s="1" t="str">
        <f t="shared" ref="B195:B258" si="16">IFERROR(CONCATENATE(C195,A195),"")</f>
        <v>194</v>
      </c>
      <c r="C195" s="1" t="str">
        <f>IFERROR(VLOOKUP(D195,'Planilha de Cadastro - Previsão'!$A$2:$N$1000,14,FALSE()),"")</f>
        <v/>
      </c>
      <c r="D195" s="1">
        <v>194</v>
      </c>
      <c r="F195" s="40" t="str">
        <f t="shared" si="15"/>
        <v/>
      </c>
      <c r="G195" s="40" t="str">
        <f>IF(F195="","",'Prosposta Inicial'!$O$2)</f>
        <v/>
      </c>
      <c r="H195" s="40" t="str">
        <f t="shared" si="14"/>
        <v xml:space="preserve"> </v>
      </c>
      <c r="I195" s="41" t="str">
        <f>IFERROR((VLOOKUP(F195,'Planilha de Cadastro - Previsão'!$A$2:$N$1100,2,FALSE()))," ")</f>
        <v xml:space="preserve"> </v>
      </c>
      <c r="J195" s="40" t="str">
        <f>IFERROR((VLOOKUP(F195,'Planilha de Cadastro - Previsão'!$A$2:$N$1100,3,FALSE()))," ")</f>
        <v xml:space="preserve"> </v>
      </c>
      <c r="K195" s="40"/>
      <c r="L195" s="42" t="str">
        <f>IFERROR((VLOOKUP(F195,'Planilha de Cadastro - Previsão'!$A$2:$N$1100,11,FALSE()))," ")</f>
        <v xml:space="preserve"> </v>
      </c>
      <c r="M195" s="41" t="str">
        <f>IFERROR((IF(VLOOKUP(F195,'Planilha de Cadastro - Previsão'!$A$2:$N$1100,10,FALSE())="","",VLOOKUP(F195,'Planilha de Cadastro - Previsão'!$A$2:$N$1100,10,FALSE()))),"")</f>
        <v/>
      </c>
      <c r="N195" s="41"/>
      <c r="O195" s="41"/>
      <c r="P195" s="41" t="str">
        <f>IFERROR((IF(VLOOKUP(F195,'Acompanhamento da Licitação'!$F$2:$O$1000,10,FALSE())="","",VLOOKUP(F195,'Acompanhamento da Licitação'!$F$2:$O$1000,10,FALSE()))),"")</f>
        <v/>
      </c>
      <c r="R195" s="61" t="str">
        <f>IFERROR(IF(F195&gt;0,(Final[[#This Row],[Valor da Venda Real]]-Final[[#This Row],[Valor de Compra Previsto]]-4%*Final[[#This Row],[Valor da Venda Real]])/Final[[#This Row],[Valor da Venda Real]],""),"")</f>
        <v/>
      </c>
      <c r="S195" s="61" t="str">
        <f t="shared" ref="S195:S258" si="17">IF(R195="","",IF(R195&lt;0.2,0.05,IF(R195&lt;0.25,0.1,IF(R195&lt;0.3,0.15,IF(R195&lt;0.35,0.2,IF(R195&lt;0.45,0.25,IF(R195&lt;0.5,0.3,IF(R195&lt;0.6,0.35,0.4))))))))</f>
        <v/>
      </c>
      <c r="T195" s="23" t="str">
        <f>IFERROR((R195*Final[[#This Row],[Valor da Venda Real]]*Final[[#This Row],[Quantidade ]]*S195),"")</f>
        <v/>
      </c>
    </row>
    <row r="196" spans="1:20" ht="15.75" x14ac:dyDescent="0.2">
      <c r="A196">
        <f>COUNTIF($C$2:C196,C196)</f>
        <v>195</v>
      </c>
      <c r="B196" s="1" t="str">
        <f t="shared" si="16"/>
        <v>195</v>
      </c>
      <c r="C196" s="1" t="str">
        <f>IFERROR(VLOOKUP(D196,'Planilha de Cadastro - Previsão'!$A$2:$N$1000,14,FALSE()),"")</f>
        <v/>
      </c>
      <c r="D196" s="1">
        <v>195</v>
      </c>
      <c r="F196" s="40" t="str">
        <f t="shared" si="15"/>
        <v/>
      </c>
      <c r="G196" s="40" t="str">
        <f>IF(F196="","",'Prosposta Inicial'!$O$2)</f>
        <v/>
      </c>
      <c r="H196" s="40" t="str">
        <f t="shared" si="14"/>
        <v xml:space="preserve"> </v>
      </c>
      <c r="I196" s="41" t="str">
        <f>IFERROR((VLOOKUP(F196,'Planilha de Cadastro - Previsão'!$A$2:$N$1100,2,FALSE()))," ")</f>
        <v xml:space="preserve"> </v>
      </c>
      <c r="J196" s="40" t="str">
        <f>IFERROR((VLOOKUP(F196,'Planilha de Cadastro - Previsão'!$A$2:$N$1100,3,FALSE()))," ")</f>
        <v xml:space="preserve"> </v>
      </c>
      <c r="K196" s="40"/>
      <c r="L196" s="42" t="str">
        <f>IFERROR((VLOOKUP(F196,'Planilha de Cadastro - Previsão'!$A$2:$N$1100,11,FALSE()))," ")</f>
        <v xml:space="preserve"> </v>
      </c>
      <c r="M196" s="41" t="str">
        <f>IFERROR((IF(VLOOKUP(F196,'Planilha de Cadastro - Previsão'!$A$2:$N$1100,10,FALSE())="","",VLOOKUP(F196,'Planilha de Cadastro - Previsão'!$A$2:$N$1100,10,FALSE()))),"")</f>
        <v/>
      </c>
      <c r="N196" s="41"/>
      <c r="O196" s="41"/>
      <c r="P196" s="41" t="str">
        <f>IFERROR((IF(VLOOKUP(F196,'Acompanhamento da Licitação'!$F$2:$O$1000,10,FALSE())="","",VLOOKUP(F196,'Acompanhamento da Licitação'!$F$2:$O$1000,10,FALSE()))),"")</f>
        <v/>
      </c>
      <c r="R196" s="61" t="str">
        <f>IFERROR(IF(F196&gt;0,(Final[[#This Row],[Valor da Venda Real]]-Final[[#This Row],[Valor de Compra Previsto]]-4%*Final[[#This Row],[Valor da Venda Real]])/Final[[#This Row],[Valor da Venda Real]],""),"")</f>
        <v/>
      </c>
      <c r="S196" s="61" t="str">
        <f t="shared" si="17"/>
        <v/>
      </c>
      <c r="T196" s="23" t="str">
        <f>IFERROR((R196*Final[[#This Row],[Valor da Venda Real]]*Final[[#This Row],[Quantidade ]]*S196),"")</f>
        <v/>
      </c>
    </row>
    <row r="197" spans="1:20" ht="15.75" x14ac:dyDescent="0.2">
      <c r="A197">
        <f>COUNTIF($C$2:C197,C197)</f>
        <v>196</v>
      </c>
      <c r="B197" s="1" t="str">
        <f t="shared" si="16"/>
        <v>196</v>
      </c>
      <c r="C197" s="1" t="str">
        <f>IFERROR(VLOOKUP(D197,'Planilha de Cadastro - Previsão'!$A$2:$N$1000,14,FALSE()),"")</f>
        <v/>
      </c>
      <c r="D197" s="1">
        <v>196</v>
      </c>
      <c r="F197" s="40" t="str">
        <f t="shared" si="15"/>
        <v/>
      </c>
      <c r="G197" s="40" t="str">
        <f>IF(F197="","",'Prosposta Inicial'!$O$2)</f>
        <v/>
      </c>
      <c r="H197" s="40" t="str">
        <f t="shared" si="14"/>
        <v xml:space="preserve"> </v>
      </c>
      <c r="I197" s="41" t="str">
        <f>IFERROR((VLOOKUP(F197,'Planilha de Cadastro - Previsão'!$A$2:$N$1100,2,FALSE()))," ")</f>
        <v xml:space="preserve"> </v>
      </c>
      <c r="J197" s="40" t="str">
        <f>IFERROR((VLOOKUP(F197,'Planilha de Cadastro - Previsão'!$A$2:$N$1100,3,FALSE()))," ")</f>
        <v xml:space="preserve"> </v>
      </c>
      <c r="K197" s="40"/>
      <c r="L197" s="42" t="str">
        <f>IFERROR((VLOOKUP(F197,'Planilha de Cadastro - Previsão'!$A$2:$N$1100,11,FALSE()))," ")</f>
        <v xml:space="preserve"> </v>
      </c>
      <c r="M197" s="41" t="str">
        <f>IFERROR((IF(VLOOKUP(F197,'Planilha de Cadastro - Previsão'!$A$2:$N$1100,10,FALSE())="","",VLOOKUP(F197,'Planilha de Cadastro - Previsão'!$A$2:$N$1100,10,FALSE()))),"")</f>
        <v/>
      </c>
      <c r="N197" s="41"/>
      <c r="O197" s="41"/>
      <c r="P197" s="41" t="str">
        <f>IFERROR((IF(VLOOKUP(F197,'Acompanhamento da Licitação'!$F$2:$O$1000,10,FALSE())="","",VLOOKUP(F197,'Acompanhamento da Licitação'!$F$2:$O$1000,10,FALSE()))),"")</f>
        <v/>
      </c>
      <c r="R197" s="61" t="str">
        <f>IFERROR(IF(F197&gt;0,(Final[[#This Row],[Valor da Venda Real]]-Final[[#This Row],[Valor de Compra Previsto]]-4%*Final[[#This Row],[Valor da Venda Real]])/Final[[#This Row],[Valor da Venda Real]],""),"")</f>
        <v/>
      </c>
      <c r="S197" s="61" t="str">
        <f t="shared" si="17"/>
        <v/>
      </c>
      <c r="T197" s="23" t="str">
        <f>IFERROR((R197*Final[[#This Row],[Valor da Venda Real]]*Final[[#This Row],[Quantidade ]]*S197),"")</f>
        <v/>
      </c>
    </row>
    <row r="198" spans="1:20" ht="15.75" x14ac:dyDescent="0.2">
      <c r="A198">
        <f>COUNTIF($C$2:C198,C198)</f>
        <v>197</v>
      </c>
      <c r="B198" s="1" t="str">
        <f t="shared" si="16"/>
        <v>197</v>
      </c>
      <c r="C198" s="1" t="str">
        <f>IFERROR(VLOOKUP(D198,'Planilha de Cadastro - Previsão'!$A$2:$N$1000,14,FALSE()),"")</f>
        <v/>
      </c>
      <c r="D198" s="1">
        <v>197</v>
      </c>
      <c r="F198" s="40" t="str">
        <f t="shared" si="15"/>
        <v/>
      </c>
      <c r="G198" s="40" t="str">
        <f>IF(F198="","",'Prosposta Inicial'!$O$2)</f>
        <v/>
      </c>
      <c r="H198" s="40" t="str">
        <f t="shared" si="14"/>
        <v xml:space="preserve"> </v>
      </c>
      <c r="I198" s="41" t="str">
        <f>IFERROR((VLOOKUP(F198,'Planilha de Cadastro - Previsão'!$A$2:$N$1100,2,FALSE()))," ")</f>
        <v xml:space="preserve"> </v>
      </c>
      <c r="J198" s="40" t="str">
        <f>IFERROR((VLOOKUP(F198,'Planilha de Cadastro - Previsão'!$A$2:$N$1100,3,FALSE()))," ")</f>
        <v xml:space="preserve"> </v>
      </c>
      <c r="K198" s="40"/>
      <c r="L198" s="42" t="str">
        <f>IFERROR((VLOOKUP(F198,'Planilha de Cadastro - Previsão'!$A$2:$N$1100,11,FALSE()))," ")</f>
        <v xml:space="preserve"> </v>
      </c>
      <c r="M198" s="41" t="str">
        <f>IFERROR((IF(VLOOKUP(F198,'Planilha de Cadastro - Previsão'!$A$2:$N$1100,10,FALSE())="","",VLOOKUP(F198,'Planilha de Cadastro - Previsão'!$A$2:$N$1100,10,FALSE()))),"")</f>
        <v/>
      </c>
      <c r="N198" s="41"/>
      <c r="O198" s="41"/>
      <c r="P198" s="41" t="str">
        <f>IFERROR((IF(VLOOKUP(F198,'Acompanhamento da Licitação'!$F$2:$O$1000,10,FALSE())="","",VLOOKUP(F198,'Acompanhamento da Licitação'!$F$2:$O$1000,10,FALSE()))),"")</f>
        <v/>
      </c>
      <c r="R198" s="61" t="str">
        <f>IFERROR(IF(F198&gt;0,(Final[[#This Row],[Valor da Venda Real]]-Final[[#This Row],[Valor de Compra Previsto]]-4%*Final[[#This Row],[Valor da Venda Real]])/Final[[#This Row],[Valor da Venda Real]],""),"")</f>
        <v/>
      </c>
      <c r="S198" s="61" t="str">
        <f t="shared" si="17"/>
        <v/>
      </c>
      <c r="T198" s="23" t="str">
        <f>IFERROR((R198*Final[[#This Row],[Valor da Venda Real]]*Final[[#This Row],[Quantidade ]]*S198),"")</f>
        <v/>
      </c>
    </row>
    <row r="199" spans="1:20" ht="15.75" x14ac:dyDescent="0.2">
      <c r="A199">
        <f>COUNTIF($C$2:C199,C199)</f>
        <v>198</v>
      </c>
      <c r="B199" s="1" t="str">
        <f t="shared" si="16"/>
        <v>198</v>
      </c>
      <c r="C199" s="1" t="str">
        <f>IFERROR(VLOOKUP(D199,'Planilha de Cadastro - Previsão'!$A$2:$N$1000,14,FALSE()),"")</f>
        <v/>
      </c>
      <c r="D199" s="1">
        <v>198</v>
      </c>
      <c r="F199" s="40" t="str">
        <f t="shared" si="15"/>
        <v/>
      </c>
      <c r="G199" s="40" t="str">
        <f>IF(F199="","",'Prosposta Inicial'!$O$2)</f>
        <v/>
      </c>
      <c r="H199" s="40" t="str">
        <f t="shared" si="14"/>
        <v xml:space="preserve"> </v>
      </c>
      <c r="I199" s="41" t="str">
        <f>IFERROR((VLOOKUP(F199,'Planilha de Cadastro - Previsão'!$A$2:$N$1100,2,FALSE()))," ")</f>
        <v xml:space="preserve"> </v>
      </c>
      <c r="J199" s="40" t="str">
        <f>IFERROR((VLOOKUP(F199,'Planilha de Cadastro - Previsão'!$A$2:$N$1100,3,FALSE()))," ")</f>
        <v xml:space="preserve"> </v>
      </c>
      <c r="K199" s="40"/>
      <c r="L199" s="42" t="str">
        <f>IFERROR((VLOOKUP(F199,'Planilha de Cadastro - Previsão'!$A$2:$N$1100,11,FALSE()))," ")</f>
        <v xml:space="preserve"> </v>
      </c>
      <c r="M199" s="41" t="str">
        <f>IFERROR((IF(VLOOKUP(F199,'Planilha de Cadastro - Previsão'!$A$2:$N$1100,10,FALSE())="","",VLOOKUP(F199,'Planilha de Cadastro - Previsão'!$A$2:$N$1100,10,FALSE()))),"")</f>
        <v/>
      </c>
      <c r="N199" s="41"/>
      <c r="O199" s="41"/>
      <c r="P199" s="41" t="str">
        <f>IFERROR((IF(VLOOKUP(F199,'Acompanhamento da Licitação'!$F$2:$O$1000,10,FALSE())="","",VLOOKUP(F199,'Acompanhamento da Licitação'!$F$2:$O$1000,10,FALSE()))),"")</f>
        <v/>
      </c>
      <c r="R199" s="61" t="str">
        <f>IFERROR(IF(F199&gt;0,(Final[[#This Row],[Valor da Venda Real]]-Final[[#This Row],[Valor de Compra Previsto]]-4%*Final[[#This Row],[Valor da Venda Real]])/Final[[#This Row],[Valor da Venda Real]],""),"")</f>
        <v/>
      </c>
      <c r="S199" s="61" t="str">
        <f t="shared" si="17"/>
        <v/>
      </c>
      <c r="T199" s="23" t="str">
        <f>IFERROR((R199*Final[[#This Row],[Valor da Venda Real]]*Final[[#This Row],[Quantidade ]]*S199),"")</f>
        <v/>
      </c>
    </row>
    <row r="200" spans="1:20" ht="15.75" x14ac:dyDescent="0.2">
      <c r="A200">
        <f>COUNTIF($C$2:C200,C200)</f>
        <v>199</v>
      </c>
      <c r="B200" s="1" t="str">
        <f t="shared" si="16"/>
        <v>199</v>
      </c>
      <c r="C200" s="1" t="str">
        <f>IFERROR(VLOOKUP(D200,'Planilha de Cadastro - Previsão'!$A$2:$N$1000,14,FALSE()),"")</f>
        <v/>
      </c>
      <c r="D200" s="1">
        <v>199</v>
      </c>
      <c r="F200" s="40" t="str">
        <f t="shared" si="15"/>
        <v/>
      </c>
      <c r="G200" s="40" t="str">
        <f>IF(F200="","",'Prosposta Inicial'!$O$2)</f>
        <v/>
      </c>
      <c r="H200" s="40" t="str">
        <f t="shared" si="14"/>
        <v xml:space="preserve"> </v>
      </c>
      <c r="I200" s="41" t="str">
        <f>IFERROR((VLOOKUP(F200,'Planilha de Cadastro - Previsão'!$A$2:$N$1100,2,FALSE()))," ")</f>
        <v xml:space="preserve"> </v>
      </c>
      <c r="J200" s="40" t="str">
        <f>IFERROR((VLOOKUP(F200,'Planilha de Cadastro - Previsão'!$A$2:$N$1100,3,FALSE()))," ")</f>
        <v xml:space="preserve"> </v>
      </c>
      <c r="K200" s="40"/>
      <c r="L200" s="42" t="str">
        <f>IFERROR((VLOOKUP(F200,'Planilha de Cadastro - Previsão'!$A$2:$N$1100,11,FALSE()))," ")</f>
        <v xml:space="preserve"> </v>
      </c>
      <c r="M200" s="41" t="str">
        <f>IFERROR((IF(VLOOKUP(F200,'Planilha de Cadastro - Previsão'!$A$2:$N$1100,10,FALSE())="","",VLOOKUP(F200,'Planilha de Cadastro - Previsão'!$A$2:$N$1100,10,FALSE()))),"")</f>
        <v/>
      </c>
      <c r="N200" s="41"/>
      <c r="O200" s="41"/>
      <c r="P200" s="41" t="str">
        <f>IFERROR((IF(VLOOKUP(F200,'Acompanhamento da Licitação'!$F$2:$O$1000,10,FALSE())="","",VLOOKUP(F200,'Acompanhamento da Licitação'!$F$2:$O$1000,10,FALSE()))),"")</f>
        <v/>
      </c>
      <c r="R200" s="61" t="str">
        <f>IFERROR(IF(F200&gt;0,(Final[[#This Row],[Valor da Venda Real]]-Final[[#This Row],[Valor de Compra Previsto]]-4%*Final[[#This Row],[Valor da Venda Real]])/Final[[#This Row],[Valor da Venda Real]],""),"")</f>
        <v/>
      </c>
      <c r="S200" s="61" t="str">
        <f t="shared" si="17"/>
        <v/>
      </c>
      <c r="T200" s="23" t="str">
        <f>IFERROR((R200*Final[[#This Row],[Valor da Venda Real]]*Final[[#This Row],[Quantidade ]]*S200),"")</f>
        <v/>
      </c>
    </row>
    <row r="201" spans="1:20" ht="15.75" x14ac:dyDescent="0.2">
      <c r="A201">
        <f>COUNTIF($C$2:C201,C201)</f>
        <v>200</v>
      </c>
      <c r="B201" s="1" t="str">
        <f t="shared" si="16"/>
        <v>200</v>
      </c>
      <c r="C201" s="1" t="str">
        <f>IFERROR(VLOOKUP(D201,'Planilha de Cadastro - Previsão'!$A$2:$N$1000,14,FALSE()),"")</f>
        <v/>
      </c>
      <c r="D201" s="1">
        <v>200</v>
      </c>
      <c r="F201" s="40" t="str">
        <f t="shared" si="15"/>
        <v/>
      </c>
      <c r="G201" s="40" t="str">
        <f>IF(F201="","",'Prosposta Inicial'!$O$2)</f>
        <v/>
      </c>
      <c r="H201" s="40" t="str">
        <f t="shared" si="14"/>
        <v xml:space="preserve"> </v>
      </c>
      <c r="I201" s="41" t="str">
        <f>IFERROR((VLOOKUP(F201,'Planilha de Cadastro - Previsão'!$A$2:$N$1100,2,FALSE()))," ")</f>
        <v xml:space="preserve"> </v>
      </c>
      <c r="J201" s="40" t="str">
        <f>IFERROR((VLOOKUP(F201,'Planilha de Cadastro - Previsão'!$A$2:$N$1100,3,FALSE()))," ")</f>
        <v xml:space="preserve"> </v>
      </c>
      <c r="K201" s="40"/>
      <c r="L201" s="42" t="str">
        <f>IFERROR((VLOOKUP(F201,'Planilha de Cadastro - Previsão'!$A$2:$N$1100,11,FALSE()))," ")</f>
        <v xml:space="preserve"> </v>
      </c>
      <c r="M201" s="41" t="str">
        <f>IFERROR((IF(VLOOKUP(F201,'Planilha de Cadastro - Previsão'!$A$2:$N$1100,10,FALSE())="","",VLOOKUP(F201,'Planilha de Cadastro - Previsão'!$A$2:$N$1100,10,FALSE()))),"")</f>
        <v/>
      </c>
      <c r="N201" s="41"/>
      <c r="O201" s="41"/>
      <c r="P201" s="41" t="str">
        <f>IFERROR((IF(VLOOKUP(F201,'Acompanhamento da Licitação'!$F$2:$O$1000,10,FALSE())="","",VLOOKUP(F201,'Acompanhamento da Licitação'!$F$2:$O$1000,10,FALSE()))),"")</f>
        <v/>
      </c>
      <c r="R201" s="61" t="str">
        <f>IFERROR(IF(F201&gt;0,(Final[[#This Row],[Valor da Venda Real]]-Final[[#This Row],[Valor de Compra Previsto]]-4%*Final[[#This Row],[Valor da Venda Real]])/Final[[#This Row],[Valor da Venda Real]],""),"")</f>
        <v/>
      </c>
      <c r="S201" s="61" t="str">
        <f t="shared" si="17"/>
        <v/>
      </c>
      <c r="T201" s="23" t="str">
        <f>IFERROR((R201*Final[[#This Row],[Valor da Venda Real]]*Final[[#This Row],[Quantidade ]]*S201),"")</f>
        <v/>
      </c>
    </row>
    <row r="202" spans="1:20" ht="15.75" x14ac:dyDescent="0.2">
      <c r="A202">
        <f>COUNTIF($C$2:C202,C202)</f>
        <v>201</v>
      </c>
      <c r="B202" s="1" t="str">
        <f t="shared" si="16"/>
        <v>201</v>
      </c>
      <c r="C202" s="1" t="str">
        <f>IFERROR(VLOOKUP(D202,'Planilha de Cadastro - Previsão'!$A$2:$N$1000,14,FALSE()),"")</f>
        <v/>
      </c>
      <c r="D202" s="1">
        <v>201</v>
      </c>
      <c r="F202" s="40" t="str">
        <f t="shared" si="15"/>
        <v/>
      </c>
      <c r="G202" s="40" t="str">
        <f>IF(F202="","",'Prosposta Inicial'!$O$2)</f>
        <v/>
      </c>
      <c r="H202" s="40" t="str">
        <f t="shared" si="14"/>
        <v xml:space="preserve"> </v>
      </c>
      <c r="I202" s="41" t="str">
        <f>IFERROR((VLOOKUP(F202,'Planilha de Cadastro - Previsão'!$A$2:$N$1100,2,FALSE()))," ")</f>
        <v xml:space="preserve"> </v>
      </c>
      <c r="J202" s="40" t="str">
        <f>IFERROR((VLOOKUP(F202,'Planilha de Cadastro - Previsão'!$A$2:$N$1100,3,FALSE()))," ")</f>
        <v xml:space="preserve"> </v>
      </c>
      <c r="K202" s="40"/>
      <c r="L202" s="42" t="str">
        <f>IFERROR((VLOOKUP(F202,'Planilha de Cadastro - Previsão'!$A$2:$N$1100,11,FALSE()))," ")</f>
        <v xml:space="preserve"> </v>
      </c>
      <c r="M202" s="41" t="str">
        <f>IFERROR((IF(VLOOKUP(F202,'Planilha de Cadastro - Previsão'!$A$2:$N$1100,10,FALSE())="","",VLOOKUP(F202,'Planilha de Cadastro - Previsão'!$A$2:$N$1100,10,FALSE()))),"")</f>
        <v/>
      </c>
      <c r="N202" s="41"/>
      <c r="O202" s="41"/>
      <c r="P202" s="41" t="str">
        <f>IFERROR((IF(VLOOKUP(F202,'Acompanhamento da Licitação'!$F$2:$O$1000,10,FALSE())="","",VLOOKUP(F202,'Acompanhamento da Licitação'!$F$2:$O$1000,10,FALSE()))),"")</f>
        <v/>
      </c>
      <c r="R202" s="61" t="str">
        <f>IFERROR(IF(F202&gt;0,(Final[[#This Row],[Valor da Venda Real]]-Final[[#This Row],[Valor de Compra Previsto]]-4%*Final[[#This Row],[Valor da Venda Real]])/Final[[#This Row],[Valor da Venda Real]],""),"")</f>
        <v/>
      </c>
      <c r="S202" s="61" t="str">
        <f t="shared" si="17"/>
        <v/>
      </c>
      <c r="T202" s="23" t="str">
        <f>IFERROR((R202*Final[[#This Row],[Valor da Venda Real]]*Final[[#This Row],[Quantidade ]]*S202),"")</f>
        <v/>
      </c>
    </row>
    <row r="203" spans="1:20" ht="15.75" x14ac:dyDescent="0.2">
      <c r="A203">
        <f>COUNTIF($C$2:C203,C203)</f>
        <v>202</v>
      </c>
      <c r="B203" s="1" t="str">
        <f t="shared" si="16"/>
        <v>202</v>
      </c>
      <c r="C203" s="1" t="str">
        <f>IFERROR(VLOOKUP(D203,'Planilha de Cadastro - Previsão'!$A$2:$N$1000,14,FALSE()),"")</f>
        <v/>
      </c>
      <c r="D203" s="1">
        <v>202</v>
      </c>
      <c r="F203" s="40" t="str">
        <f t="shared" si="15"/>
        <v/>
      </c>
      <c r="G203" s="40" t="str">
        <f>IF(F203="","",'Prosposta Inicial'!$O$2)</f>
        <v/>
      </c>
      <c r="H203" s="40" t="str">
        <f t="shared" si="14"/>
        <v xml:space="preserve"> </v>
      </c>
      <c r="I203" s="41" t="str">
        <f>IFERROR((VLOOKUP(F203,'Planilha de Cadastro - Previsão'!$A$2:$N$1100,2,FALSE()))," ")</f>
        <v xml:space="preserve"> </v>
      </c>
      <c r="J203" s="40" t="str">
        <f>IFERROR((VLOOKUP(F203,'Planilha de Cadastro - Previsão'!$A$2:$N$1100,3,FALSE()))," ")</f>
        <v xml:space="preserve"> </v>
      </c>
      <c r="K203" s="40"/>
      <c r="L203" s="42" t="str">
        <f>IFERROR((VLOOKUP(F203,'Planilha de Cadastro - Previsão'!$A$2:$N$1100,11,FALSE()))," ")</f>
        <v xml:space="preserve"> </v>
      </c>
      <c r="M203" s="41" t="str">
        <f>IFERROR((IF(VLOOKUP(F203,'Planilha de Cadastro - Previsão'!$A$2:$N$1100,10,FALSE())="","",VLOOKUP(F203,'Planilha de Cadastro - Previsão'!$A$2:$N$1100,10,FALSE()))),"")</f>
        <v/>
      </c>
      <c r="N203" s="41"/>
      <c r="O203" s="41"/>
      <c r="P203" s="41" t="str">
        <f>IFERROR((IF(VLOOKUP(F203,'Acompanhamento da Licitação'!$F$2:$O$1000,10,FALSE())="","",VLOOKUP(F203,'Acompanhamento da Licitação'!$F$2:$O$1000,10,FALSE()))),"")</f>
        <v/>
      </c>
      <c r="R203" s="61" t="str">
        <f>IFERROR(IF(F203&gt;0,(Final[[#This Row],[Valor da Venda Real]]-Final[[#This Row],[Valor de Compra Previsto]]-4%*Final[[#This Row],[Valor da Venda Real]])/Final[[#This Row],[Valor da Venda Real]],""),"")</f>
        <v/>
      </c>
      <c r="S203" s="61" t="str">
        <f t="shared" si="17"/>
        <v/>
      </c>
      <c r="T203" s="23" t="str">
        <f>IFERROR((R203*Final[[#This Row],[Valor da Venda Real]]*Final[[#This Row],[Quantidade ]]*S203),"")</f>
        <v/>
      </c>
    </row>
    <row r="204" spans="1:20" ht="15.75" x14ac:dyDescent="0.2">
      <c r="A204">
        <f>COUNTIF($C$2:C204,C204)</f>
        <v>203</v>
      </c>
      <c r="B204" s="1" t="str">
        <f t="shared" si="16"/>
        <v>203</v>
      </c>
      <c r="C204" s="1" t="str">
        <f>IFERROR(VLOOKUP(D204,'Planilha de Cadastro - Previsão'!$A$2:$N$1000,14,FALSE()),"")</f>
        <v/>
      </c>
      <c r="D204" s="1">
        <v>203</v>
      </c>
      <c r="F204" s="40" t="str">
        <f t="shared" si="15"/>
        <v/>
      </c>
      <c r="G204" s="40" t="str">
        <f>IF(F204="","",'Prosposta Inicial'!$O$2)</f>
        <v/>
      </c>
      <c r="H204" s="40" t="str">
        <f t="shared" si="14"/>
        <v xml:space="preserve"> </v>
      </c>
      <c r="I204" s="41" t="str">
        <f>IFERROR((VLOOKUP(F204,'Planilha de Cadastro - Previsão'!$A$2:$N$1100,2,FALSE()))," ")</f>
        <v xml:space="preserve"> </v>
      </c>
      <c r="J204" s="40" t="str">
        <f>IFERROR((VLOOKUP(F204,'Planilha de Cadastro - Previsão'!$A$2:$N$1100,3,FALSE()))," ")</f>
        <v xml:space="preserve"> </v>
      </c>
      <c r="K204" s="40"/>
      <c r="L204" s="42" t="str">
        <f>IFERROR((VLOOKUP(F204,'Planilha de Cadastro - Previsão'!$A$2:$N$1100,11,FALSE()))," ")</f>
        <v xml:space="preserve"> </v>
      </c>
      <c r="M204" s="41" t="str">
        <f>IFERROR((IF(VLOOKUP(F204,'Planilha de Cadastro - Previsão'!$A$2:$N$1100,10,FALSE())="","",VLOOKUP(F204,'Planilha de Cadastro - Previsão'!$A$2:$N$1100,10,FALSE()))),"")</f>
        <v/>
      </c>
      <c r="N204" s="41"/>
      <c r="O204" s="41"/>
      <c r="P204" s="41" t="str">
        <f>IFERROR((IF(VLOOKUP(F204,'Acompanhamento da Licitação'!$F$2:$O$1000,10,FALSE())="","",VLOOKUP(F204,'Acompanhamento da Licitação'!$F$2:$O$1000,10,FALSE()))),"")</f>
        <v/>
      </c>
      <c r="R204" s="61" t="str">
        <f>IFERROR(IF(F204&gt;0,(Final[[#This Row],[Valor da Venda Real]]-Final[[#This Row],[Valor de Compra Previsto]]-4%*Final[[#This Row],[Valor da Venda Real]])/Final[[#This Row],[Valor da Venda Real]],""),"")</f>
        <v/>
      </c>
      <c r="S204" s="61" t="str">
        <f t="shared" si="17"/>
        <v/>
      </c>
      <c r="T204" s="23" t="str">
        <f>IFERROR((R204*Final[[#This Row],[Valor da Venda Real]]*Final[[#This Row],[Quantidade ]]*S204),"")</f>
        <v/>
      </c>
    </row>
    <row r="205" spans="1:20" ht="15.75" x14ac:dyDescent="0.2">
      <c r="A205">
        <f>COUNTIF($C$2:C205,C205)</f>
        <v>204</v>
      </c>
      <c r="B205" s="1" t="str">
        <f t="shared" si="16"/>
        <v>204</v>
      </c>
      <c r="C205" s="1" t="str">
        <f>IFERROR(VLOOKUP(D205,'Planilha de Cadastro - Previsão'!$A$2:$N$1000,14,FALSE()),"")</f>
        <v/>
      </c>
      <c r="D205" s="1">
        <v>204</v>
      </c>
      <c r="F205" s="40" t="str">
        <f t="shared" si="15"/>
        <v/>
      </c>
      <c r="G205" s="40" t="str">
        <f>IF(F205="","",'Prosposta Inicial'!$O$2)</f>
        <v/>
      </c>
      <c r="H205" s="40" t="str">
        <f t="shared" si="14"/>
        <v xml:space="preserve"> </v>
      </c>
      <c r="I205" s="41" t="str">
        <f>IFERROR((VLOOKUP(F205,'Planilha de Cadastro - Previsão'!$A$2:$N$1100,2,FALSE()))," ")</f>
        <v xml:space="preserve"> </v>
      </c>
      <c r="J205" s="40" t="str">
        <f>IFERROR((VLOOKUP(F205,'Planilha de Cadastro - Previsão'!$A$2:$N$1100,3,FALSE()))," ")</f>
        <v xml:space="preserve"> </v>
      </c>
      <c r="K205" s="40"/>
      <c r="L205" s="42" t="str">
        <f>IFERROR((VLOOKUP(F205,'Planilha de Cadastro - Previsão'!$A$2:$N$1100,11,FALSE()))," ")</f>
        <v xml:space="preserve"> </v>
      </c>
      <c r="M205" s="41" t="str">
        <f>IFERROR((IF(VLOOKUP(F205,'Planilha de Cadastro - Previsão'!$A$2:$N$1100,10,FALSE())="","",VLOOKUP(F205,'Planilha de Cadastro - Previsão'!$A$2:$N$1100,10,FALSE()))),"")</f>
        <v/>
      </c>
      <c r="N205" s="41"/>
      <c r="O205" s="41"/>
      <c r="P205" s="41" t="str">
        <f>IFERROR((IF(VLOOKUP(F205,'Acompanhamento da Licitação'!$F$2:$O$1000,10,FALSE())="","",VLOOKUP(F205,'Acompanhamento da Licitação'!$F$2:$O$1000,10,FALSE()))),"")</f>
        <v/>
      </c>
      <c r="R205" s="61" t="str">
        <f>IFERROR(IF(F205&gt;0,(Final[[#This Row],[Valor da Venda Real]]-Final[[#This Row],[Valor de Compra Previsto]]-4%*Final[[#This Row],[Valor da Venda Real]])/Final[[#This Row],[Valor da Venda Real]],""),"")</f>
        <v/>
      </c>
      <c r="S205" s="61" t="str">
        <f t="shared" si="17"/>
        <v/>
      </c>
      <c r="T205" s="23" t="str">
        <f>IFERROR((R205*Final[[#This Row],[Valor da Venda Real]]*Final[[#This Row],[Quantidade ]]*S205),"")</f>
        <v/>
      </c>
    </row>
    <row r="206" spans="1:20" ht="15.75" x14ac:dyDescent="0.2">
      <c r="A206">
        <f>COUNTIF($C$2:C206,C206)</f>
        <v>205</v>
      </c>
      <c r="B206" s="1" t="str">
        <f t="shared" si="16"/>
        <v>205</v>
      </c>
      <c r="C206" s="1" t="str">
        <f>IFERROR(VLOOKUP(D206,'Planilha de Cadastro - Previsão'!$A$2:$N$1000,14,FALSE()),"")</f>
        <v/>
      </c>
      <c r="D206" s="1">
        <v>205</v>
      </c>
      <c r="F206" s="40" t="str">
        <f t="shared" si="15"/>
        <v/>
      </c>
      <c r="G206" s="40" t="str">
        <f>IF(F206="","",'Prosposta Inicial'!$O$2)</f>
        <v/>
      </c>
      <c r="H206" s="40" t="str">
        <f t="shared" si="14"/>
        <v xml:space="preserve"> </v>
      </c>
      <c r="I206" s="41" t="str">
        <f>IFERROR((VLOOKUP(F206,'Planilha de Cadastro - Previsão'!$A$2:$N$1100,2,FALSE()))," ")</f>
        <v xml:space="preserve"> </v>
      </c>
      <c r="J206" s="40" t="str">
        <f>IFERROR((VLOOKUP(F206,'Planilha de Cadastro - Previsão'!$A$2:$N$1100,3,FALSE()))," ")</f>
        <v xml:space="preserve"> </v>
      </c>
      <c r="K206" s="40"/>
      <c r="L206" s="42" t="str">
        <f>IFERROR((VLOOKUP(F206,'Planilha de Cadastro - Previsão'!$A$2:$N$1100,11,FALSE()))," ")</f>
        <v xml:space="preserve"> </v>
      </c>
      <c r="M206" s="41" t="str">
        <f>IFERROR((IF(VLOOKUP(F206,'Planilha de Cadastro - Previsão'!$A$2:$N$1100,10,FALSE())="","",VLOOKUP(F206,'Planilha de Cadastro - Previsão'!$A$2:$N$1100,10,FALSE()))),"")</f>
        <v/>
      </c>
      <c r="N206" s="41"/>
      <c r="O206" s="41"/>
      <c r="P206" s="41" t="str">
        <f>IFERROR((IF(VLOOKUP(F206,'Acompanhamento da Licitação'!$F$2:$O$1000,10,FALSE())="","",VLOOKUP(F206,'Acompanhamento da Licitação'!$F$2:$O$1000,10,FALSE()))),"")</f>
        <v/>
      </c>
      <c r="R206" s="61" t="str">
        <f>IFERROR(IF(F206&gt;0,(Final[[#This Row],[Valor da Venda Real]]-Final[[#This Row],[Valor de Compra Previsto]]-4%*Final[[#This Row],[Valor da Venda Real]])/Final[[#This Row],[Valor da Venda Real]],""),"")</f>
        <v/>
      </c>
      <c r="S206" s="61" t="str">
        <f t="shared" si="17"/>
        <v/>
      </c>
      <c r="T206" s="23" t="str">
        <f>IFERROR((R206*Final[[#This Row],[Valor da Venda Real]]*Final[[#This Row],[Quantidade ]]*S206),"")</f>
        <v/>
      </c>
    </row>
    <row r="207" spans="1:20" ht="15.75" x14ac:dyDescent="0.2">
      <c r="A207">
        <f>COUNTIF($C$2:C207,C207)</f>
        <v>206</v>
      </c>
      <c r="B207" s="1" t="str">
        <f t="shared" si="16"/>
        <v>206</v>
      </c>
      <c r="C207" s="1" t="str">
        <f>IFERROR(VLOOKUP(D207,'Planilha de Cadastro - Previsão'!$A$2:$N$1000,14,FALSE()),"")</f>
        <v/>
      </c>
      <c r="D207" s="1">
        <v>206</v>
      </c>
      <c r="F207" s="40" t="str">
        <f t="shared" si="15"/>
        <v/>
      </c>
      <c r="G207" s="40" t="str">
        <f>IF(F207="","",'Prosposta Inicial'!$O$2)</f>
        <v/>
      </c>
      <c r="H207" s="40" t="str">
        <f t="shared" si="14"/>
        <v xml:space="preserve"> </v>
      </c>
      <c r="I207" s="41" t="str">
        <f>IFERROR((VLOOKUP(F207,'Planilha de Cadastro - Previsão'!$A$2:$N$1100,2,FALSE()))," ")</f>
        <v xml:space="preserve"> </v>
      </c>
      <c r="J207" s="40" t="str">
        <f>IFERROR((VLOOKUP(F207,'Planilha de Cadastro - Previsão'!$A$2:$N$1100,3,FALSE()))," ")</f>
        <v xml:space="preserve"> </v>
      </c>
      <c r="K207" s="40"/>
      <c r="L207" s="42" t="str">
        <f>IFERROR((VLOOKUP(F207,'Planilha de Cadastro - Previsão'!$A$2:$N$1100,11,FALSE()))," ")</f>
        <v xml:space="preserve"> </v>
      </c>
      <c r="M207" s="41" t="str">
        <f>IFERROR((IF(VLOOKUP(F207,'Planilha de Cadastro - Previsão'!$A$2:$N$1100,10,FALSE())="","",VLOOKUP(F207,'Planilha de Cadastro - Previsão'!$A$2:$N$1100,10,FALSE()))),"")</f>
        <v/>
      </c>
      <c r="N207" s="41"/>
      <c r="O207" s="41"/>
      <c r="P207" s="41" t="str">
        <f>IFERROR((IF(VLOOKUP(F207,'Acompanhamento da Licitação'!$F$2:$O$1000,10,FALSE())="","",VLOOKUP(F207,'Acompanhamento da Licitação'!$F$2:$O$1000,10,FALSE()))),"")</f>
        <v/>
      </c>
      <c r="R207" s="61" t="str">
        <f>IFERROR(IF(F207&gt;0,(Final[[#This Row],[Valor da Venda Real]]-Final[[#This Row],[Valor de Compra Previsto]]-4%*Final[[#This Row],[Valor da Venda Real]])/Final[[#This Row],[Valor da Venda Real]],""),"")</f>
        <v/>
      </c>
      <c r="S207" s="61" t="str">
        <f t="shared" si="17"/>
        <v/>
      </c>
      <c r="T207" s="23" t="str">
        <f>IFERROR((R207*Final[[#This Row],[Valor da Venda Real]]*Final[[#This Row],[Quantidade ]]*S207),"")</f>
        <v/>
      </c>
    </row>
    <row r="208" spans="1:20" ht="15.75" x14ac:dyDescent="0.2">
      <c r="A208">
        <f>COUNTIF($C$2:C208,C208)</f>
        <v>207</v>
      </c>
      <c r="B208" s="1" t="str">
        <f t="shared" si="16"/>
        <v>207</v>
      </c>
      <c r="C208" s="1" t="str">
        <f>IFERROR(VLOOKUP(D208,'Planilha de Cadastro - Previsão'!$A$2:$N$1000,14,FALSE()),"")</f>
        <v/>
      </c>
      <c r="D208" s="1">
        <v>207</v>
      </c>
      <c r="F208" s="40" t="str">
        <f t="shared" si="15"/>
        <v/>
      </c>
      <c r="G208" s="40" t="str">
        <f>IF(F208="","",'Prosposta Inicial'!$O$2)</f>
        <v/>
      </c>
      <c r="H208" s="40" t="str">
        <f t="shared" si="14"/>
        <v xml:space="preserve"> </v>
      </c>
      <c r="I208" s="41" t="str">
        <f>IFERROR((VLOOKUP(F208,'Planilha de Cadastro - Previsão'!$A$2:$N$1100,2,FALSE()))," ")</f>
        <v xml:space="preserve"> </v>
      </c>
      <c r="J208" s="40" t="str">
        <f>IFERROR((VLOOKUP(F208,'Planilha de Cadastro - Previsão'!$A$2:$N$1100,3,FALSE()))," ")</f>
        <v xml:space="preserve"> </v>
      </c>
      <c r="K208" s="40"/>
      <c r="L208" s="42" t="str">
        <f>IFERROR((VLOOKUP(F208,'Planilha de Cadastro - Previsão'!$A$2:$N$1100,11,FALSE()))," ")</f>
        <v xml:space="preserve"> </v>
      </c>
      <c r="M208" s="41" t="str">
        <f>IFERROR((IF(VLOOKUP(F208,'Planilha de Cadastro - Previsão'!$A$2:$N$1100,10,FALSE())="","",VLOOKUP(F208,'Planilha de Cadastro - Previsão'!$A$2:$N$1100,10,FALSE()))),"")</f>
        <v/>
      </c>
      <c r="N208" s="41"/>
      <c r="O208" s="41"/>
      <c r="P208" s="41" t="str">
        <f>IFERROR((IF(VLOOKUP(F208,'Acompanhamento da Licitação'!$F$2:$O$1000,10,FALSE())="","",VLOOKUP(F208,'Acompanhamento da Licitação'!$F$2:$O$1000,10,FALSE()))),"")</f>
        <v/>
      </c>
      <c r="R208" s="61" t="str">
        <f>IFERROR(IF(F208&gt;0,(Final[[#This Row],[Valor da Venda Real]]-Final[[#This Row],[Valor de Compra Previsto]]-4%*Final[[#This Row],[Valor da Venda Real]])/Final[[#This Row],[Valor da Venda Real]],""),"")</f>
        <v/>
      </c>
      <c r="S208" s="61" t="str">
        <f t="shared" si="17"/>
        <v/>
      </c>
      <c r="T208" s="23" t="str">
        <f>IFERROR((R208*Final[[#This Row],[Valor da Venda Real]]*Final[[#This Row],[Quantidade ]]*S208),"")</f>
        <v/>
      </c>
    </row>
    <row r="209" spans="1:20" ht="15.75" x14ac:dyDescent="0.2">
      <c r="A209">
        <f>COUNTIF($C$2:C209,C209)</f>
        <v>208</v>
      </c>
      <c r="B209" s="1" t="str">
        <f t="shared" si="16"/>
        <v>208</v>
      </c>
      <c r="C209" s="1" t="str">
        <f>IFERROR(VLOOKUP(D209,'Planilha de Cadastro - Previsão'!$A$2:$N$1000,14,FALSE()),"")</f>
        <v/>
      </c>
      <c r="D209" s="1">
        <v>208</v>
      </c>
      <c r="F209" s="40" t="str">
        <f t="shared" si="15"/>
        <v/>
      </c>
      <c r="G209" s="40" t="str">
        <f>IF(F209="","",'Prosposta Inicial'!$O$2)</f>
        <v/>
      </c>
      <c r="H209" s="40" t="str">
        <f t="shared" si="14"/>
        <v xml:space="preserve"> </v>
      </c>
      <c r="I209" s="41" t="str">
        <f>IFERROR((VLOOKUP(F209,'Planilha de Cadastro - Previsão'!$A$2:$N$1100,2,FALSE()))," ")</f>
        <v xml:space="preserve"> </v>
      </c>
      <c r="J209" s="40" t="str">
        <f>IFERROR((VLOOKUP(F209,'Planilha de Cadastro - Previsão'!$A$2:$N$1100,3,FALSE()))," ")</f>
        <v xml:space="preserve"> </v>
      </c>
      <c r="K209" s="40"/>
      <c r="L209" s="42" t="str">
        <f>IFERROR((VLOOKUP(F209,'Planilha de Cadastro - Previsão'!$A$2:$N$1100,11,FALSE()))," ")</f>
        <v xml:space="preserve"> </v>
      </c>
      <c r="M209" s="41" t="str">
        <f>IFERROR((IF(VLOOKUP(F209,'Planilha de Cadastro - Previsão'!$A$2:$N$1100,10,FALSE())="","",VLOOKUP(F209,'Planilha de Cadastro - Previsão'!$A$2:$N$1100,10,FALSE()))),"")</f>
        <v/>
      </c>
      <c r="N209" s="41"/>
      <c r="O209" s="41"/>
      <c r="P209" s="41" t="str">
        <f>IFERROR((IF(VLOOKUP(F209,'Acompanhamento da Licitação'!$F$2:$O$1000,10,FALSE())="","",VLOOKUP(F209,'Acompanhamento da Licitação'!$F$2:$O$1000,10,FALSE()))),"")</f>
        <v/>
      </c>
      <c r="R209" s="61" t="str">
        <f>IFERROR(IF(F209&gt;0,(Final[[#This Row],[Valor da Venda Real]]-Final[[#This Row],[Valor de Compra Previsto]]-4%*Final[[#This Row],[Valor da Venda Real]])/Final[[#This Row],[Valor da Venda Real]],""),"")</f>
        <v/>
      </c>
      <c r="S209" s="61" t="str">
        <f t="shared" si="17"/>
        <v/>
      </c>
      <c r="T209" s="23" t="str">
        <f>IFERROR((R209*Final[[#This Row],[Valor da Venda Real]]*Final[[#This Row],[Quantidade ]]*S209),"")</f>
        <v/>
      </c>
    </row>
    <row r="210" spans="1:20" ht="15.75" x14ac:dyDescent="0.2">
      <c r="A210">
        <f>COUNTIF($C$2:C210,C210)</f>
        <v>209</v>
      </c>
      <c r="B210" s="1" t="str">
        <f t="shared" si="16"/>
        <v>209</v>
      </c>
      <c r="C210" s="1" t="str">
        <f>IFERROR(VLOOKUP(D210,'Planilha de Cadastro - Previsão'!$A$2:$N$1000,14,FALSE()),"")</f>
        <v/>
      </c>
      <c r="D210" s="1">
        <v>209</v>
      </c>
      <c r="F210" s="40" t="str">
        <f t="shared" si="15"/>
        <v/>
      </c>
      <c r="G210" s="40" t="str">
        <f>IF(F210="","",'Prosposta Inicial'!$O$2)</f>
        <v/>
      </c>
      <c r="H210" s="40" t="str">
        <f t="shared" si="14"/>
        <v xml:space="preserve"> </v>
      </c>
      <c r="I210" s="41" t="str">
        <f>IFERROR((VLOOKUP(F210,'Planilha de Cadastro - Previsão'!$A$2:$N$1100,2,FALSE()))," ")</f>
        <v xml:space="preserve"> </v>
      </c>
      <c r="J210" s="40" t="str">
        <f>IFERROR((VLOOKUP(F210,'Planilha de Cadastro - Previsão'!$A$2:$N$1100,3,FALSE()))," ")</f>
        <v xml:space="preserve"> </v>
      </c>
      <c r="K210" s="40"/>
      <c r="L210" s="42" t="str">
        <f>IFERROR((VLOOKUP(F210,'Planilha de Cadastro - Previsão'!$A$2:$N$1100,11,FALSE()))," ")</f>
        <v xml:space="preserve"> </v>
      </c>
      <c r="M210" s="41" t="str">
        <f>IFERROR((IF(VLOOKUP(F210,'Planilha de Cadastro - Previsão'!$A$2:$N$1100,10,FALSE())="","",VLOOKUP(F210,'Planilha de Cadastro - Previsão'!$A$2:$N$1100,10,FALSE()))),"")</f>
        <v/>
      </c>
      <c r="N210" s="41"/>
      <c r="O210" s="41"/>
      <c r="P210" s="41" t="str">
        <f>IFERROR((IF(VLOOKUP(F210,'Acompanhamento da Licitação'!$F$2:$O$1000,10,FALSE())="","",VLOOKUP(F210,'Acompanhamento da Licitação'!$F$2:$O$1000,10,FALSE()))),"")</f>
        <v/>
      </c>
      <c r="R210" s="61" t="str">
        <f>IFERROR(IF(F210&gt;0,(Final[[#This Row],[Valor da Venda Real]]-Final[[#This Row],[Valor de Compra Previsto]]-4%*Final[[#This Row],[Valor da Venda Real]])/Final[[#This Row],[Valor da Venda Real]],""),"")</f>
        <v/>
      </c>
      <c r="S210" s="61" t="str">
        <f t="shared" si="17"/>
        <v/>
      </c>
      <c r="T210" s="23" t="str">
        <f>IFERROR((R210*Final[[#This Row],[Valor da Venda Real]]*Final[[#This Row],[Quantidade ]]*S210),"")</f>
        <v/>
      </c>
    </row>
    <row r="211" spans="1:20" ht="15.75" x14ac:dyDescent="0.2">
      <c r="A211">
        <f>COUNTIF($C$2:C211,C211)</f>
        <v>210</v>
      </c>
      <c r="B211" s="1" t="str">
        <f t="shared" si="16"/>
        <v>210</v>
      </c>
      <c r="C211" s="1" t="str">
        <f>IFERROR(VLOOKUP(D211,'Planilha de Cadastro - Previsão'!$A$2:$N$1000,14,FALSE()),"")</f>
        <v/>
      </c>
      <c r="D211" s="1">
        <v>210</v>
      </c>
      <c r="F211" s="40" t="str">
        <f t="shared" si="15"/>
        <v/>
      </c>
      <c r="G211" s="40" t="str">
        <f>IF(F211="","",'Prosposta Inicial'!$O$2)</f>
        <v/>
      </c>
      <c r="H211" s="40" t="str">
        <f t="shared" si="14"/>
        <v xml:space="preserve"> </v>
      </c>
      <c r="I211" s="41" t="str">
        <f>IFERROR((VLOOKUP(F211,'Planilha de Cadastro - Previsão'!$A$2:$N$1100,2,FALSE()))," ")</f>
        <v xml:space="preserve"> </v>
      </c>
      <c r="J211" s="40" t="str">
        <f>IFERROR((VLOOKUP(F211,'Planilha de Cadastro - Previsão'!$A$2:$N$1100,3,FALSE()))," ")</f>
        <v xml:space="preserve"> </v>
      </c>
      <c r="K211" s="40"/>
      <c r="L211" s="42" t="str">
        <f>IFERROR((VLOOKUP(F211,'Planilha de Cadastro - Previsão'!$A$2:$N$1100,11,FALSE()))," ")</f>
        <v xml:space="preserve"> </v>
      </c>
      <c r="M211" s="41" t="str">
        <f>IFERROR((IF(VLOOKUP(F211,'Planilha de Cadastro - Previsão'!$A$2:$N$1100,10,FALSE())="","",VLOOKUP(F211,'Planilha de Cadastro - Previsão'!$A$2:$N$1100,10,FALSE()))),"")</f>
        <v/>
      </c>
      <c r="N211" s="41"/>
      <c r="O211" s="41"/>
      <c r="P211" s="41" t="str">
        <f>IFERROR((IF(VLOOKUP(F211,'Acompanhamento da Licitação'!$F$2:$O$1000,10,FALSE())="","",VLOOKUP(F211,'Acompanhamento da Licitação'!$F$2:$O$1000,10,FALSE()))),"")</f>
        <v/>
      </c>
      <c r="R211" s="61" t="str">
        <f>IFERROR(IF(F211&gt;0,(Final[[#This Row],[Valor da Venda Real]]-Final[[#This Row],[Valor de Compra Previsto]]-4%*Final[[#This Row],[Valor da Venda Real]])/Final[[#This Row],[Valor da Venda Real]],""),"")</f>
        <v/>
      </c>
      <c r="S211" s="61" t="str">
        <f t="shared" si="17"/>
        <v/>
      </c>
      <c r="T211" s="23" t="str">
        <f>IFERROR((R211*Final[[#This Row],[Valor da Venda Real]]*Final[[#This Row],[Quantidade ]]*S211),"")</f>
        <v/>
      </c>
    </row>
    <row r="212" spans="1:20" ht="15.75" x14ac:dyDescent="0.2">
      <c r="A212">
        <f>COUNTIF($C$2:C212,C212)</f>
        <v>211</v>
      </c>
      <c r="B212" s="1" t="str">
        <f t="shared" si="16"/>
        <v>211</v>
      </c>
      <c r="C212" s="1" t="str">
        <f>IFERROR(VLOOKUP(D212,'Planilha de Cadastro - Previsão'!$A$2:$N$1000,14,FALSE()),"")</f>
        <v/>
      </c>
      <c r="D212" s="1">
        <v>211</v>
      </c>
      <c r="F212" s="40" t="str">
        <f t="shared" si="15"/>
        <v/>
      </c>
      <c r="G212" s="40" t="str">
        <f>IF(F212="","",'Prosposta Inicial'!$O$2)</f>
        <v/>
      </c>
      <c r="H212" s="40" t="str">
        <f t="shared" si="14"/>
        <v xml:space="preserve"> </v>
      </c>
      <c r="I212" s="41" t="str">
        <f>IFERROR((VLOOKUP(F212,'Planilha de Cadastro - Previsão'!$A$2:$N$1100,2,FALSE()))," ")</f>
        <v xml:space="preserve"> </v>
      </c>
      <c r="J212" s="40" t="str">
        <f>IFERROR((VLOOKUP(F212,'Planilha de Cadastro - Previsão'!$A$2:$N$1100,3,FALSE()))," ")</f>
        <v xml:space="preserve"> </v>
      </c>
      <c r="K212" s="40"/>
      <c r="L212" s="42" t="str">
        <f>IFERROR((VLOOKUP(F212,'Planilha de Cadastro - Previsão'!$A$2:$N$1100,11,FALSE()))," ")</f>
        <v xml:space="preserve"> </v>
      </c>
      <c r="M212" s="41" t="str">
        <f>IFERROR((IF(VLOOKUP(F212,'Planilha de Cadastro - Previsão'!$A$2:$N$1100,10,FALSE())="","",VLOOKUP(F212,'Planilha de Cadastro - Previsão'!$A$2:$N$1100,10,FALSE()))),"")</f>
        <v/>
      </c>
      <c r="N212" s="41"/>
      <c r="O212" s="41"/>
      <c r="P212" s="41" t="str">
        <f>IFERROR((IF(VLOOKUP(F212,'Acompanhamento da Licitação'!$F$2:$O$1000,10,FALSE())="","",VLOOKUP(F212,'Acompanhamento da Licitação'!$F$2:$O$1000,10,FALSE()))),"")</f>
        <v/>
      </c>
      <c r="R212" s="61" t="str">
        <f>IFERROR(IF(F212&gt;0,(Final[[#This Row],[Valor da Venda Real]]-Final[[#This Row],[Valor de Compra Previsto]]-4%*Final[[#This Row],[Valor da Venda Real]])/Final[[#This Row],[Valor da Venda Real]],""),"")</f>
        <v/>
      </c>
      <c r="S212" s="61" t="str">
        <f t="shared" si="17"/>
        <v/>
      </c>
      <c r="T212" s="23" t="str">
        <f>IFERROR((R212*Final[[#This Row],[Valor da Venda Real]]*Final[[#This Row],[Quantidade ]]*S212),"")</f>
        <v/>
      </c>
    </row>
    <row r="213" spans="1:20" ht="15.75" x14ac:dyDescent="0.2">
      <c r="A213">
        <f>COUNTIF($C$2:C213,C213)</f>
        <v>212</v>
      </c>
      <c r="B213" s="1" t="str">
        <f t="shared" si="16"/>
        <v>212</v>
      </c>
      <c r="C213" s="1" t="str">
        <f>IFERROR(VLOOKUP(D213,'Planilha de Cadastro - Previsão'!$A$2:$N$1000,14,FALSE()),"")</f>
        <v/>
      </c>
      <c r="D213" s="1">
        <v>212</v>
      </c>
      <c r="F213" s="40" t="str">
        <f t="shared" si="15"/>
        <v/>
      </c>
      <c r="G213" s="40" t="str">
        <f>IF(F213="","",'Prosposta Inicial'!$O$2)</f>
        <v/>
      </c>
      <c r="H213" s="40" t="str">
        <f t="shared" si="14"/>
        <v xml:space="preserve"> </v>
      </c>
      <c r="I213" s="41" t="str">
        <f>IFERROR((VLOOKUP(F213,'Planilha de Cadastro - Previsão'!$A$2:$N$1100,2,FALSE()))," ")</f>
        <v xml:space="preserve"> </v>
      </c>
      <c r="J213" s="40" t="str">
        <f>IFERROR((VLOOKUP(F213,'Planilha de Cadastro - Previsão'!$A$2:$N$1100,3,FALSE()))," ")</f>
        <v xml:space="preserve"> </v>
      </c>
      <c r="K213" s="40"/>
      <c r="L213" s="42" t="str">
        <f>IFERROR((VLOOKUP(F213,'Planilha de Cadastro - Previsão'!$A$2:$N$1100,11,FALSE()))," ")</f>
        <v xml:space="preserve"> </v>
      </c>
      <c r="M213" s="41" t="str">
        <f>IFERROR((IF(VLOOKUP(F213,'Planilha de Cadastro - Previsão'!$A$2:$N$1100,10,FALSE())="","",VLOOKUP(F213,'Planilha de Cadastro - Previsão'!$A$2:$N$1100,10,FALSE()))),"")</f>
        <v/>
      </c>
      <c r="N213" s="41"/>
      <c r="O213" s="41"/>
      <c r="P213" s="41" t="str">
        <f>IFERROR((IF(VLOOKUP(F213,'Acompanhamento da Licitação'!$F$2:$O$1000,10,FALSE())="","",VLOOKUP(F213,'Acompanhamento da Licitação'!$F$2:$O$1000,10,FALSE()))),"")</f>
        <v/>
      </c>
      <c r="R213" s="61" t="str">
        <f>IFERROR(IF(F213&gt;0,(Final[[#This Row],[Valor da Venda Real]]-Final[[#This Row],[Valor de Compra Previsto]]-4%*Final[[#This Row],[Valor da Venda Real]])/Final[[#This Row],[Valor da Venda Real]],""),"")</f>
        <v/>
      </c>
      <c r="S213" s="61" t="str">
        <f t="shared" si="17"/>
        <v/>
      </c>
      <c r="T213" s="23" t="str">
        <f>IFERROR((R213*Final[[#This Row],[Valor da Venda Real]]*Final[[#This Row],[Quantidade ]]*S213),"")</f>
        <v/>
      </c>
    </row>
    <row r="214" spans="1:20" ht="15.75" x14ac:dyDescent="0.2">
      <c r="A214">
        <f>COUNTIF($C$2:C214,C214)</f>
        <v>213</v>
      </c>
      <c r="B214" s="1" t="str">
        <f t="shared" si="16"/>
        <v>213</v>
      </c>
      <c r="C214" s="1" t="str">
        <f>IFERROR(VLOOKUP(D214,'Planilha de Cadastro - Previsão'!$A$2:$N$1000,14,FALSE()),"")</f>
        <v/>
      </c>
      <c r="D214" s="1">
        <v>213</v>
      </c>
      <c r="F214" s="40" t="str">
        <f t="shared" si="15"/>
        <v/>
      </c>
      <c r="G214" s="40" t="str">
        <f>IF(F214="","",'Prosposta Inicial'!$O$2)</f>
        <v/>
      </c>
      <c r="H214" s="40" t="str">
        <f t="shared" si="14"/>
        <v xml:space="preserve"> </v>
      </c>
      <c r="I214" s="41" t="str">
        <f>IFERROR((VLOOKUP(F214,'Planilha de Cadastro - Previsão'!$A$2:$N$1100,2,FALSE()))," ")</f>
        <v xml:space="preserve"> </v>
      </c>
      <c r="J214" s="40" t="str">
        <f>IFERROR((VLOOKUP(F214,'Planilha de Cadastro - Previsão'!$A$2:$N$1100,3,FALSE()))," ")</f>
        <v xml:space="preserve"> </v>
      </c>
      <c r="K214" s="40"/>
      <c r="L214" s="42" t="str">
        <f>IFERROR((VLOOKUP(F214,'Planilha de Cadastro - Previsão'!$A$2:$N$1100,11,FALSE()))," ")</f>
        <v xml:space="preserve"> </v>
      </c>
      <c r="M214" s="41" t="str">
        <f>IFERROR((IF(VLOOKUP(F214,'Planilha de Cadastro - Previsão'!$A$2:$N$1100,10,FALSE())="","",VLOOKUP(F214,'Planilha de Cadastro - Previsão'!$A$2:$N$1100,10,FALSE()))),"")</f>
        <v/>
      </c>
      <c r="N214" s="41"/>
      <c r="O214" s="41"/>
      <c r="P214" s="41" t="str">
        <f>IFERROR((IF(VLOOKUP(F214,'Acompanhamento da Licitação'!$F$2:$O$1000,10,FALSE())="","",VLOOKUP(F214,'Acompanhamento da Licitação'!$F$2:$O$1000,10,FALSE()))),"")</f>
        <v/>
      </c>
      <c r="R214" s="61" t="str">
        <f>IFERROR(IF(F214&gt;0,(Final[[#This Row],[Valor da Venda Real]]-Final[[#This Row],[Valor de Compra Previsto]]-4%*Final[[#This Row],[Valor da Venda Real]])/Final[[#This Row],[Valor da Venda Real]],""),"")</f>
        <v/>
      </c>
      <c r="S214" s="61" t="str">
        <f t="shared" si="17"/>
        <v/>
      </c>
      <c r="T214" s="23" t="str">
        <f>IFERROR((R214*Final[[#This Row],[Valor da Venda Real]]*Final[[#This Row],[Quantidade ]]*S214),"")</f>
        <v/>
      </c>
    </row>
    <row r="215" spans="1:20" ht="15.75" x14ac:dyDescent="0.2">
      <c r="A215">
        <f>COUNTIF($C$2:C215,C215)</f>
        <v>214</v>
      </c>
      <c r="B215" s="1" t="str">
        <f t="shared" si="16"/>
        <v>214</v>
      </c>
      <c r="C215" s="1" t="str">
        <f>IFERROR(VLOOKUP(D215,'Planilha de Cadastro - Previsão'!$A$2:$N$1000,14,FALSE()),"")</f>
        <v/>
      </c>
      <c r="D215" s="1">
        <v>214</v>
      </c>
      <c r="F215" s="40" t="str">
        <f t="shared" si="15"/>
        <v/>
      </c>
      <c r="G215" s="40" t="str">
        <f>IF(F215="","",'Prosposta Inicial'!$O$2)</f>
        <v/>
      </c>
      <c r="H215" s="40" t="str">
        <f t="shared" si="14"/>
        <v xml:space="preserve"> </v>
      </c>
      <c r="I215" s="41" t="str">
        <f>IFERROR((VLOOKUP(F215,'Planilha de Cadastro - Previsão'!$A$2:$N$1100,2,FALSE()))," ")</f>
        <v xml:space="preserve"> </v>
      </c>
      <c r="J215" s="40" t="str">
        <f>IFERROR((VLOOKUP(F215,'Planilha de Cadastro - Previsão'!$A$2:$N$1100,3,FALSE()))," ")</f>
        <v xml:space="preserve"> </v>
      </c>
      <c r="K215" s="40"/>
      <c r="L215" s="42" t="str">
        <f>IFERROR((VLOOKUP(F215,'Planilha de Cadastro - Previsão'!$A$2:$N$1100,11,FALSE()))," ")</f>
        <v xml:space="preserve"> </v>
      </c>
      <c r="M215" s="41" t="str">
        <f>IFERROR((IF(VLOOKUP(F215,'Planilha de Cadastro - Previsão'!$A$2:$N$1100,10,FALSE())="","",VLOOKUP(F215,'Planilha de Cadastro - Previsão'!$A$2:$N$1100,10,FALSE()))),"")</f>
        <v/>
      </c>
      <c r="N215" s="41"/>
      <c r="O215" s="41"/>
      <c r="P215" s="41" t="str">
        <f>IFERROR((IF(VLOOKUP(F215,'Acompanhamento da Licitação'!$F$2:$O$1000,10,FALSE())="","",VLOOKUP(F215,'Acompanhamento da Licitação'!$F$2:$O$1000,10,FALSE()))),"")</f>
        <v/>
      </c>
      <c r="R215" s="61" t="str">
        <f>IFERROR(IF(F215&gt;0,(Final[[#This Row],[Valor da Venda Real]]-Final[[#This Row],[Valor de Compra Previsto]]-4%*Final[[#This Row],[Valor da Venda Real]])/Final[[#This Row],[Valor da Venda Real]],""),"")</f>
        <v/>
      </c>
      <c r="S215" s="61" t="str">
        <f t="shared" si="17"/>
        <v/>
      </c>
      <c r="T215" s="23" t="str">
        <f>IFERROR((R215*Final[[#This Row],[Valor da Venda Real]]*Final[[#This Row],[Quantidade ]]*S215),"")</f>
        <v/>
      </c>
    </row>
    <row r="216" spans="1:20" ht="15.75" x14ac:dyDescent="0.2">
      <c r="A216">
        <f>COUNTIF($C$2:C216,C216)</f>
        <v>215</v>
      </c>
      <c r="B216" s="1" t="str">
        <f t="shared" si="16"/>
        <v>215</v>
      </c>
      <c r="C216" s="1" t="str">
        <f>IFERROR(VLOOKUP(D216,'Planilha de Cadastro - Previsão'!$A$2:$N$1000,14,FALSE()),"")</f>
        <v/>
      </c>
      <c r="D216" s="1">
        <v>215</v>
      </c>
      <c r="F216" s="40" t="str">
        <f t="shared" si="15"/>
        <v/>
      </c>
      <c r="G216" s="40" t="str">
        <f>IF(F216="","",'Prosposta Inicial'!$O$2)</f>
        <v/>
      </c>
      <c r="H216" s="40" t="str">
        <f t="shared" si="14"/>
        <v xml:space="preserve"> </v>
      </c>
      <c r="I216" s="41" t="str">
        <f>IFERROR((VLOOKUP(F216,'Planilha de Cadastro - Previsão'!$A$2:$N$1100,2,FALSE()))," ")</f>
        <v xml:space="preserve"> </v>
      </c>
      <c r="J216" s="40" t="str">
        <f>IFERROR((VLOOKUP(F216,'Planilha de Cadastro - Previsão'!$A$2:$N$1100,3,FALSE()))," ")</f>
        <v xml:space="preserve"> </v>
      </c>
      <c r="K216" s="40"/>
      <c r="L216" s="42" t="str">
        <f>IFERROR((VLOOKUP(F216,'Planilha de Cadastro - Previsão'!$A$2:$N$1100,11,FALSE()))," ")</f>
        <v xml:space="preserve"> </v>
      </c>
      <c r="M216" s="41" t="str">
        <f>IFERROR((IF(VLOOKUP(F216,'Planilha de Cadastro - Previsão'!$A$2:$N$1100,10,FALSE())="","",VLOOKUP(F216,'Planilha de Cadastro - Previsão'!$A$2:$N$1100,10,FALSE()))),"")</f>
        <v/>
      </c>
      <c r="N216" s="41"/>
      <c r="O216" s="41"/>
      <c r="P216" s="41" t="str">
        <f>IFERROR((IF(VLOOKUP(F216,'Acompanhamento da Licitação'!$F$2:$O$1000,10,FALSE())="","",VLOOKUP(F216,'Acompanhamento da Licitação'!$F$2:$O$1000,10,FALSE()))),"")</f>
        <v/>
      </c>
      <c r="R216" s="61" t="str">
        <f>IFERROR(IF(F216&gt;0,(Final[[#This Row],[Valor da Venda Real]]-Final[[#This Row],[Valor de Compra Previsto]]-4%*Final[[#This Row],[Valor da Venda Real]])/Final[[#This Row],[Valor da Venda Real]],""),"")</f>
        <v/>
      </c>
      <c r="S216" s="61" t="str">
        <f t="shared" si="17"/>
        <v/>
      </c>
      <c r="T216" s="23" t="str">
        <f>IFERROR((R216*Final[[#This Row],[Valor da Venda Real]]*Final[[#This Row],[Quantidade ]]*S216),"")</f>
        <v/>
      </c>
    </row>
    <row r="217" spans="1:20" ht="15.75" x14ac:dyDescent="0.2">
      <c r="A217">
        <f>COUNTIF($C$2:C217,C217)</f>
        <v>216</v>
      </c>
      <c r="B217" s="1" t="str">
        <f t="shared" si="16"/>
        <v>216</v>
      </c>
      <c r="C217" s="1" t="str">
        <f>IFERROR(VLOOKUP(D217,'Planilha de Cadastro - Previsão'!$A$2:$N$1000,14,FALSE()),"")</f>
        <v/>
      </c>
      <c r="D217" s="1">
        <v>216</v>
      </c>
      <c r="F217" s="40" t="str">
        <f t="shared" si="15"/>
        <v/>
      </c>
      <c r="G217" s="40" t="str">
        <f>IF(F217="","",'Prosposta Inicial'!$O$2)</f>
        <v/>
      </c>
      <c r="H217" s="40" t="str">
        <f t="shared" si="14"/>
        <v xml:space="preserve"> </v>
      </c>
      <c r="I217" s="41" t="str">
        <f>IFERROR((VLOOKUP(F217,'Planilha de Cadastro - Previsão'!$A$2:$N$1100,2,FALSE()))," ")</f>
        <v xml:space="preserve"> </v>
      </c>
      <c r="J217" s="40" t="str">
        <f>IFERROR((VLOOKUP(F217,'Planilha de Cadastro - Previsão'!$A$2:$N$1100,3,FALSE()))," ")</f>
        <v xml:space="preserve"> </v>
      </c>
      <c r="K217" s="40"/>
      <c r="L217" s="42" t="str">
        <f>IFERROR((VLOOKUP(F217,'Planilha de Cadastro - Previsão'!$A$2:$N$1100,11,FALSE()))," ")</f>
        <v xml:space="preserve"> </v>
      </c>
      <c r="M217" s="41" t="str">
        <f>IFERROR((IF(VLOOKUP(F217,'Planilha de Cadastro - Previsão'!$A$2:$N$1100,10,FALSE())="","",VLOOKUP(F217,'Planilha de Cadastro - Previsão'!$A$2:$N$1100,10,FALSE()))),"")</f>
        <v/>
      </c>
      <c r="N217" s="41"/>
      <c r="O217" s="41"/>
      <c r="P217" s="41" t="str">
        <f>IFERROR((IF(VLOOKUP(F217,'Acompanhamento da Licitação'!$F$2:$O$1000,10,FALSE())="","",VLOOKUP(F217,'Acompanhamento da Licitação'!$F$2:$O$1000,10,FALSE()))),"")</f>
        <v/>
      </c>
      <c r="R217" s="61" t="str">
        <f>IFERROR(IF(F217&gt;0,(Final[[#This Row],[Valor da Venda Real]]-Final[[#This Row],[Valor de Compra Previsto]]-4%*Final[[#This Row],[Valor da Venda Real]])/Final[[#This Row],[Valor da Venda Real]],""),"")</f>
        <v/>
      </c>
      <c r="S217" s="61" t="str">
        <f t="shared" si="17"/>
        <v/>
      </c>
      <c r="T217" s="23" t="str">
        <f>IFERROR((R217*Final[[#This Row],[Valor da Venda Real]]*Final[[#This Row],[Quantidade ]]*S217),"")</f>
        <v/>
      </c>
    </row>
    <row r="218" spans="1:20" ht="15.75" x14ac:dyDescent="0.2">
      <c r="A218">
        <f>COUNTIF($C$2:C218,C218)</f>
        <v>217</v>
      </c>
      <c r="B218" s="1" t="str">
        <f t="shared" si="16"/>
        <v>217</v>
      </c>
      <c r="C218" s="1" t="str">
        <f>IFERROR(VLOOKUP(D218,'Planilha de Cadastro - Previsão'!$A$2:$N$1000,14,FALSE()),"")</f>
        <v/>
      </c>
      <c r="D218" s="1">
        <v>217</v>
      </c>
      <c r="F218" s="40" t="str">
        <f t="shared" si="15"/>
        <v/>
      </c>
      <c r="G218" s="40" t="str">
        <f>IF(F218="","",'Prosposta Inicial'!$O$2)</f>
        <v/>
      </c>
      <c r="H218" s="40" t="str">
        <f t="shared" si="14"/>
        <v xml:space="preserve"> </v>
      </c>
      <c r="I218" s="41" t="str">
        <f>IFERROR((VLOOKUP(F218,'Planilha de Cadastro - Previsão'!$A$2:$N$1100,2,FALSE()))," ")</f>
        <v xml:space="preserve"> </v>
      </c>
      <c r="J218" s="40" t="str">
        <f>IFERROR((VLOOKUP(F218,'Planilha de Cadastro - Previsão'!$A$2:$N$1100,3,FALSE()))," ")</f>
        <v xml:space="preserve"> </v>
      </c>
      <c r="K218" s="40"/>
      <c r="L218" s="42" t="str">
        <f>IFERROR((VLOOKUP(F218,'Planilha de Cadastro - Previsão'!$A$2:$N$1100,11,FALSE()))," ")</f>
        <v xml:space="preserve"> </v>
      </c>
      <c r="M218" s="41" t="str">
        <f>IFERROR((IF(VLOOKUP(F218,'Planilha de Cadastro - Previsão'!$A$2:$N$1100,10,FALSE())="","",VLOOKUP(F218,'Planilha de Cadastro - Previsão'!$A$2:$N$1100,10,FALSE()))),"")</f>
        <v/>
      </c>
      <c r="N218" s="41"/>
      <c r="O218" s="41"/>
      <c r="P218" s="41" t="str">
        <f>IFERROR((IF(VLOOKUP(F218,'Acompanhamento da Licitação'!$F$2:$O$1000,10,FALSE())="","",VLOOKUP(F218,'Acompanhamento da Licitação'!$F$2:$O$1000,10,FALSE()))),"")</f>
        <v/>
      </c>
      <c r="R218" s="61" t="str">
        <f>IFERROR(IF(F218&gt;0,(Final[[#This Row],[Valor da Venda Real]]-Final[[#This Row],[Valor de Compra Previsto]]-4%*Final[[#This Row],[Valor da Venda Real]])/Final[[#This Row],[Valor da Venda Real]],""),"")</f>
        <v/>
      </c>
      <c r="S218" s="61" t="str">
        <f t="shared" si="17"/>
        <v/>
      </c>
      <c r="T218" s="23" t="str">
        <f>IFERROR((R218*Final[[#This Row],[Valor da Venda Real]]*Final[[#This Row],[Quantidade ]]*S218),"")</f>
        <v/>
      </c>
    </row>
    <row r="219" spans="1:20" ht="15.75" x14ac:dyDescent="0.2">
      <c r="A219">
        <f>COUNTIF($C$2:C219,C219)</f>
        <v>218</v>
      </c>
      <c r="B219" s="1" t="str">
        <f t="shared" si="16"/>
        <v>218</v>
      </c>
      <c r="C219" s="1" t="str">
        <f>IFERROR(VLOOKUP(D219,'Planilha de Cadastro - Previsão'!$A$2:$N$1000,14,FALSE()),"")</f>
        <v/>
      </c>
      <c r="D219" s="1">
        <v>218</v>
      </c>
      <c r="F219" s="40" t="str">
        <f t="shared" si="15"/>
        <v/>
      </c>
      <c r="G219" s="40" t="str">
        <f>IF(F219="","",'Prosposta Inicial'!$O$2)</f>
        <v/>
      </c>
      <c r="H219" s="40" t="str">
        <f t="shared" si="14"/>
        <v xml:space="preserve"> </v>
      </c>
      <c r="I219" s="41" t="str">
        <f>IFERROR((VLOOKUP(F219,'Planilha de Cadastro - Previsão'!$A$2:$N$1100,2,FALSE()))," ")</f>
        <v xml:space="preserve"> </v>
      </c>
      <c r="J219" s="40" t="str">
        <f>IFERROR((VLOOKUP(F219,'Planilha de Cadastro - Previsão'!$A$2:$N$1100,3,FALSE()))," ")</f>
        <v xml:space="preserve"> </v>
      </c>
      <c r="K219" s="40"/>
      <c r="L219" s="42" t="str">
        <f>IFERROR((VLOOKUP(F219,'Planilha de Cadastro - Previsão'!$A$2:$N$1100,11,FALSE()))," ")</f>
        <v xml:space="preserve"> </v>
      </c>
      <c r="M219" s="41" t="str">
        <f>IFERROR((IF(VLOOKUP(F219,'Planilha de Cadastro - Previsão'!$A$2:$N$1100,10,FALSE())="","",VLOOKUP(F219,'Planilha de Cadastro - Previsão'!$A$2:$N$1100,10,FALSE()))),"")</f>
        <v/>
      </c>
      <c r="N219" s="41"/>
      <c r="O219" s="41"/>
      <c r="P219" s="41" t="str">
        <f>IFERROR((IF(VLOOKUP(F219,'Acompanhamento da Licitação'!$F$2:$O$1000,10,FALSE())="","",VLOOKUP(F219,'Acompanhamento da Licitação'!$F$2:$O$1000,10,FALSE()))),"")</f>
        <v/>
      </c>
      <c r="R219" s="61" t="str">
        <f>IFERROR(IF(F219&gt;0,(Final[[#This Row],[Valor da Venda Real]]-Final[[#This Row],[Valor de Compra Previsto]]-4%*Final[[#This Row],[Valor da Venda Real]])/Final[[#This Row],[Valor da Venda Real]],""),"")</f>
        <v/>
      </c>
      <c r="S219" s="61" t="str">
        <f t="shared" si="17"/>
        <v/>
      </c>
      <c r="T219" s="23" t="str">
        <f>IFERROR((R219*Final[[#This Row],[Valor da Venda Real]]*Final[[#This Row],[Quantidade ]]*S219),"")</f>
        <v/>
      </c>
    </row>
    <row r="220" spans="1:20" ht="15.75" x14ac:dyDescent="0.2">
      <c r="A220">
        <f>COUNTIF($C$2:C220,C220)</f>
        <v>219</v>
      </c>
      <c r="B220" s="1" t="str">
        <f t="shared" si="16"/>
        <v>219</v>
      </c>
      <c r="C220" s="1" t="str">
        <f>IFERROR(VLOOKUP(D220,'Planilha de Cadastro - Previsão'!$A$2:$N$1000,14,FALSE()),"")</f>
        <v/>
      </c>
      <c r="D220" s="1">
        <v>219</v>
      </c>
      <c r="F220" s="40" t="str">
        <f t="shared" si="15"/>
        <v/>
      </c>
      <c r="G220" s="40" t="str">
        <f>IF(F220="","",'Prosposta Inicial'!$O$2)</f>
        <v/>
      </c>
      <c r="H220" s="40" t="str">
        <f t="shared" si="14"/>
        <v xml:space="preserve"> </v>
      </c>
      <c r="I220" s="41" t="str">
        <f>IFERROR((VLOOKUP(F220,'Planilha de Cadastro - Previsão'!$A$2:$N$1100,2,FALSE()))," ")</f>
        <v xml:space="preserve"> </v>
      </c>
      <c r="J220" s="40" t="str">
        <f>IFERROR((VLOOKUP(F220,'Planilha de Cadastro - Previsão'!$A$2:$N$1100,3,FALSE()))," ")</f>
        <v xml:space="preserve"> </v>
      </c>
      <c r="K220" s="40"/>
      <c r="L220" s="42" t="str">
        <f>IFERROR((VLOOKUP(F220,'Planilha de Cadastro - Previsão'!$A$2:$N$1100,11,FALSE()))," ")</f>
        <v xml:space="preserve"> </v>
      </c>
      <c r="M220" s="41" t="str">
        <f>IFERROR((IF(VLOOKUP(F220,'Planilha de Cadastro - Previsão'!$A$2:$N$1100,10,FALSE())="","",VLOOKUP(F220,'Planilha de Cadastro - Previsão'!$A$2:$N$1100,10,FALSE()))),"")</f>
        <v/>
      </c>
      <c r="N220" s="41"/>
      <c r="O220" s="41"/>
      <c r="P220" s="41" t="str">
        <f>IFERROR((IF(VLOOKUP(F220,'Acompanhamento da Licitação'!$F$2:$O$1000,10,FALSE())="","",VLOOKUP(F220,'Acompanhamento da Licitação'!$F$2:$O$1000,10,FALSE()))),"")</f>
        <v/>
      </c>
      <c r="R220" s="61" t="str">
        <f>IFERROR(IF(F220&gt;0,(Final[[#This Row],[Valor da Venda Real]]-Final[[#This Row],[Valor de Compra Previsto]]-4%*Final[[#This Row],[Valor da Venda Real]])/Final[[#This Row],[Valor da Venda Real]],""),"")</f>
        <v/>
      </c>
      <c r="S220" s="61" t="str">
        <f t="shared" si="17"/>
        <v/>
      </c>
      <c r="T220" s="23" t="str">
        <f>IFERROR((R220*Final[[#This Row],[Valor da Venda Real]]*Final[[#This Row],[Quantidade ]]*S220),"")</f>
        <v/>
      </c>
    </row>
    <row r="221" spans="1:20" ht="15.75" x14ac:dyDescent="0.2">
      <c r="A221">
        <f>COUNTIF($C$2:C221,C221)</f>
        <v>220</v>
      </c>
      <c r="B221" s="1" t="str">
        <f t="shared" si="16"/>
        <v>220</v>
      </c>
      <c r="C221" s="1" t="str">
        <f>IFERROR(VLOOKUP(D221,'Planilha de Cadastro - Previsão'!$A$2:$N$1000,14,FALSE()),"")</f>
        <v/>
      </c>
      <c r="D221" s="1">
        <v>220</v>
      </c>
      <c r="F221" s="40" t="str">
        <f t="shared" si="15"/>
        <v/>
      </c>
      <c r="G221" s="40" t="str">
        <f>IF(F221="","",'Prosposta Inicial'!$O$2)</f>
        <v/>
      </c>
      <c r="H221" s="40" t="str">
        <f t="shared" si="14"/>
        <v xml:space="preserve"> </v>
      </c>
      <c r="I221" s="41" t="str">
        <f>IFERROR((VLOOKUP(F221,'Planilha de Cadastro - Previsão'!$A$2:$N$1100,2,FALSE()))," ")</f>
        <v xml:space="preserve"> </v>
      </c>
      <c r="J221" s="40" t="str">
        <f>IFERROR((VLOOKUP(F221,'Planilha de Cadastro - Previsão'!$A$2:$N$1100,3,FALSE()))," ")</f>
        <v xml:space="preserve"> </v>
      </c>
      <c r="K221" s="40"/>
      <c r="L221" s="42" t="str">
        <f>IFERROR((VLOOKUP(F221,'Planilha de Cadastro - Previsão'!$A$2:$N$1100,11,FALSE()))," ")</f>
        <v xml:space="preserve"> </v>
      </c>
      <c r="M221" s="41" t="str">
        <f>IFERROR((IF(VLOOKUP(F221,'Planilha de Cadastro - Previsão'!$A$2:$N$1100,10,FALSE())="","",VLOOKUP(F221,'Planilha de Cadastro - Previsão'!$A$2:$N$1100,10,FALSE()))),"")</f>
        <v/>
      </c>
      <c r="N221" s="41"/>
      <c r="O221" s="41"/>
      <c r="P221" s="41" t="str">
        <f>IFERROR((IF(VLOOKUP(F221,'Acompanhamento da Licitação'!$F$2:$O$1000,10,FALSE())="","",VLOOKUP(F221,'Acompanhamento da Licitação'!$F$2:$O$1000,10,FALSE()))),"")</f>
        <v/>
      </c>
      <c r="R221" s="61" t="str">
        <f>IFERROR(IF(F221&gt;0,(Final[[#This Row],[Valor da Venda Real]]-Final[[#This Row],[Valor de Compra Previsto]]-4%*Final[[#This Row],[Valor da Venda Real]])/Final[[#This Row],[Valor da Venda Real]],""),"")</f>
        <v/>
      </c>
      <c r="S221" s="61" t="str">
        <f t="shared" si="17"/>
        <v/>
      </c>
      <c r="T221" s="23" t="str">
        <f>IFERROR((R221*Final[[#This Row],[Valor da Venda Real]]*Final[[#This Row],[Quantidade ]]*S221),"")</f>
        <v/>
      </c>
    </row>
    <row r="222" spans="1:20" ht="15.75" x14ac:dyDescent="0.2">
      <c r="A222">
        <f>COUNTIF($C$2:C222,C222)</f>
        <v>221</v>
      </c>
      <c r="B222" s="1" t="str">
        <f t="shared" si="16"/>
        <v>221</v>
      </c>
      <c r="C222" s="1" t="str">
        <f>IFERROR(VLOOKUP(D222,'Planilha de Cadastro - Previsão'!$A$2:$N$1000,14,FALSE()),"")</f>
        <v/>
      </c>
      <c r="D222" s="1">
        <v>221</v>
      </c>
      <c r="F222" s="40" t="str">
        <f t="shared" si="15"/>
        <v/>
      </c>
      <c r="G222" s="40" t="str">
        <f>IF(F222="","",'Prosposta Inicial'!$O$2)</f>
        <v/>
      </c>
      <c r="H222" s="40" t="str">
        <f t="shared" si="14"/>
        <v xml:space="preserve"> </v>
      </c>
      <c r="I222" s="41" t="str">
        <f>IFERROR((VLOOKUP(F222,'Planilha de Cadastro - Previsão'!$A$2:$N$1100,2,FALSE()))," ")</f>
        <v xml:space="preserve"> </v>
      </c>
      <c r="J222" s="40" t="str">
        <f>IFERROR((VLOOKUP(F222,'Planilha de Cadastro - Previsão'!$A$2:$N$1100,3,FALSE()))," ")</f>
        <v xml:space="preserve"> </v>
      </c>
      <c r="K222" s="40"/>
      <c r="L222" s="42" t="str">
        <f>IFERROR((VLOOKUP(F222,'Planilha de Cadastro - Previsão'!$A$2:$N$1100,11,FALSE()))," ")</f>
        <v xml:space="preserve"> </v>
      </c>
      <c r="M222" s="41" t="str">
        <f>IFERROR((IF(VLOOKUP(F222,'Planilha de Cadastro - Previsão'!$A$2:$N$1100,10,FALSE())="","",VLOOKUP(F222,'Planilha de Cadastro - Previsão'!$A$2:$N$1100,10,FALSE()))),"")</f>
        <v/>
      </c>
      <c r="N222" s="41"/>
      <c r="O222" s="41"/>
      <c r="P222" s="41" t="str">
        <f>IFERROR((IF(VLOOKUP(F222,'Acompanhamento da Licitação'!$F$2:$O$1000,10,FALSE())="","",VLOOKUP(F222,'Acompanhamento da Licitação'!$F$2:$O$1000,10,FALSE()))),"")</f>
        <v/>
      </c>
      <c r="R222" s="61" t="str">
        <f>IFERROR(IF(F222&gt;0,(Final[[#This Row],[Valor da Venda Real]]-Final[[#This Row],[Valor de Compra Previsto]]-4%*Final[[#This Row],[Valor da Venda Real]])/Final[[#This Row],[Valor da Venda Real]],""),"")</f>
        <v/>
      </c>
      <c r="S222" s="61" t="str">
        <f t="shared" si="17"/>
        <v/>
      </c>
      <c r="T222" s="23" t="str">
        <f>IFERROR((R222*Final[[#This Row],[Valor da Venda Real]]*Final[[#This Row],[Quantidade ]]*S222),"")</f>
        <v/>
      </c>
    </row>
    <row r="223" spans="1:20" ht="15.75" x14ac:dyDescent="0.2">
      <c r="A223">
        <f>COUNTIF($C$2:C223,C223)</f>
        <v>222</v>
      </c>
      <c r="B223" s="1" t="str">
        <f t="shared" si="16"/>
        <v>222</v>
      </c>
      <c r="C223" s="1" t="str">
        <f>IFERROR(VLOOKUP(D223,'Planilha de Cadastro - Previsão'!$A$2:$N$1000,14,FALSE()),"")</f>
        <v/>
      </c>
      <c r="D223" s="1">
        <v>222</v>
      </c>
      <c r="F223" s="40" t="str">
        <f t="shared" si="15"/>
        <v/>
      </c>
      <c r="G223" s="40" t="str">
        <f>IF(F223="","",'Prosposta Inicial'!$O$2)</f>
        <v/>
      </c>
      <c r="H223" s="40" t="str">
        <f t="shared" si="14"/>
        <v xml:space="preserve"> </v>
      </c>
      <c r="I223" s="41" t="str">
        <f>IFERROR((VLOOKUP(F223,'Planilha de Cadastro - Previsão'!$A$2:$N$1100,2,FALSE()))," ")</f>
        <v xml:space="preserve"> </v>
      </c>
      <c r="J223" s="40" t="str">
        <f>IFERROR((VLOOKUP(F223,'Planilha de Cadastro - Previsão'!$A$2:$N$1100,3,FALSE()))," ")</f>
        <v xml:space="preserve"> </v>
      </c>
      <c r="K223" s="40"/>
      <c r="L223" s="42" t="str">
        <f>IFERROR((VLOOKUP(F223,'Planilha de Cadastro - Previsão'!$A$2:$N$1100,11,FALSE()))," ")</f>
        <v xml:space="preserve"> </v>
      </c>
      <c r="M223" s="41" t="str">
        <f>IFERROR((IF(VLOOKUP(F223,'Planilha de Cadastro - Previsão'!$A$2:$N$1100,10,FALSE())="","",VLOOKUP(F223,'Planilha de Cadastro - Previsão'!$A$2:$N$1100,10,FALSE()))),"")</f>
        <v/>
      </c>
      <c r="N223" s="41"/>
      <c r="O223" s="41"/>
      <c r="P223" s="41" t="str">
        <f>IFERROR((IF(VLOOKUP(F223,'Acompanhamento da Licitação'!$F$2:$O$1000,10,FALSE())="","",VLOOKUP(F223,'Acompanhamento da Licitação'!$F$2:$O$1000,10,FALSE()))),"")</f>
        <v/>
      </c>
      <c r="R223" s="61" t="str">
        <f>IFERROR(IF(F223&gt;0,(Final[[#This Row],[Valor da Venda Real]]-Final[[#This Row],[Valor de Compra Previsto]]-4%*Final[[#This Row],[Valor da Venda Real]])/Final[[#This Row],[Valor da Venda Real]],""),"")</f>
        <v/>
      </c>
      <c r="S223" s="61" t="str">
        <f t="shared" si="17"/>
        <v/>
      </c>
      <c r="T223" s="23" t="str">
        <f>IFERROR((R223*Final[[#This Row],[Valor da Venda Real]]*Final[[#This Row],[Quantidade ]]*S223),"")</f>
        <v/>
      </c>
    </row>
    <row r="224" spans="1:20" ht="15.75" x14ac:dyDescent="0.2">
      <c r="A224">
        <f>COUNTIF($C$2:C224,C224)</f>
        <v>223</v>
      </c>
      <c r="B224" s="1" t="str">
        <f t="shared" si="16"/>
        <v>223</v>
      </c>
      <c r="C224" s="1" t="str">
        <f>IFERROR(VLOOKUP(D224,'Planilha de Cadastro - Previsão'!$A$2:$N$1000,14,FALSE()),"")</f>
        <v/>
      </c>
      <c r="D224" s="1">
        <v>223</v>
      </c>
      <c r="F224" s="40" t="str">
        <f t="shared" si="15"/>
        <v/>
      </c>
      <c r="G224" s="40" t="str">
        <f>IF(F224="","",'Prosposta Inicial'!$O$2)</f>
        <v/>
      </c>
      <c r="H224" s="40" t="str">
        <f t="shared" si="14"/>
        <v xml:space="preserve"> </v>
      </c>
      <c r="I224" s="41" t="str">
        <f>IFERROR((VLOOKUP(F224,'Planilha de Cadastro - Previsão'!$A$2:$N$1100,2,FALSE()))," ")</f>
        <v xml:space="preserve"> </v>
      </c>
      <c r="J224" s="40" t="str">
        <f>IFERROR((VLOOKUP(F224,'Planilha de Cadastro - Previsão'!$A$2:$N$1100,3,FALSE()))," ")</f>
        <v xml:space="preserve"> </v>
      </c>
      <c r="K224" s="40"/>
      <c r="L224" s="42" t="str">
        <f>IFERROR((VLOOKUP(F224,'Planilha de Cadastro - Previsão'!$A$2:$N$1100,11,FALSE()))," ")</f>
        <v xml:space="preserve"> </v>
      </c>
      <c r="M224" s="41" t="str">
        <f>IFERROR((IF(VLOOKUP(F224,'Planilha de Cadastro - Previsão'!$A$2:$N$1100,10,FALSE())="","",VLOOKUP(F224,'Planilha de Cadastro - Previsão'!$A$2:$N$1100,10,FALSE()))),"")</f>
        <v/>
      </c>
      <c r="N224" s="41"/>
      <c r="O224" s="41"/>
      <c r="P224" s="41" t="str">
        <f>IFERROR((IF(VLOOKUP(F224,'Acompanhamento da Licitação'!$F$2:$O$1000,10,FALSE())="","",VLOOKUP(F224,'Acompanhamento da Licitação'!$F$2:$O$1000,10,FALSE()))),"")</f>
        <v/>
      </c>
      <c r="R224" s="61" t="str">
        <f>IFERROR(IF(F224&gt;0,(Final[[#This Row],[Valor da Venda Real]]-Final[[#This Row],[Valor de Compra Previsto]]-4%*Final[[#This Row],[Valor da Venda Real]])/Final[[#This Row],[Valor da Venda Real]],""),"")</f>
        <v/>
      </c>
      <c r="S224" s="61" t="str">
        <f t="shared" si="17"/>
        <v/>
      </c>
      <c r="T224" s="23" t="str">
        <f>IFERROR((R224*Final[[#This Row],[Valor da Venda Real]]*Final[[#This Row],[Quantidade ]]*S224),"")</f>
        <v/>
      </c>
    </row>
    <row r="225" spans="1:20" ht="15.75" x14ac:dyDescent="0.2">
      <c r="A225">
        <f>COUNTIF($C$2:C225,C225)</f>
        <v>224</v>
      </c>
      <c r="B225" s="1" t="str">
        <f t="shared" si="16"/>
        <v>224</v>
      </c>
      <c r="C225" s="1" t="str">
        <f>IFERROR(VLOOKUP(D225,'Planilha de Cadastro - Previsão'!$A$2:$N$1000,14,FALSE()),"")</f>
        <v/>
      </c>
      <c r="D225" s="1">
        <v>224</v>
      </c>
      <c r="F225" s="40" t="str">
        <f t="shared" si="15"/>
        <v/>
      </c>
      <c r="G225" s="40" t="str">
        <f>IF(F225="","",'Prosposta Inicial'!$O$2)</f>
        <v/>
      </c>
      <c r="H225" s="40" t="str">
        <f t="shared" si="14"/>
        <v xml:space="preserve"> </v>
      </c>
      <c r="I225" s="41" t="str">
        <f>IFERROR((VLOOKUP(F225,'Planilha de Cadastro - Previsão'!$A$2:$N$1100,2,FALSE()))," ")</f>
        <v xml:space="preserve"> </v>
      </c>
      <c r="J225" s="40" t="str">
        <f>IFERROR((VLOOKUP(F225,'Planilha de Cadastro - Previsão'!$A$2:$N$1100,3,FALSE()))," ")</f>
        <v xml:space="preserve"> </v>
      </c>
      <c r="K225" s="40"/>
      <c r="L225" s="42" t="str">
        <f>IFERROR((VLOOKUP(F225,'Planilha de Cadastro - Previsão'!$A$2:$N$1100,11,FALSE()))," ")</f>
        <v xml:space="preserve"> </v>
      </c>
      <c r="M225" s="41" t="str">
        <f>IFERROR((IF(VLOOKUP(F225,'Planilha de Cadastro - Previsão'!$A$2:$N$1100,10,FALSE())="","",VLOOKUP(F225,'Planilha de Cadastro - Previsão'!$A$2:$N$1100,10,FALSE()))),"")</f>
        <v/>
      </c>
      <c r="N225" s="41"/>
      <c r="O225" s="41"/>
      <c r="P225" s="41" t="str">
        <f>IFERROR((IF(VLOOKUP(F225,'Acompanhamento da Licitação'!$F$2:$O$1000,10,FALSE())="","",VLOOKUP(F225,'Acompanhamento da Licitação'!$F$2:$O$1000,10,FALSE()))),"")</f>
        <v/>
      </c>
      <c r="R225" s="61" t="str">
        <f>IFERROR(IF(F225&gt;0,(Final[[#This Row],[Valor da Venda Real]]-Final[[#This Row],[Valor de Compra Previsto]]-4%*Final[[#This Row],[Valor da Venda Real]])/Final[[#This Row],[Valor da Venda Real]],""),"")</f>
        <v/>
      </c>
      <c r="S225" s="61" t="str">
        <f t="shared" si="17"/>
        <v/>
      </c>
      <c r="T225" s="23" t="str">
        <f>IFERROR((R225*Final[[#This Row],[Valor da Venda Real]]*Final[[#This Row],[Quantidade ]]*S225),"")</f>
        <v/>
      </c>
    </row>
    <row r="226" spans="1:20" ht="15.75" x14ac:dyDescent="0.2">
      <c r="A226">
        <f>COUNTIF($C$2:C226,C226)</f>
        <v>225</v>
      </c>
      <c r="B226" s="1" t="str">
        <f t="shared" si="16"/>
        <v>225</v>
      </c>
      <c r="C226" s="1" t="str">
        <f>IFERROR(VLOOKUP(D226,'Planilha de Cadastro - Previsão'!$A$2:$N$1000,14,FALSE()),"")</f>
        <v/>
      </c>
      <c r="D226" s="1">
        <v>225</v>
      </c>
      <c r="F226" s="40" t="str">
        <f t="shared" si="15"/>
        <v/>
      </c>
      <c r="G226" s="40" t="str">
        <f>IF(F226="","",'Prosposta Inicial'!$O$2)</f>
        <v/>
      </c>
      <c r="H226" s="40" t="str">
        <f t="shared" si="14"/>
        <v xml:space="preserve"> </v>
      </c>
      <c r="I226" s="41" t="str">
        <f>IFERROR((VLOOKUP(F226,'Planilha de Cadastro - Previsão'!$A$2:$N$1100,2,FALSE()))," ")</f>
        <v xml:space="preserve"> </v>
      </c>
      <c r="J226" s="40" t="str">
        <f>IFERROR((VLOOKUP(F226,'Planilha de Cadastro - Previsão'!$A$2:$N$1100,3,FALSE()))," ")</f>
        <v xml:space="preserve"> </v>
      </c>
      <c r="K226" s="40"/>
      <c r="L226" s="42" t="str">
        <f>IFERROR((VLOOKUP(F226,'Planilha de Cadastro - Previsão'!$A$2:$N$1100,11,FALSE()))," ")</f>
        <v xml:space="preserve"> </v>
      </c>
      <c r="M226" s="41" t="str">
        <f>IFERROR((IF(VLOOKUP(F226,'Planilha de Cadastro - Previsão'!$A$2:$N$1100,10,FALSE())="","",VLOOKUP(F226,'Planilha de Cadastro - Previsão'!$A$2:$N$1100,10,FALSE()))),"")</f>
        <v/>
      </c>
      <c r="N226" s="41"/>
      <c r="O226" s="41"/>
      <c r="P226" s="41" t="str">
        <f>IFERROR((IF(VLOOKUP(F226,'Acompanhamento da Licitação'!$F$2:$O$1000,10,FALSE())="","",VLOOKUP(F226,'Acompanhamento da Licitação'!$F$2:$O$1000,10,FALSE()))),"")</f>
        <v/>
      </c>
      <c r="R226" s="61" t="str">
        <f>IFERROR(IF(F226&gt;0,(Final[[#This Row],[Valor da Venda Real]]-Final[[#This Row],[Valor de Compra Previsto]]-4%*Final[[#This Row],[Valor da Venda Real]])/Final[[#This Row],[Valor da Venda Real]],""),"")</f>
        <v/>
      </c>
      <c r="S226" s="61" t="str">
        <f t="shared" si="17"/>
        <v/>
      </c>
      <c r="T226" s="23" t="str">
        <f>IFERROR((R226*Final[[#This Row],[Valor da Venda Real]]*Final[[#This Row],[Quantidade ]]*S226),"")</f>
        <v/>
      </c>
    </row>
    <row r="227" spans="1:20" ht="15.75" x14ac:dyDescent="0.2">
      <c r="A227">
        <f>COUNTIF($C$2:C227,C227)</f>
        <v>226</v>
      </c>
      <c r="B227" s="1" t="str">
        <f t="shared" si="16"/>
        <v>226</v>
      </c>
      <c r="C227" s="1" t="str">
        <f>IFERROR(VLOOKUP(D227,'Planilha de Cadastro - Previsão'!$A$2:$N$1000,14,FALSE()),"")</f>
        <v/>
      </c>
      <c r="D227" s="1">
        <v>226</v>
      </c>
      <c r="F227" s="40" t="str">
        <f t="shared" si="15"/>
        <v/>
      </c>
      <c r="G227" s="40" t="str">
        <f>IF(F227="","",'Prosposta Inicial'!$O$2)</f>
        <v/>
      </c>
      <c r="H227" s="40" t="str">
        <f t="shared" si="14"/>
        <v xml:space="preserve"> </v>
      </c>
      <c r="I227" s="41" t="str">
        <f>IFERROR((VLOOKUP(F227,'Planilha de Cadastro - Previsão'!$A$2:$N$1100,2,FALSE()))," ")</f>
        <v xml:space="preserve"> </v>
      </c>
      <c r="J227" s="40" t="str">
        <f>IFERROR((VLOOKUP(F227,'Planilha de Cadastro - Previsão'!$A$2:$N$1100,3,FALSE()))," ")</f>
        <v xml:space="preserve"> </v>
      </c>
      <c r="K227" s="40"/>
      <c r="L227" s="42" t="str">
        <f>IFERROR((VLOOKUP(F227,'Planilha de Cadastro - Previsão'!$A$2:$N$1100,11,FALSE()))," ")</f>
        <v xml:space="preserve"> </v>
      </c>
      <c r="M227" s="41" t="str">
        <f>IFERROR((IF(VLOOKUP(F227,'Planilha de Cadastro - Previsão'!$A$2:$N$1100,10,FALSE())="","",VLOOKUP(F227,'Planilha de Cadastro - Previsão'!$A$2:$N$1100,10,FALSE()))),"")</f>
        <v/>
      </c>
      <c r="N227" s="41"/>
      <c r="O227" s="41"/>
      <c r="P227" s="41" t="str">
        <f>IFERROR((IF(VLOOKUP(F227,'Acompanhamento da Licitação'!$F$2:$O$1000,10,FALSE())="","",VLOOKUP(F227,'Acompanhamento da Licitação'!$F$2:$O$1000,10,FALSE()))),"")</f>
        <v/>
      </c>
      <c r="R227" s="61" t="str">
        <f>IFERROR(IF(F227&gt;0,(Final[[#This Row],[Valor da Venda Real]]-Final[[#This Row],[Valor de Compra Previsto]]-4%*Final[[#This Row],[Valor da Venda Real]])/Final[[#This Row],[Valor da Venda Real]],""),"")</f>
        <v/>
      </c>
      <c r="S227" s="61" t="str">
        <f t="shared" si="17"/>
        <v/>
      </c>
      <c r="T227" s="23" t="str">
        <f>IFERROR((R227*Final[[#This Row],[Valor da Venda Real]]*Final[[#This Row],[Quantidade ]]*S227),"")</f>
        <v/>
      </c>
    </row>
    <row r="228" spans="1:20" ht="15.75" x14ac:dyDescent="0.2">
      <c r="A228">
        <f>COUNTIF($C$2:C228,C228)</f>
        <v>227</v>
      </c>
      <c r="B228" s="1" t="str">
        <f t="shared" si="16"/>
        <v>227</v>
      </c>
      <c r="C228" s="1" t="str">
        <f>IFERROR(VLOOKUP(D228,'Planilha de Cadastro - Previsão'!$A$2:$N$1000,14,FALSE()),"")</f>
        <v/>
      </c>
      <c r="D228" s="1">
        <v>227</v>
      </c>
      <c r="F228" s="40" t="str">
        <f t="shared" si="15"/>
        <v/>
      </c>
      <c r="G228" s="40" t="str">
        <f>IF(F228="","",'Prosposta Inicial'!$O$2)</f>
        <v/>
      </c>
      <c r="H228" s="40" t="str">
        <f t="shared" si="14"/>
        <v xml:space="preserve"> </v>
      </c>
      <c r="I228" s="41" t="str">
        <f>IFERROR((VLOOKUP(F228,'Planilha de Cadastro - Previsão'!$A$2:$N$1100,2,FALSE()))," ")</f>
        <v xml:space="preserve"> </v>
      </c>
      <c r="J228" s="40" t="str">
        <f>IFERROR((VLOOKUP(F228,'Planilha de Cadastro - Previsão'!$A$2:$N$1100,3,FALSE()))," ")</f>
        <v xml:space="preserve"> </v>
      </c>
      <c r="K228" s="40"/>
      <c r="L228" s="42" t="str">
        <f>IFERROR((VLOOKUP(F228,'Planilha de Cadastro - Previsão'!$A$2:$N$1100,11,FALSE()))," ")</f>
        <v xml:space="preserve"> </v>
      </c>
      <c r="M228" s="41" t="str">
        <f>IFERROR((IF(VLOOKUP(F228,'Planilha de Cadastro - Previsão'!$A$2:$N$1100,10,FALSE())="","",VLOOKUP(F228,'Planilha de Cadastro - Previsão'!$A$2:$N$1100,10,FALSE()))),"")</f>
        <v/>
      </c>
      <c r="N228" s="41"/>
      <c r="O228" s="41"/>
      <c r="P228" s="41" t="str">
        <f>IFERROR((IF(VLOOKUP(F228,'Acompanhamento da Licitação'!$F$2:$O$1000,10,FALSE())="","",VLOOKUP(F228,'Acompanhamento da Licitação'!$F$2:$O$1000,10,FALSE()))),"")</f>
        <v/>
      </c>
      <c r="R228" s="61" t="str">
        <f>IFERROR(IF(F228&gt;0,(Final[[#This Row],[Valor da Venda Real]]-Final[[#This Row],[Valor de Compra Previsto]]-4%*Final[[#This Row],[Valor da Venda Real]])/Final[[#This Row],[Valor da Venda Real]],""),"")</f>
        <v/>
      </c>
      <c r="S228" s="61" t="str">
        <f t="shared" si="17"/>
        <v/>
      </c>
      <c r="T228" s="23" t="str">
        <f>IFERROR((R228*Final[[#This Row],[Valor da Venda Real]]*Final[[#This Row],[Quantidade ]]*S228),"")</f>
        <v/>
      </c>
    </row>
    <row r="229" spans="1:20" ht="15.75" x14ac:dyDescent="0.2">
      <c r="A229">
        <f>COUNTIF($C$2:C229,C229)</f>
        <v>228</v>
      </c>
      <c r="B229" s="1" t="str">
        <f t="shared" si="16"/>
        <v>228</v>
      </c>
      <c r="C229" s="1" t="str">
        <f>IFERROR(VLOOKUP(D229,'Planilha de Cadastro - Previsão'!$A$2:$N$1000,14,FALSE()),"")</f>
        <v/>
      </c>
      <c r="D229" s="1">
        <v>228</v>
      </c>
      <c r="F229" s="40" t="str">
        <f t="shared" si="15"/>
        <v/>
      </c>
      <c r="G229" s="40" t="str">
        <f>IF(F229="","",'Prosposta Inicial'!$O$2)</f>
        <v/>
      </c>
      <c r="H229" s="40" t="str">
        <f t="shared" ref="H229:H292" si="18">CONCATENATE(F229,G229,I229)</f>
        <v xml:space="preserve"> </v>
      </c>
      <c r="I229" s="41" t="str">
        <f>IFERROR((VLOOKUP(F229,'Planilha de Cadastro - Previsão'!$A$2:$N$1100,2,FALSE()))," ")</f>
        <v xml:space="preserve"> </v>
      </c>
      <c r="J229" s="40" t="str">
        <f>IFERROR((VLOOKUP(F229,'Planilha de Cadastro - Previsão'!$A$2:$N$1100,3,FALSE()))," ")</f>
        <v xml:space="preserve"> </v>
      </c>
      <c r="K229" s="40"/>
      <c r="L229" s="42" t="str">
        <f>IFERROR((VLOOKUP(F229,'Planilha de Cadastro - Previsão'!$A$2:$N$1100,11,FALSE()))," ")</f>
        <v xml:space="preserve"> </v>
      </c>
      <c r="M229" s="41" t="str">
        <f>IFERROR((IF(VLOOKUP(F229,'Planilha de Cadastro - Previsão'!$A$2:$N$1100,10,FALSE())="","",VLOOKUP(F229,'Planilha de Cadastro - Previsão'!$A$2:$N$1100,10,FALSE()))),"")</f>
        <v/>
      </c>
      <c r="N229" s="41"/>
      <c r="O229" s="41"/>
      <c r="P229" s="41" t="str">
        <f>IFERROR((IF(VLOOKUP(F229,'Acompanhamento da Licitação'!$F$2:$O$1000,10,FALSE())="","",VLOOKUP(F229,'Acompanhamento da Licitação'!$F$2:$O$1000,10,FALSE()))),"")</f>
        <v/>
      </c>
      <c r="R229" s="61" t="str">
        <f>IFERROR(IF(F229&gt;0,(Final[[#This Row],[Valor da Venda Real]]-Final[[#This Row],[Valor de Compra Previsto]]-4%*Final[[#This Row],[Valor da Venda Real]])/Final[[#This Row],[Valor da Venda Real]],""),"")</f>
        <v/>
      </c>
      <c r="S229" s="61" t="str">
        <f t="shared" si="17"/>
        <v/>
      </c>
      <c r="T229" s="23" t="str">
        <f>IFERROR((R229*Final[[#This Row],[Valor da Venda Real]]*Final[[#This Row],[Quantidade ]]*S229),"")</f>
        <v/>
      </c>
    </row>
    <row r="230" spans="1:20" ht="15.75" x14ac:dyDescent="0.2">
      <c r="A230">
        <f>COUNTIF($C$2:C230,C230)</f>
        <v>229</v>
      </c>
      <c r="B230" s="1" t="str">
        <f t="shared" si="16"/>
        <v>229</v>
      </c>
      <c r="C230" s="1" t="str">
        <f>IFERROR(VLOOKUP(D230,'Planilha de Cadastro - Previsão'!$A$2:$N$1000,14,FALSE()),"")</f>
        <v/>
      </c>
      <c r="D230" s="1">
        <v>229</v>
      </c>
      <c r="F230" s="40" t="str">
        <f t="shared" si="15"/>
        <v/>
      </c>
      <c r="G230" s="40" t="str">
        <f>IF(F230="","",'Prosposta Inicial'!$O$2)</f>
        <v/>
      </c>
      <c r="H230" s="40" t="str">
        <f t="shared" si="18"/>
        <v xml:space="preserve"> </v>
      </c>
      <c r="I230" s="41" t="str">
        <f>IFERROR((VLOOKUP(F230,'Planilha de Cadastro - Previsão'!$A$2:$N$1100,2,FALSE()))," ")</f>
        <v xml:space="preserve"> </v>
      </c>
      <c r="J230" s="40" t="str">
        <f>IFERROR((VLOOKUP(F230,'Planilha de Cadastro - Previsão'!$A$2:$N$1100,3,FALSE()))," ")</f>
        <v xml:space="preserve"> </v>
      </c>
      <c r="K230" s="40"/>
      <c r="L230" s="42" t="str">
        <f>IFERROR((VLOOKUP(F230,'Planilha de Cadastro - Previsão'!$A$2:$N$1100,11,FALSE()))," ")</f>
        <v xml:space="preserve"> </v>
      </c>
      <c r="M230" s="41" t="str">
        <f>IFERROR((IF(VLOOKUP(F230,'Planilha de Cadastro - Previsão'!$A$2:$N$1100,10,FALSE())="","",VLOOKUP(F230,'Planilha de Cadastro - Previsão'!$A$2:$N$1100,10,FALSE()))),"")</f>
        <v/>
      </c>
      <c r="N230" s="41"/>
      <c r="O230" s="41"/>
      <c r="P230" s="41" t="str">
        <f>IFERROR((IF(VLOOKUP(F230,'Acompanhamento da Licitação'!$F$2:$O$1000,10,FALSE())="","",VLOOKUP(F230,'Acompanhamento da Licitação'!$F$2:$O$1000,10,FALSE()))),"")</f>
        <v/>
      </c>
      <c r="R230" s="61" t="str">
        <f>IFERROR(IF(F230&gt;0,(Final[[#This Row],[Valor da Venda Real]]-Final[[#This Row],[Valor de Compra Previsto]]-4%*Final[[#This Row],[Valor da Venda Real]])/Final[[#This Row],[Valor da Venda Real]],""),"")</f>
        <v/>
      </c>
      <c r="S230" s="61" t="str">
        <f t="shared" si="17"/>
        <v/>
      </c>
      <c r="T230" s="23" t="str">
        <f>IFERROR((R230*Final[[#This Row],[Valor da Venda Real]]*Final[[#This Row],[Quantidade ]]*S230),"")</f>
        <v/>
      </c>
    </row>
    <row r="231" spans="1:20" ht="15.75" x14ac:dyDescent="0.2">
      <c r="A231">
        <f>COUNTIF($C$2:C231,C231)</f>
        <v>230</v>
      </c>
      <c r="B231" s="1" t="str">
        <f t="shared" si="16"/>
        <v>230</v>
      </c>
      <c r="C231" s="1" t="str">
        <f>IFERROR(VLOOKUP(D231,'Planilha de Cadastro - Previsão'!$A$2:$N$1000,14,FALSE()),"")</f>
        <v/>
      </c>
      <c r="D231" s="1">
        <v>230</v>
      </c>
      <c r="F231" s="40" t="str">
        <f t="shared" si="15"/>
        <v/>
      </c>
      <c r="G231" s="40" t="str">
        <f>IF(F231="","",'Prosposta Inicial'!$O$2)</f>
        <v/>
      </c>
      <c r="H231" s="40" t="str">
        <f t="shared" si="18"/>
        <v xml:space="preserve"> </v>
      </c>
      <c r="I231" s="41" t="str">
        <f>IFERROR((VLOOKUP(F231,'Planilha de Cadastro - Previsão'!$A$2:$N$1100,2,FALSE()))," ")</f>
        <v xml:space="preserve"> </v>
      </c>
      <c r="J231" s="40" t="str">
        <f>IFERROR((VLOOKUP(F231,'Planilha de Cadastro - Previsão'!$A$2:$N$1100,3,FALSE()))," ")</f>
        <v xml:space="preserve"> </v>
      </c>
      <c r="K231" s="40"/>
      <c r="L231" s="42" t="str">
        <f>IFERROR((VLOOKUP(F231,'Planilha de Cadastro - Previsão'!$A$2:$N$1100,11,FALSE()))," ")</f>
        <v xml:space="preserve"> </v>
      </c>
      <c r="M231" s="41" t="str">
        <f>IFERROR((IF(VLOOKUP(F231,'Planilha de Cadastro - Previsão'!$A$2:$N$1100,10,FALSE())="","",VLOOKUP(F231,'Planilha de Cadastro - Previsão'!$A$2:$N$1100,10,FALSE()))),"")</f>
        <v/>
      </c>
      <c r="N231" s="41"/>
      <c r="O231" s="41"/>
      <c r="P231" s="41" t="str">
        <f>IFERROR((IF(VLOOKUP(F231,'Acompanhamento da Licitação'!$F$2:$O$1000,10,FALSE())="","",VLOOKUP(F231,'Acompanhamento da Licitação'!$F$2:$O$1000,10,FALSE()))),"")</f>
        <v/>
      </c>
      <c r="R231" s="61" t="str">
        <f>IFERROR(IF(F231&gt;0,(Final[[#This Row],[Valor da Venda Real]]-Final[[#This Row],[Valor de Compra Previsto]]-4%*Final[[#This Row],[Valor da Venda Real]])/Final[[#This Row],[Valor da Venda Real]],""),"")</f>
        <v/>
      </c>
      <c r="S231" s="61" t="str">
        <f t="shared" si="17"/>
        <v/>
      </c>
      <c r="T231" s="23" t="str">
        <f>IFERROR((R231*Final[[#This Row],[Valor da Venda Real]]*Final[[#This Row],[Quantidade ]]*S231),"")</f>
        <v/>
      </c>
    </row>
    <row r="232" spans="1:20" ht="15.75" x14ac:dyDescent="0.2">
      <c r="A232">
        <f>COUNTIF($C$2:C232,C232)</f>
        <v>231</v>
      </c>
      <c r="B232" s="1" t="str">
        <f t="shared" si="16"/>
        <v>231</v>
      </c>
      <c r="C232" s="1" t="str">
        <f>IFERROR(VLOOKUP(D232,'Planilha de Cadastro - Previsão'!$A$2:$N$1000,14,FALSE()),"")</f>
        <v/>
      </c>
      <c r="D232" s="1">
        <v>231</v>
      </c>
      <c r="F232" s="40" t="str">
        <f t="shared" si="15"/>
        <v/>
      </c>
      <c r="G232" s="40" t="str">
        <f>IF(F232="","",'Prosposta Inicial'!$O$2)</f>
        <v/>
      </c>
      <c r="H232" s="40" t="str">
        <f t="shared" si="18"/>
        <v xml:space="preserve"> </v>
      </c>
      <c r="I232" s="41" t="str">
        <f>IFERROR((VLOOKUP(F232,'Planilha de Cadastro - Previsão'!$A$2:$N$1100,2,FALSE()))," ")</f>
        <v xml:space="preserve"> </v>
      </c>
      <c r="J232" s="40" t="str">
        <f>IFERROR((VLOOKUP(F232,'Planilha de Cadastro - Previsão'!$A$2:$N$1100,3,FALSE()))," ")</f>
        <v xml:space="preserve"> </v>
      </c>
      <c r="K232" s="40"/>
      <c r="L232" s="42" t="str">
        <f>IFERROR((VLOOKUP(F232,'Planilha de Cadastro - Previsão'!$A$2:$N$1100,11,FALSE()))," ")</f>
        <v xml:space="preserve"> </v>
      </c>
      <c r="M232" s="41" t="str">
        <f>IFERROR((IF(VLOOKUP(F232,'Planilha de Cadastro - Previsão'!$A$2:$N$1100,10,FALSE())="","",VLOOKUP(F232,'Planilha de Cadastro - Previsão'!$A$2:$N$1100,10,FALSE()))),"")</f>
        <v/>
      </c>
      <c r="N232" s="41"/>
      <c r="O232" s="41"/>
      <c r="P232" s="41" t="str">
        <f>IFERROR((IF(VLOOKUP(F232,'Acompanhamento da Licitação'!$F$2:$O$1000,10,FALSE())="","",VLOOKUP(F232,'Acompanhamento da Licitação'!$F$2:$O$1000,10,FALSE()))),"")</f>
        <v/>
      </c>
      <c r="R232" s="61" t="str">
        <f>IFERROR(IF(F232&gt;0,(Final[[#This Row],[Valor da Venda Real]]-Final[[#This Row],[Valor de Compra Previsto]]-4%*Final[[#This Row],[Valor da Venda Real]])/Final[[#This Row],[Valor da Venda Real]],""),"")</f>
        <v/>
      </c>
      <c r="S232" s="61" t="str">
        <f t="shared" si="17"/>
        <v/>
      </c>
      <c r="T232" s="23" t="str">
        <f>IFERROR((R232*Final[[#This Row],[Valor da Venda Real]]*Final[[#This Row],[Quantidade ]]*S232),"")</f>
        <v/>
      </c>
    </row>
    <row r="233" spans="1:20" ht="15.75" x14ac:dyDescent="0.2">
      <c r="A233">
        <f>COUNTIF($C$2:C233,C233)</f>
        <v>232</v>
      </c>
      <c r="B233" s="1" t="str">
        <f t="shared" si="16"/>
        <v>232</v>
      </c>
      <c r="C233" s="1" t="str">
        <f>IFERROR(VLOOKUP(D233,'Planilha de Cadastro - Previsão'!$A$2:$N$1000,14,FALSE()),"")</f>
        <v/>
      </c>
      <c r="D233" s="1">
        <v>232</v>
      </c>
      <c r="F233" s="40" t="str">
        <f t="shared" si="15"/>
        <v/>
      </c>
      <c r="G233" s="40" t="str">
        <f>IF(F233="","",'Prosposta Inicial'!$O$2)</f>
        <v/>
      </c>
      <c r="H233" s="40" t="str">
        <f t="shared" si="18"/>
        <v xml:space="preserve"> </v>
      </c>
      <c r="I233" s="41" t="str">
        <f>IFERROR((VLOOKUP(F233,'Planilha de Cadastro - Previsão'!$A$2:$N$1100,2,FALSE()))," ")</f>
        <v xml:space="preserve"> </v>
      </c>
      <c r="J233" s="40" t="str">
        <f>IFERROR((VLOOKUP(F233,'Planilha de Cadastro - Previsão'!$A$2:$N$1100,3,FALSE()))," ")</f>
        <v xml:space="preserve"> </v>
      </c>
      <c r="K233" s="40"/>
      <c r="L233" s="42" t="str">
        <f>IFERROR((VLOOKUP(F233,'Planilha de Cadastro - Previsão'!$A$2:$N$1100,11,FALSE()))," ")</f>
        <v xml:space="preserve"> </v>
      </c>
      <c r="M233" s="41" t="str">
        <f>IFERROR((IF(VLOOKUP(F233,'Planilha de Cadastro - Previsão'!$A$2:$N$1100,10,FALSE())="","",VLOOKUP(F233,'Planilha de Cadastro - Previsão'!$A$2:$N$1100,10,FALSE()))),"")</f>
        <v/>
      </c>
      <c r="N233" s="41"/>
      <c r="O233" s="41"/>
      <c r="P233" s="41" t="str">
        <f>IFERROR((IF(VLOOKUP(F233,'Acompanhamento da Licitação'!$F$2:$O$1000,10,FALSE())="","",VLOOKUP(F233,'Acompanhamento da Licitação'!$F$2:$O$1000,10,FALSE()))),"")</f>
        <v/>
      </c>
      <c r="R233" s="61" t="str">
        <f>IFERROR(IF(F233&gt;0,(Final[[#This Row],[Valor da Venda Real]]-Final[[#This Row],[Valor de Compra Previsto]]-4%*Final[[#This Row],[Valor da Venda Real]])/Final[[#This Row],[Valor da Venda Real]],""),"")</f>
        <v/>
      </c>
      <c r="S233" s="61" t="str">
        <f t="shared" si="17"/>
        <v/>
      </c>
      <c r="T233" s="23" t="str">
        <f>IFERROR((R233*Final[[#This Row],[Valor da Venda Real]]*Final[[#This Row],[Quantidade ]]*S233),"")</f>
        <v/>
      </c>
    </row>
    <row r="234" spans="1:20" ht="15.75" x14ac:dyDescent="0.2">
      <c r="A234">
        <f>COUNTIF($C$2:C234,C234)</f>
        <v>233</v>
      </c>
      <c r="B234" s="1" t="str">
        <f t="shared" si="16"/>
        <v>233</v>
      </c>
      <c r="C234" s="1" t="str">
        <f>IFERROR(VLOOKUP(D234,'Planilha de Cadastro - Previsão'!$A$2:$N$1000,14,FALSE()),"")</f>
        <v/>
      </c>
      <c r="D234" s="1">
        <v>233</v>
      </c>
      <c r="F234" s="40" t="str">
        <f t="shared" si="15"/>
        <v/>
      </c>
      <c r="G234" s="40" t="str">
        <f>IF(F234="","",'Prosposta Inicial'!$O$2)</f>
        <v/>
      </c>
      <c r="H234" s="40" t="str">
        <f t="shared" si="18"/>
        <v xml:space="preserve"> </v>
      </c>
      <c r="I234" s="41" t="str">
        <f>IFERROR((VLOOKUP(F234,'Planilha de Cadastro - Previsão'!$A$2:$N$1100,2,FALSE()))," ")</f>
        <v xml:space="preserve"> </v>
      </c>
      <c r="J234" s="40" t="str">
        <f>IFERROR((VLOOKUP(F234,'Planilha de Cadastro - Previsão'!$A$2:$N$1100,3,FALSE()))," ")</f>
        <v xml:space="preserve"> </v>
      </c>
      <c r="K234" s="40"/>
      <c r="L234" s="42" t="str">
        <f>IFERROR((VLOOKUP(F234,'Planilha de Cadastro - Previsão'!$A$2:$N$1100,11,FALSE()))," ")</f>
        <v xml:space="preserve"> </v>
      </c>
      <c r="M234" s="41" t="str">
        <f>IFERROR((IF(VLOOKUP(F234,'Planilha de Cadastro - Previsão'!$A$2:$N$1100,10,FALSE())="","",VLOOKUP(F234,'Planilha de Cadastro - Previsão'!$A$2:$N$1100,10,FALSE()))),"")</f>
        <v/>
      </c>
      <c r="N234" s="41"/>
      <c r="O234" s="41"/>
      <c r="P234" s="41" t="str">
        <f>IFERROR((IF(VLOOKUP(F234,'Acompanhamento da Licitação'!$F$2:$O$1000,10,FALSE())="","",VLOOKUP(F234,'Acompanhamento da Licitação'!$F$2:$O$1000,10,FALSE()))),"")</f>
        <v/>
      </c>
      <c r="R234" s="61" t="str">
        <f>IFERROR(IF(F234&gt;0,(Final[[#This Row],[Valor da Venda Real]]-Final[[#This Row],[Valor de Compra Previsto]]-4%*Final[[#This Row],[Valor da Venda Real]])/Final[[#This Row],[Valor da Venda Real]],""),"")</f>
        <v/>
      </c>
      <c r="S234" s="61" t="str">
        <f t="shared" si="17"/>
        <v/>
      </c>
      <c r="T234" s="23" t="str">
        <f>IFERROR((R234*Final[[#This Row],[Valor da Venda Real]]*Final[[#This Row],[Quantidade ]]*S234),"")</f>
        <v/>
      </c>
    </row>
    <row r="235" spans="1:20" ht="15.75" x14ac:dyDescent="0.2">
      <c r="A235">
        <f>COUNTIF($C$2:C235,C235)</f>
        <v>234</v>
      </c>
      <c r="B235" s="1" t="str">
        <f t="shared" si="16"/>
        <v>234</v>
      </c>
      <c r="C235" s="1" t="str">
        <f>IFERROR(VLOOKUP(D235,'Planilha de Cadastro - Previsão'!$A$2:$N$1000,14,FALSE()),"")</f>
        <v/>
      </c>
      <c r="D235" s="1">
        <v>234</v>
      </c>
      <c r="F235" s="40" t="str">
        <f t="shared" si="15"/>
        <v/>
      </c>
      <c r="G235" s="40" t="str">
        <f>IF(F235="","",'Prosposta Inicial'!$O$2)</f>
        <v/>
      </c>
      <c r="H235" s="40" t="str">
        <f t="shared" si="18"/>
        <v xml:space="preserve"> </v>
      </c>
      <c r="I235" s="41" t="str">
        <f>IFERROR((VLOOKUP(F235,'Planilha de Cadastro - Previsão'!$A$2:$N$1100,2,FALSE()))," ")</f>
        <v xml:space="preserve"> </v>
      </c>
      <c r="J235" s="40" t="str">
        <f>IFERROR((VLOOKUP(F235,'Planilha de Cadastro - Previsão'!$A$2:$N$1100,3,FALSE()))," ")</f>
        <v xml:space="preserve"> </v>
      </c>
      <c r="K235" s="40"/>
      <c r="L235" s="42" t="str">
        <f>IFERROR((VLOOKUP(F235,'Planilha de Cadastro - Previsão'!$A$2:$N$1100,11,FALSE()))," ")</f>
        <v xml:space="preserve"> </v>
      </c>
      <c r="M235" s="41" t="str">
        <f>IFERROR((IF(VLOOKUP(F235,'Planilha de Cadastro - Previsão'!$A$2:$N$1100,10,FALSE())="","",VLOOKUP(F235,'Planilha de Cadastro - Previsão'!$A$2:$N$1100,10,FALSE()))),"")</f>
        <v/>
      </c>
      <c r="N235" s="41"/>
      <c r="O235" s="41"/>
      <c r="P235" s="41" t="str">
        <f>IFERROR((IF(VLOOKUP(F235,'Acompanhamento da Licitação'!$F$2:$O$1000,10,FALSE())="","",VLOOKUP(F235,'Acompanhamento da Licitação'!$F$2:$O$1000,10,FALSE()))),"")</f>
        <v/>
      </c>
      <c r="R235" s="61" t="str">
        <f>IFERROR(IF(F235&gt;0,(Final[[#This Row],[Valor da Venda Real]]-Final[[#This Row],[Valor de Compra Previsto]]-4%*Final[[#This Row],[Valor da Venda Real]])/Final[[#This Row],[Valor da Venda Real]],""),"")</f>
        <v/>
      </c>
      <c r="S235" s="61" t="str">
        <f t="shared" si="17"/>
        <v/>
      </c>
      <c r="T235" s="23" t="str">
        <f>IFERROR((R235*Final[[#This Row],[Valor da Venda Real]]*Final[[#This Row],[Quantidade ]]*S235),"")</f>
        <v/>
      </c>
    </row>
    <row r="236" spans="1:20" ht="15.75" x14ac:dyDescent="0.2">
      <c r="A236">
        <f>COUNTIF($C$2:C236,C236)</f>
        <v>235</v>
      </c>
      <c r="B236" s="1" t="str">
        <f t="shared" si="16"/>
        <v>235</v>
      </c>
      <c r="C236" s="1" t="str">
        <f>IFERROR(VLOOKUP(D236,'Planilha de Cadastro - Previsão'!$A$2:$N$1000,14,FALSE()),"")</f>
        <v/>
      </c>
      <c r="D236" s="1">
        <v>235</v>
      </c>
      <c r="F236" s="40" t="str">
        <f t="shared" si="15"/>
        <v/>
      </c>
      <c r="G236" s="40" t="str">
        <f>IF(F236="","",'Prosposta Inicial'!$O$2)</f>
        <v/>
      </c>
      <c r="H236" s="40" t="str">
        <f t="shared" si="18"/>
        <v xml:space="preserve"> </v>
      </c>
      <c r="I236" s="41" t="str">
        <f>IFERROR((VLOOKUP(F236,'Planilha de Cadastro - Previsão'!$A$2:$N$1100,2,FALSE()))," ")</f>
        <v xml:space="preserve"> </v>
      </c>
      <c r="J236" s="40" t="str">
        <f>IFERROR((VLOOKUP(F236,'Planilha de Cadastro - Previsão'!$A$2:$N$1100,3,FALSE()))," ")</f>
        <v xml:space="preserve"> </v>
      </c>
      <c r="K236" s="40"/>
      <c r="L236" s="42" t="str">
        <f>IFERROR((VLOOKUP(F236,'Planilha de Cadastro - Previsão'!$A$2:$N$1100,11,FALSE()))," ")</f>
        <v xml:space="preserve"> </v>
      </c>
      <c r="M236" s="41" t="str">
        <f>IFERROR((IF(VLOOKUP(F236,'Planilha de Cadastro - Previsão'!$A$2:$N$1100,10,FALSE())="","",VLOOKUP(F236,'Planilha de Cadastro - Previsão'!$A$2:$N$1100,10,FALSE()))),"")</f>
        <v/>
      </c>
      <c r="N236" s="41"/>
      <c r="O236" s="41"/>
      <c r="P236" s="41" t="str">
        <f>IFERROR((IF(VLOOKUP(F236,'Acompanhamento da Licitação'!$F$2:$O$1000,10,FALSE())="","",VLOOKUP(F236,'Acompanhamento da Licitação'!$F$2:$O$1000,10,FALSE()))),"")</f>
        <v/>
      </c>
      <c r="R236" s="61" t="str">
        <f>IFERROR(IF(F236&gt;0,(Final[[#This Row],[Valor da Venda Real]]-Final[[#This Row],[Valor de Compra Previsto]]-4%*Final[[#This Row],[Valor da Venda Real]])/Final[[#This Row],[Valor da Venda Real]],""),"")</f>
        <v/>
      </c>
      <c r="S236" s="61" t="str">
        <f t="shared" si="17"/>
        <v/>
      </c>
      <c r="T236" s="23" t="str">
        <f>IFERROR((R236*Final[[#This Row],[Valor da Venda Real]]*Final[[#This Row],[Quantidade ]]*S236),"")</f>
        <v/>
      </c>
    </row>
    <row r="237" spans="1:20" ht="15.75" x14ac:dyDescent="0.2">
      <c r="A237">
        <f>COUNTIF($C$2:C237,C237)</f>
        <v>236</v>
      </c>
      <c r="B237" s="1" t="str">
        <f t="shared" si="16"/>
        <v>236</v>
      </c>
      <c r="C237" s="1" t="str">
        <f>IFERROR(VLOOKUP(D237,'Planilha de Cadastro - Previsão'!$A$2:$N$1000,14,FALSE()),"")</f>
        <v/>
      </c>
      <c r="D237" s="1">
        <v>236</v>
      </c>
      <c r="F237" s="40" t="str">
        <f t="shared" si="15"/>
        <v/>
      </c>
      <c r="G237" s="40" t="str">
        <f>IF(F237="","",'Prosposta Inicial'!$O$2)</f>
        <v/>
      </c>
      <c r="H237" s="40" t="str">
        <f t="shared" si="18"/>
        <v xml:space="preserve"> </v>
      </c>
      <c r="I237" s="41" t="str">
        <f>IFERROR((VLOOKUP(F237,'Planilha de Cadastro - Previsão'!$A$2:$N$1100,2,FALSE()))," ")</f>
        <v xml:space="preserve"> </v>
      </c>
      <c r="J237" s="40" t="str">
        <f>IFERROR((VLOOKUP(F237,'Planilha de Cadastro - Previsão'!$A$2:$N$1100,3,FALSE()))," ")</f>
        <v xml:space="preserve"> </v>
      </c>
      <c r="K237" s="40"/>
      <c r="L237" s="42" t="str">
        <f>IFERROR((VLOOKUP(F237,'Planilha de Cadastro - Previsão'!$A$2:$N$1100,11,FALSE()))," ")</f>
        <v xml:space="preserve"> </v>
      </c>
      <c r="M237" s="41" t="str">
        <f>IFERROR((IF(VLOOKUP(F237,'Planilha de Cadastro - Previsão'!$A$2:$N$1100,10,FALSE())="","",VLOOKUP(F237,'Planilha de Cadastro - Previsão'!$A$2:$N$1100,10,FALSE()))),"")</f>
        <v/>
      </c>
      <c r="N237" s="41"/>
      <c r="O237" s="41"/>
      <c r="P237" s="41" t="str">
        <f>IFERROR((IF(VLOOKUP(F237,'Acompanhamento da Licitação'!$F$2:$O$1000,10,FALSE())="","",VLOOKUP(F237,'Acompanhamento da Licitação'!$F$2:$O$1000,10,FALSE()))),"")</f>
        <v/>
      </c>
      <c r="R237" s="61" t="str">
        <f>IFERROR(IF(F237&gt;0,(Final[[#This Row],[Valor da Venda Real]]-Final[[#This Row],[Valor de Compra Previsto]]-4%*Final[[#This Row],[Valor da Venda Real]])/Final[[#This Row],[Valor da Venda Real]],""),"")</f>
        <v/>
      </c>
      <c r="S237" s="61" t="str">
        <f t="shared" si="17"/>
        <v/>
      </c>
      <c r="T237" s="23" t="str">
        <f>IFERROR((R237*Final[[#This Row],[Valor da Venda Real]]*Final[[#This Row],[Quantidade ]]*S237),"")</f>
        <v/>
      </c>
    </row>
    <row r="238" spans="1:20" ht="15.75" x14ac:dyDescent="0.2">
      <c r="A238">
        <f>COUNTIF($C$2:C238,C238)</f>
        <v>237</v>
      </c>
      <c r="B238" s="1" t="str">
        <f t="shared" si="16"/>
        <v>237</v>
      </c>
      <c r="C238" s="1" t="str">
        <f>IFERROR(VLOOKUP(D238,'Planilha de Cadastro - Previsão'!$A$2:$N$1000,14,FALSE()),"")</f>
        <v/>
      </c>
      <c r="D238" s="1">
        <v>237</v>
      </c>
      <c r="F238" s="40" t="str">
        <f t="shared" si="15"/>
        <v/>
      </c>
      <c r="G238" s="40" t="str">
        <f>IF(F238="","",'Prosposta Inicial'!$O$2)</f>
        <v/>
      </c>
      <c r="H238" s="40" t="str">
        <f t="shared" si="18"/>
        <v xml:space="preserve"> </v>
      </c>
      <c r="I238" s="41" t="str">
        <f>IFERROR((VLOOKUP(F238,'Planilha de Cadastro - Previsão'!$A$2:$N$1100,2,FALSE()))," ")</f>
        <v xml:space="preserve"> </v>
      </c>
      <c r="J238" s="40" t="str">
        <f>IFERROR((VLOOKUP(F238,'Planilha de Cadastro - Previsão'!$A$2:$N$1100,3,FALSE()))," ")</f>
        <v xml:space="preserve"> </v>
      </c>
      <c r="K238" s="40"/>
      <c r="L238" s="42" t="str">
        <f>IFERROR((VLOOKUP(F238,'Planilha de Cadastro - Previsão'!$A$2:$N$1100,11,FALSE()))," ")</f>
        <v xml:space="preserve"> </v>
      </c>
      <c r="M238" s="41" t="str">
        <f>IFERROR((IF(VLOOKUP(F238,'Planilha de Cadastro - Previsão'!$A$2:$N$1100,10,FALSE())="","",VLOOKUP(F238,'Planilha de Cadastro - Previsão'!$A$2:$N$1100,10,FALSE()))),"")</f>
        <v/>
      </c>
      <c r="N238" s="41"/>
      <c r="O238" s="41"/>
      <c r="P238" s="41" t="str">
        <f>IFERROR((IF(VLOOKUP(F238,'Acompanhamento da Licitação'!$F$2:$O$1000,10,FALSE())="","",VLOOKUP(F238,'Acompanhamento da Licitação'!$F$2:$O$1000,10,FALSE()))),"")</f>
        <v/>
      </c>
      <c r="R238" s="61" t="str">
        <f>IFERROR(IF(F238&gt;0,(Final[[#This Row],[Valor da Venda Real]]-Final[[#This Row],[Valor de Compra Previsto]]-4%*Final[[#This Row],[Valor da Venda Real]])/Final[[#This Row],[Valor da Venda Real]],""),"")</f>
        <v/>
      </c>
      <c r="S238" s="61" t="str">
        <f t="shared" si="17"/>
        <v/>
      </c>
      <c r="T238" s="23" t="str">
        <f>IFERROR((R238*Final[[#This Row],[Valor da Venda Real]]*Final[[#This Row],[Quantidade ]]*S238),"")</f>
        <v/>
      </c>
    </row>
    <row r="239" spans="1:20" ht="15.75" x14ac:dyDescent="0.2">
      <c r="A239">
        <f>COUNTIF($C$2:C239,C239)</f>
        <v>238</v>
      </c>
      <c r="B239" s="1" t="str">
        <f t="shared" si="16"/>
        <v>238</v>
      </c>
      <c r="C239" s="1" t="str">
        <f>IFERROR(VLOOKUP(D239,'Planilha de Cadastro - Previsão'!$A$2:$N$1000,14,FALSE()),"")</f>
        <v/>
      </c>
      <c r="D239" s="1">
        <v>238</v>
      </c>
      <c r="F239" s="40" t="str">
        <f t="shared" si="15"/>
        <v/>
      </c>
      <c r="G239" s="40" t="str">
        <f>IF(F239="","",'Prosposta Inicial'!$O$2)</f>
        <v/>
      </c>
      <c r="H239" s="40" t="str">
        <f t="shared" si="18"/>
        <v xml:space="preserve"> </v>
      </c>
      <c r="I239" s="41" t="str">
        <f>IFERROR((VLOOKUP(F239,'Planilha de Cadastro - Previsão'!$A$2:$N$1100,2,FALSE()))," ")</f>
        <v xml:space="preserve"> </v>
      </c>
      <c r="J239" s="40" t="str">
        <f>IFERROR((VLOOKUP(F239,'Planilha de Cadastro - Previsão'!$A$2:$N$1100,3,FALSE()))," ")</f>
        <v xml:space="preserve"> </v>
      </c>
      <c r="K239" s="40"/>
      <c r="L239" s="42" t="str">
        <f>IFERROR((VLOOKUP(F239,'Planilha de Cadastro - Previsão'!$A$2:$N$1100,11,FALSE()))," ")</f>
        <v xml:space="preserve"> </v>
      </c>
      <c r="M239" s="41" t="str">
        <f>IFERROR((IF(VLOOKUP(F239,'Planilha de Cadastro - Previsão'!$A$2:$N$1100,10,FALSE())="","",VLOOKUP(F239,'Planilha de Cadastro - Previsão'!$A$2:$N$1100,10,FALSE()))),"")</f>
        <v/>
      </c>
      <c r="N239" s="41"/>
      <c r="O239" s="41"/>
      <c r="P239" s="41" t="str">
        <f>IFERROR((IF(VLOOKUP(F239,'Acompanhamento da Licitação'!$F$2:$O$1000,10,FALSE())="","",VLOOKUP(F239,'Acompanhamento da Licitação'!$F$2:$O$1000,10,FALSE()))),"")</f>
        <v/>
      </c>
      <c r="R239" s="61" t="str">
        <f>IFERROR(IF(F239&gt;0,(Final[[#This Row],[Valor da Venda Real]]-Final[[#This Row],[Valor de Compra Previsto]]-4%*Final[[#This Row],[Valor da Venda Real]])/Final[[#This Row],[Valor da Venda Real]],""),"")</f>
        <v/>
      </c>
      <c r="S239" s="61" t="str">
        <f t="shared" si="17"/>
        <v/>
      </c>
      <c r="T239" s="23" t="str">
        <f>IFERROR((R239*Final[[#This Row],[Valor da Venda Real]]*Final[[#This Row],[Quantidade ]]*S239),"")</f>
        <v/>
      </c>
    </row>
    <row r="240" spans="1:20" ht="15.75" x14ac:dyDescent="0.2">
      <c r="A240">
        <f>COUNTIF($C$2:C240,C240)</f>
        <v>239</v>
      </c>
      <c r="B240" s="1" t="str">
        <f t="shared" si="16"/>
        <v>239</v>
      </c>
      <c r="C240" s="1" t="str">
        <f>IFERROR(VLOOKUP(D240,'Planilha de Cadastro - Previsão'!$A$2:$N$1000,14,FALSE()),"")</f>
        <v/>
      </c>
      <c r="D240" s="1">
        <v>239</v>
      </c>
      <c r="F240" s="40" t="str">
        <f t="shared" si="15"/>
        <v/>
      </c>
      <c r="G240" s="40" t="str">
        <f>IF(F240="","",'Prosposta Inicial'!$O$2)</f>
        <v/>
      </c>
      <c r="H240" s="40" t="str">
        <f t="shared" si="18"/>
        <v xml:space="preserve"> </v>
      </c>
      <c r="I240" s="41" t="str">
        <f>IFERROR((VLOOKUP(F240,'Planilha de Cadastro - Previsão'!$A$2:$N$1100,2,FALSE()))," ")</f>
        <v xml:space="preserve"> </v>
      </c>
      <c r="J240" s="40" t="str">
        <f>IFERROR((VLOOKUP(F240,'Planilha de Cadastro - Previsão'!$A$2:$N$1100,3,FALSE()))," ")</f>
        <v xml:space="preserve"> </v>
      </c>
      <c r="K240" s="40"/>
      <c r="L240" s="42" t="str">
        <f>IFERROR((VLOOKUP(F240,'Planilha de Cadastro - Previsão'!$A$2:$N$1100,11,FALSE()))," ")</f>
        <v xml:space="preserve"> </v>
      </c>
      <c r="M240" s="41" t="str">
        <f>IFERROR((IF(VLOOKUP(F240,'Planilha de Cadastro - Previsão'!$A$2:$N$1100,10,FALSE())="","",VLOOKUP(F240,'Planilha de Cadastro - Previsão'!$A$2:$N$1100,10,FALSE()))),"")</f>
        <v/>
      </c>
      <c r="N240" s="41"/>
      <c r="O240" s="41"/>
      <c r="P240" s="41" t="str">
        <f>IFERROR((IF(VLOOKUP(F240,'Acompanhamento da Licitação'!$F$2:$O$1000,10,FALSE())="","",VLOOKUP(F240,'Acompanhamento da Licitação'!$F$2:$O$1000,10,FALSE()))),"")</f>
        <v/>
      </c>
      <c r="R240" s="61" t="str">
        <f>IFERROR(IF(F240&gt;0,(Final[[#This Row],[Valor da Venda Real]]-Final[[#This Row],[Valor de Compra Previsto]]-4%*Final[[#This Row],[Valor da Venda Real]])/Final[[#This Row],[Valor da Venda Real]],""),"")</f>
        <v/>
      </c>
      <c r="S240" s="61" t="str">
        <f t="shared" si="17"/>
        <v/>
      </c>
      <c r="T240" s="23" t="str">
        <f>IFERROR((R240*Final[[#This Row],[Valor da Venda Real]]*Final[[#This Row],[Quantidade ]]*S240),"")</f>
        <v/>
      </c>
    </row>
    <row r="241" spans="1:20" ht="15.75" x14ac:dyDescent="0.2">
      <c r="A241">
        <f>COUNTIF($C$2:C241,C241)</f>
        <v>240</v>
      </c>
      <c r="B241" s="1" t="str">
        <f t="shared" si="16"/>
        <v>240</v>
      </c>
      <c r="C241" s="1" t="str">
        <f>IFERROR(VLOOKUP(D241,'Planilha de Cadastro - Previsão'!$A$2:$N$1000,14,FALSE()),"")</f>
        <v/>
      </c>
      <c r="D241" s="1">
        <v>240</v>
      </c>
      <c r="F241" s="40" t="str">
        <f t="shared" si="15"/>
        <v/>
      </c>
      <c r="G241" s="40" t="str">
        <f>IF(F241="","",'Prosposta Inicial'!$O$2)</f>
        <v/>
      </c>
      <c r="H241" s="40" t="str">
        <f t="shared" si="18"/>
        <v xml:space="preserve"> </v>
      </c>
      <c r="I241" s="41" t="str">
        <f>IFERROR((VLOOKUP(F241,'Planilha de Cadastro - Previsão'!$A$2:$N$1100,2,FALSE()))," ")</f>
        <v xml:space="preserve"> </v>
      </c>
      <c r="J241" s="40" t="str">
        <f>IFERROR((VLOOKUP(F241,'Planilha de Cadastro - Previsão'!$A$2:$N$1100,3,FALSE()))," ")</f>
        <v xml:space="preserve"> </v>
      </c>
      <c r="K241" s="40"/>
      <c r="L241" s="42" t="str">
        <f>IFERROR((VLOOKUP(F241,'Planilha de Cadastro - Previsão'!$A$2:$N$1100,11,FALSE()))," ")</f>
        <v xml:space="preserve"> </v>
      </c>
      <c r="M241" s="41" t="str">
        <f>IFERROR((IF(VLOOKUP(F241,'Planilha de Cadastro - Previsão'!$A$2:$N$1100,10,FALSE())="","",VLOOKUP(F241,'Planilha de Cadastro - Previsão'!$A$2:$N$1100,10,FALSE()))),"")</f>
        <v/>
      </c>
      <c r="N241" s="41"/>
      <c r="O241" s="41"/>
      <c r="P241" s="41" t="str">
        <f>IFERROR((IF(VLOOKUP(F241,'Acompanhamento da Licitação'!$F$2:$O$1000,10,FALSE())="","",VLOOKUP(F241,'Acompanhamento da Licitação'!$F$2:$O$1000,10,FALSE()))),"")</f>
        <v/>
      </c>
      <c r="R241" s="61" t="str">
        <f>IFERROR(IF(F241&gt;0,(Final[[#This Row],[Valor da Venda Real]]-Final[[#This Row],[Valor de Compra Previsto]]-4%*Final[[#This Row],[Valor da Venda Real]])/Final[[#This Row],[Valor da Venda Real]],""),"")</f>
        <v/>
      </c>
      <c r="S241" s="61" t="str">
        <f t="shared" si="17"/>
        <v/>
      </c>
      <c r="T241" s="23" t="str">
        <f>IFERROR((R241*Final[[#This Row],[Valor da Venda Real]]*Final[[#This Row],[Quantidade ]]*S241),"")</f>
        <v/>
      </c>
    </row>
    <row r="242" spans="1:20" ht="15.75" x14ac:dyDescent="0.2">
      <c r="A242">
        <f>COUNTIF($C$2:C242,C242)</f>
        <v>241</v>
      </c>
      <c r="B242" s="1" t="str">
        <f t="shared" si="16"/>
        <v>241</v>
      </c>
      <c r="C242" s="1" t="str">
        <f>IFERROR(VLOOKUP(D242,'Planilha de Cadastro - Previsão'!$A$2:$N$1000,14,FALSE()),"")</f>
        <v/>
      </c>
      <c r="D242" s="1">
        <v>241</v>
      </c>
      <c r="F242" s="40" t="str">
        <f t="shared" si="15"/>
        <v/>
      </c>
      <c r="G242" s="40" t="str">
        <f>IF(F242="","",'Prosposta Inicial'!$O$2)</f>
        <v/>
      </c>
      <c r="H242" s="40" t="str">
        <f t="shared" si="18"/>
        <v xml:space="preserve"> </v>
      </c>
      <c r="I242" s="41" t="str">
        <f>IFERROR((VLOOKUP(F242,'Planilha de Cadastro - Previsão'!$A$2:$N$1100,2,FALSE()))," ")</f>
        <v xml:space="preserve"> </v>
      </c>
      <c r="J242" s="40" t="str">
        <f>IFERROR((VLOOKUP(F242,'Planilha de Cadastro - Previsão'!$A$2:$N$1100,3,FALSE()))," ")</f>
        <v xml:space="preserve"> </v>
      </c>
      <c r="K242" s="40"/>
      <c r="L242" s="42" t="str">
        <f>IFERROR((VLOOKUP(F242,'Planilha de Cadastro - Previsão'!$A$2:$N$1100,11,FALSE()))," ")</f>
        <v xml:space="preserve"> </v>
      </c>
      <c r="M242" s="41" t="str">
        <f>IFERROR((IF(VLOOKUP(F242,'Planilha de Cadastro - Previsão'!$A$2:$N$1100,10,FALSE())="","",VLOOKUP(F242,'Planilha de Cadastro - Previsão'!$A$2:$N$1100,10,FALSE()))),"")</f>
        <v/>
      </c>
      <c r="N242" s="41"/>
      <c r="O242" s="41"/>
      <c r="P242" s="41" t="str">
        <f>IFERROR((IF(VLOOKUP(F242,'Acompanhamento da Licitação'!$F$2:$O$1000,10,FALSE())="","",VLOOKUP(F242,'Acompanhamento da Licitação'!$F$2:$O$1000,10,FALSE()))),"")</f>
        <v/>
      </c>
      <c r="R242" s="61" t="str">
        <f>IFERROR(IF(F242&gt;0,(Final[[#This Row],[Valor da Venda Real]]-Final[[#This Row],[Valor de Compra Previsto]]-4%*Final[[#This Row],[Valor da Venda Real]])/Final[[#This Row],[Valor da Venda Real]],""),"")</f>
        <v/>
      </c>
      <c r="S242" s="61" t="str">
        <f t="shared" si="17"/>
        <v/>
      </c>
      <c r="T242" s="23" t="str">
        <f>IFERROR((R242*Final[[#This Row],[Valor da Venda Real]]*Final[[#This Row],[Quantidade ]]*S242),"")</f>
        <v/>
      </c>
    </row>
    <row r="243" spans="1:20" ht="15.75" x14ac:dyDescent="0.2">
      <c r="A243">
        <f>COUNTIF($C$2:C243,C243)</f>
        <v>242</v>
      </c>
      <c r="B243" s="1" t="str">
        <f t="shared" si="16"/>
        <v>242</v>
      </c>
      <c r="C243" s="1" t="str">
        <f>IFERROR(VLOOKUP(D243,'Planilha de Cadastro - Previsão'!$A$2:$N$1000,14,FALSE()),"")</f>
        <v/>
      </c>
      <c r="D243" s="1">
        <v>242</v>
      </c>
      <c r="F243" s="40" t="str">
        <f t="shared" si="15"/>
        <v/>
      </c>
      <c r="G243" s="40" t="str">
        <f>IF(F243="","",'Prosposta Inicial'!$O$2)</f>
        <v/>
      </c>
      <c r="H243" s="40" t="str">
        <f t="shared" si="18"/>
        <v xml:space="preserve"> </v>
      </c>
      <c r="I243" s="41" t="str">
        <f>IFERROR((VLOOKUP(F243,'Planilha de Cadastro - Previsão'!$A$2:$N$1100,2,FALSE()))," ")</f>
        <v xml:space="preserve"> </v>
      </c>
      <c r="J243" s="40" t="str">
        <f>IFERROR((VLOOKUP(F243,'Planilha de Cadastro - Previsão'!$A$2:$N$1100,3,FALSE()))," ")</f>
        <v xml:space="preserve"> </v>
      </c>
      <c r="K243" s="40"/>
      <c r="L243" s="42" t="str">
        <f>IFERROR((VLOOKUP(F243,'Planilha de Cadastro - Previsão'!$A$2:$N$1100,11,FALSE()))," ")</f>
        <v xml:space="preserve"> </v>
      </c>
      <c r="M243" s="41" t="str">
        <f>IFERROR((IF(VLOOKUP(F243,'Planilha de Cadastro - Previsão'!$A$2:$N$1100,10,FALSE())="","",VLOOKUP(F243,'Planilha de Cadastro - Previsão'!$A$2:$N$1100,10,FALSE()))),"")</f>
        <v/>
      </c>
      <c r="N243" s="41"/>
      <c r="O243" s="41"/>
      <c r="P243" s="41" t="str">
        <f>IFERROR((IF(VLOOKUP(F243,'Acompanhamento da Licitação'!$F$2:$O$1000,10,FALSE())="","",VLOOKUP(F243,'Acompanhamento da Licitação'!$F$2:$O$1000,10,FALSE()))),"")</f>
        <v/>
      </c>
      <c r="R243" s="61" t="str">
        <f>IFERROR(IF(F243&gt;0,(Final[[#This Row],[Valor da Venda Real]]-Final[[#This Row],[Valor de Compra Previsto]]-4%*Final[[#This Row],[Valor da Venda Real]])/Final[[#This Row],[Valor da Venda Real]],""),"")</f>
        <v/>
      </c>
      <c r="S243" s="61" t="str">
        <f t="shared" si="17"/>
        <v/>
      </c>
      <c r="T243" s="23" t="str">
        <f>IFERROR((R243*Final[[#This Row],[Valor da Venda Real]]*Final[[#This Row],[Quantidade ]]*S243),"")</f>
        <v/>
      </c>
    </row>
    <row r="244" spans="1:20" ht="15.75" x14ac:dyDescent="0.2">
      <c r="A244">
        <f>COUNTIF($C$2:C244,C244)</f>
        <v>243</v>
      </c>
      <c r="B244" s="1" t="str">
        <f t="shared" si="16"/>
        <v>243</v>
      </c>
      <c r="C244" s="1" t="str">
        <f>IFERROR(VLOOKUP(D244,'Planilha de Cadastro - Previsão'!$A$2:$N$1000,14,FALSE()),"")</f>
        <v/>
      </c>
      <c r="D244" s="1">
        <v>243</v>
      </c>
      <c r="F244" s="40" t="str">
        <f t="shared" si="15"/>
        <v/>
      </c>
      <c r="G244" s="40" t="str">
        <f>IF(F244="","",'Prosposta Inicial'!$O$2)</f>
        <v/>
      </c>
      <c r="H244" s="40" t="str">
        <f t="shared" si="18"/>
        <v xml:space="preserve"> </v>
      </c>
      <c r="I244" s="41" t="str">
        <f>IFERROR((VLOOKUP(F244,'Planilha de Cadastro - Previsão'!$A$2:$N$1100,2,FALSE()))," ")</f>
        <v xml:space="preserve"> </v>
      </c>
      <c r="J244" s="40" t="str">
        <f>IFERROR((VLOOKUP(F244,'Planilha de Cadastro - Previsão'!$A$2:$N$1100,3,FALSE()))," ")</f>
        <v xml:space="preserve"> </v>
      </c>
      <c r="K244" s="40"/>
      <c r="L244" s="42" t="str">
        <f>IFERROR((VLOOKUP(F244,'Planilha de Cadastro - Previsão'!$A$2:$N$1100,11,FALSE()))," ")</f>
        <v xml:space="preserve"> </v>
      </c>
      <c r="M244" s="41" t="str">
        <f>IFERROR((IF(VLOOKUP(F244,'Planilha de Cadastro - Previsão'!$A$2:$N$1100,10,FALSE())="","",VLOOKUP(F244,'Planilha de Cadastro - Previsão'!$A$2:$N$1100,10,FALSE()))),"")</f>
        <v/>
      </c>
      <c r="N244" s="41"/>
      <c r="O244" s="41"/>
      <c r="P244" s="41" t="str">
        <f>IFERROR((IF(VLOOKUP(F244,'Acompanhamento da Licitação'!$F$2:$O$1000,10,FALSE())="","",VLOOKUP(F244,'Acompanhamento da Licitação'!$F$2:$O$1000,10,FALSE()))),"")</f>
        <v/>
      </c>
      <c r="R244" s="61" t="str">
        <f>IFERROR(IF(F244&gt;0,(Final[[#This Row],[Valor da Venda Real]]-Final[[#This Row],[Valor de Compra Previsto]]-4%*Final[[#This Row],[Valor da Venda Real]])/Final[[#This Row],[Valor da Venda Real]],""),"")</f>
        <v/>
      </c>
      <c r="S244" s="61" t="str">
        <f t="shared" si="17"/>
        <v/>
      </c>
      <c r="T244" s="23" t="str">
        <f>IFERROR((R244*Final[[#This Row],[Valor da Venda Real]]*Final[[#This Row],[Quantidade ]]*S244),"")</f>
        <v/>
      </c>
    </row>
    <row r="245" spans="1:20" ht="15.75" x14ac:dyDescent="0.2">
      <c r="A245">
        <f>COUNTIF($C$2:C245,C245)</f>
        <v>244</v>
      </c>
      <c r="B245" s="1" t="str">
        <f t="shared" si="16"/>
        <v>244</v>
      </c>
      <c r="C245" s="1" t="str">
        <f>IFERROR(VLOOKUP(D245,'Planilha de Cadastro - Previsão'!$A$2:$N$1000,14,FALSE()),"")</f>
        <v/>
      </c>
      <c r="D245" s="1">
        <v>244</v>
      </c>
      <c r="F245" s="40" t="str">
        <f t="shared" si="15"/>
        <v/>
      </c>
      <c r="G245" s="40" t="str">
        <f>IF(F245="","",'Prosposta Inicial'!$O$2)</f>
        <v/>
      </c>
      <c r="H245" s="40" t="str">
        <f t="shared" si="18"/>
        <v xml:space="preserve"> </v>
      </c>
      <c r="I245" s="41" t="str">
        <f>IFERROR((VLOOKUP(F245,'Planilha de Cadastro - Previsão'!$A$2:$N$1100,2,FALSE()))," ")</f>
        <v xml:space="preserve"> </v>
      </c>
      <c r="J245" s="40" t="str">
        <f>IFERROR((VLOOKUP(F245,'Planilha de Cadastro - Previsão'!$A$2:$N$1100,3,FALSE()))," ")</f>
        <v xml:space="preserve"> </v>
      </c>
      <c r="K245" s="40"/>
      <c r="L245" s="42" t="str">
        <f>IFERROR((VLOOKUP(F245,'Planilha de Cadastro - Previsão'!$A$2:$N$1100,11,FALSE()))," ")</f>
        <v xml:space="preserve"> </v>
      </c>
      <c r="M245" s="41" t="str">
        <f>IFERROR((IF(VLOOKUP(F245,'Planilha de Cadastro - Previsão'!$A$2:$N$1100,10,FALSE())="","",VLOOKUP(F245,'Planilha de Cadastro - Previsão'!$A$2:$N$1100,10,FALSE()))),"")</f>
        <v/>
      </c>
      <c r="N245" s="41"/>
      <c r="O245" s="41"/>
      <c r="P245" s="41" t="str">
        <f>IFERROR((IF(VLOOKUP(F245,'Acompanhamento da Licitação'!$F$2:$O$1000,10,FALSE())="","",VLOOKUP(F245,'Acompanhamento da Licitação'!$F$2:$O$1000,10,FALSE()))),"")</f>
        <v/>
      </c>
      <c r="R245" s="61" t="str">
        <f>IFERROR(IF(F245&gt;0,(Final[[#This Row],[Valor da Venda Real]]-Final[[#This Row],[Valor de Compra Previsto]]-4%*Final[[#This Row],[Valor da Venda Real]])/Final[[#This Row],[Valor da Venda Real]],""),"")</f>
        <v/>
      </c>
      <c r="S245" s="61" t="str">
        <f t="shared" si="17"/>
        <v/>
      </c>
      <c r="T245" s="23" t="str">
        <f>IFERROR((R245*Final[[#This Row],[Valor da Venda Real]]*Final[[#This Row],[Quantidade ]]*S245),"")</f>
        <v/>
      </c>
    </row>
    <row r="246" spans="1:20" ht="15.75" x14ac:dyDescent="0.2">
      <c r="A246">
        <f>COUNTIF($C$2:C246,C246)</f>
        <v>245</v>
      </c>
      <c r="B246" s="1" t="str">
        <f t="shared" si="16"/>
        <v>245</v>
      </c>
      <c r="C246" s="1" t="str">
        <f>IFERROR(VLOOKUP(D246,'Planilha de Cadastro - Previsão'!$A$2:$N$1000,14,FALSE()),"")</f>
        <v/>
      </c>
      <c r="D246" s="1">
        <v>245</v>
      </c>
      <c r="F246" s="40" t="str">
        <f t="shared" si="15"/>
        <v/>
      </c>
      <c r="G246" s="40" t="str">
        <f>IF(F246="","",'Prosposta Inicial'!$O$2)</f>
        <v/>
      </c>
      <c r="H246" s="40" t="str">
        <f t="shared" si="18"/>
        <v xml:space="preserve"> </v>
      </c>
      <c r="I246" s="41" t="str">
        <f>IFERROR((VLOOKUP(F246,'Planilha de Cadastro - Previsão'!$A$2:$N$1100,2,FALSE()))," ")</f>
        <v xml:space="preserve"> </v>
      </c>
      <c r="J246" s="40" t="str">
        <f>IFERROR((VLOOKUP(F246,'Planilha de Cadastro - Previsão'!$A$2:$N$1100,3,FALSE()))," ")</f>
        <v xml:space="preserve"> </v>
      </c>
      <c r="K246" s="40"/>
      <c r="L246" s="42" t="str">
        <f>IFERROR((VLOOKUP(F246,'Planilha de Cadastro - Previsão'!$A$2:$N$1100,11,FALSE()))," ")</f>
        <v xml:space="preserve"> </v>
      </c>
      <c r="M246" s="41" t="str">
        <f>IFERROR((IF(VLOOKUP(F246,'Planilha de Cadastro - Previsão'!$A$2:$N$1100,10,FALSE())="","",VLOOKUP(F246,'Planilha de Cadastro - Previsão'!$A$2:$N$1100,10,FALSE()))),"")</f>
        <v/>
      </c>
      <c r="N246" s="41"/>
      <c r="O246" s="41"/>
      <c r="P246" s="41" t="str">
        <f>IFERROR((IF(VLOOKUP(F246,'Acompanhamento da Licitação'!$F$2:$O$1000,10,FALSE())="","",VLOOKUP(F246,'Acompanhamento da Licitação'!$F$2:$O$1000,10,FALSE()))),"")</f>
        <v/>
      </c>
      <c r="R246" s="61" t="str">
        <f>IFERROR(IF(F246&gt;0,(Final[[#This Row],[Valor da Venda Real]]-Final[[#This Row],[Valor de Compra Previsto]]-4%*Final[[#This Row],[Valor da Venda Real]])/Final[[#This Row],[Valor da Venda Real]],""),"")</f>
        <v/>
      </c>
      <c r="S246" s="61" t="str">
        <f t="shared" si="17"/>
        <v/>
      </c>
      <c r="T246" s="23" t="str">
        <f>IFERROR((R246*Final[[#This Row],[Valor da Venda Real]]*Final[[#This Row],[Quantidade ]]*S246),"")</f>
        <v/>
      </c>
    </row>
    <row r="247" spans="1:20" ht="15.75" x14ac:dyDescent="0.2">
      <c r="A247">
        <f>COUNTIF($C$2:C247,C247)</f>
        <v>246</v>
      </c>
      <c r="B247" s="1" t="str">
        <f t="shared" si="16"/>
        <v>246</v>
      </c>
      <c r="C247" s="1" t="str">
        <f>IFERROR(VLOOKUP(D247,'Planilha de Cadastro - Previsão'!$A$2:$N$1000,14,FALSE()),"")</f>
        <v/>
      </c>
      <c r="D247" s="1">
        <v>246</v>
      </c>
      <c r="F247" s="40" t="str">
        <f t="shared" si="15"/>
        <v/>
      </c>
      <c r="G247" s="40" t="str">
        <f>IF(F247="","",'Prosposta Inicial'!$O$2)</f>
        <v/>
      </c>
      <c r="H247" s="40" t="str">
        <f t="shared" si="18"/>
        <v xml:space="preserve"> </v>
      </c>
      <c r="I247" s="41" t="str">
        <f>IFERROR((VLOOKUP(F247,'Planilha de Cadastro - Previsão'!$A$2:$N$1100,2,FALSE()))," ")</f>
        <v xml:space="preserve"> </v>
      </c>
      <c r="J247" s="40" t="str">
        <f>IFERROR((VLOOKUP(F247,'Planilha de Cadastro - Previsão'!$A$2:$N$1100,3,FALSE()))," ")</f>
        <v xml:space="preserve"> </v>
      </c>
      <c r="K247" s="40"/>
      <c r="L247" s="42" t="str">
        <f>IFERROR((VLOOKUP(F247,'Planilha de Cadastro - Previsão'!$A$2:$N$1100,11,FALSE()))," ")</f>
        <v xml:space="preserve"> </v>
      </c>
      <c r="M247" s="41" t="str">
        <f>IFERROR((IF(VLOOKUP(F247,'Planilha de Cadastro - Previsão'!$A$2:$N$1100,10,FALSE())="","",VLOOKUP(F247,'Planilha de Cadastro - Previsão'!$A$2:$N$1100,10,FALSE()))),"")</f>
        <v/>
      </c>
      <c r="N247" s="41"/>
      <c r="O247" s="41"/>
      <c r="P247" s="41" t="str">
        <f>IFERROR((IF(VLOOKUP(F247,'Acompanhamento da Licitação'!$F$2:$O$1000,10,FALSE())="","",VLOOKUP(F247,'Acompanhamento da Licitação'!$F$2:$O$1000,10,FALSE()))),"")</f>
        <v/>
      </c>
      <c r="R247" s="61" t="str">
        <f>IFERROR(IF(F247&gt;0,(Final[[#This Row],[Valor da Venda Real]]-Final[[#This Row],[Valor de Compra Previsto]]-4%*Final[[#This Row],[Valor da Venda Real]])/Final[[#This Row],[Valor da Venda Real]],""),"")</f>
        <v/>
      </c>
      <c r="S247" s="61" t="str">
        <f t="shared" si="17"/>
        <v/>
      </c>
      <c r="T247" s="23" t="str">
        <f>IFERROR((R247*Final[[#This Row],[Valor da Venda Real]]*Final[[#This Row],[Quantidade ]]*S247),"")</f>
        <v/>
      </c>
    </row>
    <row r="248" spans="1:20" ht="15.75" x14ac:dyDescent="0.2">
      <c r="A248">
        <f>COUNTIF($C$2:C248,C248)</f>
        <v>247</v>
      </c>
      <c r="B248" s="1" t="str">
        <f t="shared" si="16"/>
        <v>247</v>
      </c>
      <c r="C248" s="1" t="str">
        <f>IFERROR(VLOOKUP(D248,'Planilha de Cadastro - Previsão'!$A$2:$N$1000,14,FALSE()),"")</f>
        <v/>
      </c>
      <c r="D248" s="1">
        <v>247</v>
      </c>
      <c r="F248" s="40" t="str">
        <f t="shared" si="15"/>
        <v/>
      </c>
      <c r="G248" s="40" t="str">
        <f>IF(F248="","",'Prosposta Inicial'!$O$2)</f>
        <v/>
      </c>
      <c r="H248" s="40" t="str">
        <f t="shared" si="18"/>
        <v xml:space="preserve"> </v>
      </c>
      <c r="I248" s="41" t="str">
        <f>IFERROR((VLOOKUP(F248,'Planilha de Cadastro - Previsão'!$A$2:$N$1100,2,FALSE()))," ")</f>
        <v xml:space="preserve"> </v>
      </c>
      <c r="J248" s="40" t="str">
        <f>IFERROR((VLOOKUP(F248,'Planilha de Cadastro - Previsão'!$A$2:$N$1100,3,FALSE()))," ")</f>
        <v xml:space="preserve"> </v>
      </c>
      <c r="K248" s="40"/>
      <c r="L248" s="42" t="str">
        <f>IFERROR((VLOOKUP(F248,'Planilha de Cadastro - Previsão'!$A$2:$N$1100,11,FALSE()))," ")</f>
        <v xml:space="preserve"> </v>
      </c>
      <c r="M248" s="41" t="str">
        <f>IFERROR((IF(VLOOKUP(F248,'Planilha de Cadastro - Previsão'!$A$2:$N$1100,10,FALSE())="","",VLOOKUP(F248,'Planilha de Cadastro - Previsão'!$A$2:$N$1100,10,FALSE()))),"")</f>
        <v/>
      </c>
      <c r="N248" s="41"/>
      <c r="O248" s="41"/>
      <c r="P248" s="41" t="str">
        <f>IFERROR((IF(VLOOKUP(F248,'Acompanhamento da Licitação'!$F$2:$O$1000,10,FALSE())="","",VLOOKUP(F248,'Acompanhamento da Licitação'!$F$2:$O$1000,10,FALSE()))),"")</f>
        <v/>
      </c>
      <c r="R248" s="61" t="str">
        <f>IFERROR(IF(F248&gt;0,(Final[[#This Row],[Valor da Venda Real]]-Final[[#This Row],[Valor de Compra Previsto]]-4%*Final[[#This Row],[Valor da Venda Real]])/Final[[#This Row],[Valor da Venda Real]],""),"")</f>
        <v/>
      </c>
      <c r="S248" s="61" t="str">
        <f t="shared" si="17"/>
        <v/>
      </c>
      <c r="T248" s="23" t="str">
        <f>IFERROR((R248*Final[[#This Row],[Valor da Venda Real]]*Final[[#This Row],[Quantidade ]]*S248),"")</f>
        <v/>
      </c>
    </row>
    <row r="249" spans="1:20" ht="15.75" x14ac:dyDescent="0.2">
      <c r="A249">
        <f>COUNTIF($C$2:C249,C249)</f>
        <v>248</v>
      </c>
      <c r="B249" s="1" t="str">
        <f t="shared" si="16"/>
        <v>248</v>
      </c>
      <c r="C249" s="1" t="str">
        <f>IFERROR(VLOOKUP(D249,'Planilha de Cadastro - Previsão'!$A$2:$N$1000,14,FALSE()),"")</f>
        <v/>
      </c>
      <c r="D249" s="1">
        <v>248</v>
      </c>
      <c r="F249" s="40" t="str">
        <f t="shared" si="15"/>
        <v/>
      </c>
      <c r="G249" s="40" t="str">
        <f>IF(F249="","",'Prosposta Inicial'!$O$2)</f>
        <v/>
      </c>
      <c r="H249" s="40" t="str">
        <f t="shared" si="18"/>
        <v xml:space="preserve"> </v>
      </c>
      <c r="I249" s="41" t="str">
        <f>IFERROR((VLOOKUP(F249,'Planilha de Cadastro - Previsão'!$A$2:$N$1100,2,FALSE()))," ")</f>
        <v xml:space="preserve"> </v>
      </c>
      <c r="J249" s="40" t="str">
        <f>IFERROR((VLOOKUP(F249,'Planilha de Cadastro - Previsão'!$A$2:$N$1100,3,FALSE()))," ")</f>
        <v xml:space="preserve"> </v>
      </c>
      <c r="K249" s="40"/>
      <c r="L249" s="42" t="str">
        <f>IFERROR((VLOOKUP(F249,'Planilha de Cadastro - Previsão'!$A$2:$N$1100,11,FALSE()))," ")</f>
        <v xml:space="preserve"> </v>
      </c>
      <c r="M249" s="41" t="str">
        <f>IFERROR((IF(VLOOKUP(F249,'Planilha de Cadastro - Previsão'!$A$2:$N$1100,10,FALSE())="","",VLOOKUP(F249,'Planilha de Cadastro - Previsão'!$A$2:$N$1100,10,FALSE()))),"")</f>
        <v/>
      </c>
      <c r="N249" s="41"/>
      <c r="O249" s="41"/>
      <c r="P249" s="41" t="str">
        <f>IFERROR((IF(VLOOKUP(F249,'Acompanhamento da Licitação'!$F$2:$O$1000,10,FALSE())="","",VLOOKUP(F249,'Acompanhamento da Licitação'!$F$2:$O$1000,10,FALSE()))),"")</f>
        <v/>
      </c>
      <c r="R249" s="61" t="str">
        <f>IFERROR(IF(F249&gt;0,(Final[[#This Row],[Valor da Venda Real]]-Final[[#This Row],[Valor de Compra Previsto]]-4%*Final[[#This Row],[Valor da Venda Real]])/Final[[#This Row],[Valor da Venda Real]],""),"")</f>
        <v/>
      </c>
      <c r="S249" s="61" t="str">
        <f t="shared" si="17"/>
        <v/>
      </c>
      <c r="T249" s="23" t="str">
        <f>IFERROR((R249*Final[[#This Row],[Valor da Venda Real]]*Final[[#This Row],[Quantidade ]]*S249),"")</f>
        <v/>
      </c>
    </row>
    <row r="250" spans="1:20" ht="15.75" x14ac:dyDescent="0.2">
      <c r="A250">
        <f>COUNTIF($C$2:C250,C250)</f>
        <v>249</v>
      </c>
      <c r="B250" s="1" t="str">
        <f t="shared" si="16"/>
        <v>249</v>
      </c>
      <c r="C250" s="1" t="str">
        <f>IFERROR(VLOOKUP(D250,'Planilha de Cadastro - Previsão'!$A$2:$N$1000,14,FALSE()),"")</f>
        <v/>
      </c>
      <c r="D250" s="1">
        <v>249</v>
      </c>
      <c r="F250" s="40" t="str">
        <f t="shared" si="15"/>
        <v/>
      </c>
      <c r="G250" s="40" t="str">
        <f>IF(F250="","",'Prosposta Inicial'!$O$2)</f>
        <v/>
      </c>
      <c r="H250" s="40" t="str">
        <f t="shared" si="18"/>
        <v xml:space="preserve"> </v>
      </c>
      <c r="I250" s="41" t="str">
        <f>IFERROR((VLOOKUP(F250,'Planilha de Cadastro - Previsão'!$A$2:$N$1100,2,FALSE()))," ")</f>
        <v xml:space="preserve"> </v>
      </c>
      <c r="J250" s="40" t="str">
        <f>IFERROR((VLOOKUP(F250,'Planilha de Cadastro - Previsão'!$A$2:$N$1100,3,FALSE()))," ")</f>
        <v xml:space="preserve"> </v>
      </c>
      <c r="K250" s="40"/>
      <c r="L250" s="42" t="str">
        <f>IFERROR((VLOOKUP(F250,'Planilha de Cadastro - Previsão'!$A$2:$N$1100,11,FALSE()))," ")</f>
        <v xml:space="preserve"> </v>
      </c>
      <c r="M250" s="41" t="str">
        <f>IFERROR((IF(VLOOKUP(F250,'Planilha de Cadastro - Previsão'!$A$2:$N$1100,10,FALSE())="","",VLOOKUP(F250,'Planilha de Cadastro - Previsão'!$A$2:$N$1100,10,FALSE()))),"")</f>
        <v/>
      </c>
      <c r="N250" s="41"/>
      <c r="O250" s="41"/>
      <c r="P250" s="41" t="str">
        <f>IFERROR((IF(VLOOKUP(F250,'Acompanhamento da Licitação'!$F$2:$O$1000,10,FALSE())="","",VLOOKUP(F250,'Acompanhamento da Licitação'!$F$2:$O$1000,10,FALSE()))),"")</f>
        <v/>
      </c>
      <c r="R250" s="61" t="str">
        <f>IFERROR(IF(F250&gt;0,(Final[[#This Row],[Valor da Venda Real]]-Final[[#This Row],[Valor de Compra Previsto]]-4%*Final[[#This Row],[Valor da Venda Real]])/Final[[#This Row],[Valor da Venda Real]],""),"")</f>
        <v/>
      </c>
      <c r="S250" s="61" t="str">
        <f t="shared" si="17"/>
        <v/>
      </c>
      <c r="T250" s="23" t="str">
        <f>IFERROR((R250*Final[[#This Row],[Valor da Venda Real]]*Final[[#This Row],[Quantidade ]]*S250),"")</f>
        <v/>
      </c>
    </row>
    <row r="251" spans="1:20" ht="15.75" x14ac:dyDescent="0.2">
      <c r="A251">
        <f>COUNTIF($C$2:C251,C251)</f>
        <v>250</v>
      </c>
      <c r="B251" s="1" t="str">
        <f t="shared" si="16"/>
        <v>250</v>
      </c>
      <c r="C251" s="1" t="str">
        <f>IFERROR(VLOOKUP(D251,'Planilha de Cadastro - Previsão'!$A$2:$N$1000,14,FALSE()),"")</f>
        <v/>
      </c>
      <c r="D251" s="1">
        <v>250</v>
      </c>
      <c r="F251" s="40" t="str">
        <f t="shared" si="15"/>
        <v/>
      </c>
      <c r="G251" s="40" t="str">
        <f>IF(F251="","",'Prosposta Inicial'!$O$2)</f>
        <v/>
      </c>
      <c r="H251" s="40" t="str">
        <f t="shared" si="18"/>
        <v xml:space="preserve"> </v>
      </c>
      <c r="I251" s="41" t="str">
        <f>IFERROR((VLOOKUP(F251,'Planilha de Cadastro - Previsão'!$A$2:$N$1100,2,FALSE()))," ")</f>
        <v xml:space="preserve"> </v>
      </c>
      <c r="J251" s="40" t="str">
        <f>IFERROR((VLOOKUP(F251,'Planilha de Cadastro - Previsão'!$A$2:$N$1100,3,FALSE()))," ")</f>
        <v xml:space="preserve"> </v>
      </c>
      <c r="K251" s="40"/>
      <c r="L251" s="42" t="str">
        <f>IFERROR((VLOOKUP(F251,'Planilha de Cadastro - Previsão'!$A$2:$N$1100,11,FALSE()))," ")</f>
        <v xml:space="preserve"> </v>
      </c>
      <c r="M251" s="41" t="str">
        <f>IFERROR((IF(VLOOKUP(F251,'Planilha de Cadastro - Previsão'!$A$2:$N$1100,10,FALSE())="","",VLOOKUP(F251,'Planilha de Cadastro - Previsão'!$A$2:$N$1100,10,FALSE()))),"")</f>
        <v/>
      </c>
      <c r="N251" s="41"/>
      <c r="O251" s="41"/>
      <c r="P251" s="41" t="str">
        <f>IFERROR((IF(VLOOKUP(F251,'Acompanhamento da Licitação'!$F$2:$O$1000,10,FALSE())="","",VLOOKUP(F251,'Acompanhamento da Licitação'!$F$2:$O$1000,10,FALSE()))),"")</f>
        <v/>
      </c>
      <c r="R251" s="61" t="str">
        <f>IFERROR(IF(F251&gt;0,(Final[[#This Row],[Valor da Venda Real]]-Final[[#This Row],[Valor de Compra Previsto]]-4%*Final[[#This Row],[Valor da Venda Real]])/Final[[#This Row],[Valor da Venda Real]],""),"")</f>
        <v/>
      </c>
      <c r="S251" s="61" t="str">
        <f t="shared" si="17"/>
        <v/>
      </c>
      <c r="T251" s="23" t="str">
        <f>IFERROR((R251*Final[[#This Row],[Valor da Venda Real]]*Final[[#This Row],[Quantidade ]]*S251),"")</f>
        <v/>
      </c>
    </row>
    <row r="252" spans="1:20" ht="15.75" x14ac:dyDescent="0.2">
      <c r="A252">
        <f>COUNTIF($C$2:C252,C252)</f>
        <v>251</v>
      </c>
      <c r="B252" s="1" t="str">
        <f t="shared" si="16"/>
        <v>251</v>
      </c>
      <c r="C252" s="1" t="str">
        <f>IFERROR(VLOOKUP(D252,'Planilha de Cadastro - Previsão'!$A$2:$N$1000,14,FALSE()),"")</f>
        <v/>
      </c>
      <c r="D252" s="1">
        <v>251</v>
      </c>
      <c r="F252" s="40" t="str">
        <f t="shared" si="15"/>
        <v/>
      </c>
      <c r="G252" s="40" t="str">
        <f>IF(F252="","",'Prosposta Inicial'!$O$2)</f>
        <v/>
      </c>
      <c r="H252" s="40" t="str">
        <f t="shared" si="18"/>
        <v xml:space="preserve"> </v>
      </c>
      <c r="I252" s="41" t="str">
        <f>IFERROR((VLOOKUP(F252,'Planilha de Cadastro - Previsão'!$A$2:$N$1100,2,FALSE()))," ")</f>
        <v xml:space="preserve"> </v>
      </c>
      <c r="J252" s="40" t="str">
        <f>IFERROR((VLOOKUP(F252,'Planilha de Cadastro - Previsão'!$A$2:$N$1100,3,FALSE()))," ")</f>
        <v xml:space="preserve"> </v>
      </c>
      <c r="K252" s="40"/>
      <c r="L252" s="42" t="str">
        <f>IFERROR((VLOOKUP(F252,'Planilha de Cadastro - Previsão'!$A$2:$N$1100,11,FALSE()))," ")</f>
        <v xml:space="preserve"> </v>
      </c>
      <c r="M252" s="41" t="str">
        <f>IFERROR((IF(VLOOKUP(F252,'Planilha de Cadastro - Previsão'!$A$2:$N$1100,10,FALSE())="","",VLOOKUP(F252,'Planilha de Cadastro - Previsão'!$A$2:$N$1100,10,FALSE()))),"")</f>
        <v/>
      </c>
      <c r="N252" s="41"/>
      <c r="O252" s="41"/>
      <c r="P252" s="41" t="str">
        <f>IFERROR((IF(VLOOKUP(F252,'Acompanhamento da Licitação'!$F$2:$O$1000,10,FALSE())="","",VLOOKUP(F252,'Acompanhamento da Licitação'!$F$2:$O$1000,10,FALSE()))),"")</f>
        <v/>
      </c>
      <c r="R252" s="61" t="str">
        <f>IFERROR(IF(F252&gt;0,(Final[[#This Row],[Valor da Venda Real]]-Final[[#This Row],[Valor de Compra Previsto]]-4%*Final[[#This Row],[Valor da Venda Real]])/Final[[#This Row],[Valor da Venda Real]],""),"")</f>
        <v/>
      </c>
      <c r="S252" s="61" t="str">
        <f t="shared" si="17"/>
        <v/>
      </c>
      <c r="T252" s="23" t="str">
        <f>IFERROR((R252*Final[[#This Row],[Valor da Venda Real]]*Final[[#This Row],[Quantidade ]]*S252),"")</f>
        <v/>
      </c>
    </row>
    <row r="253" spans="1:20" ht="15.75" x14ac:dyDescent="0.2">
      <c r="A253">
        <f>COUNTIF($C$2:C253,C253)</f>
        <v>252</v>
      </c>
      <c r="B253" s="1" t="str">
        <f t="shared" si="16"/>
        <v>252</v>
      </c>
      <c r="C253" s="1" t="str">
        <f>IFERROR(VLOOKUP(D253,'Planilha de Cadastro - Previsão'!$A$2:$N$1000,14,FALSE()),"")</f>
        <v/>
      </c>
      <c r="D253" s="1">
        <v>252</v>
      </c>
      <c r="F253" s="40" t="str">
        <f t="shared" si="15"/>
        <v/>
      </c>
      <c r="G253" s="40" t="str">
        <f>IF(F253="","",'Prosposta Inicial'!$O$2)</f>
        <v/>
      </c>
      <c r="H253" s="40" t="str">
        <f t="shared" si="18"/>
        <v xml:space="preserve"> </v>
      </c>
      <c r="I253" s="41" t="str">
        <f>IFERROR((VLOOKUP(F253,'Planilha de Cadastro - Previsão'!$A$2:$N$1100,2,FALSE()))," ")</f>
        <v xml:space="preserve"> </v>
      </c>
      <c r="J253" s="40" t="str">
        <f>IFERROR((VLOOKUP(F253,'Planilha de Cadastro - Previsão'!$A$2:$N$1100,3,FALSE()))," ")</f>
        <v xml:space="preserve"> </v>
      </c>
      <c r="K253" s="40"/>
      <c r="L253" s="42" t="str">
        <f>IFERROR((VLOOKUP(F253,'Planilha de Cadastro - Previsão'!$A$2:$N$1100,11,FALSE()))," ")</f>
        <v xml:space="preserve"> </v>
      </c>
      <c r="M253" s="41" t="str">
        <f>IFERROR((IF(VLOOKUP(F253,'Planilha de Cadastro - Previsão'!$A$2:$N$1100,10,FALSE())="","",VLOOKUP(F253,'Planilha de Cadastro - Previsão'!$A$2:$N$1100,10,FALSE()))),"")</f>
        <v/>
      </c>
      <c r="N253" s="41"/>
      <c r="O253" s="41"/>
      <c r="P253" s="41" t="str">
        <f>IFERROR((IF(VLOOKUP(F253,'Acompanhamento da Licitação'!$F$2:$O$1000,10,FALSE())="","",VLOOKUP(F253,'Acompanhamento da Licitação'!$F$2:$O$1000,10,FALSE()))),"")</f>
        <v/>
      </c>
      <c r="R253" s="61" t="str">
        <f>IFERROR(IF(F253&gt;0,(Final[[#This Row],[Valor da Venda Real]]-Final[[#This Row],[Valor de Compra Previsto]]-4%*Final[[#This Row],[Valor da Venda Real]])/Final[[#This Row],[Valor da Venda Real]],""),"")</f>
        <v/>
      </c>
      <c r="S253" s="61" t="str">
        <f t="shared" si="17"/>
        <v/>
      </c>
      <c r="T253" s="23" t="str">
        <f>IFERROR((R253*Final[[#This Row],[Valor da Venda Real]]*Final[[#This Row],[Quantidade ]]*S253),"")</f>
        <v/>
      </c>
    </row>
    <row r="254" spans="1:20" ht="15.75" x14ac:dyDescent="0.2">
      <c r="A254">
        <f>COUNTIF($C$2:C254,C254)</f>
        <v>253</v>
      </c>
      <c r="B254" s="1" t="str">
        <f t="shared" si="16"/>
        <v>253</v>
      </c>
      <c r="C254" s="1" t="str">
        <f>IFERROR(VLOOKUP(D254,'Planilha de Cadastro - Previsão'!$A$2:$N$1000,14,FALSE()),"")</f>
        <v/>
      </c>
      <c r="D254" s="1">
        <v>253</v>
      </c>
      <c r="F254" s="40" t="str">
        <f t="shared" si="15"/>
        <v/>
      </c>
      <c r="G254" s="40" t="str">
        <f>IF(F254="","",'Prosposta Inicial'!$O$2)</f>
        <v/>
      </c>
      <c r="H254" s="40" t="str">
        <f t="shared" si="18"/>
        <v xml:space="preserve"> </v>
      </c>
      <c r="I254" s="41" t="str">
        <f>IFERROR((VLOOKUP(F254,'Planilha de Cadastro - Previsão'!$A$2:$N$1100,2,FALSE()))," ")</f>
        <v xml:space="preserve"> </v>
      </c>
      <c r="J254" s="40" t="str">
        <f>IFERROR((VLOOKUP(F254,'Planilha de Cadastro - Previsão'!$A$2:$N$1100,3,FALSE()))," ")</f>
        <v xml:space="preserve"> </v>
      </c>
      <c r="K254" s="40"/>
      <c r="L254" s="42" t="str">
        <f>IFERROR((VLOOKUP(F254,'Planilha de Cadastro - Previsão'!$A$2:$N$1100,11,FALSE()))," ")</f>
        <v xml:space="preserve"> </v>
      </c>
      <c r="M254" s="41" t="str">
        <f>IFERROR((IF(VLOOKUP(F254,'Planilha de Cadastro - Previsão'!$A$2:$N$1100,10,FALSE())="","",VLOOKUP(F254,'Planilha de Cadastro - Previsão'!$A$2:$N$1100,10,FALSE()))),"")</f>
        <v/>
      </c>
      <c r="N254" s="41"/>
      <c r="O254" s="41"/>
      <c r="P254" s="41" t="str">
        <f>IFERROR((IF(VLOOKUP(F254,'Acompanhamento da Licitação'!$F$2:$O$1000,10,FALSE())="","",VLOOKUP(F254,'Acompanhamento da Licitação'!$F$2:$O$1000,10,FALSE()))),"")</f>
        <v/>
      </c>
      <c r="R254" s="61" t="str">
        <f>IFERROR(IF(F254&gt;0,(Final[[#This Row],[Valor da Venda Real]]-Final[[#This Row],[Valor de Compra Previsto]]-4%*Final[[#This Row],[Valor da Venda Real]])/Final[[#This Row],[Valor da Venda Real]],""),"")</f>
        <v/>
      </c>
      <c r="S254" s="61" t="str">
        <f t="shared" si="17"/>
        <v/>
      </c>
      <c r="T254" s="23" t="str">
        <f>IFERROR((R254*Final[[#This Row],[Valor da Venda Real]]*Final[[#This Row],[Quantidade ]]*S254),"")</f>
        <v/>
      </c>
    </row>
    <row r="255" spans="1:20" ht="15.75" x14ac:dyDescent="0.2">
      <c r="A255">
        <f>COUNTIF($C$2:C255,C255)</f>
        <v>254</v>
      </c>
      <c r="B255" s="1" t="str">
        <f t="shared" si="16"/>
        <v>254</v>
      </c>
      <c r="C255" s="1" t="str">
        <f>IFERROR(VLOOKUP(D255,'Planilha de Cadastro - Previsão'!$A$2:$N$1000,14,FALSE()),"")</f>
        <v/>
      </c>
      <c r="D255" s="1">
        <v>254</v>
      </c>
      <c r="F255" s="40" t="str">
        <f t="shared" si="15"/>
        <v/>
      </c>
      <c r="G255" s="40" t="str">
        <f>IF(F255="","",'Prosposta Inicial'!$O$2)</f>
        <v/>
      </c>
      <c r="H255" s="40" t="str">
        <f t="shared" si="18"/>
        <v xml:space="preserve"> </v>
      </c>
      <c r="I255" s="41" t="str">
        <f>IFERROR((VLOOKUP(F255,'Planilha de Cadastro - Previsão'!$A$2:$N$1100,2,FALSE()))," ")</f>
        <v xml:space="preserve"> </v>
      </c>
      <c r="J255" s="40" t="str">
        <f>IFERROR((VLOOKUP(F255,'Planilha de Cadastro - Previsão'!$A$2:$N$1100,3,FALSE()))," ")</f>
        <v xml:space="preserve"> </v>
      </c>
      <c r="K255" s="40"/>
      <c r="L255" s="42" t="str">
        <f>IFERROR((VLOOKUP(F255,'Planilha de Cadastro - Previsão'!$A$2:$N$1100,11,FALSE()))," ")</f>
        <v xml:space="preserve"> </v>
      </c>
      <c r="M255" s="41" t="str">
        <f>IFERROR((IF(VLOOKUP(F255,'Planilha de Cadastro - Previsão'!$A$2:$N$1100,10,FALSE())="","",VLOOKUP(F255,'Planilha de Cadastro - Previsão'!$A$2:$N$1100,10,FALSE()))),"")</f>
        <v/>
      </c>
      <c r="N255" s="41"/>
      <c r="O255" s="41"/>
      <c r="P255" s="41" t="str">
        <f>IFERROR((IF(VLOOKUP(F255,'Acompanhamento da Licitação'!$F$2:$O$1000,10,FALSE())="","",VLOOKUP(F255,'Acompanhamento da Licitação'!$F$2:$O$1000,10,FALSE()))),"")</f>
        <v/>
      </c>
      <c r="R255" s="61" t="str">
        <f>IFERROR(IF(F255&gt;0,(Final[[#This Row],[Valor da Venda Real]]-Final[[#This Row],[Valor de Compra Previsto]]-4%*Final[[#This Row],[Valor da Venda Real]])/Final[[#This Row],[Valor da Venda Real]],""),"")</f>
        <v/>
      </c>
      <c r="S255" s="61" t="str">
        <f t="shared" si="17"/>
        <v/>
      </c>
      <c r="T255" s="23" t="str">
        <f>IFERROR((R255*Final[[#This Row],[Valor da Venda Real]]*Final[[#This Row],[Quantidade ]]*S255),"")</f>
        <v/>
      </c>
    </row>
    <row r="256" spans="1:20" ht="15.75" x14ac:dyDescent="0.2">
      <c r="A256">
        <f>COUNTIF($C$2:C256,C256)</f>
        <v>255</v>
      </c>
      <c r="B256" s="1" t="str">
        <f t="shared" si="16"/>
        <v>255</v>
      </c>
      <c r="C256" s="1" t="str">
        <f>IFERROR(VLOOKUP(D256,'Planilha de Cadastro - Previsão'!$A$2:$N$1000,14,FALSE()),"")</f>
        <v/>
      </c>
      <c r="D256" s="1">
        <v>255</v>
      </c>
      <c r="F256" s="40" t="str">
        <f t="shared" si="15"/>
        <v/>
      </c>
      <c r="G256" s="40" t="str">
        <f>IF(F256="","",'Prosposta Inicial'!$O$2)</f>
        <v/>
      </c>
      <c r="H256" s="40" t="str">
        <f t="shared" si="18"/>
        <v xml:space="preserve"> </v>
      </c>
      <c r="I256" s="41" t="str">
        <f>IFERROR((VLOOKUP(F256,'Planilha de Cadastro - Previsão'!$A$2:$N$1100,2,FALSE()))," ")</f>
        <v xml:space="preserve"> </v>
      </c>
      <c r="J256" s="40" t="str">
        <f>IFERROR((VLOOKUP(F256,'Planilha de Cadastro - Previsão'!$A$2:$N$1100,3,FALSE()))," ")</f>
        <v xml:space="preserve"> </v>
      </c>
      <c r="K256" s="40"/>
      <c r="L256" s="42" t="str">
        <f>IFERROR((VLOOKUP(F256,'Planilha de Cadastro - Previsão'!$A$2:$N$1100,11,FALSE()))," ")</f>
        <v xml:space="preserve"> </v>
      </c>
      <c r="M256" s="41" t="str">
        <f>IFERROR((IF(VLOOKUP(F256,'Planilha de Cadastro - Previsão'!$A$2:$N$1100,10,FALSE())="","",VLOOKUP(F256,'Planilha de Cadastro - Previsão'!$A$2:$N$1100,10,FALSE()))),"")</f>
        <v/>
      </c>
      <c r="N256" s="41"/>
      <c r="O256" s="41"/>
      <c r="P256" s="41" t="str">
        <f>IFERROR((IF(VLOOKUP(F256,'Acompanhamento da Licitação'!$F$2:$O$1000,10,FALSE())="","",VLOOKUP(F256,'Acompanhamento da Licitação'!$F$2:$O$1000,10,FALSE()))),"")</f>
        <v/>
      </c>
      <c r="R256" s="61" t="str">
        <f>IFERROR(IF(F256&gt;0,(Final[[#This Row],[Valor da Venda Real]]-Final[[#This Row],[Valor de Compra Previsto]]-4%*Final[[#This Row],[Valor da Venda Real]])/Final[[#This Row],[Valor da Venda Real]],""),"")</f>
        <v/>
      </c>
      <c r="S256" s="61" t="str">
        <f t="shared" si="17"/>
        <v/>
      </c>
      <c r="T256" s="23" t="str">
        <f>IFERROR((R256*Final[[#This Row],[Valor da Venda Real]]*Final[[#This Row],[Quantidade ]]*S256),"")</f>
        <v/>
      </c>
    </row>
    <row r="257" spans="1:20" ht="15.75" x14ac:dyDescent="0.2">
      <c r="A257">
        <f>COUNTIF($C$2:C257,C257)</f>
        <v>256</v>
      </c>
      <c r="B257" s="1" t="str">
        <f t="shared" si="16"/>
        <v>256</v>
      </c>
      <c r="C257" s="1" t="str">
        <f>IFERROR(VLOOKUP(D257,'Planilha de Cadastro - Previsão'!$A$2:$N$1000,14,FALSE()),"")</f>
        <v/>
      </c>
      <c r="D257" s="1">
        <v>256</v>
      </c>
      <c r="F257" s="40" t="str">
        <f t="shared" si="15"/>
        <v/>
      </c>
      <c r="G257" s="40" t="str">
        <f>IF(F257="","",'Prosposta Inicial'!$O$2)</f>
        <v/>
      </c>
      <c r="H257" s="40" t="str">
        <f t="shared" si="18"/>
        <v xml:space="preserve"> </v>
      </c>
      <c r="I257" s="41" t="str">
        <f>IFERROR((VLOOKUP(F257,'Planilha de Cadastro - Previsão'!$A$2:$N$1100,2,FALSE()))," ")</f>
        <v xml:space="preserve"> </v>
      </c>
      <c r="J257" s="40" t="str">
        <f>IFERROR((VLOOKUP(F257,'Planilha de Cadastro - Previsão'!$A$2:$N$1100,3,FALSE()))," ")</f>
        <v xml:space="preserve"> </v>
      </c>
      <c r="K257" s="40"/>
      <c r="L257" s="42" t="str">
        <f>IFERROR((VLOOKUP(F257,'Planilha de Cadastro - Previsão'!$A$2:$N$1100,11,FALSE()))," ")</f>
        <v xml:space="preserve"> </v>
      </c>
      <c r="M257" s="41" t="str">
        <f>IFERROR((IF(VLOOKUP(F257,'Planilha de Cadastro - Previsão'!$A$2:$N$1100,10,FALSE())="","",VLOOKUP(F257,'Planilha de Cadastro - Previsão'!$A$2:$N$1100,10,FALSE()))),"")</f>
        <v/>
      </c>
      <c r="N257" s="41"/>
      <c r="O257" s="41"/>
      <c r="P257" s="41" t="str">
        <f>IFERROR((IF(VLOOKUP(F257,'Acompanhamento da Licitação'!$F$2:$O$1000,10,FALSE())="","",VLOOKUP(F257,'Acompanhamento da Licitação'!$F$2:$O$1000,10,FALSE()))),"")</f>
        <v/>
      </c>
      <c r="R257" s="61" t="str">
        <f>IFERROR(IF(F257&gt;0,(Final[[#This Row],[Valor da Venda Real]]-Final[[#This Row],[Valor de Compra Previsto]]-4%*Final[[#This Row],[Valor da Venda Real]])/Final[[#This Row],[Valor da Venda Real]],""),"")</f>
        <v/>
      </c>
      <c r="S257" s="61" t="str">
        <f t="shared" si="17"/>
        <v/>
      </c>
      <c r="T257" s="23" t="str">
        <f>IFERROR((R257*Final[[#This Row],[Valor da Venda Real]]*Final[[#This Row],[Quantidade ]]*S257),"")</f>
        <v/>
      </c>
    </row>
    <row r="258" spans="1:20" ht="15.75" x14ac:dyDescent="0.2">
      <c r="A258">
        <f>COUNTIF($C$2:C258,C258)</f>
        <v>257</v>
      </c>
      <c r="B258" s="1" t="str">
        <f t="shared" si="16"/>
        <v>257</v>
      </c>
      <c r="C258" s="1" t="str">
        <f>IFERROR(VLOOKUP(D258,'Planilha de Cadastro - Previsão'!$A$2:$N$1000,14,FALSE()),"")</f>
        <v/>
      </c>
      <c r="D258" s="1">
        <v>257</v>
      </c>
      <c r="F258" s="40" t="str">
        <f t="shared" ref="F258:F321" si="19">IFERROR((VLOOKUP(CONCATENATE("Sim",D258),$B$2:$D$1000,3,FALSE())),"")</f>
        <v/>
      </c>
      <c r="G258" s="40" t="str">
        <f>IF(F258="","",'Prosposta Inicial'!$O$2)</f>
        <v/>
      </c>
      <c r="H258" s="40" t="str">
        <f t="shared" si="18"/>
        <v xml:space="preserve"> </v>
      </c>
      <c r="I258" s="41" t="str">
        <f>IFERROR((VLOOKUP(F258,'Planilha de Cadastro - Previsão'!$A$2:$N$1100,2,FALSE()))," ")</f>
        <v xml:space="preserve"> </v>
      </c>
      <c r="J258" s="40" t="str">
        <f>IFERROR((VLOOKUP(F258,'Planilha de Cadastro - Previsão'!$A$2:$N$1100,3,FALSE()))," ")</f>
        <v xml:space="preserve"> </v>
      </c>
      <c r="K258" s="40"/>
      <c r="L258" s="42" t="str">
        <f>IFERROR((VLOOKUP(F258,'Planilha de Cadastro - Previsão'!$A$2:$N$1100,11,FALSE()))," ")</f>
        <v xml:space="preserve"> </v>
      </c>
      <c r="M258" s="41" t="str">
        <f>IFERROR((IF(VLOOKUP(F258,'Planilha de Cadastro - Previsão'!$A$2:$N$1100,10,FALSE())="","",VLOOKUP(F258,'Planilha de Cadastro - Previsão'!$A$2:$N$1100,10,FALSE()))),"")</f>
        <v/>
      </c>
      <c r="N258" s="41"/>
      <c r="O258" s="41"/>
      <c r="P258" s="41" t="str">
        <f>IFERROR((IF(VLOOKUP(F258,'Acompanhamento da Licitação'!$F$2:$O$1000,10,FALSE())="","",VLOOKUP(F258,'Acompanhamento da Licitação'!$F$2:$O$1000,10,FALSE()))),"")</f>
        <v/>
      </c>
      <c r="R258" s="61" t="str">
        <f>IFERROR(IF(F258&gt;0,(Final[[#This Row],[Valor da Venda Real]]-Final[[#This Row],[Valor de Compra Previsto]]-4%*Final[[#This Row],[Valor da Venda Real]])/Final[[#This Row],[Valor da Venda Real]],""),"")</f>
        <v/>
      </c>
      <c r="S258" s="61" t="str">
        <f t="shared" si="17"/>
        <v/>
      </c>
      <c r="T258" s="23" t="str">
        <f>IFERROR((R258*Final[[#This Row],[Valor da Venda Real]]*Final[[#This Row],[Quantidade ]]*S258),"")</f>
        <v/>
      </c>
    </row>
    <row r="259" spans="1:20" ht="15.75" x14ac:dyDescent="0.2">
      <c r="A259">
        <f>COUNTIF($C$2:C259,C259)</f>
        <v>258</v>
      </c>
      <c r="B259" s="1" t="str">
        <f t="shared" ref="B259:B322" si="20">IFERROR(CONCATENATE(C259,A259),"")</f>
        <v>258</v>
      </c>
      <c r="C259" s="1" t="str">
        <f>IFERROR(VLOOKUP(D259,'Planilha de Cadastro - Previsão'!$A$2:$N$1000,14,FALSE()),"")</f>
        <v/>
      </c>
      <c r="D259" s="1">
        <v>258</v>
      </c>
      <c r="F259" s="40" t="str">
        <f t="shared" si="19"/>
        <v/>
      </c>
      <c r="G259" s="40" t="str">
        <f>IF(F259="","",'Prosposta Inicial'!$O$2)</f>
        <v/>
      </c>
      <c r="H259" s="40" t="str">
        <f t="shared" si="18"/>
        <v xml:space="preserve"> </v>
      </c>
      <c r="I259" s="41" t="str">
        <f>IFERROR((VLOOKUP(F259,'Planilha de Cadastro - Previsão'!$A$2:$N$1100,2,FALSE()))," ")</f>
        <v xml:space="preserve"> </v>
      </c>
      <c r="J259" s="40" t="str">
        <f>IFERROR((VLOOKUP(F259,'Planilha de Cadastro - Previsão'!$A$2:$N$1100,3,FALSE()))," ")</f>
        <v xml:space="preserve"> </v>
      </c>
      <c r="K259" s="40"/>
      <c r="L259" s="42" t="str">
        <f>IFERROR((VLOOKUP(F259,'Planilha de Cadastro - Previsão'!$A$2:$N$1100,11,FALSE()))," ")</f>
        <v xml:space="preserve"> </v>
      </c>
      <c r="M259" s="41" t="str">
        <f>IFERROR((IF(VLOOKUP(F259,'Planilha de Cadastro - Previsão'!$A$2:$N$1100,10,FALSE())="","",VLOOKUP(F259,'Planilha de Cadastro - Previsão'!$A$2:$N$1100,10,FALSE()))),"")</f>
        <v/>
      </c>
      <c r="N259" s="41"/>
      <c r="O259" s="41"/>
      <c r="P259" s="41" t="str">
        <f>IFERROR((IF(VLOOKUP(F259,'Acompanhamento da Licitação'!$F$2:$O$1000,10,FALSE())="","",VLOOKUP(F259,'Acompanhamento da Licitação'!$F$2:$O$1000,10,FALSE()))),"")</f>
        <v/>
      </c>
      <c r="R259" s="61" t="str">
        <f>IFERROR(IF(F259&gt;0,(Final[[#This Row],[Valor da Venda Real]]-Final[[#This Row],[Valor de Compra Previsto]]-4%*Final[[#This Row],[Valor da Venda Real]])/Final[[#This Row],[Valor da Venda Real]],""),"")</f>
        <v/>
      </c>
      <c r="S259" s="61" t="str">
        <f t="shared" ref="S259:S322" si="21">IF(R259="","",IF(R259&lt;0.2,0.05,IF(R259&lt;0.25,0.1,IF(R259&lt;0.3,0.15,IF(R259&lt;0.35,0.2,IF(R259&lt;0.45,0.25,IF(R259&lt;0.5,0.3,IF(R259&lt;0.6,0.35,0.4))))))))</f>
        <v/>
      </c>
      <c r="T259" s="23" t="str">
        <f>IFERROR((R259*Final[[#This Row],[Valor da Venda Real]]*Final[[#This Row],[Quantidade ]]*S259),"")</f>
        <v/>
      </c>
    </row>
    <row r="260" spans="1:20" ht="15.75" x14ac:dyDescent="0.2">
      <c r="A260">
        <f>COUNTIF($C$2:C260,C260)</f>
        <v>259</v>
      </c>
      <c r="B260" s="1" t="str">
        <f t="shared" si="20"/>
        <v>259</v>
      </c>
      <c r="C260" s="1" t="str">
        <f>IFERROR(VLOOKUP(D260,'Planilha de Cadastro - Previsão'!$A$2:$N$1000,14,FALSE()),"")</f>
        <v/>
      </c>
      <c r="D260" s="1">
        <v>259</v>
      </c>
      <c r="F260" s="40" t="str">
        <f t="shared" si="19"/>
        <v/>
      </c>
      <c r="G260" s="40" t="str">
        <f>IF(F260="","",'Prosposta Inicial'!$O$2)</f>
        <v/>
      </c>
      <c r="H260" s="40" t="str">
        <f t="shared" si="18"/>
        <v xml:space="preserve"> </v>
      </c>
      <c r="I260" s="41" t="str">
        <f>IFERROR((VLOOKUP(F260,'Planilha de Cadastro - Previsão'!$A$2:$N$1100,2,FALSE()))," ")</f>
        <v xml:space="preserve"> </v>
      </c>
      <c r="J260" s="40" t="str">
        <f>IFERROR((VLOOKUP(F260,'Planilha de Cadastro - Previsão'!$A$2:$N$1100,3,FALSE()))," ")</f>
        <v xml:space="preserve"> </v>
      </c>
      <c r="K260" s="40"/>
      <c r="L260" s="42" t="str">
        <f>IFERROR((VLOOKUP(F260,'Planilha de Cadastro - Previsão'!$A$2:$N$1100,11,FALSE()))," ")</f>
        <v xml:space="preserve"> </v>
      </c>
      <c r="M260" s="41" t="str">
        <f>IFERROR((IF(VLOOKUP(F260,'Planilha de Cadastro - Previsão'!$A$2:$N$1100,10,FALSE())="","",VLOOKUP(F260,'Planilha de Cadastro - Previsão'!$A$2:$N$1100,10,FALSE()))),"")</f>
        <v/>
      </c>
      <c r="N260" s="41"/>
      <c r="O260" s="41"/>
      <c r="P260" s="41" t="str">
        <f>IFERROR((IF(VLOOKUP(F260,'Acompanhamento da Licitação'!$F$2:$O$1000,10,FALSE())="","",VLOOKUP(F260,'Acompanhamento da Licitação'!$F$2:$O$1000,10,FALSE()))),"")</f>
        <v/>
      </c>
      <c r="R260" s="61" t="str">
        <f>IFERROR(IF(F260&gt;0,(Final[[#This Row],[Valor da Venda Real]]-Final[[#This Row],[Valor de Compra Previsto]]-4%*Final[[#This Row],[Valor da Venda Real]])/Final[[#This Row],[Valor da Venda Real]],""),"")</f>
        <v/>
      </c>
      <c r="S260" s="61" t="str">
        <f t="shared" si="21"/>
        <v/>
      </c>
      <c r="T260" s="23" t="str">
        <f>IFERROR((R260*Final[[#This Row],[Valor da Venda Real]]*Final[[#This Row],[Quantidade ]]*S260),"")</f>
        <v/>
      </c>
    </row>
    <row r="261" spans="1:20" ht="15.75" x14ac:dyDescent="0.2">
      <c r="A261">
        <f>COUNTIF($C$2:C261,C261)</f>
        <v>260</v>
      </c>
      <c r="B261" s="1" t="str">
        <f t="shared" si="20"/>
        <v>260</v>
      </c>
      <c r="C261" s="1" t="str">
        <f>IFERROR(VLOOKUP(D261,'Planilha de Cadastro - Previsão'!$A$2:$N$1000,14,FALSE()),"")</f>
        <v/>
      </c>
      <c r="D261" s="1">
        <v>260</v>
      </c>
      <c r="F261" s="40" t="str">
        <f t="shared" si="19"/>
        <v/>
      </c>
      <c r="G261" s="40" t="str">
        <f>IF(F261="","",'Prosposta Inicial'!$O$2)</f>
        <v/>
      </c>
      <c r="H261" s="40" t="str">
        <f t="shared" si="18"/>
        <v xml:space="preserve"> </v>
      </c>
      <c r="I261" s="41" t="str">
        <f>IFERROR((VLOOKUP(F261,'Planilha de Cadastro - Previsão'!$A$2:$N$1100,2,FALSE()))," ")</f>
        <v xml:space="preserve"> </v>
      </c>
      <c r="J261" s="40" t="str">
        <f>IFERROR((VLOOKUP(F261,'Planilha de Cadastro - Previsão'!$A$2:$N$1100,3,FALSE()))," ")</f>
        <v xml:space="preserve"> </v>
      </c>
      <c r="K261" s="40"/>
      <c r="L261" s="42" t="str">
        <f>IFERROR((VLOOKUP(F261,'Planilha de Cadastro - Previsão'!$A$2:$N$1100,11,FALSE()))," ")</f>
        <v xml:space="preserve"> </v>
      </c>
      <c r="M261" s="41" t="str">
        <f>IFERROR((IF(VLOOKUP(F261,'Planilha de Cadastro - Previsão'!$A$2:$N$1100,10,FALSE())="","",VLOOKUP(F261,'Planilha de Cadastro - Previsão'!$A$2:$N$1100,10,FALSE()))),"")</f>
        <v/>
      </c>
      <c r="N261" s="41"/>
      <c r="O261" s="41"/>
      <c r="P261" s="41" t="str">
        <f>IFERROR((IF(VLOOKUP(F261,'Acompanhamento da Licitação'!$F$2:$O$1000,10,FALSE())="","",VLOOKUP(F261,'Acompanhamento da Licitação'!$F$2:$O$1000,10,FALSE()))),"")</f>
        <v/>
      </c>
      <c r="R261" s="61" t="str">
        <f>IFERROR(IF(F261&gt;0,(Final[[#This Row],[Valor da Venda Real]]-Final[[#This Row],[Valor de Compra Previsto]]-4%*Final[[#This Row],[Valor da Venda Real]])/Final[[#This Row],[Valor da Venda Real]],""),"")</f>
        <v/>
      </c>
      <c r="S261" s="61" t="str">
        <f t="shared" si="21"/>
        <v/>
      </c>
      <c r="T261" s="23" t="str">
        <f>IFERROR((R261*Final[[#This Row],[Valor da Venda Real]]*Final[[#This Row],[Quantidade ]]*S261),"")</f>
        <v/>
      </c>
    </row>
    <row r="262" spans="1:20" ht="15.75" x14ac:dyDescent="0.2">
      <c r="A262">
        <f>COUNTIF($C$2:C262,C262)</f>
        <v>261</v>
      </c>
      <c r="B262" s="1" t="str">
        <f t="shared" si="20"/>
        <v>261</v>
      </c>
      <c r="C262" s="1" t="str">
        <f>IFERROR(VLOOKUP(D262,'Planilha de Cadastro - Previsão'!$A$2:$N$1000,14,FALSE()),"")</f>
        <v/>
      </c>
      <c r="D262" s="1">
        <v>261</v>
      </c>
      <c r="F262" s="40" t="str">
        <f t="shared" si="19"/>
        <v/>
      </c>
      <c r="G262" s="40" t="str">
        <f>IF(F262="","",'Prosposta Inicial'!$O$2)</f>
        <v/>
      </c>
      <c r="H262" s="40" t="str">
        <f t="shared" si="18"/>
        <v xml:space="preserve"> </v>
      </c>
      <c r="I262" s="41" t="str">
        <f>IFERROR((VLOOKUP(F262,'Planilha de Cadastro - Previsão'!$A$2:$N$1100,2,FALSE()))," ")</f>
        <v xml:space="preserve"> </v>
      </c>
      <c r="J262" s="40" t="str">
        <f>IFERROR((VLOOKUP(F262,'Planilha de Cadastro - Previsão'!$A$2:$N$1100,3,FALSE()))," ")</f>
        <v xml:space="preserve"> </v>
      </c>
      <c r="K262" s="40"/>
      <c r="L262" s="42" t="str">
        <f>IFERROR((VLOOKUP(F262,'Planilha de Cadastro - Previsão'!$A$2:$N$1100,11,FALSE()))," ")</f>
        <v xml:space="preserve"> </v>
      </c>
      <c r="M262" s="41" t="str">
        <f>IFERROR((IF(VLOOKUP(F262,'Planilha de Cadastro - Previsão'!$A$2:$N$1100,10,FALSE())="","",VLOOKUP(F262,'Planilha de Cadastro - Previsão'!$A$2:$N$1100,10,FALSE()))),"")</f>
        <v/>
      </c>
      <c r="N262" s="41"/>
      <c r="O262" s="41"/>
      <c r="P262" s="41" t="str">
        <f>IFERROR((IF(VLOOKUP(F262,'Acompanhamento da Licitação'!$F$2:$O$1000,10,FALSE())="","",VLOOKUP(F262,'Acompanhamento da Licitação'!$F$2:$O$1000,10,FALSE()))),"")</f>
        <v/>
      </c>
      <c r="R262" s="61" t="str">
        <f>IFERROR(IF(F262&gt;0,(Final[[#This Row],[Valor da Venda Real]]-Final[[#This Row],[Valor de Compra Previsto]]-4%*Final[[#This Row],[Valor da Venda Real]])/Final[[#This Row],[Valor da Venda Real]],""),"")</f>
        <v/>
      </c>
      <c r="S262" s="61" t="str">
        <f t="shared" si="21"/>
        <v/>
      </c>
      <c r="T262" s="23" t="str">
        <f>IFERROR((R262*Final[[#This Row],[Valor da Venda Real]]*Final[[#This Row],[Quantidade ]]*S262),"")</f>
        <v/>
      </c>
    </row>
    <row r="263" spans="1:20" ht="15.75" x14ac:dyDescent="0.2">
      <c r="A263">
        <f>COUNTIF($C$2:C263,C263)</f>
        <v>262</v>
      </c>
      <c r="B263" s="1" t="str">
        <f t="shared" si="20"/>
        <v>262</v>
      </c>
      <c r="C263" s="1" t="str">
        <f>IFERROR(VLOOKUP(D263,'Planilha de Cadastro - Previsão'!$A$2:$N$1000,14,FALSE()),"")</f>
        <v/>
      </c>
      <c r="D263" s="1">
        <v>262</v>
      </c>
      <c r="F263" s="40" t="str">
        <f t="shared" si="19"/>
        <v/>
      </c>
      <c r="G263" s="40" t="str">
        <f>IF(F263="","",'Prosposta Inicial'!$O$2)</f>
        <v/>
      </c>
      <c r="H263" s="40" t="str">
        <f t="shared" si="18"/>
        <v xml:space="preserve"> </v>
      </c>
      <c r="I263" s="41" t="str">
        <f>IFERROR((VLOOKUP(F263,'Planilha de Cadastro - Previsão'!$A$2:$N$1100,2,FALSE()))," ")</f>
        <v xml:space="preserve"> </v>
      </c>
      <c r="J263" s="40" t="str">
        <f>IFERROR((VLOOKUP(F263,'Planilha de Cadastro - Previsão'!$A$2:$N$1100,3,FALSE()))," ")</f>
        <v xml:space="preserve"> </v>
      </c>
      <c r="K263" s="40"/>
      <c r="L263" s="42" t="str">
        <f>IFERROR((VLOOKUP(F263,'Planilha de Cadastro - Previsão'!$A$2:$N$1100,11,FALSE()))," ")</f>
        <v xml:space="preserve"> </v>
      </c>
      <c r="M263" s="41" t="str">
        <f>IFERROR((IF(VLOOKUP(F263,'Planilha de Cadastro - Previsão'!$A$2:$N$1100,10,FALSE())="","",VLOOKUP(F263,'Planilha de Cadastro - Previsão'!$A$2:$N$1100,10,FALSE()))),"")</f>
        <v/>
      </c>
      <c r="N263" s="41"/>
      <c r="O263" s="41"/>
      <c r="P263" s="41" t="str">
        <f>IFERROR((IF(VLOOKUP(F263,'Acompanhamento da Licitação'!$F$2:$O$1000,10,FALSE())="","",VLOOKUP(F263,'Acompanhamento da Licitação'!$F$2:$O$1000,10,FALSE()))),"")</f>
        <v/>
      </c>
      <c r="R263" s="61" t="str">
        <f>IFERROR(IF(F263&gt;0,(Final[[#This Row],[Valor da Venda Real]]-Final[[#This Row],[Valor de Compra Previsto]]-4%*Final[[#This Row],[Valor da Venda Real]])/Final[[#This Row],[Valor da Venda Real]],""),"")</f>
        <v/>
      </c>
      <c r="S263" s="61" t="str">
        <f t="shared" si="21"/>
        <v/>
      </c>
      <c r="T263" s="23" t="str">
        <f>IFERROR((R263*Final[[#This Row],[Valor da Venda Real]]*Final[[#This Row],[Quantidade ]]*S263),"")</f>
        <v/>
      </c>
    </row>
    <row r="264" spans="1:20" ht="15.75" x14ac:dyDescent="0.2">
      <c r="A264">
        <f>COUNTIF($C$2:C264,C264)</f>
        <v>263</v>
      </c>
      <c r="B264" s="1" t="str">
        <f t="shared" si="20"/>
        <v>263</v>
      </c>
      <c r="C264" s="1" t="str">
        <f>IFERROR(VLOOKUP(D264,'Planilha de Cadastro - Previsão'!$A$2:$N$1000,14,FALSE()),"")</f>
        <v/>
      </c>
      <c r="D264" s="1">
        <v>263</v>
      </c>
      <c r="F264" s="40" t="str">
        <f t="shared" si="19"/>
        <v/>
      </c>
      <c r="G264" s="40" t="str">
        <f>IF(F264="","",'Prosposta Inicial'!$O$2)</f>
        <v/>
      </c>
      <c r="H264" s="40" t="str">
        <f t="shared" si="18"/>
        <v xml:space="preserve"> </v>
      </c>
      <c r="I264" s="41" t="str">
        <f>IFERROR((VLOOKUP(F264,'Planilha de Cadastro - Previsão'!$A$2:$N$1100,2,FALSE()))," ")</f>
        <v xml:space="preserve"> </v>
      </c>
      <c r="J264" s="40" t="str">
        <f>IFERROR((VLOOKUP(F264,'Planilha de Cadastro - Previsão'!$A$2:$N$1100,3,FALSE()))," ")</f>
        <v xml:space="preserve"> </v>
      </c>
      <c r="K264" s="40"/>
      <c r="L264" s="42" t="str">
        <f>IFERROR((VLOOKUP(F264,'Planilha de Cadastro - Previsão'!$A$2:$N$1100,11,FALSE()))," ")</f>
        <v xml:space="preserve"> </v>
      </c>
      <c r="M264" s="41" t="str">
        <f>IFERROR((IF(VLOOKUP(F264,'Planilha de Cadastro - Previsão'!$A$2:$N$1100,10,FALSE())="","",VLOOKUP(F264,'Planilha de Cadastro - Previsão'!$A$2:$N$1100,10,FALSE()))),"")</f>
        <v/>
      </c>
      <c r="N264" s="41"/>
      <c r="O264" s="41"/>
      <c r="P264" s="41" t="str">
        <f>IFERROR((IF(VLOOKUP(F264,'Acompanhamento da Licitação'!$F$2:$O$1000,10,FALSE())="","",VLOOKUP(F264,'Acompanhamento da Licitação'!$F$2:$O$1000,10,FALSE()))),"")</f>
        <v/>
      </c>
      <c r="R264" s="61" t="str">
        <f>IFERROR(IF(F264&gt;0,(Final[[#This Row],[Valor da Venda Real]]-Final[[#This Row],[Valor de Compra Previsto]]-4%*Final[[#This Row],[Valor da Venda Real]])/Final[[#This Row],[Valor da Venda Real]],""),"")</f>
        <v/>
      </c>
      <c r="S264" s="61" t="str">
        <f t="shared" si="21"/>
        <v/>
      </c>
      <c r="T264" s="23" t="str">
        <f>IFERROR((R264*Final[[#This Row],[Valor da Venda Real]]*Final[[#This Row],[Quantidade ]]*S264),"")</f>
        <v/>
      </c>
    </row>
    <row r="265" spans="1:20" ht="15.75" x14ac:dyDescent="0.2">
      <c r="A265">
        <f>COUNTIF($C$2:C265,C265)</f>
        <v>264</v>
      </c>
      <c r="B265" s="1" t="str">
        <f t="shared" si="20"/>
        <v>264</v>
      </c>
      <c r="C265" s="1" t="str">
        <f>IFERROR(VLOOKUP(D265,'Planilha de Cadastro - Previsão'!$A$2:$N$1000,14,FALSE()),"")</f>
        <v/>
      </c>
      <c r="D265" s="1">
        <v>264</v>
      </c>
      <c r="F265" s="40" t="str">
        <f t="shared" si="19"/>
        <v/>
      </c>
      <c r="G265" s="40" t="str">
        <f>IF(F265="","",'Prosposta Inicial'!$O$2)</f>
        <v/>
      </c>
      <c r="H265" s="40" t="str">
        <f t="shared" si="18"/>
        <v xml:space="preserve"> </v>
      </c>
      <c r="I265" s="41" t="str">
        <f>IFERROR((VLOOKUP(F265,'Planilha de Cadastro - Previsão'!$A$2:$N$1100,2,FALSE()))," ")</f>
        <v xml:space="preserve"> </v>
      </c>
      <c r="J265" s="40" t="str">
        <f>IFERROR((VLOOKUP(F265,'Planilha de Cadastro - Previsão'!$A$2:$N$1100,3,FALSE()))," ")</f>
        <v xml:space="preserve"> </v>
      </c>
      <c r="K265" s="40"/>
      <c r="L265" s="42" t="str">
        <f>IFERROR((VLOOKUP(F265,'Planilha de Cadastro - Previsão'!$A$2:$N$1100,11,FALSE()))," ")</f>
        <v xml:space="preserve"> </v>
      </c>
      <c r="M265" s="41" t="str">
        <f>IFERROR((IF(VLOOKUP(F265,'Planilha de Cadastro - Previsão'!$A$2:$N$1100,10,FALSE())="","",VLOOKUP(F265,'Planilha de Cadastro - Previsão'!$A$2:$N$1100,10,FALSE()))),"")</f>
        <v/>
      </c>
      <c r="N265" s="41"/>
      <c r="O265" s="41"/>
      <c r="P265" s="41" t="str">
        <f>IFERROR((IF(VLOOKUP(F265,'Acompanhamento da Licitação'!$F$2:$O$1000,10,FALSE())="","",VLOOKUP(F265,'Acompanhamento da Licitação'!$F$2:$O$1000,10,FALSE()))),"")</f>
        <v/>
      </c>
      <c r="R265" s="61" t="str">
        <f>IFERROR(IF(F265&gt;0,(Final[[#This Row],[Valor da Venda Real]]-Final[[#This Row],[Valor de Compra Previsto]]-4%*Final[[#This Row],[Valor da Venda Real]])/Final[[#This Row],[Valor da Venda Real]],""),"")</f>
        <v/>
      </c>
      <c r="S265" s="61" t="str">
        <f t="shared" si="21"/>
        <v/>
      </c>
      <c r="T265" s="23" t="str">
        <f>IFERROR((R265*Final[[#This Row],[Valor da Venda Real]]*Final[[#This Row],[Quantidade ]]*S265),"")</f>
        <v/>
      </c>
    </row>
    <row r="266" spans="1:20" ht="15.75" x14ac:dyDescent="0.2">
      <c r="A266">
        <f>COUNTIF($C$2:C266,C266)</f>
        <v>265</v>
      </c>
      <c r="B266" s="1" t="str">
        <f t="shared" si="20"/>
        <v>265</v>
      </c>
      <c r="C266" s="1" t="str">
        <f>IFERROR(VLOOKUP(D266,'Planilha de Cadastro - Previsão'!$A$2:$N$1000,14,FALSE()),"")</f>
        <v/>
      </c>
      <c r="D266" s="1">
        <v>265</v>
      </c>
      <c r="F266" s="40" t="str">
        <f t="shared" si="19"/>
        <v/>
      </c>
      <c r="G266" s="40" t="str">
        <f>IF(F266="","",'Prosposta Inicial'!$O$2)</f>
        <v/>
      </c>
      <c r="H266" s="40" t="str">
        <f t="shared" si="18"/>
        <v xml:space="preserve"> </v>
      </c>
      <c r="I266" s="41" t="str">
        <f>IFERROR((VLOOKUP(F266,'Planilha de Cadastro - Previsão'!$A$2:$N$1100,2,FALSE()))," ")</f>
        <v xml:space="preserve"> </v>
      </c>
      <c r="J266" s="40" t="str">
        <f>IFERROR((VLOOKUP(F266,'Planilha de Cadastro - Previsão'!$A$2:$N$1100,3,FALSE()))," ")</f>
        <v xml:space="preserve"> </v>
      </c>
      <c r="K266" s="40"/>
      <c r="L266" s="42" t="str">
        <f>IFERROR((VLOOKUP(F266,'Planilha de Cadastro - Previsão'!$A$2:$N$1100,11,FALSE()))," ")</f>
        <v xml:space="preserve"> </v>
      </c>
      <c r="M266" s="41" t="str">
        <f>IFERROR((IF(VLOOKUP(F266,'Planilha de Cadastro - Previsão'!$A$2:$N$1100,10,FALSE())="","",VLOOKUP(F266,'Planilha de Cadastro - Previsão'!$A$2:$N$1100,10,FALSE()))),"")</f>
        <v/>
      </c>
      <c r="N266" s="41"/>
      <c r="O266" s="41"/>
      <c r="P266" s="41" t="str">
        <f>IFERROR((IF(VLOOKUP(F266,'Acompanhamento da Licitação'!$F$2:$O$1000,10,FALSE())="","",VLOOKUP(F266,'Acompanhamento da Licitação'!$F$2:$O$1000,10,FALSE()))),"")</f>
        <v/>
      </c>
      <c r="R266" s="61" t="str">
        <f>IFERROR(IF(F266&gt;0,(Final[[#This Row],[Valor da Venda Real]]-Final[[#This Row],[Valor de Compra Previsto]]-4%*Final[[#This Row],[Valor da Venda Real]])/Final[[#This Row],[Valor da Venda Real]],""),"")</f>
        <v/>
      </c>
      <c r="S266" s="61" t="str">
        <f t="shared" si="21"/>
        <v/>
      </c>
      <c r="T266" s="23" t="str">
        <f>IFERROR((R266*Final[[#This Row],[Valor da Venda Real]]*Final[[#This Row],[Quantidade ]]*S266),"")</f>
        <v/>
      </c>
    </row>
    <row r="267" spans="1:20" ht="15.75" x14ac:dyDescent="0.2">
      <c r="A267">
        <f>COUNTIF($C$2:C267,C267)</f>
        <v>266</v>
      </c>
      <c r="B267" s="1" t="str">
        <f t="shared" si="20"/>
        <v>266</v>
      </c>
      <c r="C267" s="1" t="str">
        <f>IFERROR(VLOOKUP(D267,'Planilha de Cadastro - Previsão'!$A$2:$N$1000,14,FALSE()),"")</f>
        <v/>
      </c>
      <c r="D267" s="1">
        <v>266</v>
      </c>
      <c r="F267" s="40" t="str">
        <f t="shared" si="19"/>
        <v/>
      </c>
      <c r="G267" s="40" t="str">
        <f>IF(F267="","",'Prosposta Inicial'!$O$2)</f>
        <v/>
      </c>
      <c r="H267" s="40" t="str">
        <f t="shared" si="18"/>
        <v xml:space="preserve"> </v>
      </c>
      <c r="I267" s="41" t="str">
        <f>IFERROR((VLOOKUP(F267,'Planilha de Cadastro - Previsão'!$A$2:$N$1100,2,FALSE()))," ")</f>
        <v xml:space="preserve"> </v>
      </c>
      <c r="J267" s="40" t="str">
        <f>IFERROR((VLOOKUP(F267,'Planilha de Cadastro - Previsão'!$A$2:$N$1100,3,FALSE()))," ")</f>
        <v xml:space="preserve"> </v>
      </c>
      <c r="K267" s="40"/>
      <c r="L267" s="42" t="str">
        <f>IFERROR((VLOOKUP(F267,'Planilha de Cadastro - Previsão'!$A$2:$N$1100,11,FALSE()))," ")</f>
        <v xml:space="preserve"> </v>
      </c>
      <c r="M267" s="41" t="str">
        <f>IFERROR((IF(VLOOKUP(F267,'Planilha de Cadastro - Previsão'!$A$2:$N$1100,10,FALSE())="","",VLOOKUP(F267,'Planilha de Cadastro - Previsão'!$A$2:$N$1100,10,FALSE()))),"")</f>
        <v/>
      </c>
      <c r="N267" s="41"/>
      <c r="O267" s="41"/>
      <c r="P267" s="41" t="str">
        <f>IFERROR((IF(VLOOKUP(F267,'Acompanhamento da Licitação'!$F$2:$O$1000,10,FALSE())="","",VLOOKUP(F267,'Acompanhamento da Licitação'!$F$2:$O$1000,10,FALSE()))),"")</f>
        <v/>
      </c>
      <c r="R267" s="61" t="str">
        <f>IFERROR(IF(F267&gt;0,(Final[[#This Row],[Valor da Venda Real]]-Final[[#This Row],[Valor de Compra Previsto]]-4%*Final[[#This Row],[Valor da Venda Real]])/Final[[#This Row],[Valor da Venda Real]],""),"")</f>
        <v/>
      </c>
      <c r="S267" s="61" t="str">
        <f t="shared" si="21"/>
        <v/>
      </c>
      <c r="T267" s="23" t="str">
        <f>IFERROR((R267*Final[[#This Row],[Valor da Venda Real]]*Final[[#This Row],[Quantidade ]]*S267),"")</f>
        <v/>
      </c>
    </row>
    <row r="268" spans="1:20" ht="15.75" x14ac:dyDescent="0.2">
      <c r="A268">
        <f>COUNTIF($C$2:C268,C268)</f>
        <v>267</v>
      </c>
      <c r="B268" s="1" t="str">
        <f t="shared" si="20"/>
        <v>267</v>
      </c>
      <c r="C268" s="1" t="str">
        <f>IFERROR(VLOOKUP(D268,'Planilha de Cadastro - Previsão'!$A$2:$N$1000,14,FALSE()),"")</f>
        <v/>
      </c>
      <c r="D268" s="1">
        <v>267</v>
      </c>
      <c r="F268" s="40" t="str">
        <f t="shared" si="19"/>
        <v/>
      </c>
      <c r="G268" s="40" t="str">
        <f>IF(F268="","",'Prosposta Inicial'!$O$2)</f>
        <v/>
      </c>
      <c r="H268" s="40" t="str">
        <f t="shared" si="18"/>
        <v xml:space="preserve"> </v>
      </c>
      <c r="I268" s="41" t="str">
        <f>IFERROR((VLOOKUP(F268,'Planilha de Cadastro - Previsão'!$A$2:$N$1100,2,FALSE()))," ")</f>
        <v xml:space="preserve"> </v>
      </c>
      <c r="J268" s="40" t="str">
        <f>IFERROR((VLOOKUP(F268,'Planilha de Cadastro - Previsão'!$A$2:$N$1100,3,FALSE()))," ")</f>
        <v xml:space="preserve"> </v>
      </c>
      <c r="K268" s="40"/>
      <c r="L268" s="42" t="str">
        <f>IFERROR((VLOOKUP(F268,'Planilha de Cadastro - Previsão'!$A$2:$N$1100,11,FALSE()))," ")</f>
        <v xml:space="preserve"> </v>
      </c>
      <c r="M268" s="41" t="str">
        <f>IFERROR((IF(VLOOKUP(F268,'Planilha de Cadastro - Previsão'!$A$2:$N$1100,10,FALSE())="","",VLOOKUP(F268,'Planilha de Cadastro - Previsão'!$A$2:$N$1100,10,FALSE()))),"")</f>
        <v/>
      </c>
      <c r="N268" s="41"/>
      <c r="O268" s="41"/>
      <c r="P268" s="41" t="str">
        <f>IFERROR((IF(VLOOKUP(F268,'Acompanhamento da Licitação'!$F$2:$O$1000,10,FALSE())="","",VLOOKUP(F268,'Acompanhamento da Licitação'!$F$2:$O$1000,10,FALSE()))),"")</f>
        <v/>
      </c>
      <c r="R268" s="61" t="str">
        <f>IFERROR(IF(F268&gt;0,(Final[[#This Row],[Valor da Venda Real]]-Final[[#This Row],[Valor de Compra Previsto]]-4%*Final[[#This Row],[Valor da Venda Real]])/Final[[#This Row],[Valor da Venda Real]],""),"")</f>
        <v/>
      </c>
      <c r="S268" s="61" t="str">
        <f t="shared" si="21"/>
        <v/>
      </c>
      <c r="T268" s="23" t="str">
        <f>IFERROR((R268*Final[[#This Row],[Valor da Venda Real]]*Final[[#This Row],[Quantidade ]]*S268),"")</f>
        <v/>
      </c>
    </row>
    <row r="269" spans="1:20" ht="15.75" x14ac:dyDescent="0.2">
      <c r="A269">
        <f>COUNTIF($C$2:C269,C269)</f>
        <v>268</v>
      </c>
      <c r="B269" s="1" t="str">
        <f t="shared" si="20"/>
        <v>268</v>
      </c>
      <c r="C269" s="1" t="str">
        <f>IFERROR(VLOOKUP(D269,'Planilha de Cadastro - Previsão'!$A$2:$N$1000,14,FALSE()),"")</f>
        <v/>
      </c>
      <c r="D269" s="1">
        <v>268</v>
      </c>
      <c r="F269" s="40" t="str">
        <f t="shared" si="19"/>
        <v/>
      </c>
      <c r="G269" s="40" t="str">
        <f>IF(F269="","",'Prosposta Inicial'!$O$2)</f>
        <v/>
      </c>
      <c r="H269" s="40" t="str">
        <f t="shared" si="18"/>
        <v xml:space="preserve"> </v>
      </c>
      <c r="I269" s="41" t="str">
        <f>IFERROR((VLOOKUP(F269,'Planilha de Cadastro - Previsão'!$A$2:$N$1100,2,FALSE()))," ")</f>
        <v xml:space="preserve"> </v>
      </c>
      <c r="J269" s="40" t="str">
        <f>IFERROR((VLOOKUP(F269,'Planilha de Cadastro - Previsão'!$A$2:$N$1100,3,FALSE()))," ")</f>
        <v xml:space="preserve"> </v>
      </c>
      <c r="K269" s="40"/>
      <c r="L269" s="42" t="str">
        <f>IFERROR((VLOOKUP(F269,'Planilha de Cadastro - Previsão'!$A$2:$N$1100,11,FALSE()))," ")</f>
        <v xml:space="preserve"> </v>
      </c>
      <c r="M269" s="41" t="str">
        <f>IFERROR((IF(VLOOKUP(F269,'Planilha de Cadastro - Previsão'!$A$2:$N$1100,10,FALSE())="","",VLOOKUP(F269,'Planilha de Cadastro - Previsão'!$A$2:$N$1100,10,FALSE()))),"")</f>
        <v/>
      </c>
      <c r="N269" s="41"/>
      <c r="O269" s="41"/>
      <c r="P269" s="41" t="str">
        <f>IFERROR((IF(VLOOKUP(F269,'Acompanhamento da Licitação'!$F$2:$O$1000,10,FALSE())="","",VLOOKUP(F269,'Acompanhamento da Licitação'!$F$2:$O$1000,10,FALSE()))),"")</f>
        <v/>
      </c>
      <c r="R269" s="61" t="str">
        <f>IFERROR(IF(F269&gt;0,(Final[[#This Row],[Valor da Venda Real]]-Final[[#This Row],[Valor de Compra Previsto]]-4%*Final[[#This Row],[Valor da Venda Real]])/Final[[#This Row],[Valor da Venda Real]],""),"")</f>
        <v/>
      </c>
      <c r="S269" s="61" t="str">
        <f t="shared" si="21"/>
        <v/>
      </c>
      <c r="T269" s="23" t="str">
        <f>IFERROR((R269*Final[[#This Row],[Valor da Venda Real]]*Final[[#This Row],[Quantidade ]]*S269),"")</f>
        <v/>
      </c>
    </row>
    <row r="270" spans="1:20" ht="15.75" x14ac:dyDescent="0.2">
      <c r="A270">
        <f>COUNTIF($C$2:C270,C270)</f>
        <v>269</v>
      </c>
      <c r="B270" s="1" t="str">
        <f t="shared" si="20"/>
        <v>269</v>
      </c>
      <c r="C270" s="1" t="str">
        <f>IFERROR(VLOOKUP(D270,'Planilha de Cadastro - Previsão'!$A$2:$N$1000,14,FALSE()),"")</f>
        <v/>
      </c>
      <c r="D270" s="1">
        <v>269</v>
      </c>
      <c r="F270" s="40" t="str">
        <f t="shared" si="19"/>
        <v/>
      </c>
      <c r="G270" s="40" t="str">
        <f>IF(F270="","",'Prosposta Inicial'!$O$2)</f>
        <v/>
      </c>
      <c r="H270" s="40" t="str">
        <f t="shared" si="18"/>
        <v xml:space="preserve"> </v>
      </c>
      <c r="I270" s="41" t="str">
        <f>IFERROR((VLOOKUP(F270,'Planilha de Cadastro - Previsão'!$A$2:$N$1100,2,FALSE()))," ")</f>
        <v xml:space="preserve"> </v>
      </c>
      <c r="J270" s="40" t="str">
        <f>IFERROR((VLOOKUP(F270,'Planilha de Cadastro - Previsão'!$A$2:$N$1100,3,FALSE()))," ")</f>
        <v xml:space="preserve"> </v>
      </c>
      <c r="K270" s="40"/>
      <c r="L270" s="42" t="str">
        <f>IFERROR((VLOOKUP(F270,'Planilha de Cadastro - Previsão'!$A$2:$N$1100,11,FALSE()))," ")</f>
        <v xml:space="preserve"> </v>
      </c>
      <c r="M270" s="41" t="str">
        <f>IFERROR((IF(VLOOKUP(F270,'Planilha de Cadastro - Previsão'!$A$2:$N$1100,10,FALSE())="","",VLOOKUP(F270,'Planilha de Cadastro - Previsão'!$A$2:$N$1100,10,FALSE()))),"")</f>
        <v/>
      </c>
      <c r="N270" s="41"/>
      <c r="O270" s="41"/>
      <c r="P270" s="41" t="str">
        <f>IFERROR((IF(VLOOKUP(F270,'Acompanhamento da Licitação'!$F$2:$O$1000,10,FALSE())="","",VLOOKUP(F270,'Acompanhamento da Licitação'!$F$2:$O$1000,10,FALSE()))),"")</f>
        <v/>
      </c>
      <c r="R270" s="61" t="str">
        <f>IFERROR(IF(F270&gt;0,(Final[[#This Row],[Valor da Venda Real]]-Final[[#This Row],[Valor de Compra Previsto]]-4%*Final[[#This Row],[Valor da Venda Real]])/Final[[#This Row],[Valor da Venda Real]],""),"")</f>
        <v/>
      </c>
      <c r="S270" s="61" t="str">
        <f t="shared" si="21"/>
        <v/>
      </c>
      <c r="T270" s="23" t="str">
        <f>IFERROR((R270*Final[[#This Row],[Valor da Venda Real]]*Final[[#This Row],[Quantidade ]]*S270),"")</f>
        <v/>
      </c>
    </row>
    <row r="271" spans="1:20" ht="15.75" x14ac:dyDescent="0.2">
      <c r="A271">
        <f>COUNTIF($C$2:C271,C271)</f>
        <v>270</v>
      </c>
      <c r="B271" s="1" t="str">
        <f t="shared" si="20"/>
        <v>270</v>
      </c>
      <c r="C271" s="1" t="str">
        <f>IFERROR(VLOOKUP(D271,'Planilha de Cadastro - Previsão'!$A$2:$N$1000,14,FALSE()),"")</f>
        <v/>
      </c>
      <c r="D271" s="1">
        <v>270</v>
      </c>
      <c r="F271" s="40" t="str">
        <f t="shared" si="19"/>
        <v/>
      </c>
      <c r="G271" s="40" t="str">
        <f>IF(F271="","",'Prosposta Inicial'!$O$2)</f>
        <v/>
      </c>
      <c r="H271" s="40" t="str">
        <f t="shared" si="18"/>
        <v xml:space="preserve"> </v>
      </c>
      <c r="I271" s="41" t="str">
        <f>IFERROR((VLOOKUP(F271,'Planilha de Cadastro - Previsão'!$A$2:$N$1100,2,FALSE()))," ")</f>
        <v xml:space="preserve"> </v>
      </c>
      <c r="J271" s="40" t="str">
        <f>IFERROR((VLOOKUP(F271,'Planilha de Cadastro - Previsão'!$A$2:$N$1100,3,FALSE()))," ")</f>
        <v xml:space="preserve"> </v>
      </c>
      <c r="K271" s="40"/>
      <c r="L271" s="42" t="str">
        <f>IFERROR((VLOOKUP(F271,'Planilha de Cadastro - Previsão'!$A$2:$N$1100,11,FALSE()))," ")</f>
        <v xml:space="preserve"> </v>
      </c>
      <c r="M271" s="41" t="str">
        <f>IFERROR((IF(VLOOKUP(F271,'Planilha de Cadastro - Previsão'!$A$2:$N$1100,10,FALSE())="","",VLOOKUP(F271,'Planilha de Cadastro - Previsão'!$A$2:$N$1100,10,FALSE()))),"")</f>
        <v/>
      </c>
      <c r="N271" s="41"/>
      <c r="O271" s="41"/>
      <c r="P271" s="41" t="str">
        <f>IFERROR((IF(VLOOKUP(F271,'Acompanhamento da Licitação'!$F$2:$O$1000,10,FALSE())="","",VLOOKUP(F271,'Acompanhamento da Licitação'!$F$2:$O$1000,10,FALSE()))),"")</f>
        <v/>
      </c>
      <c r="R271" s="61" t="str">
        <f>IFERROR(IF(F271&gt;0,(Final[[#This Row],[Valor da Venda Real]]-Final[[#This Row],[Valor de Compra Previsto]]-4%*Final[[#This Row],[Valor da Venda Real]])/Final[[#This Row],[Valor da Venda Real]],""),"")</f>
        <v/>
      </c>
      <c r="S271" s="61" t="str">
        <f t="shared" si="21"/>
        <v/>
      </c>
      <c r="T271" s="23" t="str">
        <f>IFERROR((R271*Final[[#This Row],[Valor da Venda Real]]*Final[[#This Row],[Quantidade ]]*S271),"")</f>
        <v/>
      </c>
    </row>
    <row r="272" spans="1:20" ht="15.75" x14ac:dyDescent="0.2">
      <c r="A272">
        <f>COUNTIF($C$2:C272,C272)</f>
        <v>271</v>
      </c>
      <c r="B272" s="1" t="str">
        <f t="shared" si="20"/>
        <v>271</v>
      </c>
      <c r="C272" s="1" t="str">
        <f>IFERROR(VLOOKUP(D272,'Planilha de Cadastro - Previsão'!$A$2:$N$1000,14,FALSE()),"")</f>
        <v/>
      </c>
      <c r="D272" s="1">
        <v>271</v>
      </c>
      <c r="F272" s="40" t="str">
        <f t="shared" si="19"/>
        <v/>
      </c>
      <c r="G272" s="40" t="str">
        <f>IF(F272="","",'Prosposta Inicial'!$O$2)</f>
        <v/>
      </c>
      <c r="H272" s="40" t="str">
        <f t="shared" si="18"/>
        <v xml:space="preserve"> </v>
      </c>
      <c r="I272" s="41" t="str">
        <f>IFERROR((VLOOKUP(F272,'Planilha de Cadastro - Previsão'!$A$2:$N$1100,2,FALSE()))," ")</f>
        <v xml:space="preserve"> </v>
      </c>
      <c r="J272" s="40" t="str">
        <f>IFERROR((VLOOKUP(F272,'Planilha de Cadastro - Previsão'!$A$2:$N$1100,3,FALSE()))," ")</f>
        <v xml:space="preserve"> </v>
      </c>
      <c r="K272" s="40"/>
      <c r="L272" s="42" t="str">
        <f>IFERROR((VLOOKUP(F272,'Planilha de Cadastro - Previsão'!$A$2:$N$1100,11,FALSE()))," ")</f>
        <v xml:space="preserve"> </v>
      </c>
      <c r="M272" s="41" t="str">
        <f>IFERROR((IF(VLOOKUP(F272,'Planilha de Cadastro - Previsão'!$A$2:$N$1100,10,FALSE())="","",VLOOKUP(F272,'Planilha de Cadastro - Previsão'!$A$2:$N$1100,10,FALSE()))),"")</f>
        <v/>
      </c>
      <c r="N272" s="41"/>
      <c r="O272" s="41"/>
      <c r="P272" s="41" t="str">
        <f>IFERROR((IF(VLOOKUP(F272,'Acompanhamento da Licitação'!$F$2:$O$1000,10,FALSE())="","",VLOOKUP(F272,'Acompanhamento da Licitação'!$F$2:$O$1000,10,FALSE()))),"")</f>
        <v/>
      </c>
      <c r="R272" s="61" t="str">
        <f>IFERROR(IF(F272&gt;0,(Final[[#This Row],[Valor da Venda Real]]-Final[[#This Row],[Valor de Compra Previsto]]-4%*Final[[#This Row],[Valor da Venda Real]])/Final[[#This Row],[Valor da Venda Real]],""),"")</f>
        <v/>
      </c>
      <c r="S272" s="61" t="str">
        <f t="shared" si="21"/>
        <v/>
      </c>
      <c r="T272" s="23" t="str">
        <f>IFERROR((R272*Final[[#This Row],[Valor da Venda Real]]*Final[[#This Row],[Quantidade ]]*S272),"")</f>
        <v/>
      </c>
    </row>
    <row r="273" spans="1:20" ht="15.75" x14ac:dyDescent="0.2">
      <c r="A273">
        <f>COUNTIF($C$2:C273,C273)</f>
        <v>272</v>
      </c>
      <c r="B273" s="1" t="str">
        <f t="shared" si="20"/>
        <v>272</v>
      </c>
      <c r="C273" s="1" t="str">
        <f>IFERROR(VLOOKUP(D273,'Planilha de Cadastro - Previsão'!$A$2:$N$1000,14,FALSE()),"")</f>
        <v/>
      </c>
      <c r="D273" s="1">
        <v>272</v>
      </c>
      <c r="F273" s="40" t="str">
        <f t="shared" si="19"/>
        <v/>
      </c>
      <c r="G273" s="40" t="str">
        <f>IF(F273="","",'Prosposta Inicial'!$O$2)</f>
        <v/>
      </c>
      <c r="H273" s="40" t="str">
        <f t="shared" si="18"/>
        <v xml:space="preserve"> </v>
      </c>
      <c r="I273" s="41" t="str">
        <f>IFERROR((VLOOKUP(F273,'Planilha de Cadastro - Previsão'!$A$2:$N$1100,2,FALSE()))," ")</f>
        <v xml:space="preserve"> </v>
      </c>
      <c r="J273" s="40" t="str">
        <f>IFERROR((VLOOKUP(F273,'Planilha de Cadastro - Previsão'!$A$2:$N$1100,3,FALSE()))," ")</f>
        <v xml:space="preserve"> </v>
      </c>
      <c r="K273" s="40"/>
      <c r="L273" s="42" t="str">
        <f>IFERROR((VLOOKUP(F273,'Planilha de Cadastro - Previsão'!$A$2:$N$1100,11,FALSE()))," ")</f>
        <v xml:space="preserve"> </v>
      </c>
      <c r="M273" s="41" t="str">
        <f>IFERROR((IF(VLOOKUP(F273,'Planilha de Cadastro - Previsão'!$A$2:$N$1100,10,FALSE())="","",VLOOKUP(F273,'Planilha de Cadastro - Previsão'!$A$2:$N$1100,10,FALSE()))),"")</f>
        <v/>
      </c>
      <c r="N273" s="41"/>
      <c r="O273" s="41"/>
      <c r="P273" s="41" t="str">
        <f>IFERROR((IF(VLOOKUP(F273,'Acompanhamento da Licitação'!$F$2:$O$1000,10,FALSE())="","",VLOOKUP(F273,'Acompanhamento da Licitação'!$F$2:$O$1000,10,FALSE()))),"")</f>
        <v/>
      </c>
      <c r="R273" s="61" t="str">
        <f>IFERROR(IF(F273&gt;0,(Final[[#This Row],[Valor da Venda Real]]-Final[[#This Row],[Valor de Compra Previsto]]-4%*Final[[#This Row],[Valor da Venda Real]])/Final[[#This Row],[Valor da Venda Real]],""),"")</f>
        <v/>
      </c>
      <c r="S273" s="61" t="str">
        <f t="shared" si="21"/>
        <v/>
      </c>
      <c r="T273" s="23" t="str">
        <f>IFERROR((R273*Final[[#This Row],[Valor da Venda Real]]*Final[[#This Row],[Quantidade ]]*S273),"")</f>
        <v/>
      </c>
    </row>
    <row r="274" spans="1:20" ht="15.75" x14ac:dyDescent="0.2">
      <c r="A274">
        <f>COUNTIF($C$2:C274,C274)</f>
        <v>273</v>
      </c>
      <c r="B274" s="1" t="str">
        <f t="shared" si="20"/>
        <v>273</v>
      </c>
      <c r="C274" s="1" t="str">
        <f>IFERROR(VLOOKUP(D274,'Planilha de Cadastro - Previsão'!$A$2:$N$1000,14,FALSE()),"")</f>
        <v/>
      </c>
      <c r="D274" s="1">
        <v>273</v>
      </c>
      <c r="F274" s="40" t="str">
        <f t="shared" si="19"/>
        <v/>
      </c>
      <c r="G274" s="40" t="str">
        <f>IF(F274="","",'Prosposta Inicial'!$O$2)</f>
        <v/>
      </c>
      <c r="H274" s="40" t="str">
        <f t="shared" si="18"/>
        <v xml:space="preserve"> </v>
      </c>
      <c r="I274" s="41" t="str">
        <f>IFERROR((VLOOKUP(F274,'Planilha de Cadastro - Previsão'!$A$2:$N$1100,2,FALSE()))," ")</f>
        <v xml:space="preserve"> </v>
      </c>
      <c r="J274" s="40" t="str">
        <f>IFERROR((VLOOKUP(F274,'Planilha de Cadastro - Previsão'!$A$2:$N$1100,3,FALSE()))," ")</f>
        <v xml:space="preserve"> </v>
      </c>
      <c r="K274" s="40"/>
      <c r="L274" s="42" t="str">
        <f>IFERROR((VLOOKUP(F274,'Planilha de Cadastro - Previsão'!$A$2:$N$1100,11,FALSE()))," ")</f>
        <v xml:space="preserve"> </v>
      </c>
      <c r="M274" s="41" t="str">
        <f>IFERROR((IF(VLOOKUP(F274,'Planilha de Cadastro - Previsão'!$A$2:$N$1100,10,FALSE())="","",VLOOKUP(F274,'Planilha de Cadastro - Previsão'!$A$2:$N$1100,10,FALSE()))),"")</f>
        <v/>
      </c>
      <c r="N274" s="41"/>
      <c r="O274" s="41"/>
      <c r="P274" s="41" t="str">
        <f>IFERROR((IF(VLOOKUP(F274,'Acompanhamento da Licitação'!$F$2:$O$1000,10,FALSE())="","",VLOOKUP(F274,'Acompanhamento da Licitação'!$F$2:$O$1000,10,FALSE()))),"")</f>
        <v/>
      </c>
      <c r="R274" s="61" t="str">
        <f>IFERROR(IF(F274&gt;0,(Final[[#This Row],[Valor da Venda Real]]-Final[[#This Row],[Valor de Compra Previsto]]-4%*Final[[#This Row],[Valor da Venda Real]])/Final[[#This Row],[Valor da Venda Real]],""),"")</f>
        <v/>
      </c>
      <c r="S274" s="61" t="str">
        <f t="shared" si="21"/>
        <v/>
      </c>
      <c r="T274" s="23" t="str">
        <f>IFERROR((R274*Final[[#This Row],[Valor da Venda Real]]*Final[[#This Row],[Quantidade ]]*S274),"")</f>
        <v/>
      </c>
    </row>
    <row r="275" spans="1:20" ht="15.75" x14ac:dyDescent="0.2">
      <c r="A275">
        <f>COUNTIF($C$2:C275,C275)</f>
        <v>274</v>
      </c>
      <c r="B275" s="1" t="str">
        <f t="shared" si="20"/>
        <v>274</v>
      </c>
      <c r="C275" s="1" t="str">
        <f>IFERROR(VLOOKUP(D275,'Planilha de Cadastro - Previsão'!$A$2:$N$1000,14,FALSE()),"")</f>
        <v/>
      </c>
      <c r="D275" s="1">
        <v>274</v>
      </c>
      <c r="F275" s="40" t="str">
        <f t="shared" si="19"/>
        <v/>
      </c>
      <c r="G275" s="40" t="str">
        <f>IF(F275="","",'Prosposta Inicial'!$O$2)</f>
        <v/>
      </c>
      <c r="H275" s="40" t="str">
        <f t="shared" si="18"/>
        <v xml:space="preserve"> </v>
      </c>
      <c r="I275" s="41" t="str">
        <f>IFERROR((VLOOKUP(F275,'Planilha de Cadastro - Previsão'!$A$2:$N$1100,2,FALSE()))," ")</f>
        <v xml:space="preserve"> </v>
      </c>
      <c r="J275" s="40" t="str">
        <f>IFERROR((VLOOKUP(F275,'Planilha de Cadastro - Previsão'!$A$2:$N$1100,3,FALSE()))," ")</f>
        <v xml:space="preserve"> </v>
      </c>
      <c r="K275" s="40"/>
      <c r="L275" s="42" t="str">
        <f>IFERROR((VLOOKUP(F275,'Planilha de Cadastro - Previsão'!$A$2:$N$1100,11,FALSE()))," ")</f>
        <v xml:space="preserve"> </v>
      </c>
      <c r="M275" s="41" t="str">
        <f>IFERROR((IF(VLOOKUP(F275,'Planilha de Cadastro - Previsão'!$A$2:$N$1100,10,FALSE())="","",VLOOKUP(F275,'Planilha de Cadastro - Previsão'!$A$2:$N$1100,10,FALSE()))),"")</f>
        <v/>
      </c>
      <c r="N275" s="41"/>
      <c r="O275" s="41"/>
      <c r="P275" s="41" t="str">
        <f>IFERROR((IF(VLOOKUP(F275,'Acompanhamento da Licitação'!$F$2:$O$1000,10,FALSE())="","",VLOOKUP(F275,'Acompanhamento da Licitação'!$F$2:$O$1000,10,FALSE()))),"")</f>
        <v/>
      </c>
      <c r="R275" s="61" t="str">
        <f>IFERROR(IF(F275&gt;0,(Final[[#This Row],[Valor da Venda Real]]-Final[[#This Row],[Valor de Compra Previsto]]-4%*Final[[#This Row],[Valor da Venda Real]])/Final[[#This Row],[Valor da Venda Real]],""),"")</f>
        <v/>
      </c>
      <c r="S275" s="61" t="str">
        <f t="shared" si="21"/>
        <v/>
      </c>
      <c r="T275" s="23" t="str">
        <f>IFERROR((R275*Final[[#This Row],[Valor da Venda Real]]*Final[[#This Row],[Quantidade ]]*S275),"")</f>
        <v/>
      </c>
    </row>
    <row r="276" spans="1:20" ht="15.75" x14ac:dyDescent="0.2">
      <c r="A276">
        <f>COUNTIF($C$2:C276,C276)</f>
        <v>275</v>
      </c>
      <c r="B276" s="1" t="str">
        <f t="shared" si="20"/>
        <v>275</v>
      </c>
      <c r="C276" s="1" t="str">
        <f>IFERROR(VLOOKUP(D276,'Planilha de Cadastro - Previsão'!$A$2:$N$1000,14,FALSE()),"")</f>
        <v/>
      </c>
      <c r="D276" s="1">
        <v>275</v>
      </c>
      <c r="F276" s="40" t="str">
        <f t="shared" si="19"/>
        <v/>
      </c>
      <c r="G276" s="40" t="str">
        <f>IF(F276="","",'Prosposta Inicial'!$O$2)</f>
        <v/>
      </c>
      <c r="H276" s="40" t="str">
        <f t="shared" si="18"/>
        <v xml:space="preserve"> </v>
      </c>
      <c r="I276" s="41" t="str">
        <f>IFERROR((VLOOKUP(F276,'Planilha de Cadastro - Previsão'!$A$2:$N$1100,2,FALSE()))," ")</f>
        <v xml:space="preserve"> </v>
      </c>
      <c r="J276" s="40" t="str">
        <f>IFERROR((VLOOKUP(F276,'Planilha de Cadastro - Previsão'!$A$2:$N$1100,3,FALSE()))," ")</f>
        <v xml:space="preserve"> </v>
      </c>
      <c r="K276" s="40"/>
      <c r="L276" s="42" t="str">
        <f>IFERROR((VLOOKUP(F276,'Planilha de Cadastro - Previsão'!$A$2:$N$1100,11,FALSE()))," ")</f>
        <v xml:space="preserve"> </v>
      </c>
      <c r="M276" s="41" t="str">
        <f>IFERROR((IF(VLOOKUP(F276,'Planilha de Cadastro - Previsão'!$A$2:$N$1100,10,FALSE())="","",VLOOKUP(F276,'Planilha de Cadastro - Previsão'!$A$2:$N$1100,10,FALSE()))),"")</f>
        <v/>
      </c>
      <c r="N276" s="41"/>
      <c r="O276" s="41"/>
      <c r="P276" s="41" t="str">
        <f>IFERROR((IF(VLOOKUP(F276,'Acompanhamento da Licitação'!$F$2:$O$1000,10,FALSE())="","",VLOOKUP(F276,'Acompanhamento da Licitação'!$F$2:$O$1000,10,FALSE()))),"")</f>
        <v/>
      </c>
      <c r="R276" s="61" t="str">
        <f>IFERROR(IF(F276&gt;0,(Final[[#This Row],[Valor da Venda Real]]-Final[[#This Row],[Valor de Compra Previsto]]-4%*Final[[#This Row],[Valor da Venda Real]])/Final[[#This Row],[Valor da Venda Real]],""),"")</f>
        <v/>
      </c>
      <c r="S276" s="61" t="str">
        <f t="shared" si="21"/>
        <v/>
      </c>
      <c r="T276" s="23" t="str">
        <f>IFERROR((R276*Final[[#This Row],[Valor da Venda Real]]*Final[[#This Row],[Quantidade ]]*S276),"")</f>
        <v/>
      </c>
    </row>
    <row r="277" spans="1:20" ht="15.75" x14ac:dyDescent="0.2">
      <c r="A277">
        <f>COUNTIF($C$2:C277,C277)</f>
        <v>276</v>
      </c>
      <c r="B277" s="1" t="str">
        <f t="shared" si="20"/>
        <v>276</v>
      </c>
      <c r="C277" s="1" t="str">
        <f>IFERROR(VLOOKUP(D277,'Planilha de Cadastro - Previsão'!$A$2:$N$1000,14,FALSE()),"")</f>
        <v/>
      </c>
      <c r="D277" s="1">
        <v>276</v>
      </c>
      <c r="F277" s="40" t="str">
        <f t="shared" si="19"/>
        <v/>
      </c>
      <c r="G277" s="40" t="str">
        <f>IF(F277="","",'Prosposta Inicial'!$O$2)</f>
        <v/>
      </c>
      <c r="H277" s="40" t="str">
        <f t="shared" si="18"/>
        <v xml:space="preserve"> </v>
      </c>
      <c r="I277" s="41" t="str">
        <f>IFERROR((VLOOKUP(F277,'Planilha de Cadastro - Previsão'!$A$2:$N$1100,2,FALSE()))," ")</f>
        <v xml:space="preserve"> </v>
      </c>
      <c r="J277" s="40" t="str">
        <f>IFERROR((VLOOKUP(F277,'Planilha de Cadastro - Previsão'!$A$2:$N$1100,3,FALSE()))," ")</f>
        <v xml:space="preserve"> </v>
      </c>
      <c r="K277" s="40"/>
      <c r="L277" s="42" t="str">
        <f>IFERROR((VLOOKUP(F277,'Planilha de Cadastro - Previsão'!$A$2:$N$1100,11,FALSE()))," ")</f>
        <v xml:space="preserve"> </v>
      </c>
      <c r="M277" s="41" t="str">
        <f>IFERROR((IF(VLOOKUP(F277,'Planilha de Cadastro - Previsão'!$A$2:$N$1100,10,FALSE())="","",VLOOKUP(F277,'Planilha de Cadastro - Previsão'!$A$2:$N$1100,10,FALSE()))),"")</f>
        <v/>
      </c>
      <c r="N277" s="41"/>
      <c r="O277" s="41"/>
      <c r="P277" s="41" t="str">
        <f>IFERROR((IF(VLOOKUP(F277,'Acompanhamento da Licitação'!$F$2:$O$1000,10,FALSE())="","",VLOOKUP(F277,'Acompanhamento da Licitação'!$F$2:$O$1000,10,FALSE()))),"")</f>
        <v/>
      </c>
      <c r="R277" s="61" t="str">
        <f>IFERROR(IF(F277&gt;0,(Final[[#This Row],[Valor da Venda Real]]-Final[[#This Row],[Valor de Compra Previsto]]-4%*Final[[#This Row],[Valor da Venda Real]])/Final[[#This Row],[Valor da Venda Real]],""),"")</f>
        <v/>
      </c>
      <c r="S277" s="61" t="str">
        <f t="shared" si="21"/>
        <v/>
      </c>
      <c r="T277" s="23" t="str">
        <f>IFERROR((R277*Final[[#This Row],[Valor da Venda Real]]*Final[[#This Row],[Quantidade ]]*S277),"")</f>
        <v/>
      </c>
    </row>
    <row r="278" spans="1:20" ht="15.75" x14ac:dyDescent="0.2">
      <c r="A278">
        <f>COUNTIF($C$2:C278,C278)</f>
        <v>277</v>
      </c>
      <c r="B278" s="1" t="str">
        <f t="shared" si="20"/>
        <v>277</v>
      </c>
      <c r="C278" s="1" t="str">
        <f>IFERROR(VLOOKUP(D278,'Planilha de Cadastro - Previsão'!$A$2:$N$1000,14,FALSE()),"")</f>
        <v/>
      </c>
      <c r="D278" s="1">
        <v>277</v>
      </c>
      <c r="F278" s="40" t="str">
        <f t="shared" si="19"/>
        <v/>
      </c>
      <c r="G278" s="40" t="str">
        <f>IF(F278="","",'Prosposta Inicial'!$O$2)</f>
        <v/>
      </c>
      <c r="H278" s="40" t="str">
        <f t="shared" si="18"/>
        <v xml:space="preserve"> </v>
      </c>
      <c r="I278" s="41" t="str">
        <f>IFERROR((VLOOKUP(F278,'Planilha de Cadastro - Previsão'!$A$2:$N$1100,2,FALSE()))," ")</f>
        <v xml:space="preserve"> </v>
      </c>
      <c r="J278" s="40" t="str">
        <f>IFERROR((VLOOKUP(F278,'Planilha de Cadastro - Previsão'!$A$2:$N$1100,3,FALSE()))," ")</f>
        <v xml:space="preserve"> </v>
      </c>
      <c r="K278" s="40"/>
      <c r="L278" s="42" t="str">
        <f>IFERROR((VLOOKUP(F278,'Planilha de Cadastro - Previsão'!$A$2:$N$1100,11,FALSE()))," ")</f>
        <v xml:space="preserve"> </v>
      </c>
      <c r="M278" s="41" t="str">
        <f>IFERROR((IF(VLOOKUP(F278,'Planilha de Cadastro - Previsão'!$A$2:$N$1100,10,FALSE())="","",VLOOKUP(F278,'Planilha de Cadastro - Previsão'!$A$2:$N$1100,10,FALSE()))),"")</f>
        <v/>
      </c>
      <c r="N278" s="41"/>
      <c r="O278" s="41"/>
      <c r="P278" s="41" t="str">
        <f>IFERROR((IF(VLOOKUP(F278,'Acompanhamento da Licitação'!$F$2:$O$1000,10,FALSE())="","",VLOOKUP(F278,'Acompanhamento da Licitação'!$F$2:$O$1000,10,FALSE()))),"")</f>
        <v/>
      </c>
      <c r="R278" s="61" t="str">
        <f>IFERROR(IF(F278&gt;0,(Final[[#This Row],[Valor da Venda Real]]-Final[[#This Row],[Valor de Compra Previsto]]-4%*Final[[#This Row],[Valor da Venda Real]])/Final[[#This Row],[Valor da Venda Real]],""),"")</f>
        <v/>
      </c>
      <c r="S278" s="61" t="str">
        <f t="shared" si="21"/>
        <v/>
      </c>
      <c r="T278" s="23" t="str">
        <f>IFERROR((R278*Final[[#This Row],[Valor da Venda Real]]*Final[[#This Row],[Quantidade ]]*S278),"")</f>
        <v/>
      </c>
    </row>
    <row r="279" spans="1:20" ht="15.75" x14ac:dyDescent="0.2">
      <c r="A279">
        <f>COUNTIF($C$2:C279,C279)</f>
        <v>278</v>
      </c>
      <c r="B279" s="1" t="str">
        <f t="shared" si="20"/>
        <v>278</v>
      </c>
      <c r="C279" s="1" t="str">
        <f>IFERROR(VLOOKUP(D279,'Planilha de Cadastro - Previsão'!$A$2:$N$1000,14,FALSE()),"")</f>
        <v/>
      </c>
      <c r="D279" s="1">
        <v>278</v>
      </c>
      <c r="F279" s="40" t="str">
        <f t="shared" si="19"/>
        <v/>
      </c>
      <c r="G279" s="40" t="str">
        <f>IF(F279="","",'Prosposta Inicial'!$O$2)</f>
        <v/>
      </c>
      <c r="H279" s="40" t="str">
        <f t="shared" si="18"/>
        <v xml:space="preserve"> </v>
      </c>
      <c r="I279" s="41" t="str">
        <f>IFERROR((VLOOKUP(F279,'Planilha de Cadastro - Previsão'!$A$2:$N$1100,2,FALSE()))," ")</f>
        <v xml:space="preserve"> </v>
      </c>
      <c r="J279" s="40" t="str">
        <f>IFERROR((VLOOKUP(F279,'Planilha de Cadastro - Previsão'!$A$2:$N$1100,3,FALSE()))," ")</f>
        <v xml:space="preserve"> </v>
      </c>
      <c r="K279" s="40"/>
      <c r="L279" s="42" t="str">
        <f>IFERROR((VLOOKUP(F279,'Planilha de Cadastro - Previsão'!$A$2:$N$1100,11,FALSE()))," ")</f>
        <v xml:space="preserve"> </v>
      </c>
      <c r="M279" s="41" t="str">
        <f>IFERROR((IF(VLOOKUP(F279,'Planilha de Cadastro - Previsão'!$A$2:$N$1100,10,FALSE())="","",VLOOKUP(F279,'Planilha de Cadastro - Previsão'!$A$2:$N$1100,10,FALSE()))),"")</f>
        <v/>
      </c>
      <c r="N279" s="41"/>
      <c r="O279" s="41"/>
      <c r="P279" s="41" t="str">
        <f>IFERROR((IF(VLOOKUP(F279,'Acompanhamento da Licitação'!$F$2:$O$1000,10,FALSE())="","",VLOOKUP(F279,'Acompanhamento da Licitação'!$F$2:$O$1000,10,FALSE()))),"")</f>
        <v/>
      </c>
      <c r="R279" s="61" t="str">
        <f>IFERROR(IF(F279&gt;0,(Final[[#This Row],[Valor da Venda Real]]-Final[[#This Row],[Valor de Compra Previsto]]-4%*Final[[#This Row],[Valor da Venda Real]])/Final[[#This Row],[Valor da Venda Real]],""),"")</f>
        <v/>
      </c>
      <c r="S279" s="61" t="str">
        <f t="shared" si="21"/>
        <v/>
      </c>
      <c r="T279" s="23" t="str">
        <f>IFERROR((R279*Final[[#This Row],[Valor da Venda Real]]*Final[[#This Row],[Quantidade ]]*S279),"")</f>
        <v/>
      </c>
    </row>
    <row r="280" spans="1:20" ht="15.75" x14ac:dyDescent="0.2">
      <c r="A280">
        <f>COUNTIF($C$2:C280,C280)</f>
        <v>279</v>
      </c>
      <c r="B280" s="1" t="str">
        <f t="shared" si="20"/>
        <v>279</v>
      </c>
      <c r="C280" s="1" t="str">
        <f>IFERROR(VLOOKUP(D280,'Planilha de Cadastro - Previsão'!$A$2:$N$1000,14,FALSE()),"")</f>
        <v/>
      </c>
      <c r="D280" s="1">
        <v>279</v>
      </c>
      <c r="F280" s="40" t="str">
        <f t="shared" si="19"/>
        <v/>
      </c>
      <c r="G280" s="40" t="str">
        <f>IF(F280="","",'Prosposta Inicial'!$O$2)</f>
        <v/>
      </c>
      <c r="H280" s="40" t="str">
        <f t="shared" si="18"/>
        <v xml:space="preserve"> </v>
      </c>
      <c r="I280" s="41" t="str">
        <f>IFERROR((VLOOKUP(F280,'Planilha de Cadastro - Previsão'!$A$2:$N$1100,2,FALSE()))," ")</f>
        <v xml:space="preserve"> </v>
      </c>
      <c r="J280" s="40" t="str">
        <f>IFERROR((VLOOKUP(F280,'Planilha de Cadastro - Previsão'!$A$2:$N$1100,3,FALSE()))," ")</f>
        <v xml:space="preserve"> </v>
      </c>
      <c r="K280" s="40"/>
      <c r="L280" s="42" t="str">
        <f>IFERROR((VLOOKUP(F280,'Planilha de Cadastro - Previsão'!$A$2:$N$1100,11,FALSE()))," ")</f>
        <v xml:space="preserve"> </v>
      </c>
      <c r="M280" s="41" t="str">
        <f>IFERROR((IF(VLOOKUP(F280,'Planilha de Cadastro - Previsão'!$A$2:$N$1100,10,FALSE())="","",VLOOKUP(F280,'Planilha de Cadastro - Previsão'!$A$2:$N$1100,10,FALSE()))),"")</f>
        <v/>
      </c>
      <c r="N280" s="41"/>
      <c r="O280" s="41"/>
      <c r="P280" s="41" t="str">
        <f>IFERROR((IF(VLOOKUP(F280,'Acompanhamento da Licitação'!$F$2:$O$1000,10,FALSE())="","",VLOOKUP(F280,'Acompanhamento da Licitação'!$F$2:$O$1000,10,FALSE()))),"")</f>
        <v/>
      </c>
      <c r="R280" s="61" t="str">
        <f>IFERROR(IF(F280&gt;0,(Final[[#This Row],[Valor da Venda Real]]-Final[[#This Row],[Valor de Compra Previsto]]-4%*Final[[#This Row],[Valor da Venda Real]])/Final[[#This Row],[Valor da Venda Real]],""),"")</f>
        <v/>
      </c>
      <c r="S280" s="61" t="str">
        <f t="shared" si="21"/>
        <v/>
      </c>
      <c r="T280" s="23" t="str">
        <f>IFERROR((R280*Final[[#This Row],[Valor da Venda Real]]*Final[[#This Row],[Quantidade ]]*S280),"")</f>
        <v/>
      </c>
    </row>
    <row r="281" spans="1:20" ht="15.75" x14ac:dyDescent="0.2">
      <c r="A281">
        <f>COUNTIF($C$2:C281,C281)</f>
        <v>280</v>
      </c>
      <c r="B281" s="1" t="str">
        <f t="shared" si="20"/>
        <v>280</v>
      </c>
      <c r="C281" s="1" t="str">
        <f>IFERROR(VLOOKUP(D281,'Planilha de Cadastro - Previsão'!$A$2:$N$1000,14,FALSE()),"")</f>
        <v/>
      </c>
      <c r="D281" s="1">
        <v>280</v>
      </c>
      <c r="F281" s="40" t="str">
        <f t="shared" si="19"/>
        <v/>
      </c>
      <c r="G281" s="40" t="str">
        <f>IF(F281="","",'Prosposta Inicial'!$O$2)</f>
        <v/>
      </c>
      <c r="H281" s="40" t="str">
        <f t="shared" si="18"/>
        <v xml:space="preserve"> </v>
      </c>
      <c r="I281" s="41" t="str">
        <f>IFERROR((VLOOKUP(F281,'Planilha de Cadastro - Previsão'!$A$2:$N$1100,2,FALSE()))," ")</f>
        <v xml:space="preserve"> </v>
      </c>
      <c r="J281" s="40" t="str">
        <f>IFERROR((VLOOKUP(F281,'Planilha de Cadastro - Previsão'!$A$2:$N$1100,3,FALSE()))," ")</f>
        <v xml:space="preserve"> </v>
      </c>
      <c r="K281" s="40"/>
      <c r="L281" s="42" t="str">
        <f>IFERROR((VLOOKUP(F281,'Planilha de Cadastro - Previsão'!$A$2:$N$1100,11,FALSE()))," ")</f>
        <v xml:space="preserve"> </v>
      </c>
      <c r="M281" s="41" t="str">
        <f>IFERROR((IF(VLOOKUP(F281,'Planilha de Cadastro - Previsão'!$A$2:$N$1100,10,FALSE())="","",VLOOKUP(F281,'Planilha de Cadastro - Previsão'!$A$2:$N$1100,10,FALSE()))),"")</f>
        <v/>
      </c>
      <c r="N281" s="41"/>
      <c r="O281" s="41"/>
      <c r="P281" s="41" t="str">
        <f>IFERROR((IF(VLOOKUP(F281,'Acompanhamento da Licitação'!$F$2:$O$1000,10,FALSE())="","",VLOOKUP(F281,'Acompanhamento da Licitação'!$F$2:$O$1000,10,FALSE()))),"")</f>
        <v/>
      </c>
      <c r="R281" s="61" t="str">
        <f>IFERROR(IF(F281&gt;0,(Final[[#This Row],[Valor da Venda Real]]-Final[[#This Row],[Valor de Compra Previsto]]-4%*Final[[#This Row],[Valor da Venda Real]])/Final[[#This Row],[Valor da Venda Real]],""),"")</f>
        <v/>
      </c>
      <c r="S281" s="61" t="str">
        <f t="shared" si="21"/>
        <v/>
      </c>
      <c r="T281" s="23" t="str">
        <f>IFERROR((R281*Final[[#This Row],[Valor da Venda Real]]*Final[[#This Row],[Quantidade ]]*S281),"")</f>
        <v/>
      </c>
    </row>
    <row r="282" spans="1:20" ht="15.75" x14ac:dyDescent="0.2">
      <c r="A282">
        <f>COUNTIF($C$2:C282,C282)</f>
        <v>281</v>
      </c>
      <c r="B282" s="1" t="str">
        <f t="shared" si="20"/>
        <v>281</v>
      </c>
      <c r="C282" s="1" t="str">
        <f>IFERROR(VLOOKUP(D282,'Planilha de Cadastro - Previsão'!$A$2:$N$1000,14,FALSE()),"")</f>
        <v/>
      </c>
      <c r="D282" s="1">
        <v>281</v>
      </c>
      <c r="F282" s="40" t="str">
        <f t="shared" si="19"/>
        <v/>
      </c>
      <c r="G282" s="40" t="str">
        <f>IF(F282="","",'Prosposta Inicial'!$O$2)</f>
        <v/>
      </c>
      <c r="H282" s="40" t="str">
        <f t="shared" si="18"/>
        <v xml:space="preserve"> </v>
      </c>
      <c r="I282" s="41" t="str">
        <f>IFERROR((VLOOKUP(F282,'Planilha de Cadastro - Previsão'!$A$2:$N$1100,2,FALSE()))," ")</f>
        <v xml:space="preserve"> </v>
      </c>
      <c r="J282" s="40" t="str">
        <f>IFERROR((VLOOKUP(F282,'Planilha de Cadastro - Previsão'!$A$2:$N$1100,3,FALSE()))," ")</f>
        <v xml:space="preserve"> </v>
      </c>
      <c r="K282" s="40"/>
      <c r="L282" s="42" t="str">
        <f>IFERROR((VLOOKUP(F282,'Planilha de Cadastro - Previsão'!$A$2:$N$1100,11,FALSE()))," ")</f>
        <v xml:space="preserve"> </v>
      </c>
      <c r="M282" s="41" t="str">
        <f>IFERROR((IF(VLOOKUP(F282,'Planilha de Cadastro - Previsão'!$A$2:$N$1100,10,FALSE())="","",VLOOKUP(F282,'Planilha de Cadastro - Previsão'!$A$2:$N$1100,10,FALSE()))),"")</f>
        <v/>
      </c>
      <c r="N282" s="41"/>
      <c r="O282" s="41"/>
      <c r="P282" s="41" t="str">
        <f>IFERROR((IF(VLOOKUP(F282,'Acompanhamento da Licitação'!$F$2:$O$1000,10,FALSE())="","",VLOOKUP(F282,'Acompanhamento da Licitação'!$F$2:$O$1000,10,FALSE()))),"")</f>
        <v/>
      </c>
      <c r="R282" s="61" t="str">
        <f>IFERROR(IF(F282&gt;0,(Final[[#This Row],[Valor da Venda Real]]-Final[[#This Row],[Valor de Compra Previsto]]-4%*Final[[#This Row],[Valor da Venda Real]])/Final[[#This Row],[Valor da Venda Real]],""),"")</f>
        <v/>
      </c>
      <c r="S282" s="61" t="str">
        <f t="shared" si="21"/>
        <v/>
      </c>
      <c r="T282" s="23" t="str">
        <f>IFERROR((R282*Final[[#This Row],[Valor da Venda Real]]*Final[[#This Row],[Quantidade ]]*S282),"")</f>
        <v/>
      </c>
    </row>
    <row r="283" spans="1:20" ht="15.75" x14ac:dyDescent="0.2">
      <c r="A283">
        <f>COUNTIF($C$2:C283,C283)</f>
        <v>282</v>
      </c>
      <c r="B283" s="1" t="str">
        <f t="shared" si="20"/>
        <v>282</v>
      </c>
      <c r="C283" s="1" t="str">
        <f>IFERROR(VLOOKUP(D283,'Planilha de Cadastro - Previsão'!$A$2:$N$1000,14,FALSE()),"")</f>
        <v/>
      </c>
      <c r="D283" s="1">
        <v>282</v>
      </c>
      <c r="F283" s="40" t="str">
        <f t="shared" si="19"/>
        <v/>
      </c>
      <c r="G283" s="40" t="str">
        <f>IF(F283="","",'Prosposta Inicial'!$O$2)</f>
        <v/>
      </c>
      <c r="H283" s="40" t="str">
        <f t="shared" si="18"/>
        <v xml:space="preserve"> </v>
      </c>
      <c r="I283" s="41" t="str">
        <f>IFERROR((VLOOKUP(F283,'Planilha de Cadastro - Previsão'!$A$2:$N$1100,2,FALSE()))," ")</f>
        <v xml:space="preserve"> </v>
      </c>
      <c r="J283" s="40" t="str">
        <f>IFERROR((VLOOKUP(F283,'Planilha de Cadastro - Previsão'!$A$2:$N$1100,3,FALSE()))," ")</f>
        <v xml:space="preserve"> </v>
      </c>
      <c r="K283" s="40"/>
      <c r="L283" s="42" t="str">
        <f>IFERROR((VLOOKUP(F283,'Planilha de Cadastro - Previsão'!$A$2:$N$1100,11,FALSE()))," ")</f>
        <v xml:space="preserve"> </v>
      </c>
      <c r="M283" s="41" t="str">
        <f>IFERROR((IF(VLOOKUP(F283,'Planilha de Cadastro - Previsão'!$A$2:$N$1100,10,FALSE())="","",VLOOKUP(F283,'Planilha de Cadastro - Previsão'!$A$2:$N$1100,10,FALSE()))),"")</f>
        <v/>
      </c>
      <c r="N283" s="41"/>
      <c r="O283" s="41"/>
      <c r="P283" s="41" t="str">
        <f>IFERROR((IF(VLOOKUP(F283,'Acompanhamento da Licitação'!$F$2:$O$1000,10,FALSE())="","",VLOOKUP(F283,'Acompanhamento da Licitação'!$F$2:$O$1000,10,FALSE()))),"")</f>
        <v/>
      </c>
      <c r="R283" s="61" t="str">
        <f>IFERROR(IF(F283&gt;0,(Final[[#This Row],[Valor da Venda Real]]-Final[[#This Row],[Valor de Compra Previsto]]-4%*Final[[#This Row],[Valor da Venda Real]])/Final[[#This Row],[Valor da Venda Real]],""),"")</f>
        <v/>
      </c>
      <c r="S283" s="61" t="str">
        <f t="shared" si="21"/>
        <v/>
      </c>
      <c r="T283" s="23" t="str">
        <f>IFERROR((R283*Final[[#This Row],[Valor da Venda Real]]*Final[[#This Row],[Quantidade ]]*S283),"")</f>
        <v/>
      </c>
    </row>
    <row r="284" spans="1:20" ht="15.75" x14ac:dyDescent="0.2">
      <c r="A284">
        <f>COUNTIF($C$2:C284,C284)</f>
        <v>283</v>
      </c>
      <c r="B284" s="1" t="str">
        <f t="shared" si="20"/>
        <v>283</v>
      </c>
      <c r="C284" s="1" t="str">
        <f>IFERROR(VLOOKUP(D284,'Planilha de Cadastro - Previsão'!$A$2:$N$1000,14,FALSE()),"")</f>
        <v/>
      </c>
      <c r="D284" s="1">
        <v>283</v>
      </c>
      <c r="F284" s="40" t="str">
        <f t="shared" si="19"/>
        <v/>
      </c>
      <c r="G284" s="40" t="str">
        <f>IF(F284="","",'Prosposta Inicial'!$O$2)</f>
        <v/>
      </c>
      <c r="H284" s="40" t="str">
        <f t="shared" si="18"/>
        <v xml:space="preserve"> </v>
      </c>
      <c r="I284" s="41" t="str">
        <f>IFERROR((VLOOKUP(F284,'Planilha de Cadastro - Previsão'!$A$2:$N$1100,2,FALSE()))," ")</f>
        <v xml:space="preserve"> </v>
      </c>
      <c r="J284" s="40" t="str">
        <f>IFERROR((VLOOKUP(F284,'Planilha de Cadastro - Previsão'!$A$2:$N$1100,3,FALSE()))," ")</f>
        <v xml:space="preserve"> </v>
      </c>
      <c r="K284" s="40"/>
      <c r="L284" s="42" t="str">
        <f>IFERROR((VLOOKUP(F284,'Planilha de Cadastro - Previsão'!$A$2:$N$1100,11,FALSE()))," ")</f>
        <v xml:space="preserve"> </v>
      </c>
      <c r="M284" s="41" t="str">
        <f>IFERROR((IF(VLOOKUP(F284,'Planilha de Cadastro - Previsão'!$A$2:$N$1100,10,FALSE())="","",VLOOKUP(F284,'Planilha de Cadastro - Previsão'!$A$2:$N$1100,10,FALSE()))),"")</f>
        <v/>
      </c>
      <c r="N284" s="41"/>
      <c r="O284" s="41"/>
      <c r="P284" s="41" t="str">
        <f>IFERROR((IF(VLOOKUP(F284,'Acompanhamento da Licitação'!$F$2:$O$1000,10,FALSE())="","",VLOOKUP(F284,'Acompanhamento da Licitação'!$F$2:$O$1000,10,FALSE()))),"")</f>
        <v/>
      </c>
      <c r="R284" s="61" t="str">
        <f>IFERROR(IF(F284&gt;0,(Final[[#This Row],[Valor da Venda Real]]-Final[[#This Row],[Valor de Compra Previsto]]-4%*Final[[#This Row],[Valor da Venda Real]])/Final[[#This Row],[Valor da Venda Real]],""),"")</f>
        <v/>
      </c>
      <c r="S284" s="61" t="str">
        <f t="shared" si="21"/>
        <v/>
      </c>
      <c r="T284" s="23" t="str">
        <f>IFERROR((R284*Final[[#This Row],[Valor da Venda Real]]*Final[[#This Row],[Quantidade ]]*S284),"")</f>
        <v/>
      </c>
    </row>
    <row r="285" spans="1:20" ht="15.75" x14ac:dyDescent="0.2">
      <c r="A285">
        <f>COUNTIF($C$2:C285,C285)</f>
        <v>284</v>
      </c>
      <c r="B285" s="1" t="str">
        <f t="shared" si="20"/>
        <v>284</v>
      </c>
      <c r="C285" s="1" t="str">
        <f>IFERROR(VLOOKUP(D285,'Planilha de Cadastro - Previsão'!$A$2:$N$1000,14,FALSE()),"")</f>
        <v/>
      </c>
      <c r="D285" s="1">
        <v>284</v>
      </c>
      <c r="F285" s="40" t="str">
        <f t="shared" si="19"/>
        <v/>
      </c>
      <c r="G285" s="40" t="str">
        <f>IF(F285="","",'Prosposta Inicial'!$O$2)</f>
        <v/>
      </c>
      <c r="H285" s="40" t="str">
        <f t="shared" si="18"/>
        <v xml:space="preserve"> </v>
      </c>
      <c r="I285" s="41" t="str">
        <f>IFERROR((VLOOKUP(F285,'Planilha de Cadastro - Previsão'!$A$2:$N$1100,2,FALSE()))," ")</f>
        <v xml:space="preserve"> </v>
      </c>
      <c r="J285" s="40" t="str">
        <f>IFERROR((VLOOKUP(F285,'Planilha de Cadastro - Previsão'!$A$2:$N$1100,3,FALSE()))," ")</f>
        <v xml:space="preserve"> </v>
      </c>
      <c r="K285" s="40"/>
      <c r="L285" s="42" t="str">
        <f>IFERROR((VLOOKUP(F285,'Planilha de Cadastro - Previsão'!$A$2:$N$1100,11,FALSE()))," ")</f>
        <v xml:space="preserve"> </v>
      </c>
      <c r="M285" s="41" t="str">
        <f>IFERROR((IF(VLOOKUP(F285,'Planilha de Cadastro - Previsão'!$A$2:$N$1100,10,FALSE())="","",VLOOKUP(F285,'Planilha de Cadastro - Previsão'!$A$2:$N$1100,10,FALSE()))),"")</f>
        <v/>
      </c>
      <c r="N285" s="41"/>
      <c r="O285" s="41"/>
      <c r="P285" s="41" t="str">
        <f>IFERROR((IF(VLOOKUP(F285,'Acompanhamento da Licitação'!$F$2:$O$1000,10,FALSE())="","",VLOOKUP(F285,'Acompanhamento da Licitação'!$F$2:$O$1000,10,FALSE()))),"")</f>
        <v/>
      </c>
      <c r="R285" s="61" t="str">
        <f>IFERROR(IF(F285&gt;0,(Final[[#This Row],[Valor da Venda Real]]-Final[[#This Row],[Valor de Compra Previsto]]-4%*Final[[#This Row],[Valor da Venda Real]])/Final[[#This Row],[Valor da Venda Real]],""),"")</f>
        <v/>
      </c>
      <c r="S285" s="61" t="str">
        <f t="shared" si="21"/>
        <v/>
      </c>
      <c r="T285" s="23" t="str">
        <f>IFERROR((R285*Final[[#This Row],[Valor da Venda Real]]*Final[[#This Row],[Quantidade ]]*S285),"")</f>
        <v/>
      </c>
    </row>
    <row r="286" spans="1:20" ht="15.75" x14ac:dyDescent="0.2">
      <c r="A286">
        <f>COUNTIF($C$2:C286,C286)</f>
        <v>285</v>
      </c>
      <c r="B286" s="1" t="str">
        <f t="shared" si="20"/>
        <v>285</v>
      </c>
      <c r="C286" s="1" t="str">
        <f>IFERROR(VLOOKUP(D286,'Planilha de Cadastro - Previsão'!$A$2:$N$1000,14,FALSE()),"")</f>
        <v/>
      </c>
      <c r="D286" s="1">
        <v>285</v>
      </c>
      <c r="F286" s="40" t="str">
        <f t="shared" si="19"/>
        <v/>
      </c>
      <c r="G286" s="40" t="str">
        <f>IF(F286="","",'Prosposta Inicial'!$O$2)</f>
        <v/>
      </c>
      <c r="H286" s="40" t="str">
        <f t="shared" si="18"/>
        <v xml:space="preserve"> </v>
      </c>
      <c r="I286" s="41" t="str">
        <f>IFERROR((VLOOKUP(F286,'Planilha de Cadastro - Previsão'!$A$2:$N$1100,2,FALSE()))," ")</f>
        <v xml:space="preserve"> </v>
      </c>
      <c r="J286" s="40" t="str">
        <f>IFERROR((VLOOKUP(F286,'Planilha de Cadastro - Previsão'!$A$2:$N$1100,3,FALSE()))," ")</f>
        <v xml:space="preserve"> </v>
      </c>
      <c r="K286" s="40"/>
      <c r="L286" s="42" t="str">
        <f>IFERROR((VLOOKUP(F286,'Planilha de Cadastro - Previsão'!$A$2:$N$1100,11,FALSE()))," ")</f>
        <v xml:space="preserve"> </v>
      </c>
      <c r="M286" s="41" t="str">
        <f>IFERROR((IF(VLOOKUP(F286,'Planilha de Cadastro - Previsão'!$A$2:$N$1100,10,FALSE())="","",VLOOKUP(F286,'Planilha de Cadastro - Previsão'!$A$2:$N$1100,10,FALSE()))),"")</f>
        <v/>
      </c>
      <c r="N286" s="41"/>
      <c r="O286" s="41"/>
      <c r="P286" s="41" t="str">
        <f>IFERROR((IF(VLOOKUP(F286,'Acompanhamento da Licitação'!$F$2:$O$1000,10,FALSE())="","",VLOOKUP(F286,'Acompanhamento da Licitação'!$F$2:$O$1000,10,FALSE()))),"")</f>
        <v/>
      </c>
      <c r="R286" s="61" t="str">
        <f>IFERROR(IF(F286&gt;0,(Final[[#This Row],[Valor da Venda Real]]-Final[[#This Row],[Valor de Compra Previsto]]-4%*Final[[#This Row],[Valor da Venda Real]])/Final[[#This Row],[Valor da Venda Real]],""),"")</f>
        <v/>
      </c>
      <c r="S286" s="61" t="str">
        <f t="shared" si="21"/>
        <v/>
      </c>
      <c r="T286" s="23" t="str">
        <f>IFERROR((R286*Final[[#This Row],[Valor da Venda Real]]*Final[[#This Row],[Quantidade ]]*S286),"")</f>
        <v/>
      </c>
    </row>
    <row r="287" spans="1:20" ht="15.75" x14ac:dyDescent="0.2">
      <c r="A287">
        <f>COUNTIF($C$2:C287,C287)</f>
        <v>286</v>
      </c>
      <c r="B287" s="1" t="str">
        <f t="shared" si="20"/>
        <v>286</v>
      </c>
      <c r="C287" s="1" t="str">
        <f>IFERROR(VLOOKUP(D287,'Planilha de Cadastro - Previsão'!$A$2:$N$1000,14,FALSE()),"")</f>
        <v/>
      </c>
      <c r="D287" s="1">
        <v>286</v>
      </c>
      <c r="F287" s="40" t="str">
        <f t="shared" si="19"/>
        <v/>
      </c>
      <c r="G287" s="40" t="str">
        <f>IF(F287="","",'Prosposta Inicial'!$O$2)</f>
        <v/>
      </c>
      <c r="H287" s="40" t="str">
        <f t="shared" si="18"/>
        <v xml:space="preserve"> </v>
      </c>
      <c r="I287" s="41" t="str">
        <f>IFERROR((VLOOKUP(F287,'Planilha de Cadastro - Previsão'!$A$2:$N$1100,2,FALSE()))," ")</f>
        <v xml:space="preserve"> </v>
      </c>
      <c r="J287" s="40" t="str">
        <f>IFERROR((VLOOKUP(F287,'Planilha de Cadastro - Previsão'!$A$2:$N$1100,3,FALSE()))," ")</f>
        <v xml:space="preserve"> </v>
      </c>
      <c r="K287" s="40"/>
      <c r="L287" s="42" t="str">
        <f>IFERROR((VLOOKUP(F287,'Planilha de Cadastro - Previsão'!$A$2:$N$1100,11,FALSE()))," ")</f>
        <v xml:space="preserve"> </v>
      </c>
      <c r="M287" s="41" t="str">
        <f>IFERROR((IF(VLOOKUP(F287,'Planilha de Cadastro - Previsão'!$A$2:$N$1100,10,FALSE())="","",VLOOKUP(F287,'Planilha de Cadastro - Previsão'!$A$2:$N$1100,10,FALSE()))),"")</f>
        <v/>
      </c>
      <c r="N287" s="41"/>
      <c r="O287" s="41"/>
      <c r="P287" s="41" t="str">
        <f>IFERROR((IF(VLOOKUP(F287,'Acompanhamento da Licitação'!$F$2:$O$1000,10,FALSE())="","",VLOOKUP(F287,'Acompanhamento da Licitação'!$F$2:$O$1000,10,FALSE()))),"")</f>
        <v/>
      </c>
      <c r="R287" s="61" t="str">
        <f>IFERROR(IF(F287&gt;0,(Final[[#This Row],[Valor da Venda Real]]-Final[[#This Row],[Valor de Compra Previsto]]-4%*Final[[#This Row],[Valor da Venda Real]])/Final[[#This Row],[Valor da Venda Real]],""),"")</f>
        <v/>
      </c>
      <c r="S287" s="61" t="str">
        <f t="shared" si="21"/>
        <v/>
      </c>
      <c r="T287" s="23" t="str">
        <f>IFERROR((R287*Final[[#This Row],[Valor da Venda Real]]*Final[[#This Row],[Quantidade ]]*S287),"")</f>
        <v/>
      </c>
    </row>
    <row r="288" spans="1:20" ht="15.75" x14ac:dyDescent="0.2">
      <c r="A288">
        <f>COUNTIF($C$2:C288,C288)</f>
        <v>287</v>
      </c>
      <c r="B288" s="1" t="str">
        <f t="shared" si="20"/>
        <v>287</v>
      </c>
      <c r="C288" s="1" t="str">
        <f>IFERROR(VLOOKUP(D288,'Planilha de Cadastro - Previsão'!$A$2:$N$1000,14,FALSE()),"")</f>
        <v/>
      </c>
      <c r="D288" s="1">
        <v>287</v>
      </c>
      <c r="F288" s="40" t="str">
        <f t="shared" si="19"/>
        <v/>
      </c>
      <c r="G288" s="40" t="str">
        <f>IF(F288="","",'Prosposta Inicial'!$O$2)</f>
        <v/>
      </c>
      <c r="H288" s="40" t="str">
        <f t="shared" si="18"/>
        <v xml:space="preserve"> </v>
      </c>
      <c r="I288" s="41" t="str">
        <f>IFERROR((VLOOKUP(F288,'Planilha de Cadastro - Previsão'!$A$2:$N$1100,2,FALSE()))," ")</f>
        <v xml:space="preserve"> </v>
      </c>
      <c r="J288" s="40" t="str">
        <f>IFERROR((VLOOKUP(F288,'Planilha de Cadastro - Previsão'!$A$2:$N$1100,3,FALSE()))," ")</f>
        <v xml:space="preserve"> </v>
      </c>
      <c r="K288" s="40"/>
      <c r="L288" s="42" t="str">
        <f>IFERROR((VLOOKUP(F288,'Planilha de Cadastro - Previsão'!$A$2:$N$1100,11,FALSE()))," ")</f>
        <v xml:space="preserve"> </v>
      </c>
      <c r="M288" s="41" t="str">
        <f>IFERROR((IF(VLOOKUP(F288,'Planilha de Cadastro - Previsão'!$A$2:$N$1100,10,FALSE())="","",VLOOKUP(F288,'Planilha de Cadastro - Previsão'!$A$2:$N$1100,10,FALSE()))),"")</f>
        <v/>
      </c>
      <c r="N288" s="41"/>
      <c r="O288" s="41"/>
      <c r="P288" s="41" t="str">
        <f>IFERROR((IF(VLOOKUP(F288,'Acompanhamento da Licitação'!$F$2:$O$1000,10,FALSE())="","",VLOOKUP(F288,'Acompanhamento da Licitação'!$F$2:$O$1000,10,FALSE()))),"")</f>
        <v/>
      </c>
      <c r="R288" s="61" t="str">
        <f>IFERROR(IF(F288&gt;0,(Final[[#This Row],[Valor da Venda Real]]-Final[[#This Row],[Valor de Compra Previsto]]-4%*Final[[#This Row],[Valor da Venda Real]])/Final[[#This Row],[Valor da Venda Real]],""),"")</f>
        <v/>
      </c>
      <c r="S288" s="61" t="str">
        <f t="shared" si="21"/>
        <v/>
      </c>
      <c r="T288" s="23" t="str">
        <f>IFERROR((R288*Final[[#This Row],[Valor da Venda Real]]*Final[[#This Row],[Quantidade ]]*S288),"")</f>
        <v/>
      </c>
    </row>
    <row r="289" spans="1:20" ht="15.75" x14ac:dyDescent="0.2">
      <c r="A289">
        <f>COUNTIF($C$2:C289,C289)</f>
        <v>288</v>
      </c>
      <c r="B289" s="1" t="str">
        <f t="shared" si="20"/>
        <v>288</v>
      </c>
      <c r="C289" s="1" t="str">
        <f>IFERROR(VLOOKUP(D289,'Planilha de Cadastro - Previsão'!$A$2:$N$1000,14,FALSE()),"")</f>
        <v/>
      </c>
      <c r="D289" s="1">
        <v>288</v>
      </c>
      <c r="F289" s="40" t="str">
        <f t="shared" si="19"/>
        <v/>
      </c>
      <c r="G289" s="40" t="str">
        <f>IF(F289="","",'Prosposta Inicial'!$O$2)</f>
        <v/>
      </c>
      <c r="H289" s="40" t="str">
        <f t="shared" si="18"/>
        <v xml:space="preserve"> </v>
      </c>
      <c r="I289" s="41" t="str">
        <f>IFERROR((VLOOKUP(F289,'Planilha de Cadastro - Previsão'!$A$2:$N$1100,2,FALSE()))," ")</f>
        <v xml:space="preserve"> </v>
      </c>
      <c r="J289" s="40" t="str">
        <f>IFERROR((VLOOKUP(F289,'Planilha de Cadastro - Previsão'!$A$2:$N$1100,3,FALSE()))," ")</f>
        <v xml:space="preserve"> </v>
      </c>
      <c r="K289" s="40"/>
      <c r="L289" s="42" t="str">
        <f>IFERROR((VLOOKUP(F289,'Planilha de Cadastro - Previsão'!$A$2:$N$1100,11,FALSE()))," ")</f>
        <v xml:space="preserve"> </v>
      </c>
      <c r="M289" s="41" t="str">
        <f>IFERROR((IF(VLOOKUP(F289,'Planilha de Cadastro - Previsão'!$A$2:$N$1100,10,FALSE())="","",VLOOKUP(F289,'Planilha de Cadastro - Previsão'!$A$2:$N$1100,10,FALSE()))),"")</f>
        <v/>
      </c>
      <c r="N289" s="41"/>
      <c r="O289" s="41"/>
      <c r="P289" s="41" t="str">
        <f>IFERROR((IF(VLOOKUP(F289,'Acompanhamento da Licitação'!$F$2:$O$1000,10,FALSE())="","",VLOOKUP(F289,'Acompanhamento da Licitação'!$F$2:$O$1000,10,FALSE()))),"")</f>
        <v/>
      </c>
      <c r="R289" s="61" t="str">
        <f>IFERROR(IF(F289&gt;0,(Final[[#This Row],[Valor da Venda Real]]-Final[[#This Row],[Valor de Compra Previsto]]-4%*Final[[#This Row],[Valor da Venda Real]])/Final[[#This Row],[Valor da Venda Real]],""),"")</f>
        <v/>
      </c>
      <c r="S289" s="61" t="str">
        <f t="shared" si="21"/>
        <v/>
      </c>
      <c r="T289" s="23" t="str">
        <f>IFERROR((R289*Final[[#This Row],[Valor da Venda Real]]*Final[[#This Row],[Quantidade ]]*S289),"")</f>
        <v/>
      </c>
    </row>
    <row r="290" spans="1:20" ht="15.75" x14ac:dyDescent="0.2">
      <c r="A290">
        <f>COUNTIF($C$2:C290,C290)</f>
        <v>289</v>
      </c>
      <c r="B290" s="1" t="str">
        <f t="shared" si="20"/>
        <v>289</v>
      </c>
      <c r="C290" s="1" t="str">
        <f>IFERROR(VLOOKUP(D290,'Planilha de Cadastro - Previsão'!$A$2:$N$1000,14,FALSE()),"")</f>
        <v/>
      </c>
      <c r="D290" s="1">
        <v>289</v>
      </c>
      <c r="F290" s="40" t="str">
        <f t="shared" si="19"/>
        <v/>
      </c>
      <c r="G290" s="40" t="str">
        <f>IF(F290="","",'Prosposta Inicial'!$O$2)</f>
        <v/>
      </c>
      <c r="H290" s="40" t="str">
        <f t="shared" si="18"/>
        <v xml:space="preserve"> </v>
      </c>
      <c r="I290" s="41" t="str">
        <f>IFERROR((VLOOKUP(F290,'Planilha de Cadastro - Previsão'!$A$2:$N$1100,2,FALSE()))," ")</f>
        <v xml:space="preserve"> </v>
      </c>
      <c r="J290" s="40" t="str">
        <f>IFERROR((VLOOKUP(F290,'Planilha de Cadastro - Previsão'!$A$2:$N$1100,3,FALSE()))," ")</f>
        <v xml:space="preserve"> </v>
      </c>
      <c r="K290" s="40"/>
      <c r="L290" s="42" t="str">
        <f>IFERROR((VLOOKUP(F290,'Planilha de Cadastro - Previsão'!$A$2:$N$1100,11,FALSE()))," ")</f>
        <v xml:space="preserve"> </v>
      </c>
      <c r="M290" s="41" t="str">
        <f>IFERROR((IF(VLOOKUP(F290,'Planilha de Cadastro - Previsão'!$A$2:$N$1100,10,FALSE())="","",VLOOKUP(F290,'Planilha de Cadastro - Previsão'!$A$2:$N$1100,10,FALSE()))),"")</f>
        <v/>
      </c>
      <c r="N290" s="41"/>
      <c r="O290" s="41"/>
      <c r="P290" s="41" t="str">
        <f>IFERROR((IF(VLOOKUP(F290,'Acompanhamento da Licitação'!$F$2:$O$1000,10,FALSE())="","",VLOOKUP(F290,'Acompanhamento da Licitação'!$F$2:$O$1000,10,FALSE()))),"")</f>
        <v/>
      </c>
      <c r="R290" s="61" t="str">
        <f>IFERROR(IF(F290&gt;0,(Final[[#This Row],[Valor da Venda Real]]-Final[[#This Row],[Valor de Compra Previsto]]-4%*Final[[#This Row],[Valor da Venda Real]])/Final[[#This Row],[Valor da Venda Real]],""),"")</f>
        <v/>
      </c>
      <c r="S290" s="61" t="str">
        <f t="shared" si="21"/>
        <v/>
      </c>
      <c r="T290" s="23" t="str">
        <f>IFERROR((R290*Final[[#This Row],[Valor da Venda Real]]*Final[[#This Row],[Quantidade ]]*S290),"")</f>
        <v/>
      </c>
    </row>
    <row r="291" spans="1:20" ht="15.75" x14ac:dyDescent="0.2">
      <c r="A291">
        <f>COUNTIF($C$2:C291,C291)</f>
        <v>290</v>
      </c>
      <c r="B291" s="1" t="str">
        <f t="shared" si="20"/>
        <v>290</v>
      </c>
      <c r="C291" s="1" t="str">
        <f>IFERROR(VLOOKUP(D291,'Planilha de Cadastro - Previsão'!$A$2:$N$1000,14,FALSE()),"")</f>
        <v/>
      </c>
      <c r="D291" s="1">
        <v>290</v>
      </c>
      <c r="F291" s="40" t="str">
        <f t="shared" si="19"/>
        <v/>
      </c>
      <c r="G291" s="40" t="str">
        <f>IF(F291="","",'Prosposta Inicial'!$O$2)</f>
        <v/>
      </c>
      <c r="H291" s="40" t="str">
        <f t="shared" si="18"/>
        <v xml:space="preserve"> </v>
      </c>
      <c r="I291" s="41" t="str">
        <f>IFERROR((VLOOKUP(F291,'Planilha de Cadastro - Previsão'!$A$2:$N$1100,2,FALSE()))," ")</f>
        <v xml:space="preserve"> </v>
      </c>
      <c r="J291" s="40" t="str">
        <f>IFERROR((VLOOKUP(F291,'Planilha de Cadastro - Previsão'!$A$2:$N$1100,3,FALSE()))," ")</f>
        <v xml:space="preserve"> </v>
      </c>
      <c r="K291" s="40"/>
      <c r="L291" s="42" t="str">
        <f>IFERROR((VLOOKUP(F291,'Planilha de Cadastro - Previsão'!$A$2:$N$1100,11,FALSE()))," ")</f>
        <v xml:space="preserve"> </v>
      </c>
      <c r="M291" s="41" t="str">
        <f>IFERROR((IF(VLOOKUP(F291,'Planilha de Cadastro - Previsão'!$A$2:$N$1100,10,FALSE())="","",VLOOKUP(F291,'Planilha de Cadastro - Previsão'!$A$2:$N$1100,10,FALSE()))),"")</f>
        <v/>
      </c>
      <c r="N291" s="41"/>
      <c r="O291" s="41"/>
      <c r="P291" s="41" t="str">
        <f>IFERROR((IF(VLOOKUP(F291,'Acompanhamento da Licitação'!$F$2:$O$1000,10,FALSE())="","",VLOOKUP(F291,'Acompanhamento da Licitação'!$F$2:$O$1000,10,FALSE()))),"")</f>
        <v/>
      </c>
      <c r="R291" s="61" t="str">
        <f>IFERROR(IF(F291&gt;0,(Final[[#This Row],[Valor da Venda Real]]-Final[[#This Row],[Valor de Compra Previsto]]-4%*Final[[#This Row],[Valor da Venda Real]])/Final[[#This Row],[Valor da Venda Real]],""),"")</f>
        <v/>
      </c>
      <c r="S291" s="61" t="str">
        <f t="shared" si="21"/>
        <v/>
      </c>
      <c r="T291" s="23" t="str">
        <f>IFERROR((R291*Final[[#This Row],[Valor da Venda Real]]*Final[[#This Row],[Quantidade ]]*S291),"")</f>
        <v/>
      </c>
    </row>
    <row r="292" spans="1:20" ht="15.75" x14ac:dyDescent="0.2">
      <c r="A292">
        <f>COUNTIF($C$2:C292,C292)</f>
        <v>291</v>
      </c>
      <c r="B292" s="1" t="str">
        <f t="shared" si="20"/>
        <v>291</v>
      </c>
      <c r="C292" s="1" t="str">
        <f>IFERROR(VLOOKUP(D292,'Planilha de Cadastro - Previsão'!$A$2:$N$1000,14,FALSE()),"")</f>
        <v/>
      </c>
      <c r="D292" s="1">
        <v>291</v>
      </c>
      <c r="F292" s="40" t="str">
        <f t="shared" si="19"/>
        <v/>
      </c>
      <c r="G292" s="40" t="str">
        <f>IF(F292="","",'Prosposta Inicial'!$O$2)</f>
        <v/>
      </c>
      <c r="H292" s="40" t="str">
        <f t="shared" si="18"/>
        <v xml:space="preserve"> </v>
      </c>
      <c r="I292" s="41" t="str">
        <f>IFERROR((VLOOKUP(F292,'Planilha de Cadastro - Previsão'!$A$2:$N$1100,2,FALSE()))," ")</f>
        <v xml:space="preserve"> </v>
      </c>
      <c r="J292" s="40" t="str">
        <f>IFERROR((VLOOKUP(F292,'Planilha de Cadastro - Previsão'!$A$2:$N$1100,3,FALSE()))," ")</f>
        <v xml:space="preserve"> </v>
      </c>
      <c r="K292" s="40"/>
      <c r="L292" s="42" t="str">
        <f>IFERROR((VLOOKUP(F292,'Planilha de Cadastro - Previsão'!$A$2:$N$1100,11,FALSE()))," ")</f>
        <v xml:space="preserve"> </v>
      </c>
      <c r="M292" s="41" t="str">
        <f>IFERROR((IF(VLOOKUP(F292,'Planilha de Cadastro - Previsão'!$A$2:$N$1100,10,FALSE())="","",VLOOKUP(F292,'Planilha de Cadastro - Previsão'!$A$2:$N$1100,10,FALSE()))),"")</f>
        <v/>
      </c>
      <c r="N292" s="41"/>
      <c r="O292" s="41"/>
      <c r="P292" s="41" t="str">
        <f>IFERROR((IF(VLOOKUP(F292,'Acompanhamento da Licitação'!$F$2:$O$1000,10,FALSE())="","",VLOOKUP(F292,'Acompanhamento da Licitação'!$F$2:$O$1000,10,FALSE()))),"")</f>
        <v/>
      </c>
      <c r="R292" s="61" t="str">
        <f>IFERROR(IF(F292&gt;0,(Final[[#This Row],[Valor da Venda Real]]-Final[[#This Row],[Valor de Compra Previsto]]-4%*Final[[#This Row],[Valor da Venda Real]])/Final[[#This Row],[Valor da Venda Real]],""),"")</f>
        <v/>
      </c>
      <c r="S292" s="61" t="str">
        <f t="shared" si="21"/>
        <v/>
      </c>
      <c r="T292" s="23" t="str">
        <f>IFERROR((R292*Final[[#This Row],[Valor da Venda Real]]*Final[[#This Row],[Quantidade ]]*S292),"")</f>
        <v/>
      </c>
    </row>
    <row r="293" spans="1:20" ht="15.75" x14ac:dyDescent="0.2">
      <c r="A293">
        <f>COUNTIF($C$2:C293,C293)</f>
        <v>292</v>
      </c>
      <c r="B293" s="1" t="str">
        <f t="shared" si="20"/>
        <v>292</v>
      </c>
      <c r="C293" s="1" t="str">
        <f>IFERROR(VLOOKUP(D293,'Planilha de Cadastro - Previsão'!$A$2:$N$1000,14,FALSE()),"")</f>
        <v/>
      </c>
      <c r="D293" s="1">
        <v>292</v>
      </c>
      <c r="F293" s="40" t="str">
        <f t="shared" si="19"/>
        <v/>
      </c>
      <c r="G293" s="40" t="str">
        <f>IF(F293="","",'Prosposta Inicial'!$O$2)</f>
        <v/>
      </c>
      <c r="H293" s="40" t="str">
        <f t="shared" ref="H293:H356" si="22">CONCATENATE(F293,G293,I293)</f>
        <v xml:space="preserve"> </v>
      </c>
      <c r="I293" s="41" t="str">
        <f>IFERROR((VLOOKUP(F293,'Planilha de Cadastro - Previsão'!$A$2:$N$1100,2,FALSE()))," ")</f>
        <v xml:space="preserve"> </v>
      </c>
      <c r="J293" s="40" t="str">
        <f>IFERROR((VLOOKUP(F293,'Planilha de Cadastro - Previsão'!$A$2:$N$1100,3,FALSE()))," ")</f>
        <v xml:space="preserve"> </v>
      </c>
      <c r="K293" s="40"/>
      <c r="L293" s="42" t="str">
        <f>IFERROR((VLOOKUP(F293,'Planilha de Cadastro - Previsão'!$A$2:$N$1100,11,FALSE()))," ")</f>
        <v xml:space="preserve"> </v>
      </c>
      <c r="M293" s="41" t="str">
        <f>IFERROR((IF(VLOOKUP(F293,'Planilha de Cadastro - Previsão'!$A$2:$N$1100,10,FALSE())="","",VLOOKUP(F293,'Planilha de Cadastro - Previsão'!$A$2:$N$1100,10,FALSE()))),"")</f>
        <v/>
      </c>
      <c r="N293" s="41"/>
      <c r="O293" s="41"/>
      <c r="P293" s="41" t="str">
        <f>IFERROR((IF(VLOOKUP(F293,'Acompanhamento da Licitação'!$F$2:$O$1000,10,FALSE())="","",VLOOKUP(F293,'Acompanhamento da Licitação'!$F$2:$O$1000,10,FALSE()))),"")</f>
        <v/>
      </c>
      <c r="R293" s="61" t="str">
        <f>IFERROR(IF(F293&gt;0,(Final[[#This Row],[Valor da Venda Real]]-Final[[#This Row],[Valor de Compra Previsto]]-4%*Final[[#This Row],[Valor da Venda Real]])/Final[[#This Row],[Valor da Venda Real]],""),"")</f>
        <v/>
      </c>
      <c r="S293" s="61" t="str">
        <f t="shared" si="21"/>
        <v/>
      </c>
      <c r="T293" s="23" t="str">
        <f>IFERROR((R293*Final[[#This Row],[Valor da Venda Real]]*Final[[#This Row],[Quantidade ]]*S293),"")</f>
        <v/>
      </c>
    </row>
    <row r="294" spans="1:20" ht="15.75" x14ac:dyDescent="0.2">
      <c r="A294">
        <f>COUNTIF($C$2:C294,C294)</f>
        <v>293</v>
      </c>
      <c r="B294" s="1" t="str">
        <f t="shared" si="20"/>
        <v>293</v>
      </c>
      <c r="C294" s="1" t="str">
        <f>IFERROR(VLOOKUP(D294,'Planilha de Cadastro - Previsão'!$A$2:$N$1000,14,FALSE()),"")</f>
        <v/>
      </c>
      <c r="D294" s="1">
        <v>293</v>
      </c>
      <c r="F294" s="40" t="str">
        <f t="shared" si="19"/>
        <v/>
      </c>
      <c r="G294" s="40" t="str">
        <f>IF(F294="","",'Prosposta Inicial'!$O$2)</f>
        <v/>
      </c>
      <c r="H294" s="40" t="str">
        <f t="shared" si="22"/>
        <v xml:space="preserve"> </v>
      </c>
      <c r="I294" s="41" t="str">
        <f>IFERROR((VLOOKUP(F294,'Planilha de Cadastro - Previsão'!$A$2:$N$1100,2,FALSE()))," ")</f>
        <v xml:space="preserve"> </v>
      </c>
      <c r="J294" s="40" t="str">
        <f>IFERROR((VLOOKUP(F294,'Planilha de Cadastro - Previsão'!$A$2:$N$1100,3,FALSE()))," ")</f>
        <v xml:space="preserve"> </v>
      </c>
      <c r="K294" s="40"/>
      <c r="L294" s="42" t="str">
        <f>IFERROR((VLOOKUP(F294,'Planilha de Cadastro - Previsão'!$A$2:$N$1100,11,FALSE()))," ")</f>
        <v xml:space="preserve"> </v>
      </c>
      <c r="M294" s="41" t="str">
        <f>IFERROR((IF(VLOOKUP(F294,'Planilha de Cadastro - Previsão'!$A$2:$N$1100,10,FALSE())="","",VLOOKUP(F294,'Planilha de Cadastro - Previsão'!$A$2:$N$1100,10,FALSE()))),"")</f>
        <v/>
      </c>
      <c r="N294" s="41"/>
      <c r="O294" s="41"/>
      <c r="P294" s="41" t="str">
        <f>IFERROR((IF(VLOOKUP(F294,'Acompanhamento da Licitação'!$F$2:$O$1000,10,FALSE())="","",VLOOKUP(F294,'Acompanhamento da Licitação'!$F$2:$O$1000,10,FALSE()))),"")</f>
        <v/>
      </c>
      <c r="R294" s="61" t="str">
        <f>IFERROR(IF(F294&gt;0,(Final[[#This Row],[Valor da Venda Real]]-Final[[#This Row],[Valor de Compra Previsto]]-4%*Final[[#This Row],[Valor da Venda Real]])/Final[[#This Row],[Valor da Venda Real]],""),"")</f>
        <v/>
      </c>
      <c r="S294" s="61" t="str">
        <f t="shared" si="21"/>
        <v/>
      </c>
      <c r="T294" s="23" t="str">
        <f>IFERROR((R294*Final[[#This Row],[Valor da Venda Real]]*Final[[#This Row],[Quantidade ]]*S294),"")</f>
        <v/>
      </c>
    </row>
    <row r="295" spans="1:20" ht="15.75" x14ac:dyDescent="0.2">
      <c r="A295">
        <f>COUNTIF($C$2:C295,C295)</f>
        <v>294</v>
      </c>
      <c r="B295" s="1" t="str">
        <f t="shared" si="20"/>
        <v>294</v>
      </c>
      <c r="C295" s="1" t="str">
        <f>IFERROR(VLOOKUP(D295,'Planilha de Cadastro - Previsão'!$A$2:$N$1000,14,FALSE()),"")</f>
        <v/>
      </c>
      <c r="D295" s="1">
        <v>294</v>
      </c>
      <c r="F295" s="40" t="str">
        <f t="shared" si="19"/>
        <v/>
      </c>
      <c r="G295" s="40" t="str">
        <f>IF(F295="","",'Prosposta Inicial'!$O$2)</f>
        <v/>
      </c>
      <c r="H295" s="40" t="str">
        <f t="shared" si="22"/>
        <v xml:space="preserve"> </v>
      </c>
      <c r="I295" s="41" t="str">
        <f>IFERROR((VLOOKUP(F295,'Planilha de Cadastro - Previsão'!$A$2:$N$1100,2,FALSE()))," ")</f>
        <v xml:space="preserve"> </v>
      </c>
      <c r="J295" s="40" t="str">
        <f>IFERROR((VLOOKUP(F295,'Planilha de Cadastro - Previsão'!$A$2:$N$1100,3,FALSE()))," ")</f>
        <v xml:space="preserve"> </v>
      </c>
      <c r="K295" s="40"/>
      <c r="L295" s="42" t="str">
        <f>IFERROR((VLOOKUP(F295,'Planilha de Cadastro - Previsão'!$A$2:$N$1100,11,FALSE()))," ")</f>
        <v xml:space="preserve"> </v>
      </c>
      <c r="M295" s="41" t="str">
        <f>IFERROR((IF(VLOOKUP(F295,'Planilha de Cadastro - Previsão'!$A$2:$N$1100,10,FALSE())="","",VLOOKUP(F295,'Planilha de Cadastro - Previsão'!$A$2:$N$1100,10,FALSE()))),"")</f>
        <v/>
      </c>
      <c r="N295" s="41"/>
      <c r="O295" s="41"/>
      <c r="P295" s="41" t="str">
        <f>IFERROR((IF(VLOOKUP(F295,'Acompanhamento da Licitação'!$F$2:$O$1000,10,FALSE())="","",VLOOKUP(F295,'Acompanhamento da Licitação'!$F$2:$O$1000,10,FALSE()))),"")</f>
        <v/>
      </c>
      <c r="R295" s="61" t="str">
        <f>IFERROR(IF(F295&gt;0,(Final[[#This Row],[Valor da Venda Real]]-Final[[#This Row],[Valor de Compra Previsto]]-4%*Final[[#This Row],[Valor da Venda Real]])/Final[[#This Row],[Valor da Venda Real]],""),"")</f>
        <v/>
      </c>
      <c r="S295" s="61" t="str">
        <f t="shared" si="21"/>
        <v/>
      </c>
      <c r="T295" s="23" t="str">
        <f>IFERROR((R295*Final[[#This Row],[Valor da Venda Real]]*Final[[#This Row],[Quantidade ]]*S295),"")</f>
        <v/>
      </c>
    </row>
    <row r="296" spans="1:20" ht="15.75" x14ac:dyDescent="0.2">
      <c r="A296">
        <f>COUNTIF($C$2:C296,C296)</f>
        <v>295</v>
      </c>
      <c r="B296" s="1" t="str">
        <f t="shared" si="20"/>
        <v>295</v>
      </c>
      <c r="C296" s="1" t="str">
        <f>IFERROR(VLOOKUP(D296,'Planilha de Cadastro - Previsão'!$A$2:$N$1000,14,FALSE()),"")</f>
        <v/>
      </c>
      <c r="D296" s="1">
        <v>295</v>
      </c>
      <c r="F296" s="40" t="str">
        <f t="shared" si="19"/>
        <v/>
      </c>
      <c r="G296" s="40" t="str">
        <f>IF(F296="","",'Prosposta Inicial'!$O$2)</f>
        <v/>
      </c>
      <c r="H296" s="40" t="str">
        <f t="shared" si="22"/>
        <v xml:space="preserve"> </v>
      </c>
      <c r="I296" s="41" t="str">
        <f>IFERROR((VLOOKUP(F296,'Planilha de Cadastro - Previsão'!$A$2:$N$1100,2,FALSE()))," ")</f>
        <v xml:space="preserve"> </v>
      </c>
      <c r="J296" s="40" t="str">
        <f>IFERROR((VLOOKUP(F296,'Planilha de Cadastro - Previsão'!$A$2:$N$1100,3,FALSE()))," ")</f>
        <v xml:space="preserve"> </v>
      </c>
      <c r="K296" s="40"/>
      <c r="L296" s="42" t="str">
        <f>IFERROR((VLOOKUP(F296,'Planilha de Cadastro - Previsão'!$A$2:$N$1100,11,FALSE()))," ")</f>
        <v xml:space="preserve"> </v>
      </c>
      <c r="M296" s="41" t="str">
        <f>IFERROR((IF(VLOOKUP(F296,'Planilha de Cadastro - Previsão'!$A$2:$N$1100,10,FALSE())="","",VLOOKUP(F296,'Planilha de Cadastro - Previsão'!$A$2:$N$1100,10,FALSE()))),"")</f>
        <v/>
      </c>
      <c r="N296" s="41"/>
      <c r="O296" s="41"/>
      <c r="P296" s="41" t="str">
        <f>IFERROR((IF(VLOOKUP(F296,'Acompanhamento da Licitação'!$F$2:$O$1000,10,FALSE())="","",VLOOKUP(F296,'Acompanhamento da Licitação'!$F$2:$O$1000,10,FALSE()))),"")</f>
        <v/>
      </c>
      <c r="R296" s="61" t="str">
        <f>IFERROR(IF(F296&gt;0,(Final[[#This Row],[Valor da Venda Real]]-Final[[#This Row],[Valor de Compra Previsto]]-4%*Final[[#This Row],[Valor da Venda Real]])/Final[[#This Row],[Valor da Venda Real]],""),"")</f>
        <v/>
      </c>
      <c r="S296" s="61" t="str">
        <f t="shared" si="21"/>
        <v/>
      </c>
      <c r="T296" s="23" t="str">
        <f>IFERROR((R296*Final[[#This Row],[Valor da Venda Real]]*Final[[#This Row],[Quantidade ]]*S296),"")</f>
        <v/>
      </c>
    </row>
    <row r="297" spans="1:20" ht="15.75" x14ac:dyDescent="0.2">
      <c r="A297">
        <f>COUNTIF($C$2:C297,C297)</f>
        <v>296</v>
      </c>
      <c r="B297" s="1" t="str">
        <f t="shared" si="20"/>
        <v>296</v>
      </c>
      <c r="C297" s="1" t="str">
        <f>IFERROR(VLOOKUP(D297,'Planilha de Cadastro - Previsão'!$A$2:$N$1000,14,FALSE()),"")</f>
        <v/>
      </c>
      <c r="D297" s="1">
        <v>296</v>
      </c>
      <c r="F297" s="40" t="str">
        <f t="shared" si="19"/>
        <v/>
      </c>
      <c r="G297" s="40" t="str">
        <f>IF(F297="","",'Prosposta Inicial'!$O$2)</f>
        <v/>
      </c>
      <c r="H297" s="40" t="str">
        <f t="shared" si="22"/>
        <v xml:space="preserve"> </v>
      </c>
      <c r="I297" s="41" t="str">
        <f>IFERROR((VLOOKUP(F297,'Planilha de Cadastro - Previsão'!$A$2:$N$1100,2,FALSE()))," ")</f>
        <v xml:space="preserve"> </v>
      </c>
      <c r="J297" s="40" t="str">
        <f>IFERROR((VLOOKUP(F297,'Planilha de Cadastro - Previsão'!$A$2:$N$1100,3,FALSE()))," ")</f>
        <v xml:space="preserve"> </v>
      </c>
      <c r="K297" s="40"/>
      <c r="L297" s="42" t="str">
        <f>IFERROR((VLOOKUP(F297,'Planilha de Cadastro - Previsão'!$A$2:$N$1100,11,FALSE()))," ")</f>
        <v xml:space="preserve"> </v>
      </c>
      <c r="M297" s="41" t="str">
        <f>IFERROR((IF(VLOOKUP(F297,'Planilha de Cadastro - Previsão'!$A$2:$N$1100,10,FALSE())="","",VLOOKUP(F297,'Planilha de Cadastro - Previsão'!$A$2:$N$1100,10,FALSE()))),"")</f>
        <v/>
      </c>
      <c r="N297" s="41"/>
      <c r="O297" s="41"/>
      <c r="P297" s="41" t="str">
        <f>IFERROR((IF(VLOOKUP(F297,'Acompanhamento da Licitação'!$F$2:$O$1000,10,FALSE())="","",VLOOKUP(F297,'Acompanhamento da Licitação'!$F$2:$O$1000,10,FALSE()))),"")</f>
        <v/>
      </c>
      <c r="R297" s="61" t="str">
        <f>IFERROR(IF(F297&gt;0,(Final[[#This Row],[Valor da Venda Real]]-Final[[#This Row],[Valor de Compra Previsto]]-4%*Final[[#This Row],[Valor da Venda Real]])/Final[[#This Row],[Valor da Venda Real]],""),"")</f>
        <v/>
      </c>
      <c r="S297" s="61" t="str">
        <f t="shared" si="21"/>
        <v/>
      </c>
      <c r="T297" s="23" t="str">
        <f>IFERROR((R297*Final[[#This Row],[Valor da Venda Real]]*Final[[#This Row],[Quantidade ]]*S297),"")</f>
        <v/>
      </c>
    </row>
    <row r="298" spans="1:20" ht="15.75" x14ac:dyDescent="0.2">
      <c r="A298">
        <f>COUNTIF($C$2:C298,C298)</f>
        <v>297</v>
      </c>
      <c r="B298" s="1" t="str">
        <f t="shared" si="20"/>
        <v>297</v>
      </c>
      <c r="C298" s="1" t="str">
        <f>IFERROR(VLOOKUP(D298,'Planilha de Cadastro - Previsão'!$A$2:$N$1000,14,FALSE()),"")</f>
        <v/>
      </c>
      <c r="D298" s="1">
        <v>297</v>
      </c>
      <c r="F298" s="40" t="str">
        <f t="shared" si="19"/>
        <v/>
      </c>
      <c r="G298" s="40" t="str">
        <f>IF(F298="","",'Prosposta Inicial'!$O$2)</f>
        <v/>
      </c>
      <c r="H298" s="40" t="str">
        <f t="shared" si="22"/>
        <v xml:space="preserve"> </v>
      </c>
      <c r="I298" s="41" t="str">
        <f>IFERROR((VLOOKUP(F298,'Planilha de Cadastro - Previsão'!$A$2:$N$1100,2,FALSE()))," ")</f>
        <v xml:space="preserve"> </v>
      </c>
      <c r="J298" s="40" t="str">
        <f>IFERROR((VLOOKUP(F298,'Planilha de Cadastro - Previsão'!$A$2:$N$1100,3,FALSE()))," ")</f>
        <v xml:space="preserve"> </v>
      </c>
      <c r="K298" s="40"/>
      <c r="L298" s="42" t="str">
        <f>IFERROR((VLOOKUP(F298,'Planilha de Cadastro - Previsão'!$A$2:$N$1100,11,FALSE()))," ")</f>
        <v xml:space="preserve"> </v>
      </c>
      <c r="M298" s="41" t="str">
        <f>IFERROR((IF(VLOOKUP(F298,'Planilha de Cadastro - Previsão'!$A$2:$N$1100,10,FALSE())="","",VLOOKUP(F298,'Planilha de Cadastro - Previsão'!$A$2:$N$1100,10,FALSE()))),"")</f>
        <v/>
      </c>
      <c r="N298" s="41"/>
      <c r="O298" s="41"/>
      <c r="P298" s="41" t="str">
        <f>IFERROR((IF(VLOOKUP(F298,'Acompanhamento da Licitação'!$F$2:$O$1000,10,FALSE())="","",VLOOKUP(F298,'Acompanhamento da Licitação'!$F$2:$O$1000,10,FALSE()))),"")</f>
        <v/>
      </c>
      <c r="R298" s="61" t="str">
        <f>IFERROR(IF(F298&gt;0,(Final[[#This Row],[Valor da Venda Real]]-Final[[#This Row],[Valor de Compra Previsto]]-4%*Final[[#This Row],[Valor da Venda Real]])/Final[[#This Row],[Valor da Venda Real]],""),"")</f>
        <v/>
      </c>
      <c r="S298" s="61" t="str">
        <f t="shared" si="21"/>
        <v/>
      </c>
      <c r="T298" s="23" t="str">
        <f>IFERROR((R298*Final[[#This Row],[Valor da Venda Real]]*Final[[#This Row],[Quantidade ]]*S298),"")</f>
        <v/>
      </c>
    </row>
    <row r="299" spans="1:20" ht="15.75" x14ac:dyDescent="0.2">
      <c r="A299">
        <f>COUNTIF($C$2:C299,C299)</f>
        <v>298</v>
      </c>
      <c r="B299" s="1" t="str">
        <f t="shared" si="20"/>
        <v>298</v>
      </c>
      <c r="C299" s="1" t="str">
        <f>IFERROR(VLOOKUP(D299,'Planilha de Cadastro - Previsão'!$A$2:$N$1000,14,FALSE()),"")</f>
        <v/>
      </c>
      <c r="D299" s="1">
        <v>298</v>
      </c>
      <c r="F299" s="40" t="str">
        <f t="shared" si="19"/>
        <v/>
      </c>
      <c r="G299" s="40" t="str">
        <f>IF(F299="","",'Prosposta Inicial'!$O$2)</f>
        <v/>
      </c>
      <c r="H299" s="40" t="str">
        <f t="shared" si="22"/>
        <v xml:space="preserve"> </v>
      </c>
      <c r="I299" s="41" t="str">
        <f>IFERROR((VLOOKUP(F299,'Planilha de Cadastro - Previsão'!$A$2:$N$1100,2,FALSE()))," ")</f>
        <v xml:space="preserve"> </v>
      </c>
      <c r="J299" s="40" t="str">
        <f>IFERROR((VLOOKUP(F299,'Planilha de Cadastro - Previsão'!$A$2:$N$1100,3,FALSE()))," ")</f>
        <v xml:space="preserve"> </v>
      </c>
      <c r="K299" s="40"/>
      <c r="L299" s="42" t="str">
        <f>IFERROR((VLOOKUP(F299,'Planilha de Cadastro - Previsão'!$A$2:$N$1100,11,FALSE()))," ")</f>
        <v xml:space="preserve"> </v>
      </c>
      <c r="M299" s="41" t="str">
        <f>IFERROR((IF(VLOOKUP(F299,'Planilha de Cadastro - Previsão'!$A$2:$N$1100,10,FALSE())="","",VLOOKUP(F299,'Planilha de Cadastro - Previsão'!$A$2:$N$1100,10,FALSE()))),"")</f>
        <v/>
      </c>
      <c r="N299" s="41"/>
      <c r="O299" s="41"/>
      <c r="P299" s="41" t="str">
        <f>IFERROR((IF(VLOOKUP(F299,'Acompanhamento da Licitação'!$F$2:$O$1000,10,FALSE())="","",VLOOKUP(F299,'Acompanhamento da Licitação'!$F$2:$O$1000,10,FALSE()))),"")</f>
        <v/>
      </c>
      <c r="R299" s="61" t="str">
        <f>IFERROR(IF(F299&gt;0,(Final[[#This Row],[Valor da Venda Real]]-Final[[#This Row],[Valor de Compra Previsto]]-4%*Final[[#This Row],[Valor da Venda Real]])/Final[[#This Row],[Valor da Venda Real]],""),"")</f>
        <v/>
      </c>
      <c r="S299" s="61" t="str">
        <f t="shared" si="21"/>
        <v/>
      </c>
      <c r="T299" s="23" t="str">
        <f>IFERROR((R299*Final[[#This Row],[Valor da Venda Real]]*Final[[#This Row],[Quantidade ]]*S299),"")</f>
        <v/>
      </c>
    </row>
    <row r="300" spans="1:20" ht="15.75" x14ac:dyDescent="0.2">
      <c r="A300">
        <f>COUNTIF($C$2:C300,C300)</f>
        <v>299</v>
      </c>
      <c r="B300" s="1" t="str">
        <f t="shared" si="20"/>
        <v>299</v>
      </c>
      <c r="C300" s="1" t="str">
        <f>IFERROR(VLOOKUP(D300,'Planilha de Cadastro - Previsão'!$A$2:$N$1000,14,FALSE()),"")</f>
        <v/>
      </c>
      <c r="D300" s="1">
        <v>299</v>
      </c>
      <c r="F300" s="40" t="str">
        <f t="shared" si="19"/>
        <v/>
      </c>
      <c r="G300" s="40" t="str">
        <f>IF(F300="","",'Prosposta Inicial'!$O$2)</f>
        <v/>
      </c>
      <c r="H300" s="40" t="str">
        <f t="shared" si="22"/>
        <v xml:space="preserve"> </v>
      </c>
      <c r="I300" s="41" t="str">
        <f>IFERROR((VLOOKUP(F300,'Planilha de Cadastro - Previsão'!$A$2:$N$1100,2,FALSE()))," ")</f>
        <v xml:space="preserve"> </v>
      </c>
      <c r="J300" s="40" t="str">
        <f>IFERROR((VLOOKUP(F300,'Planilha de Cadastro - Previsão'!$A$2:$N$1100,3,FALSE()))," ")</f>
        <v xml:space="preserve"> </v>
      </c>
      <c r="K300" s="40"/>
      <c r="L300" s="42" t="str">
        <f>IFERROR((VLOOKUP(F300,'Planilha de Cadastro - Previsão'!$A$2:$N$1100,11,FALSE()))," ")</f>
        <v xml:space="preserve"> </v>
      </c>
      <c r="M300" s="41" t="str">
        <f>IFERROR((IF(VLOOKUP(F300,'Planilha de Cadastro - Previsão'!$A$2:$N$1100,10,FALSE())="","",VLOOKUP(F300,'Planilha de Cadastro - Previsão'!$A$2:$N$1100,10,FALSE()))),"")</f>
        <v/>
      </c>
      <c r="N300" s="41"/>
      <c r="O300" s="41"/>
      <c r="P300" s="41" t="str">
        <f>IFERROR((IF(VLOOKUP(F300,'Acompanhamento da Licitação'!$F$2:$O$1000,10,FALSE())="","",VLOOKUP(F300,'Acompanhamento da Licitação'!$F$2:$O$1000,10,FALSE()))),"")</f>
        <v/>
      </c>
      <c r="R300" s="61" t="str">
        <f>IFERROR(IF(F300&gt;0,(Final[[#This Row],[Valor da Venda Real]]-Final[[#This Row],[Valor de Compra Previsto]]-4%*Final[[#This Row],[Valor da Venda Real]])/Final[[#This Row],[Valor da Venda Real]],""),"")</f>
        <v/>
      </c>
      <c r="S300" s="61" t="str">
        <f t="shared" si="21"/>
        <v/>
      </c>
      <c r="T300" s="23" t="str">
        <f>IFERROR((R300*Final[[#This Row],[Valor da Venda Real]]*Final[[#This Row],[Quantidade ]]*S300),"")</f>
        <v/>
      </c>
    </row>
    <row r="301" spans="1:20" ht="15.75" x14ac:dyDescent="0.2">
      <c r="A301">
        <f>COUNTIF($C$2:C301,C301)</f>
        <v>300</v>
      </c>
      <c r="B301" s="1" t="str">
        <f t="shared" si="20"/>
        <v>300</v>
      </c>
      <c r="C301" s="1" t="str">
        <f>IFERROR(VLOOKUP(D301,'Planilha de Cadastro - Previsão'!$A$2:$N$1000,14,FALSE()),"")</f>
        <v/>
      </c>
      <c r="D301" s="1">
        <v>300</v>
      </c>
      <c r="F301" s="40" t="str">
        <f t="shared" si="19"/>
        <v/>
      </c>
      <c r="G301" s="40" t="str">
        <f>IF(F301="","",'Prosposta Inicial'!$O$2)</f>
        <v/>
      </c>
      <c r="H301" s="40" t="str">
        <f t="shared" si="22"/>
        <v xml:space="preserve"> </v>
      </c>
      <c r="I301" s="41" t="str">
        <f>IFERROR((VLOOKUP(F301,'Planilha de Cadastro - Previsão'!$A$2:$N$1100,2,FALSE()))," ")</f>
        <v xml:space="preserve"> </v>
      </c>
      <c r="J301" s="40" t="str">
        <f>IFERROR((VLOOKUP(F301,'Planilha de Cadastro - Previsão'!$A$2:$N$1100,3,FALSE()))," ")</f>
        <v xml:space="preserve"> </v>
      </c>
      <c r="K301" s="40"/>
      <c r="L301" s="42" t="str">
        <f>IFERROR((VLOOKUP(F301,'Planilha de Cadastro - Previsão'!$A$2:$N$1100,11,FALSE()))," ")</f>
        <v xml:space="preserve"> </v>
      </c>
      <c r="M301" s="41" t="str">
        <f>IFERROR((IF(VLOOKUP(F301,'Planilha de Cadastro - Previsão'!$A$2:$N$1100,10,FALSE())="","",VLOOKUP(F301,'Planilha de Cadastro - Previsão'!$A$2:$N$1100,10,FALSE()))),"")</f>
        <v/>
      </c>
      <c r="N301" s="41"/>
      <c r="O301" s="41"/>
      <c r="P301" s="41" t="str">
        <f>IFERROR((IF(VLOOKUP(F301,'Acompanhamento da Licitação'!$F$2:$O$1000,10,FALSE())="","",VLOOKUP(F301,'Acompanhamento da Licitação'!$F$2:$O$1000,10,FALSE()))),"")</f>
        <v/>
      </c>
      <c r="R301" s="61" t="str">
        <f>IFERROR(IF(F301&gt;0,(Final[[#This Row],[Valor da Venda Real]]-Final[[#This Row],[Valor de Compra Previsto]]-4%*Final[[#This Row],[Valor da Venda Real]])/Final[[#This Row],[Valor da Venda Real]],""),"")</f>
        <v/>
      </c>
      <c r="S301" s="61" t="str">
        <f t="shared" si="21"/>
        <v/>
      </c>
      <c r="T301" s="23" t="str">
        <f>IFERROR((R301*Final[[#This Row],[Valor da Venda Real]]*Final[[#This Row],[Quantidade ]]*S301),"")</f>
        <v/>
      </c>
    </row>
    <row r="302" spans="1:20" ht="15.75" x14ac:dyDescent="0.2">
      <c r="A302">
        <f>COUNTIF($C$2:C302,C302)</f>
        <v>301</v>
      </c>
      <c r="B302" s="1" t="str">
        <f t="shared" si="20"/>
        <v>301</v>
      </c>
      <c r="C302" s="1" t="str">
        <f>IFERROR(VLOOKUP(D302,'Planilha de Cadastro - Previsão'!$A$2:$N$1000,14,FALSE()),"")</f>
        <v/>
      </c>
      <c r="D302" s="1">
        <v>301</v>
      </c>
      <c r="F302" s="40" t="str">
        <f t="shared" si="19"/>
        <v/>
      </c>
      <c r="G302" s="40" t="str">
        <f>IF(F302="","",'Prosposta Inicial'!$O$2)</f>
        <v/>
      </c>
      <c r="H302" s="40" t="str">
        <f t="shared" si="22"/>
        <v xml:space="preserve"> </v>
      </c>
      <c r="I302" s="41" t="str">
        <f>IFERROR((VLOOKUP(F302,'Planilha de Cadastro - Previsão'!$A$2:$N$1100,2,FALSE()))," ")</f>
        <v xml:space="preserve"> </v>
      </c>
      <c r="J302" s="40" t="str">
        <f>IFERROR((VLOOKUP(F302,'Planilha de Cadastro - Previsão'!$A$2:$N$1100,3,FALSE()))," ")</f>
        <v xml:space="preserve"> </v>
      </c>
      <c r="K302" s="40"/>
      <c r="L302" s="42" t="str">
        <f>IFERROR((VLOOKUP(F302,'Planilha de Cadastro - Previsão'!$A$2:$N$1100,11,FALSE()))," ")</f>
        <v xml:space="preserve"> </v>
      </c>
      <c r="M302" s="41" t="str">
        <f>IFERROR((IF(VLOOKUP(F302,'Planilha de Cadastro - Previsão'!$A$2:$N$1100,10,FALSE())="","",VLOOKUP(F302,'Planilha de Cadastro - Previsão'!$A$2:$N$1100,10,FALSE()))),"")</f>
        <v/>
      </c>
      <c r="N302" s="41"/>
      <c r="O302" s="41"/>
      <c r="P302" s="41" t="str">
        <f>IFERROR((IF(VLOOKUP(F302,'Acompanhamento da Licitação'!$F$2:$O$1000,10,FALSE())="","",VLOOKUP(F302,'Acompanhamento da Licitação'!$F$2:$O$1000,10,FALSE()))),"")</f>
        <v/>
      </c>
      <c r="R302" s="61" t="str">
        <f>IFERROR(IF(F302&gt;0,(Final[[#This Row],[Valor da Venda Real]]-Final[[#This Row],[Valor de Compra Previsto]]-4%*Final[[#This Row],[Valor da Venda Real]])/Final[[#This Row],[Valor da Venda Real]],""),"")</f>
        <v/>
      </c>
      <c r="S302" s="61" t="str">
        <f t="shared" si="21"/>
        <v/>
      </c>
      <c r="T302" s="23" t="str">
        <f>IFERROR((R302*Final[[#This Row],[Valor da Venda Real]]*Final[[#This Row],[Quantidade ]]*S302),"")</f>
        <v/>
      </c>
    </row>
    <row r="303" spans="1:20" ht="15.75" x14ac:dyDescent="0.2">
      <c r="A303">
        <f>COUNTIF($C$2:C303,C303)</f>
        <v>302</v>
      </c>
      <c r="B303" s="1" t="str">
        <f t="shared" si="20"/>
        <v>302</v>
      </c>
      <c r="C303" s="1" t="str">
        <f>IFERROR(VLOOKUP(D303,'Planilha de Cadastro - Previsão'!$A$2:$N$1000,14,FALSE()),"")</f>
        <v/>
      </c>
      <c r="D303" s="1">
        <v>302</v>
      </c>
      <c r="F303" s="40" t="str">
        <f t="shared" si="19"/>
        <v/>
      </c>
      <c r="G303" s="40" t="str">
        <f>IF(F303="","",'Prosposta Inicial'!$O$2)</f>
        <v/>
      </c>
      <c r="H303" s="40" t="str">
        <f t="shared" si="22"/>
        <v xml:space="preserve"> </v>
      </c>
      <c r="I303" s="41" t="str">
        <f>IFERROR((VLOOKUP(F303,'Planilha de Cadastro - Previsão'!$A$2:$N$1100,2,FALSE()))," ")</f>
        <v xml:space="preserve"> </v>
      </c>
      <c r="J303" s="40" t="str">
        <f>IFERROR((VLOOKUP(F303,'Planilha de Cadastro - Previsão'!$A$2:$N$1100,3,FALSE()))," ")</f>
        <v xml:space="preserve"> </v>
      </c>
      <c r="K303" s="40"/>
      <c r="L303" s="42" t="str">
        <f>IFERROR((VLOOKUP(F303,'Planilha de Cadastro - Previsão'!$A$2:$N$1100,11,FALSE()))," ")</f>
        <v xml:space="preserve"> </v>
      </c>
      <c r="M303" s="41" t="str">
        <f>IFERROR((IF(VLOOKUP(F303,'Planilha de Cadastro - Previsão'!$A$2:$N$1100,10,FALSE())="","",VLOOKUP(F303,'Planilha de Cadastro - Previsão'!$A$2:$N$1100,10,FALSE()))),"")</f>
        <v/>
      </c>
      <c r="N303" s="41"/>
      <c r="O303" s="41"/>
      <c r="P303" s="41" t="str">
        <f>IFERROR((IF(VLOOKUP(F303,'Acompanhamento da Licitação'!$F$2:$O$1000,10,FALSE())="","",VLOOKUP(F303,'Acompanhamento da Licitação'!$F$2:$O$1000,10,FALSE()))),"")</f>
        <v/>
      </c>
      <c r="R303" s="61" t="str">
        <f>IFERROR(IF(F303&gt;0,(Final[[#This Row],[Valor da Venda Real]]-Final[[#This Row],[Valor de Compra Previsto]]-4%*Final[[#This Row],[Valor da Venda Real]])/Final[[#This Row],[Valor da Venda Real]],""),"")</f>
        <v/>
      </c>
      <c r="S303" s="61" t="str">
        <f t="shared" si="21"/>
        <v/>
      </c>
      <c r="T303" s="23" t="str">
        <f>IFERROR((R303*Final[[#This Row],[Valor da Venda Real]]*Final[[#This Row],[Quantidade ]]*S303),"")</f>
        <v/>
      </c>
    </row>
    <row r="304" spans="1:20" ht="15.75" x14ac:dyDescent="0.2">
      <c r="A304">
        <f>COUNTIF($C$2:C304,C304)</f>
        <v>303</v>
      </c>
      <c r="B304" s="1" t="str">
        <f t="shared" si="20"/>
        <v>303</v>
      </c>
      <c r="C304" s="1" t="str">
        <f>IFERROR(VLOOKUP(D304,'Planilha de Cadastro - Previsão'!$A$2:$N$1000,14,FALSE()),"")</f>
        <v/>
      </c>
      <c r="D304" s="1">
        <v>303</v>
      </c>
      <c r="F304" s="40" t="str">
        <f t="shared" si="19"/>
        <v/>
      </c>
      <c r="G304" s="40" t="str">
        <f>IF(F304="","",'Prosposta Inicial'!$O$2)</f>
        <v/>
      </c>
      <c r="H304" s="40" t="str">
        <f t="shared" si="22"/>
        <v xml:space="preserve"> </v>
      </c>
      <c r="I304" s="41" t="str">
        <f>IFERROR((VLOOKUP(F304,'Planilha de Cadastro - Previsão'!$A$2:$N$1100,2,FALSE()))," ")</f>
        <v xml:space="preserve"> </v>
      </c>
      <c r="J304" s="40" t="str">
        <f>IFERROR((VLOOKUP(F304,'Planilha de Cadastro - Previsão'!$A$2:$N$1100,3,FALSE()))," ")</f>
        <v xml:space="preserve"> </v>
      </c>
      <c r="K304" s="40"/>
      <c r="L304" s="42" t="str">
        <f>IFERROR((VLOOKUP(F304,'Planilha de Cadastro - Previsão'!$A$2:$N$1100,11,FALSE()))," ")</f>
        <v xml:space="preserve"> </v>
      </c>
      <c r="M304" s="41" t="str">
        <f>IFERROR((IF(VLOOKUP(F304,'Planilha de Cadastro - Previsão'!$A$2:$N$1100,10,FALSE())="","",VLOOKUP(F304,'Planilha de Cadastro - Previsão'!$A$2:$N$1100,10,FALSE()))),"")</f>
        <v/>
      </c>
      <c r="N304" s="41"/>
      <c r="O304" s="41"/>
      <c r="P304" s="41" t="str">
        <f>IFERROR((IF(VLOOKUP(F304,'Acompanhamento da Licitação'!$F$2:$O$1000,10,FALSE())="","",VLOOKUP(F304,'Acompanhamento da Licitação'!$F$2:$O$1000,10,FALSE()))),"")</f>
        <v/>
      </c>
      <c r="R304" s="61" t="str">
        <f>IFERROR(IF(F304&gt;0,(Final[[#This Row],[Valor da Venda Real]]-Final[[#This Row],[Valor de Compra Previsto]]-4%*Final[[#This Row],[Valor da Venda Real]])/Final[[#This Row],[Valor da Venda Real]],""),"")</f>
        <v/>
      </c>
      <c r="S304" s="61" t="str">
        <f t="shared" si="21"/>
        <v/>
      </c>
      <c r="T304" s="23" t="str">
        <f>IFERROR((R304*Final[[#This Row],[Valor da Venda Real]]*Final[[#This Row],[Quantidade ]]*S304),"")</f>
        <v/>
      </c>
    </row>
    <row r="305" spans="1:20" ht="15.75" x14ac:dyDescent="0.2">
      <c r="A305">
        <f>COUNTIF($C$2:C305,C305)</f>
        <v>304</v>
      </c>
      <c r="B305" s="1" t="str">
        <f t="shared" si="20"/>
        <v>304</v>
      </c>
      <c r="C305" s="1" t="str">
        <f>IFERROR(VLOOKUP(D305,'Planilha de Cadastro - Previsão'!$A$2:$N$1000,14,FALSE()),"")</f>
        <v/>
      </c>
      <c r="D305" s="1">
        <v>304</v>
      </c>
      <c r="F305" s="40" t="str">
        <f t="shared" si="19"/>
        <v/>
      </c>
      <c r="G305" s="40" t="str">
        <f>IF(F305="","",'Prosposta Inicial'!$O$2)</f>
        <v/>
      </c>
      <c r="H305" s="40" t="str">
        <f t="shared" si="22"/>
        <v xml:space="preserve"> </v>
      </c>
      <c r="I305" s="41" t="str">
        <f>IFERROR((VLOOKUP(F305,'Planilha de Cadastro - Previsão'!$A$2:$N$1100,2,FALSE()))," ")</f>
        <v xml:space="preserve"> </v>
      </c>
      <c r="J305" s="40" t="str">
        <f>IFERROR((VLOOKUP(F305,'Planilha de Cadastro - Previsão'!$A$2:$N$1100,3,FALSE()))," ")</f>
        <v xml:space="preserve"> </v>
      </c>
      <c r="K305" s="40"/>
      <c r="L305" s="42" t="str">
        <f>IFERROR((VLOOKUP(F305,'Planilha de Cadastro - Previsão'!$A$2:$N$1100,11,FALSE()))," ")</f>
        <v xml:space="preserve"> </v>
      </c>
      <c r="M305" s="41" t="str">
        <f>IFERROR((IF(VLOOKUP(F305,'Planilha de Cadastro - Previsão'!$A$2:$N$1100,10,FALSE())="","",VLOOKUP(F305,'Planilha de Cadastro - Previsão'!$A$2:$N$1100,10,FALSE()))),"")</f>
        <v/>
      </c>
      <c r="N305" s="41"/>
      <c r="O305" s="41"/>
      <c r="P305" s="41" t="str">
        <f>IFERROR((IF(VLOOKUP(F305,'Acompanhamento da Licitação'!$F$2:$O$1000,10,FALSE())="","",VLOOKUP(F305,'Acompanhamento da Licitação'!$F$2:$O$1000,10,FALSE()))),"")</f>
        <v/>
      </c>
      <c r="R305" s="61" t="str">
        <f>IFERROR(IF(F305&gt;0,(Final[[#This Row],[Valor da Venda Real]]-Final[[#This Row],[Valor de Compra Previsto]]-4%*Final[[#This Row],[Valor da Venda Real]])/Final[[#This Row],[Valor da Venda Real]],""),"")</f>
        <v/>
      </c>
      <c r="S305" s="61" t="str">
        <f t="shared" si="21"/>
        <v/>
      </c>
      <c r="T305" s="23" t="str">
        <f>IFERROR((R305*Final[[#This Row],[Valor da Venda Real]]*Final[[#This Row],[Quantidade ]]*S305),"")</f>
        <v/>
      </c>
    </row>
    <row r="306" spans="1:20" ht="15.75" x14ac:dyDescent="0.2">
      <c r="A306">
        <f>COUNTIF($C$2:C306,C306)</f>
        <v>305</v>
      </c>
      <c r="B306" s="1" t="str">
        <f t="shared" si="20"/>
        <v>305</v>
      </c>
      <c r="C306" s="1" t="str">
        <f>IFERROR(VLOOKUP(D306,'Planilha de Cadastro - Previsão'!$A$2:$N$1000,14,FALSE()),"")</f>
        <v/>
      </c>
      <c r="D306" s="1">
        <v>305</v>
      </c>
      <c r="F306" s="40" t="str">
        <f t="shared" si="19"/>
        <v/>
      </c>
      <c r="G306" s="40" t="str">
        <f>IF(F306="","",'Prosposta Inicial'!$O$2)</f>
        <v/>
      </c>
      <c r="H306" s="40" t="str">
        <f t="shared" si="22"/>
        <v xml:space="preserve"> </v>
      </c>
      <c r="I306" s="41" t="str">
        <f>IFERROR((VLOOKUP(F306,'Planilha de Cadastro - Previsão'!$A$2:$N$1100,2,FALSE()))," ")</f>
        <v xml:space="preserve"> </v>
      </c>
      <c r="J306" s="40" t="str">
        <f>IFERROR((VLOOKUP(F306,'Planilha de Cadastro - Previsão'!$A$2:$N$1100,3,FALSE()))," ")</f>
        <v xml:space="preserve"> </v>
      </c>
      <c r="K306" s="40"/>
      <c r="L306" s="42" t="str">
        <f>IFERROR((VLOOKUP(F306,'Planilha de Cadastro - Previsão'!$A$2:$N$1100,11,FALSE()))," ")</f>
        <v xml:space="preserve"> </v>
      </c>
      <c r="M306" s="41" t="str">
        <f>IFERROR((IF(VLOOKUP(F306,'Planilha de Cadastro - Previsão'!$A$2:$N$1100,10,FALSE())="","",VLOOKUP(F306,'Planilha de Cadastro - Previsão'!$A$2:$N$1100,10,FALSE()))),"")</f>
        <v/>
      </c>
      <c r="N306" s="41"/>
      <c r="O306" s="41"/>
      <c r="P306" s="41" t="str">
        <f>IFERROR((IF(VLOOKUP(F306,'Acompanhamento da Licitação'!$F$2:$O$1000,10,FALSE())="","",VLOOKUP(F306,'Acompanhamento da Licitação'!$F$2:$O$1000,10,FALSE()))),"")</f>
        <v/>
      </c>
      <c r="R306" s="61" t="str">
        <f>IFERROR(IF(F306&gt;0,(Final[[#This Row],[Valor da Venda Real]]-Final[[#This Row],[Valor de Compra Previsto]]-4%*Final[[#This Row],[Valor da Venda Real]])/Final[[#This Row],[Valor da Venda Real]],""),"")</f>
        <v/>
      </c>
      <c r="S306" s="61" t="str">
        <f t="shared" si="21"/>
        <v/>
      </c>
      <c r="T306" s="23" t="str">
        <f>IFERROR((R306*Final[[#This Row],[Valor da Venda Real]]*Final[[#This Row],[Quantidade ]]*S306),"")</f>
        <v/>
      </c>
    </row>
    <row r="307" spans="1:20" ht="15.75" x14ac:dyDescent="0.2">
      <c r="A307">
        <f>COUNTIF($C$2:C307,C307)</f>
        <v>306</v>
      </c>
      <c r="B307" s="1" t="str">
        <f t="shared" si="20"/>
        <v>306</v>
      </c>
      <c r="C307" s="1" t="str">
        <f>IFERROR(VLOOKUP(D307,'Planilha de Cadastro - Previsão'!$A$2:$N$1000,14,FALSE()),"")</f>
        <v/>
      </c>
      <c r="D307" s="1">
        <v>306</v>
      </c>
      <c r="F307" s="40" t="str">
        <f t="shared" si="19"/>
        <v/>
      </c>
      <c r="G307" s="40" t="str">
        <f>IF(F307="","",'Prosposta Inicial'!$O$2)</f>
        <v/>
      </c>
      <c r="H307" s="40" t="str">
        <f t="shared" si="22"/>
        <v xml:space="preserve"> </v>
      </c>
      <c r="I307" s="41" t="str">
        <f>IFERROR((VLOOKUP(F307,'Planilha de Cadastro - Previsão'!$A$2:$N$1100,2,FALSE()))," ")</f>
        <v xml:space="preserve"> </v>
      </c>
      <c r="J307" s="40" t="str">
        <f>IFERROR((VLOOKUP(F307,'Planilha de Cadastro - Previsão'!$A$2:$N$1100,3,FALSE()))," ")</f>
        <v xml:space="preserve"> </v>
      </c>
      <c r="K307" s="40"/>
      <c r="L307" s="42" t="str">
        <f>IFERROR((VLOOKUP(F307,'Planilha de Cadastro - Previsão'!$A$2:$N$1100,11,FALSE()))," ")</f>
        <v xml:space="preserve"> </v>
      </c>
      <c r="M307" s="41" t="str">
        <f>IFERROR((IF(VLOOKUP(F307,'Planilha de Cadastro - Previsão'!$A$2:$N$1100,10,FALSE())="","",VLOOKUP(F307,'Planilha de Cadastro - Previsão'!$A$2:$N$1100,10,FALSE()))),"")</f>
        <v/>
      </c>
      <c r="N307" s="41"/>
      <c r="O307" s="41"/>
      <c r="P307" s="41" t="str">
        <f>IFERROR((IF(VLOOKUP(F307,'Acompanhamento da Licitação'!$F$2:$O$1000,10,FALSE())="","",VLOOKUP(F307,'Acompanhamento da Licitação'!$F$2:$O$1000,10,FALSE()))),"")</f>
        <v/>
      </c>
      <c r="R307" s="61" t="str">
        <f>IFERROR(IF(F307&gt;0,(Final[[#This Row],[Valor da Venda Real]]-Final[[#This Row],[Valor de Compra Previsto]]-4%*Final[[#This Row],[Valor da Venda Real]])/Final[[#This Row],[Valor da Venda Real]],""),"")</f>
        <v/>
      </c>
      <c r="S307" s="61" t="str">
        <f t="shared" si="21"/>
        <v/>
      </c>
      <c r="T307" s="23" t="str">
        <f>IFERROR((R307*Final[[#This Row],[Valor da Venda Real]]*Final[[#This Row],[Quantidade ]]*S307),"")</f>
        <v/>
      </c>
    </row>
    <row r="308" spans="1:20" ht="15.75" x14ac:dyDescent="0.2">
      <c r="A308">
        <f>COUNTIF($C$2:C308,C308)</f>
        <v>307</v>
      </c>
      <c r="B308" s="1" t="str">
        <f t="shared" si="20"/>
        <v>307</v>
      </c>
      <c r="C308" s="1" t="str">
        <f>IFERROR(VLOOKUP(D308,'Planilha de Cadastro - Previsão'!$A$2:$N$1000,14,FALSE()),"")</f>
        <v/>
      </c>
      <c r="D308" s="1">
        <v>307</v>
      </c>
      <c r="F308" s="40" t="str">
        <f t="shared" si="19"/>
        <v/>
      </c>
      <c r="G308" s="40" t="str">
        <f>IF(F308="","",'Prosposta Inicial'!$O$2)</f>
        <v/>
      </c>
      <c r="H308" s="40" t="str">
        <f t="shared" si="22"/>
        <v xml:space="preserve"> </v>
      </c>
      <c r="I308" s="41" t="str">
        <f>IFERROR((VLOOKUP(F308,'Planilha de Cadastro - Previsão'!$A$2:$N$1100,2,FALSE()))," ")</f>
        <v xml:space="preserve"> </v>
      </c>
      <c r="J308" s="40" t="str">
        <f>IFERROR((VLOOKUP(F308,'Planilha de Cadastro - Previsão'!$A$2:$N$1100,3,FALSE()))," ")</f>
        <v xml:space="preserve"> </v>
      </c>
      <c r="K308" s="40"/>
      <c r="L308" s="42" t="str">
        <f>IFERROR((VLOOKUP(F308,'Planilha de Cadastro - Previsão'!$A$2:$N$1100,11,FALSE()))," ")</f>
        <v xml:space="preserve"> </v>
      </c>
      <c r="M308" s="41" t="str">
        <f>IFERROR((IF(VLOOKUP(F308,'Planilha de Cadastro - Previsão'!$A$2:$N$1100,10,FALSE())="","",VLOOKUP(F308,'Planilha de Cadastro - Previsão'!$A$2:$N$1100,10,FALSE()))),"")</f>
        <v/>
      </c>
      <c r="N308" s="41"/>
      <c r="O308" s="41"/>
      <c r="P308" s="41" t="str">
        <f>IFERROR((IF(VLOOKUP(F308,'Acompanhamento da Licitação'!$F$2:$O$1000,10,FALSE())="","",VLOOKUP(F308,'Acompanhamento da Licitação'!$F$2:$O$1000,10,FALSE()))),"")</f>
        <v/>
      </c>
      <c r="R308" s="61" t="str">
        <f>IFERROR(IF(F308&gt;0,(Final[[#This Row],[Valor da Venda Real]]-Final[[#This Row],[Valor de Compra Previsto]]-4%*Final[[#This Row],[Valor da Venda Real]])/Final[[#This Row],[Valor da Venda Real]],""),"")</f>
        <v/>
      </c>
      <c r="S308" s="61" t="str">
        <f t="shared" si="21"/>
        <v/>
      </c>
      <c r="T308" s="23" t="str">
        <f>IFERROR((R308*Final[[#This Row],[Valor da Venda Real]]*Final[[#This Row],[Quantidade ]]*S308),"")</f>
        <v/>
      </c>
    </row>
    <row r="309" spans="1:20" ht="15.75" x14ac:dyDescent="0.2">
      <c r="A309">
        <f>COUNTIF($C$2:C309,C309)</f>
        <v>308</v>
      </c>
      <c r="B309" s="1" t="str">
        <f t="shared" si="20"/>
        <v>308</v>
      </c>
      <c r="C309" s="1" t="str">
        <f>IFERROR(VLOOKUP(D309,'Planilha de Cadastro - Previsão'!$A$2:$N$1000,14,FALSE()),"")</f>
        <v/>
      </c>
      <c r="D309" s="1">
        <v>308</v>
      </c>
      <c r="F309" s="40" t="str">
        <f t="shared" si="19"/>
        <v/>
      </c>
      <c r="G309" s="40" t="str">
        <f>IF(F309="","",'Prosposta Inicial'!$O$2)</f>
        <v/>
      </c>
      <c r="H309" s="40" t="str">
        <f t="shared" si="22"/>
        <v xml:space="preserve"> </v>
      </c>
      <c r="I309" s="41" t="str">
        <f>IFERROR((VLOOKUP(F309,'Planilha de Cadastro - Previsão'!$A$2:$N$1100,2,FALSE()))," ")</f>
        <v xml:space="preserve"> </v>
      </c>
      <c r="J309" s="40" t="str">
        <f>IFERROR((VLOOKUP(F309,'Planilha de Cadastro - Previsão'!$A$2:$N$1100,3,FALSE()))," ")</f>
        <v xml:space="preserve"> </v>
      </c>
      <c r="K309" s="40"/>
      <c r="L309" s="42" t="str">
        <f>IFERROR((VLOOKUP(F309,'Planilha de Cadastro - Previsão'!$A$2:$N$1100,11,FALSE()))," ")</f>
        <v xml:space="preserve"> </v>
      </c>
      <c r="M309" s="41" t="str">
        <f>IFERROR((IF(VLOOKUP(F309,'Planilha de Cadastro - Previsão'!$A$2:$N$1100,10,FALSE())="","",VLOOKUP(F309,'Planilha de Cadastro - Previsão'!$A$2:$N$1100,10,FALSE()))),"")</f>
        <v/>
      </c>
      <c r="N309" s="41"/>
      <c r="O309" s="41"/>
      <c r="P309" s="41" t="str">
        <f>IFERROR((IF(VLOOKUP(F309,'Acompanhamento da Licitação'!$F$2:$O$1000,10,FALSE())="","",VLOOKUP(F309,'Acompanhamento da Licitação'!$F$2:$O$1000,10,FALSE()))),"")</f>
        <v/>
      </c>
      <c r="R309" s="61" t="str">
        <f>IFERROR(IF(F309&gt;0,(Final[[#This Row],[Valor da Venda Real]]-Final[[#This Row],[Valor de Compra Previsto]]-4%*Final[[#This Row],[Valor da Venda Real]])/Final[[#This Row],[Valor da Venda Real]],""),"")</f>
        <v/>
      </c>
      <c r="S309" s="61" t="str">
        <f t="shared" si="21"/>
        <v/>
      </c>
      <c r="T309" s="23" t="str">
        <f>IFERROR((R309*Final[[#This Row],[Valor da Venda Real]]*Final[[#This Row],[Quantidade ]]*S309),"")</f>
        <v/>
      </c>
    </row>
    <row r="310" spans="1:20" ht="15.75" x14ac:dyDescent="0.2">
      <c r="A310">
        <f>COUNTIF($C$2:C310,C310)</f>
        <v>309</v>
      </c>
      <c r="B310" s="1" t="str">
        <f t="shared" si="20"/>
        <v>309</v>
      </c>
      <c r="C310" s="1" t="str">
        <f>IFERROR(VLOOKUP(D310,'Planilha de Cadastro - Previsão'!$A$2:$N$1000,14,FALSE()),"")</f>
        <v/>
      </c>
      <c r="D310" s="1">
        <v>309</v>
      </c>
      <c r="F310" s="40" t="str">
        <f t="shared" si="19"/>
        <v/>
      </c>
      <c r="G310" s="40" t="str">
        <f>IF(F310="","",'Prosposta Inicial'!$O$2)</f>
        <v/>
      </c>
      <c r="H310" s="40" t="str">
        <f t="shared" si="22"/>
        <v xml:space="preserve"> </v>
      </c>
      <c r="I310" s="41" t="str">
        <f>IFERROR((VLOOKUP(F310,'Planilha de Cadastro - Previsão'!$A$2:$N$1100,2,FALSE()))," ")</f>
        <v xml:space="preserve"> </v>
      </c>
      <c r="J310" s="40" t="str">
        <f>IFERROR((VLOOKUP(F310,'Planilha de Cadastro - Previsão'!$A$2:$N$1100,3,FALSE()))," ")</f>
        <v xml:space="preserve"> </v>
      </c>
      <c r="K310" s="40"/>
      <c r="L310" s="42" t="str">
        <f>IFERROR((VLOOKUP(F310,'Planilha de Cadastro - Previsão'!$A$2:$N$1100,11,FALSE()))," ")</f>
        <v xml:space="preserve"> </v>
      </c>
      <c r="M310" s="41" t="str">
        <f>IFERROR((IF(VLOOKUP(F310,'Planilha de Cadastro - Previsão'!$A$2:$N$1100,10,FALSE())="","",VLOOKUP(F310,'Planilha de Cadastro - Previsão'!$A$2:$N$1100,10,FALSE()))),"")</f>
        <v/>
      </c>
      <c r="N310" s="41"/>
      <c r="O310" s="41"/>
      <c r="P310" s="41" t="str">
        <f>IFERROR((IF(VLOOKUP(F310,'Acompanhamento da Licitação'!$F$2:$O$1000,10,FALSE())="","",VLOOKUP(F310,'Acompanhamento da Licitação'!$F$2:$O$1000,10,FALSE()))),"")</f>
        <v/>
      </c>
      <c r="R310" s="61" t="str">
        <f>IFERROR(IF(F310&gt;0,(Final[[#This Row],[Valor da Venda Real]]-Final[[#This Row],[Valor de Compra Previsto]]-4%*Final[[#This Row],[Valor da Venda Real]])/Final[[#This Row],[Valor da Venda Real]],""),"")</f>
        <v/>
      </c>
      <c r="S310" s="61" t="str">
        <f t="shared" si="21"/>
        <v/>
      </c>
      <c r="T310" s="23" t="str">
        <f>IFERROR((R310*Final[[#This Row],[Valor da Venda Real]]*Final[[#This Row],[Quantidade ]]*S310),"")</f>
        <v/>
      </c>
    </row>
    <row r="311" spans="1:20" ht="15.75" x14ac:dyDescent="0.2">
      <c r="A311">
        <f>COUNTIF($C$2:C311,C311)</f>
        <v>310</v>
      </c>
      <c r="B311" s="1" t="str">
        <f t="shared" si="20"/>
        <v>310</v>
      </c>
      <c r="C311" s="1" t="str">
        <f>IFERROR(VLOOKUP(D311,'Planilha de Cadastro - Previsão'!$A$2:$N$1000,14,FALSE()),"")</f>
        <v/>
      </c>
      <c r="D311" s="1">
        <v>310</v>
      </c>
      <c r="F311" s="40" t="str">
        <f t="shared" si="19"/>
        <v/>
      </c>
      <c r="G311" s="40" t="str">
        <f>IF(F311="","",'Prosposta Inicial'!$O$2)</f>
        <v/>
      </c>
      <c r="H311" s="40" t="str">
        <f t="shared" si="22"/>
        <v xml:space="preserve"> </v>
      </c>
      <c r="I311" s="41" t="str">
        <f>IFERROR((VLOOKUP(F311,'Planilha de Cadastro - Previsão'!$A$2:$N$1100,2,FALSE()))," ")</f>
        <v xml:space="preserve"> </v>
      </c>
      <c r="J311" s="40" t="str">
        <f>IFERROR((VLOOKUP(F311,'Planilha de Cadastro - Previsão'!$A$2:$N$1100,3,FALSE()))," ")</f>
        <v xml:space="preserve"> </v>
      </c>
      <c r="K311" s="40"/>
      <c r="L311" s="42" t="str">
        <f>IFERROR((VLOOKUP(F311,'Planilha de Cadastro - Previsão'!$A$2:$N$1100,11,FALSE()))," ")</f>
        <v xml:space="preserve"> </v>
      </c>
      <c r="M311" s="41" t="str">
        <f>IFERROR((IF(VLOOKUP(F311,'Planilha de Cadastro - Previsão'!$A$2:$N$1100,10,FALSE())="","",VLOOKUP(F311,'Planilha de Cadastro - Previsão'!$A$2:$N$1100,10,FALSE()))),"")</f>
        <v/>
      </c>
      <c r="N311" s="41"/>
      <c r="O311" s="41"/>
      <c r="P311" s="41" t="str">
        <f>IFERROR((IF(VLOOKUP(F311,'Acompanhamento da Licitação'!$F$2:$O$1000,10,FALSE())="","",VLOOKUP(F311,'Acompanhamento da Licitação'!$F$2:$O$1000,10,FALSE()))),"")</f>
        <v/>
      </c>
      <c r="R311" s="61" t="str">
        <f>IFERROR(IF(F311&gt;0,(Final[[#This Row],[Valor da Venda Real]]-Final[[#This Row],[Valor de Compra Previsto]]-4%*Final[[#This Row],[Valor da Venda Real]])/Final[[#This Row],[Valor da Venda Real]],""),"")</f>
        <v/>
      </c>
      <c r="S311" s="61" t="str">
        <f t="shared" si="21"/>
        <v/>
      </c>
      <c r="T311" s="23" t="str">
        <f>IFERROR((R311*Final[[#This Row],[Valor da Venda Real]]*Final[[#This Row],[Quantidade ]]*S311),"")</f>
        <v/>
      </c>
    </row>
    <row r="312" spans="1:20" ht="15.75" x14ac:dyDescent="0.2">
      <c r="A312">
        <f>COUNTIF($C$2:C312,C312)</f>
        <v>311</v>
      </c>
      <c r="B312" s="1" t="str">
        <f t="shared" si="20"/>
        <v>311</v>
      </c>
      <c r="C312" s="1" t="str">
        <f>IFERROR(VLOOKUP(D312,'Planilha de Cadastro - Previsão'!$A$2:$N$1000,14,FALSE()),"")</f>
        <v/>
      </c>
      <c r="D312" s="1">
        <v>311</v>
      </c>
      <c r="F312" s="40" t="str">
        <f t="shared" si="19"/>
        <v/>
      </c>
      <c r="G312" s="40" t="str">
        <f>IF(F312="","",'Prosposta Inicial'!$O$2)</f>
        <v/>
      </c>
      <c r="H312" s="40" t="str">
        <f t="shared" si="22"/>
        <v xml:space="preserve"> </v>
      </c>
      <c r="I312" s="41" t="str">
        <f>IFERROR((VLOOKUP(F312,'Planilha de Cadastro - Previsão'!$A$2:$N$1100,2,FALSE()))," ")</f>
        <v xml:space="preserve"> </v>
      </c>
      <c r="J312" s="40" t="str">
        <f>IFERROR((VLOOKUP(F312,'Planilha de Cadastro - Previsão'!$A$2:$N$1100,3,FALSE()))," ")</f>
        <v xml:space="preserve"> </v>
      </c>
      <c r="K312" s="40"/>
      <c r="L312" s="42" t="str">
        <f>IFERROR((VLOOKUP(F312,'Planilha de Cadastro - Previsão'!$A$2:$N$1100,11,FALSE()))," ")</f>
        <v xml:space="preserve"> </v>
      </c>
      <c r="M312" s="41" t="str">
        <f>IFERROR((IF(VLOOKUP(F312,'Planilha de Cadastro - Previsão'!$A$2:$N$1100,10,FALSE())="","",VLOOKUP(F312,'Planilha de Cadastro - Previsão'!$A$2:$N$1100,10,FALSE()))),"")</f>
        <v/>
      </c>
      <c r="N312" s="41"/>
      <c r="O312" s="41"/>
      <c r="P312" s="41" t="str">
        <f>IFERROR((IF(VLOOKUP(F312,'Acompanhamento da Licitação'!$F$2:$O$1000,10,FALSE())="","",VLOOKUP(F312,'Acompanhamento da Licitação'!$F$2:$O$1000,10,FALSE()))),"")</f>
        <v/>
      </c>
      <c r="R312" s="61" t="str">
        <f>IFERROR(IF(F312&gt;0,(Final[[#This Row],[Valor da Venda Real]]-Final[[#This Row],[Valor de Compra Previsto]]-4%*Final[[#This Row],[Valor da Venda Real]])/Final[[#This Row],[Valor da Venda Real]],""),"")</f>
        <v/>
      </c>
      <c r="S312" s="61" t="str">
        <f t="shared" si="21"/>
        <v/>
      </c>
      <c r="T312" s="23" t="str">
        <f>IFERROR((R312*Final[[#This Row],[Valor da Venda Real]]*Final[[#This Row],[Quantidade ]]*S312),"")</f>
        <v/>
      </c>
    </row>
    <row r="313" spans="1:20" ht="15.75" x14ac:dyDescent="0.2">
      <c r="A313">
        <f>COUNTIF($C$2:C313,C313)</f>
        <v>312</v>
      </c>
      <c r="B313" s="1" t="str">
        <f t="shared" si="20"/>
        <v>312</v>
      </c>
      <c r="C313" s="1" t="str">
        <f>IFERROR(VLOOKUP(D313,'Planilha de Cadastro - Previsão'!$A$2:$N$1000,14,FALSE()),"")</f>
        <v/>
      </c>
      <c r="D313" s="1">
        <v>312</v>
      </c>
      <c r="F313" s="40" t="str">
        <f t="shared" si="19"/>
        <v/>
      </c>
      <c r="G313" s="40" t="str">
        <f>IF(F313="","",'Prosposta Inicial'!$O$2)</f>
        <v/>
      </c>
      <c r="H313" s="40" t="str">
        <f t="shared" si="22"/>
        <v xml:space="preserve"> </v>
      </c>
      <c r="I313" s="41" t="str">
        <f>IFERROR((VLOOKUP(F313,'Planilha de Cadastro - Previsão'!$A$2:$N$1100,2,FALSE()))," ")</f>
        <v xml:space="preserve"> </v>
      </c>
      <c r="J313" s="40" t="str">
        <f>IFERROR((VLOOKUP(F313,'Planilha de Cadastro - Previsão'!$A$2:$N$1100,3,FALSE()))," ")</f>
        <v xml:space="preserve"> </v>
      </c>
      <c r="K313" s="40"/>
      <c r="L313" s="42" t="str">
        <f>IFERROR((VLOOKUP(F313,'Planilha de Cadastro - Previsão'!$A$2:$N$1100,11,FALSE()))," ")</f>
        <v xml:space="preserve"> </v>
      </c>
      <c r="M313" s="41" t="str">
        <f>IFERROR((IF(VLOOKUP(F313,'Planilha de Cadastro - Previsão'!$A$2:$N$1100,10,FALSE())="","",VLOOKUP(F313,'Planilha de Cadastro - Previsão'!$A$2:$N$1100,10,FALSE()))),"")</f>
        <v/>
      </c>
      <c r="N313" s="41"/>
      <c r="O313" s="41"/>
      <c r="P313" s="41" t="str">
        <f>IFERROR((IF(VLOOKUP(F313,'Acompanhamento da Licitação'!$F$2:$O$1000,10,FALSE())="","",VLOOKUP(F313,'Acompanhamento da Licitação'!$F$2:$O$1000,10,FALSE()))),"")</f>
        <v/>
      </c>
      <c r="R313" s="61" t="str">
        <f>IFERROR(IF(F313&gt;0,(Final[[#This Row],[Valor da Venda Real]]-Final[[#This Row],[Valor de Compra Previsto]]-4%*Final[[#This Row],[Valor da Venda Real]])/Final[[#This Row],[Valor da Venda Real]],""),"")</f>
        <v/>
      </c>
      <c r="S313" s="61" t="str">
        <f t="shared" si="21"/>
        <v/>
      </c>
      <c r="T313" s="23" t="str">
        <f>IFERROR((R313*Final[[#This Row],[Valor da Venda Real]]*Final[[#This Row],[Quantidade ]]*S313),"")</f>
        <v/>
      </c>
    </row>
    <row r="314" spans="1:20" ht="15.75" x14ac:dyDescent="0.2">
      <c r="A314">
        <f>COUNTIF($C$2:C314,C314)</f>
        <v>313</v>
      </c>
      <c r="B314" s="1" t="str">
        <f t="shared" si="20"/>
        <v>313</v>
      </c>
      <c r="C314" s="1" t="str">
        <f>IFERROR(VLOOKUP(D314,'Planilha de Cadastro - Previsão'!$A$2:$N$1000,14,FALSE()),"")</f>
        <v/>
      </c>
      <c r="D314" s="1">
        <v>313</v>
      </c>
      <c r="F314" s="40" t="str">
        <f t="shared" si="19"/>
        <v/>
      </c>
      <c r="G314" s="40" t="str">
        <f>IF(F314="","",'Prosposta Inicial'!$O$2)</f>
        <v/>
      </c>
      <c r="H314" s="40" t="str">
        <f t="shared" si="22"/>
        <v xml:space="preserve"> </v>
      </c>
      <c r="I314" s="41" t="str">
        <f>IFERROR((VLOOKUP(F314,'Planilha de Cadastro - Previsão'!$A$2:$N$1100,2,FALSE()))," ")</f>
        <v xml:space="preserve"> </v>
      </c>
      <c r="J314" s="40" t="str">
        <f>IFERROR((VLOOKUP(F314,'Planilha de Cadastro - Previsão'!$A$2:$N$1100,3,FALSE()))," ")</f>
        <v xml:space="preserve"> </v>
      </c>
      <c r="K314" s="40"/>
      <c r="L314" s="42" t="str">
        <f>IFERROR((VLOOKUP(F314,'Planilha de Cadastro - Previsão'!$A$2:$N$1100,11,FALSE()))," ")</f>
        <v xml:space="preserve"> </v>
      </c>
      <c r="M314" s="41" t="str">
        <f>IFERROR((IF(VLOOKUP(F314,'Planilha de Cadastro - Previsão'!$A$2:$N$1100,10,FALSE())="","",VLOOKUP(F314,'Planilha de Cadastro - Previsão'!$A$2:$N$1100,10,FALSE()))),"")</f>
        <v/>
      </c>
      <c r="N314" s="41"/>
      <c r="O314" s="41"/>
      <c r="P314" s="41" t="str">
        <f>IFERROR((IF(VLOOKUP(F314,'Acompanhamento da Licitação'!$F$2:$O$1000,10,FALSE())="","",VLOOKUP(F314,'Acompanhamento da Licitação'!$F$2:$O$1000,10,FALSE()))),"")</f>
        <v/>
      </c>
      <c r="R314" s="61" t="str">
        <f>IFERROR(IF(F314&gt;0,(Final[[#This Row],[Valor da Venda Real]]-Final[[#This Row],[Valor de Compra Previsto]]-4%*Final[[#This Row],[Valor da Venda Real]])/Final[[#This Row],[Valor da Venda Real]],""),"")</f>
        <v/>
      </c>
      <c r="S314" s="61" t="str">
        <f t="shared" si="21"/>
        <v/>
      </c>
      <c r="T314" s="23" t="str">
        <f>IFERROR((R314*Final[[#This Row],[Valor da Venda Real]]*Final[[#This Row],[Quantidade ]]*S314),"")</f>
        <v/>
      </c>
    </row>
    <row r="315" spans="1:20" ht="15.75" x14ac:dyDescent="0.2">
      <c r="A315">
        <f>COUNTIF($C$2:C315,C315)</f>
        <v>314</v>
      </c>
      <c r="B315" s="1" t="str">
        <f t="shared" si="20"/>
        <v>314</v>
      </c>
      <c r="C315" s="1" t="str">
        <f>IFERROR(VLOOKUP(D315,'Planilha de Cadastro - Previsão'!$A$2:$N$1000,14,FALSE()),"")</f>
        <v/>
      </c>
      <c r="D315" s="1">
        <v>314</v>
      </c>
      <c r="F315" s="40" t="str">
        <f t="shared" si="19"/>
        <v/>
      </c>
      <c r="G315" s="40" t="str">
        <f>IF(F315="","",'Prosposta Inicial'!$O$2)</f>
        <v/>
      </c>
      <c r="H315" s="40" t="str">
        <f t="shared" si="22"/>
        <v xml:space="preserve"> </v>
      </c>
      <c r="I315" s="41" t="str">
        <f>IFERROR((VLOOKUP(F315,'Planilha de Cadastro - Previsão'!$A$2:$N$1100,2,FALSE()))," ")</f>
        <v xml:space="preserve"> </v>
      </c>
      <c r="J315" s="40" t="str">
        <f>IFERROR((VLOOKUP(F315,'Planilha de Cadastro - Previsão'!$A$2:$N$1100,3,FALSE()))," ")</f>
        <v xml:space="preserve"> </v>
      </c>
      <c r="K315" s="40"/>
      <c r="L315" s="42" t="str">
        <f>IFERROR((VLOOKUP(F315,'Planilha de Cadastro - Previsão'!$A$2:$N$1100,11,FALSE()))," ")</f>
        <v xml:space="preserve"> </v>
      </c>
      <c r="M315" s="41" t="str">
        <f>IFERROR((IF(VLOOKUP(F315,'Planilha de Cadastro - Previsão'!$A$2:$N$1100,10,FALSE())="","",VLOOKUP(F315,'Planilha de Cadastro - Previsão'!$A$2:$N$1100,10,FALSE()))),"")</f>
        <v/>
      </c>
      <c r="N315" s="41"/>
      <c r="O315" s="41"/>
      <c r="P315" s="41" t="str">
        <f>IFERROR((IF(VLOOKUP(F315,'Acompanhamento da Licitação'!$F$2:$O$1000,10,FALSE())="","",VLOOKUP(F315,'Acompanhamento da Licitação'!$F$2:$O$1000,10,FALSE()))),"")</f>
        <v/>
      </c>
      <c r="R315" s="61" t="str">
        <f>IFERROR(IF(F315&gt;0,(Final[[#This Row],[Valor da Venda Real]]-Final[[#This Row],[Valor de Compra Previsto]]-4%*Final[[#This Row],[Valor da Venda Real]])/Final[[#This Row],[Valor da Venda Real]],""),"")</f>
        <v/>
      </c>
      <c r="S315" s="61" t="str">
        <f t="shared" si="21"/>
        <v/>
      </c>
      <c r="T315" s="23" t="str">
        <f>IFERROR((R315*Final[[#This Row],[Valor da Venda Real]]*Final[[#This Row],[Quantidade ]]*S315),"")</f>
        <v/>
      </c>
    </row>
    <row r="316" spans="1:20" ht="15.75" x14ac:dyDescent="0.2">
      <c r="A316">
        <f>COUNTIF($C$2:C316,C316)</f>
        <v>315</v>
      </c>
      <c r="B316" s="1" t="str">
        <f t="shared" si="20"/>
        <v>315</v>
      </c>
      <c r="C316" s="1" t="str">
        <f>IFERROR(VLOOKUP(D316,'Planilha de Cadastro - Previsão'!$A$2:$N$1000,14,FALSE()),"")</f>
        <v/>
      </c>
      <c r="D316" s="1">
        <v>315</v>
      </c>
      <c r="F316" s="40" t="str">
        <f t="shared" si="19"/>
        <v/>
      </c>
      <c r="G316" s="40" t="str">
        <f>IF(F316="","",'Prosposta Inicial'!$O$2)</f>
        <v/>
      </c>
      <c r="H316" s="40" t="str">
        <f t="shared" si="22"/>
        <v xml:space="preserve"> </v>
      </c>
      <c r="I316" s="41" t="str">
        <f>IFERROR((VLOOKUP(F316,'Planilha de Cadastro - Previsão'!$A$2:$N$1100,2,FALSE()))," ")</f>
        <v xml:space="preserve"> </v>
      </c>
      <c r="J316" s="40" t="str">
        <f>IFERROR((VLOOKUP(F316,'Planilha de Cadastro - Previsão'!$A$2:$N$1100,3,FALSE()))," ")</f>
        <v xml:space="preserve"> </v>
      </c>
      <c r="K316" s="40"/>
      <c r="L316" s="42" t="str">
        <f>IFERROR((VLOOKUP(F316,'Planilha de Cadastro - Previsão'!$A$2:$N$1100,11,FALSE()))," ")</f>
        <v xml:space="preserve"> </v>
      </c>
      <c r="M316" s="41" t="str">
        <f>IFERROR((IF(VLOOKUP(F316,'Planilha de Cadastro - Previsão'!$A$2:$N$1100,10,FALSE())="","",VLOOKUP(F316,'Planilha de Cadastro - Previsão'!$A$2:$N$1100,10,FALSE()))),"")</f>
        <v/>
      </c>
      <c r="N316" s="41"/>
      <c r="O316" s="41"/>
      <c r="P316" s="41" t="str">
        <f>IFERROR((IF(VLOOKUP(F316,'Acompanhamento da Licitação'!$F$2:$O$1000,10,FALSE())="","",VLOOKUP(F316,'Acompanhamento da Licitação'!$F$2:$O$1000,10,FALSE()))),"")</f>
        <v/>
      </c>
      <c r="R316" s="61" t="str">
        <f>IFERROR(IF(F316&gt;0,(Final[[#This Row],[Valor da Venda Real]]-Final[[#This Row],[Valor de Compra Previsto]]-4%*Final[[#This Row],[Valor da Venda Real]])/Final[[#This Row],[Valor da Venda Real]],""),"")</f>
        <v/>
      </c>
      <c r="S316" s="61" t="str">
        <f t="shared" si="21"/>
        <v/>
      </c>
      <c r="T316" s="23" t="str">
        <f>IFERROR((R316*Final[[#This Row],[Valor da Venda Real]]*Final[[#This Row],[Quantidade ]]*S316),"")</f>
        <v/>
      </c>
    </row>
    <row r="317" spans="1:20" ht="15.75" x14ac:dyDescent="0.2">
      <c r="A317">
        <f>COUNTIF($C$2:C317,C317)</f>
        <v>316</v>
      </c>
      <c r="B317" s="1" t="str">
        <f t="shared" si="20"/>
        <v>316</v>
      </c>
      <c r="C317" s="1" t="str">
        <f>IFERROR(VLOOKUP(D317,'Planilha de Cadastro - Previsão'!$A$2:$N$1000,14,FALSE()),"")</f>
        <v/>
      </c>
      <c r="D317" s="1">
        <v>316</v>
      </c>
      <c r="F317" s="40" t="str">
        <f t="shared" si="19"/>
        <v/>
      </c>
      <c r="G317" s="40" t="str">
        <f>IF(F317="","",'Prosposta Inicial'!$O$2)</f>
        <v/>
      </c>
      <c r="H317" s="40" t="str">
        <f t="shared" si="22"/>
        <v xml:space="preserve"> </v>
      </c>
      <c r="I317" s="41" t="str">
        <f>IFERROR((VLOOKUP(F317,'Planilha de Cadastro - Previsão'!$A$2:$N$1100,2,FALSE()))," ")</f>
        <v xml:space="preserve"> </v>
      </c>
      <c r="J317" s="40" t="str">
        <f>IFERROR((VLOOKUP(F317,'Planilha de Cadastro - Previsão'!$A$2:$N$1100,3,FALSE()))," ")</f>
        <v xml:space="preserve"> </v>
      </c>
      <c r="K317" s="40"/>
      <c r="L317" s="42" t="str">
        <f>IFERROR((VLOOKUP(F317,'Planilha de Cadastro - Previsão'!$A$2:$N$1100,11,FALSE()))," ")</f>
        <v xml:space="preserve"> </v>
      </c>
      <c r="M317" s="41" t="str">
        <f>IFERROR((IF(VLOOKUP(F317,'Planilha de Cadastro - Previsão'!$A$2:$N$1100,10,FALSE())="","",VLOOKUP(F317,'Planilha de Cadastro - Previsão'!$A$2:$N$1100,10,FALSE()))),"")</f>
        <v/>
      </c>
      <c r="N317" s="41"/>
      <c r="O317" s="41"/>
      <c r="P317" s="41" t="str">
        <f>IFERROR((IF(VLOOKUP(F317,'Acompanhamento da Licitação'!$F$2:$O$1000,10,FALSE())="","",VLOOKUP(F317,'Acompanhamento da Licitação'!$F$2:$O$1000,10,FALSE()))),"")</f>
        <v/>
      </c>
      <c r="R317" s="61" t="str">
        <f>IFERROR(IF(F317&gt;0,(Final[[#This Row],[Valor da Venda Real]]-Final[[#This Row],[Valor de Compra Previsto]]-4%*Final[[#This Row],[Valor da Venda Real]])/Final[[#This Row],[Valor da Venda Real]],""),"")</f>
        <v/>
      </c>
      <c r="S317" s="61" t="str">
        <f t="shared" si="21"/>
        <v/>
      </c>
      <c r="T317" s="23" t="str">
        <f>IFERROR((R317*Final[[#This Row],[Valor da Venda Real]]*Final[[#This Row],[Quantidade ]]*S317),"")</f>
        <v/>
      </c>
    </row>
    <row r="318" spans="1:20" ht="15.75" x14ac:dyDescent="0.2">
      <c r="A318">
        <f>COUNTIF($C$2:C318,C318)</f>
        <v>317</v>
      </c>
      <c r="B318" s="1" t="str">
        <f t="shared" si="20"/>
        <v>317</v>
      </c>
      <c r="C318" s="1" t="str">
        <f>IFERROR(VLOOKUP(D318,'Planilha de Cadastro - Previsão'!$A$2:$N$1000,14,FALSE()),"")</f>
        <v/>
      </c>
      <c r="D318" s="1">
        <v>317</v>
      </c>
      <c r="F318" s="40" t="str">
        <f t="shared" si="19"/>
        <v/>
      </c>
      <c r="G318" s="40" t="str">
        <f>IF(F318="","",'Prosposta Inicial'!$O$2)</f>
        <v/>
      </c>
      <c r="H318" s="40" t="str">
        <f t="shared" si="22"/>
        <v xml:space="preserve"> </v>
      </c>
      <c r="I318" s="41" t="str">
        <f>IFERROR((VLOOKUP(F318,'Planilha de Cadastro - Previsão'!$A$2:$N$1100,2,FALSE()))," ")</f>
        <v xml:space="preserve"> </v>
      </c>
      <c r="J318" s="40" t="str">
        <f>IFERROR((VLOOKUP(F318,'Planilha de Cadastro - Previsão'!$A$2:$N$1100,3,FALSE()))," ")</f>
        <v xml:space="preserve"> </v>
      </c>
      <c r="K318" s="40"/>
      <c r="L318" s="42" t="str">
        <f>IFERROR((VLOOKUP(F318,'Planilha de Cadastro - Previsão'!$A$2:$N$1100,11,FALSE()))," ")</f>
        <v xml:space="preserve"> </v>
      </c>
      <c r="M318" s="41" t="str">
        <f>IFERROR((IF(VLOOKUP(F318,'Planilha de Cadastro - Previsão'!$A$2:$N$1100,10,FALSE())="","",VLOOKUP(F318,'Planilha de Cadastro - Previsão'!$A$2:$N$1100,10,FALSE()))),"")</f>
        <v/>
      </c>
      <c r="N318" s="41"/>
      <c r="O318" s="41"/>
      <c r="P318" s="41" t="str">
        <f>IFERROR((IF(VLOOKUP(F318,'Acompanhamento da Licitação'!$F$2:$O$1000,10,FALSE())="","",VLOOKUP(F318,'Acompanhamento da Licitação'!$F$2:$O$1000,10,FALSE()))),"")</f>
        <v/>
      </c>
      <c r="R318" s="61" t="str">
        <f>IFERROR(IF(F318&gt;0,(Final[[#This Row],[Valor da Venda Real]]-Final[[#This Row],[Valor de Compra Previsto]]-4%*Final[[#This Row],[Valor da Venda Real]])/Final[[#This Row],[Valor da Venda Real]],""),"")</f>
        <v/>
      </c>
      <c r="S318" s="61" t="str">
        <f t="shared" si="21"/>
        <v/>
      </c>
      <c r="T318" s="23" t="str">
        <f>IFERROR((R318*Final[[#This Row],[Valor da Venda Real]]*Final[[#This Row],[Quantidade ]]*S318),"")</f>
        <v/>
      </c>
    </row>
    <row r="319" spans="1:20" ht="15.75" x14ac:dyDescent="0.2">
      <c r="A319">
        <f>COUNTIF($C$2:C319,C319)</f>
        <v>318</v>
      </c>
      <c r="B319" s="1" t="str">
        <f t="shared" si="20"/>
        <v>318</v>
      </c>
      <c r="C319" s="1" t="str">
        <f>IFERROR(VLOOKUP(D319,'Planilha de Cadastro - Previsão'!$A$2:$N$1000,14,FALSE()),"")</f>
        <v/>
      </c>
      <c r="D319" s="1">
        <v>318</v>
      </c>
      <c r="F319" s="40" t="str">
        <f t="shared" si="19"/>
        <v/>
      </c>
      <c r="G319" s="40" t="str">
        <f>IF(F319="","",'Prosposta Inicial'!$O$2)</f>
        <v/>
      </c>
      <c r="H319" s="40" t="str">
        <f t="shared" si="22"/>
        <v xml:space="preserve"> </v>
      </c>
      <c r="I319" s="41" t="str">
        <f>IFERROR((VLOOKUP(F319,'Planilha de Cadastro - Previsão'!$A$2:$N$1100,2,FALSE()))," ")</f>
        <v xml:space="preserve"> </v>
      </c>
      <c r="J319" s="40" t="str">
        <f>IFERROR((VLOOKUP(F319,'Planilha de Cadastro - Previsão'!$A$2:$N$1100,3,FALSE()))," ")</f>
        <v xml:space="preserve"> </v>
      </c>
      <c r="K319" s="40"/>
      <c r="L319" s="42" t="str">
        <f>IFERROR((VLOOKUP(F319,'Planilha de Cadastro - Previsão'!$A$2:$N$1100,11,FALSE()))," ")</f>
        <v xml:space="preserve"> </v>
      </c>
      <c r="M319" s="41" t="str">
        <f>IFERROR((IF(VLOOKUP(F319,'Planilha de Cadastro - Previsão'!$A$2:$N$1100,10,FALSE())="","",VLOOKUP(F319,'Planilha de Cadastro - Previsão'!$A$2:$N$1100,10,FALSE()))),"")</f>
        <v/>
      </c>
      <c r="N319" s="41"/>
      <c r="O319" s="41"/>
      <c r="P319" s="41" t="str">
        <f>IFERROR((IF(VLOOKUP(F319,'Acompanhamento da Licitação'!$F$2:$O$1000,10,FALSE())="","",VLOOKUP(F319,'Acompanhamento da Licitação'!$F$2:$O$1000,10,FALSE()))),"")</f>
        <v/>
      </c>
      <c r="R319" s="61" t="str">
        <f>IFERROR(IF(F319&gt;0,(Final[[#This Row],[Valor da Venda Real]]-Final[[#This Row],[Valor de Compra Previsto]]-4%*Final[[#This Row],[Valor da Venda Real]])/Final[[#This Row],[Valor da Venda Real]],""),"")</f>
        <v/>
      </c>
      <c r="S319" s="61" t="str">
        <f t="shared" si="21"/>
        <v/>
      </c>
      <c r="T319" s="23" t="str">
        <f>IFERROR((R319*Final[[#This Row],[Valor da Venda Real]]*Final[[#This Row],[Quantidade ]]*S319),"")</f>
        <v/>
      </c>
    </row>
    <row r="320" spans="1:20" ht="15.75" x14ac:dyDescent="0.2">
      <c r="A320">
        <f>COUNTIF($C$2:C320,C320)</f>
        <v>319</v>
      </c>
      <c r="B320" s="1" t="str">
        <f t="shared" si="20"/>
        <v>319</v>
      </c>
      <c r="C320" s="1" t="str">
        <f>IFERROR(VLOOKUP(D320,'Planilha de Cadastro - Previsão'!$A$2:$N$1000,14,FALSE()),"")</f>
        <v/>
      </c>
      <c r="D320" s="1">
        <v>319</v>
      </c>
      <c r="F320" s="40" t="str">
        <f t="shared" si="19"/>
        <v/>
      </c>
      <c r="G320" s="40" t="str">
        <f>IF(F320="","",'Prosposta Inicial'!$O$2)</f>
        <v/>
      </c>
      <c r="H320" s="40" t="str">
        <f t="shared" si="22"/>
        <v xml:space="preserve"> </v>
      </c>
      <c r="I320" s="41" t="str">
        <f>IFERROR((VLOOKUP(F320,'Planilha de Cadastro - Previsão'!$A$2:$N$1100,2,FALSE()))," ")</f>
        <v xml:space="preserve"> </v>
      </c>
      <c r="J320" s="40" t="str">
        <f>IFERROR((VLOOKUP(F320,'Planilha de Cadastro - Previsão'!$A$2:$N$1100,3,FALSE()))," ")</f>
        <v xml:space="preserve"> </v>
      </c>
      <c r="K320" s="40"/>
      <c r="L320" s="42" t="str">
        <f>IFERROR((VLOOKUP(F320,'Planilha de Cadastro - Previsão'!$A$2:$N$1100,11,FALSE()))," ")</f>
        <v xml:space="preserve"> </v>
      </c>
      <c r="M320" s="41" t="str">
        <f>IFERROR((IF(VLOOKUP(F320,'Planilha de Cadastro - Previsão'!$A$2:$N$1100,10,FALSE())="","",VLOOKUP(F320,'Planilha de Cadastro - Previsão'!$A$2:$N$1100,10,FALSE()))),"")</f>
        <v/>
      </c>
      <c r="N320" s="41"/>
      <c r="O320" s="41"/>
      <c r="P320" s="41" t="str">
        <f>IFERROR((IF(VLOOKUP(F320,'Acompanhamento da Licitação'!$F$2:$O$1000,10,FALSE())="","",VLOOKUP(F320,'Acompanhamento da Licitação'!$F$2:$O$1000,10,FALSE()))),"")</f>
        <v/>
      </c>
      <c r="R320" s="61" t="str">
        <f>IFERROR(IF(F320&gt;0,(Final[[#This Row],[Valor da Venda Real]]-Final[[#This Row],[Valor de Compra Previsto]]-4%*Final[[#This Row],[Valor da Venda Real]])/Final[[#This Row],[Valor da Venda Real]],""),"")</f>
        <v/>
      </c>
      <c r="S320" s="61" t="str">
        <f t="shared" si="21"/>
        <v/>
      </c>
      <c r="T320" s="23" t="str">
        <f>IFERROR((R320*Final[[#This Row],[Valor da Venda Real]]*Final[[#This Row],[Quantidade ]]*S320),"")</f>
        <v/>
      </c>
    </row>
    <row r="321" spans="1:20" ht="15.75" x14ac:dyDescent="0.2">
      <c r="A321">
        <f>COUNTIF($C$2:C321,C321)</f>
        <v>320</v>
      </c>
      <c r="B321" s="1" t="str">
        <f t="shared" si="20"/>
        <v>320</v>
      </c>
      <c r="C321" s="1" t="str">
        <f>IFERROR(VLOOKUP(D321,'Planilha de Cadastro - Previsão'!$A$2:$N$1000,14,FALSE()),"")</f>
        <v/>
      </c>
      <c r="D321" s="1">
        <v>320</v>
      </c>
      <c r="F321" s="40" t="str">
        <f t="shared" si="19"/>
        <v/>
      </c>
      <c r="G321" s="40" t="str">
        <f>IF(F321="","",'Prosposta Inicial'!$O$2)</f>
        <v/>
      </c>
      <c r="H321" s="40" t="str">
        <f t="shared" si="22"/>
        <v xml:space="preserve"> </v>
      </c>
      <c r="I321" s="41" t="str">
        <f>IFERROR((VLOOKUP(F321,'Planilha de Cadastro - Previsão'!$A$2:$N$1100,2,FALSE()))," ")</f>
        <v xml:space="preserve"> </v>
      </c>
      <c r="J321" s="40" t="str">
        <f>IFERROR((VLOOKUP(F321,'Planilha de Cadastro - Previsão'!$A$2:$N$1100,3,FALSE()))," ")</f>
        <v xml:space="preserve"> </v>
      </c>
      <c r="K321" s="40"/>
      <c r="L321" s="42" t="str">
        <f>IFERROR((VLOOKUP(F321,'Planilha de Cadastro - Previsão'!$A$2:$N$1100,11,FALSE()))," ")</f>
        <v xml:space="preserve"> </v>
      </c>
      <c r="M321" s="41" t="str">
        <f>IFERROR((IF(VLOOKUP(F321,'Planilha de Cadastro - Previsão'!$A$2:$N$1100,10,FALSE())="","",VLOOKUP(F321,'Planilha de Cadastro - Previsão'!$A$2:$N$1100,10,FALSE()))),"")</f>
        <v/>
      </c>
      <c r="N321" s="41"/>
      <c r="O321" s="41"/>
      <c r="P321" s="41" t="str">
        <f>IFERROR((IF(VLOOKUP(F321,'Acompanhamento da Licitação'!$F$2:$O$1000,10,FALSE())="","",VLOOKUP(F321,'Acompanhamento da Licitação'!$F$2:$O$1000,10,FALSE()))),"")</f>
        <v/>
      </c>
      <c r="R321" s="61" t="str">
        <f>IFERROR(IF(F321&gt;0,(Final[[#This Row],[Valor da Venda Real]]-Final[[#This Row],[Valor de Compra Previsto]]-4%*Final[[#This Row],[Valor da Venda Real]])/Final[[#This Row],[Valor da Venda Real]],""),"")</f>
        <v/>
      </c>
      <c r="S321" s="61" t="str">
        <f t="shared" si="21"/>
        <v/>
      </c>
      <c r="T321" s="23" t="str">
        <f>IFERROR((R321*Final[[#This Row],[Valor da Venda Real]]*Final[[#This Row],[Quantidade ]]*S321),"")</f>
        <v/>
      </c>
    </row>
    <row r="322" spans="1:20" ht="15.75" x14ac:dyDescent="0.2">
      <c r="A322">
        <f>COUNTIF($C$2:C322,C322)</f>
        <v>321</v>
      </c>
      <c r="B322" s="1" t="str">
        <f t="shared" si="20"/>
        <v>321</v>
      </c>
      <c r="C322" s="1" t="str">
        <f>IFERROR(VLOOKUP(D322,'Planilha de Cadastro - Previsão'!$A$2:$N$1000,14,FALSE()),"")</f>
        <v/>
      </c>
      <c r="D322" s="1">
        <v>321</v>
      </c>
      <c r="F322" s="40" t="str">
        <f t="shared" ref="F322:F385" si="23">IFERROR((VLOOKUP(CONCATENATE("Sim",D322),$B$2:$D$1000,3,FALSE())),"")</f>
        <v/>
      </c>
      <c r="G322" s="40" t="str">
        <f>IF(F322="","",'Prosposta Inicial'!$O$2)</f>
        <v/>
      </c>
      <c r="H322" s="40" t="str">
        <f t="shared" si="22"/>
        <v xml:space="preserve"> </v>
      </c>
      <c r="I322" s="41" t="str">
        <f>IFERROR((VLOOKUP(F322,'Planilha de Cadastro - Previsão'!$A$2:$N$1100,2,FALSE()))," ")</f>
        <v xml:space="preserve"> </v>
      </c>
      <c r="J322" s="40" t="str">
        <f>IFERROR((VLOOKUP(F322,'Planilha de Cadastro - Previsão'!$A$2:$N$1100,3,FALSE()))," ")</f>
        <v xml:space="preserve"> </v>
      </c>
      <c r="K322" s="40"/>
      <c r="L322" s="42" t="str">
        <f>IFERROR((VLOOKUP(F322,'Planilha de Cadastro - Previsão'!$A$2:$N$1100,11,FALSE()))," ")</f>
        <v xml:space="preserve"> </v>
      </c>
      <c r="M322" s="41" t="str">
        <f>IFERROR((IF(VLOOKUP(F322,'Planilha de Cadastro - Previsão'!$A$2:$N$1100,10,FALSE())="","",VLOOKUP(F322,'Planilha de Cadastro - Previsão'!$A$2:$N$1100,10,FALSE()))),"")</f>
        <v/>
      </c>
      <c r="N322" s="41"/>
      <c r="O322" s="41"/>
      <c r="P322" s="41" t="str">
        <f>IFERROR((IF(VLOOKUP(F322,'Acompanhamento da Licitação'!$F$2:$O$1000,10,FALSE())="","",VLOOKUP(F322,'Acompanhamento da Licitação'!$F$2:$O$1000,10,FALSE()))),"")</f>
        <v/>
      </c>
      <c r="R322" s="61" t="str">
        <f>IFERROR(IF(F322&gt;0,(Final[[#This Row],[Valor da Venda Real]]-Final[[#This Row],[Valor de Compra Previsto]]-4%*Final[[#This Row],[Valor da Venda Real]])/Final[[#This Row],[Valor da Venda Real]],""),"")</f>
        <v/>
      </c>
      <c r="S322" s="61" t="str">
        <f t="shared" si="21"/>
        <v/>
      </c>
      <c r="T322" s="23" t="str">
        <f>IFERROR((R322*Final[[#This Row],[Valor da Venda Real]]*Final[[#This Row],[Quantidade ]]*S322),"")</f>
        <v/>
      </c>
    </row>
    <row r="323" spans="1:20" ht="15.75" x14ac:dyDescent="0.2">
      <c r="A323">
        <f>COUNTIF($C$2:C323,C323)</f>
        <v>322</v>
      </c>
      <c r="B323" s="1" t="str">
        <f t="shared" ref="B323:B386" si="24">IFERROR(CONCATENATE(C323,A323),"")</f>
        <v>322</v>
      </c>
      <c r="C323" s="1" t="str">
        <f>IFERROR(VLOOKUP(D323,'Planilha de Cadastro - Previsão'!$A$2:$N$1000,14,FALSE()),"")</f>
        <v/>
      </c>
      <c r="D323" s="1">
        <v>322</v>
      </c>
      <c r="F323" s="40" t="str">
        <f t="shared" si="23"/>
        <v/>
      </c>
      <c r="G323" s="40" t="str">
        <f>IF(F323="","",'Prosposta Inicial'!$O$2)</f>
        <v/>
      </c>
      <c r="H323" s="40" t="str">
        <f t="shared" si="22"/>
        <v xml:space="preserve"> </v>
      </c>
      <c r="I323" s="41" t="str">
        <f>IFERROR((VLOOKUP(F323,'Planilha de Cadastro - Previsão'!$A$2:$N$1100,2,FALSE()))," ")</f>
        <v xml:space="preserve"> </v>
      </c>
      <c r="J323" s="40" t="str">
        <f>IFERROR((VLOOKUP(F323,'Planilha de Cadastro - Previsão'!$A$2:$N$1100,3,FALSE()))," ")</f>
        <v xml:space="preserve"> </v>
      </c>
      <c r="K323" s="40"/>
      <c r="L323" s="42" t="str">
        <f>IFERROR((VLOOKUP(F323,'Planilha de Cadastro - Previsão'!$A$2:$N$1100,11,FALSE()))," ")</f>
        <v xml:space="preserve"> </v>
      </c>
      <c r="M323" s="41" t="str">
        <f>IFERROR((IF(VLOOKUP(F323,'Planilha de Cadastro - Previsão'!$A$2:$N$1100,10,FALSE())="","",VLOOKUP(F323,'Planilha de Cadastro - Previsão'!$A$2:$N$1100,10,FALSE()))),"")</f>
        <v/>
      </c>
      <c r="N323" s="41"/>
      <c r="O323" s="41"/>
      <c r="P323" s="41" t="str">
        <f>IFERROR((IF(VLOOKUP(F323,'Acompanhamento da Licitação'!$F$2:$O$1000,10,FALSE())="","",VLOOKUP(F323,'Acompanhamento da Licitação'!$F$2:$O$1000,10,FALSE()))),"")</f>
        <v/>
      </c>
      <c r="R323" s="61" t="str">
        <f>IFERROR(IF(F323&gt;0,(Final[[#This Row],[Valor da Venda Real]]-Final[[#This Row],[Valor de Compra Previsto]]-4%*Final[[#This Row],[Valor da Venda Real]])/Final[[#This Row],[Valor da Venda Real]],""),"")</f>
        <v/>
      </c>
      <c r="S323" s="61" t="str">
        <f t="shared" ref="S323:S386" si="25">IF(R323="","",IF(R323&lt;0.2,0.05,IF(R323&lt;0.25,0.1,IF(R323&lt;0.3,0.15,IF(R323&lt;0.35,0.2,IF(R323&lt;0.45,0.25,IF(R323&lt;0.5,0.3,IF(R323&lt;0.6,0.35,0.4))))))))</f>
        <v/>
      </c>
      <c r="T323" s="23" t="str">
        <f>IFERROR((R323*Final[[#This Row],[Valor da Venda Real]]*Final[[#This Row],[Quantidade ]]*S323),"")</f>
        <v/>
      </c>
    </row>
    <row r="324" spans="1:20" ht="15.75" x14ac:dyDescent="0.2">
      <c r="A324">
        <f>COUNTIF($C$2:C324,C324)</f>
        <v>323</v>
      </c>
      <c r="B324" s="1" t="str">
        <f t="shared" si="24"/>
        <v>323</v>
      </c>
      <c r="C324" s="1" t="str">
        <f>IFERROR(VLOOKUP(D324,'Planilha de Cadastro - Previsão'!$A$2:$N$1000,14,FALSE()),"")</f>
        <v/>
      </c>
      <c r="D324" s="1">
        <v>323</v>
      </c>
      <c r="F324" s="40" t="str">
        <f t="shared" si="23"/>
        <v/>
      </c>
      <c r="G324" s="40" t="str">
        <f>IF(F324="","",'Prosposta Inicial'!$O$2)</f>
        <v/>
      </c>
      <c r="H324" s="40" t="str">
        <f t="shared" si="22"/>
        <v xml:space="preserve"> </v>
      </c>
      <c r="I324" s="41" t="str">
        <f>IFERROR((VLOOKUP(F324,'Planilha de Cadastro - Previsão'!$A$2:$N$1100,2,FALSE()))," ")</f>
        <v xml:space="preserve"> </v>
      </c>
      <c r="J324" s="40" t="str">
        <f>IFERROR((VLOOKUP(F324,'Planilha de Cadastro - Previsão'!$A$2:$N$1100,3,FALSE()))," ")</f>
        <v xml:space="preserve"> </v>
      </c>
      <c r="K324" s="40"/>
      <c r="L324" s="42" t="str">
        <f>IFERROR((VLOOKUP(F324,'Planilha de Cadastro - Previsão'!$A$2:$N$1100,11,FALSE()))," ")</f>
        <v xml:space="preserve"> </v>
      </c>
      <c r="M324" s="41" t="str">
        <f>IFERROR((IF(VLOOKUP(F324,'Planilha de Cadastro - Previsão'!$A$2:$N$1100,10,FALSE())="","",VLOOKUP(F324,'Planilha de Cadastro - Previsão'!$A$2:$N$1100,10,FALSE()))),"")</f>
        <v/>
      </c>
      <c r="N324" s="41"/>
      <c r="O324" s="41"/>
      <c r="P324" s="41" t="str">
        <f>IFERROR((IF(VLOOKUP(F324,'Acompanhamento da Licitação'!$F$2:$O$1000,10,FALSE())="","",VLOOKUP(F324,'Acompanhamento da Licitação'!$F$2:$O$1000,10,FALSE()))),"")</f>
        <v/>
      </c>
      <c r="R324" s="61" t="str">
        <f>IFERROR(IF(F324&gt;0,(Final[[#This Row],[Valor da Venda Real]]-Final[[#This Row],[Valor de Compra Previsto]]-4%*Final[[#This Row],[Valor da Venda Real]])/Final[[#This Row],[Valor da Venda Real]],""),"")</f>
        <v/>
      </c>
      <c r="S324" s="61" t="str">
        <f t="shared" si="25"/>
        <v/>
      </c>
      <c r="T324" s="23" t="str">
        <f>IFERROR((R324*Final[[#This Row],[Valor da Venda Real]]*Final[[#This Row],[Quantidade ]]*S324),"")</f>
        <v/>
      </c>
    </row>
    <row r="325" spans="1:20" ht="15.75" x14ac:dyDescent="0.2">
      <c r="A325">
        <f>COUNTIF($C$2:C325,C325)</f>
        <v>324</v>
      </c>
      <c r="B325" s="1" t="str">
        <f t="shared" si="24"/>
        <v>324</v>
      </c>
      <c r="C325" s="1" t="str">
        <f>IFERROR(VLOOKUP(D325,'Planilha de Cadastro - Previsão'!$A$2:$N$1000,14,FALSE()),"")</f>
        <v/>
      </c>
      <c r="D325" s="1">
        <v>324</v>
      </c>
      <c r="F325" s="40" t="str">
        <f t="shared" si="23"/>
        <v/>
      </c>
      <c r="G325" s="40" t="str">
        <f>IF(F325="","",'Prosposta Inicial'!$O$2)</f>
        <v/>
      </c>
      <c r="H325" s="40" t="str">
        <f t="shared" si="22"/>
        <v xml:space="preserve"> </v>
      </c>
      <c r="I325" s="41" t="str">
        <f>IFERROR((VLOOKUP(F325,'Planilha de Cadastro - Previsão'!$A$2:$N$1100,2,FALSE()))," ")</f>
        <v xml:space="preserve"> </v>
      </c>
      <c r="J325" s="40" t="str">
        <f>IFERROR((VLOOKUP(F325,'Planilha de Cadastro - Previsão'!$A$2:$N$1100,3,FALSE()))," ")</f>
        <v xml:space="preserve"> </v>
      </c>
      <c r="K325" s="40"/>
      <c r="L325" s="42" t="str">
        <f>IFERROR((VLOOKUP(F325,'Planilha de Cadastro - Previsão'!$A$2:$N$1100,11,FALSE()))," ")</f>
        <v xml:space="preserve"> </v>
      </c>
      <c r="M325" s="41" t="str">
        <f>IFERROR((IF(VLOOKUP(F325,'Planilha de Cadastro - Previsão'!$A$2:$N$1100,10,FALSE())="","",VLOOKUP(F325,'Planilha de Cadastro - Previsão'!$A$2:$N$1100,10,FALSE()))),"")</f>
        <v/>
      </c>
      <c r="N325" s="41"/>
      <c r="O325" s="41"/>
      <c r="P325" s="41" t="str">
        <f>IFERROR((IF(VLOOKUP(F325,'Acompanhamento da Licitação'!$F$2:$O$1000,10,FALSE())="","",VLOOKUP(F325,'Acompanhamento da Licitação'!$F$2:$O$1000,10,FALSE()))),"")</f>
        <v/>
      </c>
      <c r="R325" s="61" t="str">
        <f>IFERROR(IF(F325&gt;0,(Final[[#This Row],[Valor da Venda Real]]-Final[[#This Row],[Valor de Compra Previsto]]-4%*Final[[#This Row],[Valor da Venda Real]])/Final[[#This Row],[Valor da Venda Real]],""),"")</f>
        <v/>
      </c>
      <c r="S325" s="61" t="str">
        <f t="shared" si="25"/>
        <v/>
      </c>
      <c r="T325" s="23" t="str">
        <f>IFERROR((R325*Final[[#This Row],[Valor da Venda Real]]*Final[[#This Row],[Quantidade ]]*S325),"")</f>
        <v/>
      </c>
    </row>
    <row r="326" spans="1:20" ht="15.75" x14ac:dyDescent="0.2">
      <c r="A326">
        <f>COUNTIF($C$2:C326,C326)</f>
        <v>325</v>
      </c>
      <c r="B326" s="1" t="str">
        <f t="shared" si="24"/>
        <v>325</v>
      </c>
      <c r="C326" s="1" t="str">
        <f>IFERROR(VLOOKUP(D326,'Planilha de Cadastro - Previsão'!$A$2:$N$1000,14,FALSE()),"")</f>
        <v/>
      </c>
      <c r="D326" s="1">
        <v>325</v>
      </c>
      <c r="F326" s="40" t="str">
        <f t="shared" si="23"/>
        <v/>
      </c>
      <c r="G326" s="40" t="str">
        <f>IF(F326="","",'Prosposta Inicial'!$O$2)</f>
        <v/>
      </c>
      <c r="H326" s="40" t="str">
        <f t="shared" si="22"/>
        <v xml:space="preserve"> </v>
      </c>
      <c r="I326" s="41" t="str">
        <f>IFERROR((VLOOKUP(F326,'Planilha de Cadastro - Previsão'!$A$2:$N$1100,2,FALSE()))," ")</f>
        <v xml:space="preserve"> </v>
      </c>
      <c r="J326" s="40" t="str">
        <f>IFERROR((VLOOKUP(F326,'Planilha de Cadastro - Previsão'!$A$2:$N$1100,3,FALSE()))," ")</f>
        <v xml:space="preserve"> </v>
      </c>
      <c r="K326" s="40"/>
      <c r="L326" s="42" t="str">
        <f>IFERROR((VLOOKUP(F326,'Planilha de Cadastro - Previsão'!$A$2:$N$1100,11,FALSE()))," ")</f>
        <v xml:space="preserve"> </v>
      </c>
      <c r="M326" s="41" t="str">
        <f>IFERROR((IF(VLOOKUP(F326,'Planilha de Cadastro - Previsão'!$A$2:$N$1100,10,FALSE())="","",VLOOKUP(F326,'Planilha de Cadastro - Previsão'!$A$2:$N$1100,10,FALSE()))),"")</f>
        <v/>
      </c>
      <c r="N326" s="41"/>
      <c r="O326" s="41"/>
      <c r="P326" s="41" t="str">
        <f>IFERROR((IF(VLOOKUP(F326,'Acompanhamento da Licitação'!$F$2:$O$1000,10,FALSE())="","",VLOOKUP(F326,'Acompanhamento da Licitação'!$F$2:$O$1000,10,FALSE()))),"")</f>
        <v/>
      </c>
      <c r="R326" s="61" t="str">
        <f>IFERROR(IF(F326&gt;0,(Final[[#This Row],[Valor da Venda Real]]-Final[[#This Row],[Valor de Compra Previsto]]-4%*Final[[#This Row],[Valor da Venda Real]])/Final[[#This Row],[Valor da Venda Real]],""),"")</f>
        <v/>
      </c>
      <c r="S326" s="61" t="str">
        <f t="shared" si="25"/>
        <v/>
      </c>
      <c r="T326" s="23" t="str">
        <f>IFERROR((R326*Final[[#This Row],[Valor da Venda Real]]*Final[[#This Row],[Quantidade ]]*S326),"")</f>
        <v/>
      </c>
    </row>
    <row r="327" spans="1:20" ht="15.75" x14ac:dyDescent="0.2">
      <c r="A327">
        <f>COUNTIF($C$2:C327,C327)</f>
        <v>326</v>
      </c>
      <c r="B327" s="1" t="str">
        <f t="shared" si="24"/>
        <v>326</v>
      </c>
      <c r="C327" s="1" t="str">
        <f>IFERROR(VLOOKUP(D327,'Planilha de Cadastro - Previsão'!$A$2:$N$1000,14,FALSE()),"")</f>
        <v/>
      </c>
      <c r="D327" s="1">
        <v>326</v>
      </c>
      <c r="F327" s="40" t="str">
        <f t="shared" si="23"/>
        <v/>
      </c>
      <c r="G327" s="40" t="str">
        <f>IF(F327="","",'Prosposta Inicial'!$O$2)</f>
        <v/>
      </c>
      <c r="H327" s="40" t="str">
        <f t="shared" si="22"/>
        <v xml:space="preserve"> </v>
      </c>
      <c r="I327" s="41" t="str">
        <f>IFERROR((VLOOKUP(F327,'Planilha de Cadastro - Previsão'!$A$2:$N$1100,2,FALSE()))," ")</f>
        <v xml:space="preserve"> </v>
      </c>
      <c r="J327" s="40" t="str">
        <f>IFERROR((VLOOKUP(F327,'Planilha de Cadastro - Previsão'!$A$2:$N$1100,3,FALSE()))," ")</f>
        <v xml:space="preserve"> </v>
      </c>
      <c r="K327" s="40"/>
      <c r="L327" s="42" t="str">
        <f>IFERROR((VLOOKUP(F327,'Planilha de Cadastro - Previsão'!$A$2:$N$1100,11,FALSE()))," ")</f>
        <v xml:space="preserve"> </v>
      </c>
      <c r="M327" s="41" t="str">
        <f>IFERROR((IF(VLOOKUP(F327,'Planilha de Cadastro - Previsão'!$A$2:$N$1100,10,FALSE())="","",VLOOKUP(F327,'Planilha de Cadastro - Previsão'!$A$2:$N$1100,10,FALSE()))),"")</f>
        <v/>
      </c>
      <c r="N327" s="41"/>
      <c r="O327" s="41"/>
      <c r="P327" s="41" t="str">
        <f>IFERROR((IF(VLOOKUP(F327,'Acompanhamento da Licitação'!$F$2:$O$1000,10,FALSE())="","",VLOOKUP(F327,'Acompanhamento da Licitação'!$F$2:$O$1000,10,FALSE()))),"")</f>
        <v/>
      </c>
      <c r="R327" s="61" t="str">
        <f>IFERROR(IF(F327&gt;0,(Final[[#This Row],[Valor da Venda Real]]-Final[[#This Row],[Valor de Compra Previsto]]-4%*Final[[#This Row],[Valor da Venda Real]])/Final[[#This Row],[Valor da Venda Real]],""),"")</f>
        <v/>
      </c>
      <c r="S327" s="61" t="str">
        <f t="shared" si="25"/>
        <v/>
      </c>
      <c r="T327" s="23" t="str">
        <f>IFERROR((R327*Final[[#This Row],[Valor da Venda Real]]*Final[[#This Row],[Quantidade ]]*S327),"")</f>
        <v/>
      </c>
    </row>
    <row r="328" spans="1:20" ht="15.75" x14ac:dyDescent="0.2">
      <c r="A328">
        <f>COUNTIF($C$2:C328,C328)</f>
        <v>327</v>
      </c>
      <c r="B328" s="1" t="str">
        <f t="shared" si="24"/>
        <v>327</v>
      </c>
      <c r="C328" s="1" t="str">
        <f>IFERROR(VLOOKUP(D328,'Planilha de Cadastro - Previsão'!$A$2:$N$1000,14,FALSE()),"")</f>
        <v/>
      </c>
      <c r="D328" s="1">
        <v>327</v>
      </c>
      <c r="F328" s="40" t="str">
        <f t="shared" si="23"/>
        <v/>
      </c>
      <c r="G328" s="40" t="str">
        <f>IF(F328="","",'Prosposta Inicial'!$O$2)</f>
        <v/>
      </c>
      <c r="H328" s="40" t="str">
        <f t="shared" si="22"/>
        <v xml:space="preserve"> </v>
      </c>
      <c r="I328" s="41" t="str">
        <f>IFERROR((VLOOKUP(F328,'Planilha de Cadastro - Previsão'!$A$2:$N$1100,2,FALSE()))," ")</f>
        <v xml:space="preserve"> </v>
      </c>
      <c r="J328" s="40" t="str">
        <f>IFERROR((VLOOKUP(F328,'Planilha de Cadastro - Previsão'!$A$2:$N$1100,3,FALSE()))," ")</f>
        <v xml:space="preserve"> </v>
      </c>
      <c r="K328" s="40"/>
      <c r="L328" s="42" t="str">
        <f>IFERROR((VLOOKUP(F328,'Planilha de Cadastro - Previsão'!$A$2:$N$1100,11,FALSE()))," ")</f>
        <v xml:space="preserve"> </v>
      </c>
      <c r="M328" s="41" t="str">
        <f>IFERROR((IF(VLOOKUP(F328,'Planilha de Cadastro - Previsão'!$A$2:$N$1100,10,FALSE())="","",VLOOKUP(F328,'Planilha de Cadastro - Previsão'!$A$2:$N$1100,10,FALSE()))),"")</f>
        <v/>
      </c>
      <c r="N328" s="41"/>
      <c r="O328" s="41"/>
      <c r="P328" s="41" t="str">
        <f>IFERROR((IF(VLOOKUP(F328,'Acompanhamento da Licitação'!$F$2:$O$1000,10,FALSE())="","",VLOOKUP(F328,'Acompanhamento da Licitação'!$F$2:$O$1000,10,FALSE()))),"")</f>
        <v/>
      </c>
      <c r="R328" s="61" t="str">
        <f>IFERROR(IF(F328&gt;0,(Final[[#This Row],[Valor da Venda Real]]-Final[[#This Row],[Valor de Compra Previsto]]-4%*Final[[#This Row],[Valor da Venda Real]])/Final[[#This Row],[Valor da Venda Real]],""),"")</f>
        <v/>
      </c>
      <c r="S328" s="61" t="str">
        <f t="shared" si="25"/>
        <v/>
      </c>
      <c r="T328" s="23" t="str">
        <f>IFERROR((R328*Final[[#This Row],[Valor da Venda Real]]*Final[[#This Row],[Quantidade ]]*S328),"")</f>
        <v/>
      </c>
    </row>
    <row r="329" spans="1:20" ht="15.75" x14ac:dyDescent="0.2">
      <c r="A329">
        <f>COUNTIF($C$2:C329,C329)</f>
        <v>328</v>
      </c>
      <c r="B329" s="1" t="str">
        <f t="shared" si="24"/>
        <v>328</v>
      </c>
      <c r="C329" s="1" t="str">
        <f>IFERROR(VLOOKUP(D329,'Planilha de Cadastro - Previsão'!$A$2:$N$1000,14,FALSE()),"")</f>
        <v/>
      </c>
      <c r="D329" s="1">
        <v>328</v>
      </c>
      <c r="F329" s="40" t="str">
        <f t="shared" si="23"/>
        <v/>
      </c>
      <c r="G329" s="40" t="str">
        <f>IF(F329="","",'Prosposta Inicial'!$O$2)</f>
        <v/>
      </c>
      <c r="H329" s="40" t="str">
        <f t="shared" si="22"/>
        <v xml:space="preserve"> </v>
      </c>
      <c r="I329" s="41" t="str">
        <f>IFERROR((VLOOKUP(F329,'Planilha de Cadastro - Previsão'!$A$2:$N$1100,2,FALSE()))," ")</f>
        <v xml:space="preserve"> </v>
      </c>
      <c r="J329" s="40" t="str">
        <f>IFERROR((VLOOKUP(F329,'Planilha de Cadastro - Previsão'!$A$2:$N$1100,3,FALSE()))," ")</f>
        <v xml:space="preserve"> </v>
      </c>
      <c r="K329" s="40"/>
      <c r="L329" s="42" t="str">
        <f>IFERROR((VLOOKUP(F329,'Planilha de Cadastro - Previsão'!$A$2:$N$1100,11,FALSE()))," ")</f>
        <v xml:space="preserve"> </v>
      </c>
      <c r="M329" s="41" t="str">
        <f>IFERROR((IF(VLOOKUP(F329,'Planilha de Cadastro - Previsão'!$A$2:$N$1100,10,FALSE())="","",VLOOKUP(F329,'Planilha de Cadastro - Previsão'!$A$2:$N$1100,10,FALSE()))),"")</f>
        <v/>
      </c>
      <c r="N329" s="41"/>
      <c r="O329" s="41"/>
      <c r="P329" s="41" t="str">
        <f>IFERROR((IF(VLOOKUP(F329,'Acompanhamento da Licitação'!$F$2:$O$1000,10,FALSE())="","",VLOOKUP(F329,'Acompanhamento da Licitação'!$F$2:$O$1000,10,FALSE()))),"")</f>
        <v/>
      </c>
      <c r="R329" s="61" t="str">
        <f>IFERROR(IF(F329&gt;0,(Final[[#This Row],[Valor da Venda Real]]-Final[[#This Row],[Valor de Compra Previsto]]-4%*Final[[#This Row],[Valor da Venda Real]])/Final[[#This Row],[Valor da Venda Real]],""),"")</f>
        <v/>
      </c>
      <c r="S329" s="61" t="str">
        <f t="shared" si="25"/>
        <v/>
      </c>
      <c r="T329" s="23" t="str">
        <f>IFERROR((R329*Final[[#This Row],[Valor da Venda Real]]*Final[[#This Row],[Quantidade ]]*S329),"")</f>
        <v/>
      </c>
    </row>
    <row r="330" spans="1:20" ht="15.75" x14ac:dyDescent="0.2">
      <c r="A330">
        <f>COUNTIF($C$2:C330,C330)</f>
        <v>329</v>
      </c>
      <c r="B330" s="1" t="str">
        <f t="shared" si="24"/>
        <v>329</v>
      </c>
      <c r="C330" s="1" t="str">
        <f>IFERROR(VLOOKUP(D330,'Planilha de Cadastro - Previsão'!$A$2:$N$1000,14,FALSE()),"")</f>
        <v/>
      </c>
      <c r="D330" s="1">
        <v>329</v>
      </c>
      <c r="F330" s="40" t="str">
        <f t="shared" si="23"/>
        <v/>
      </c>
      <c r="G330" s="40" t="str">
        <f>IF(F330="","",'Prosposta Inicial'!$O$2)</f>
        <v/>
      </c>
      <c r="H330" s="40" t="str">
        <f t="shared" si="22"/>
        <v xml:space="preserve"> </v>
      </c>
      <c r="I330" s="41" t="str">
        <f>IFERROR((VLOOKUP(F330,'Planilha de Cadastro - Previsão'!$A$2:$N$1100,2,FALSE()))," ")</f>
        <v xml:space="preserve"> </v>
      </c>
      <c r="J330" s="40" t="str">
        <f>IFERROR((VLOOKUP(F330,'Planilha de Cadastro - Previsão'!$A$2:$N$1100,3,FALSE()))," ")</f>
        <v xml:space="preserve"> </v>
      </c>
      <c r="K330" s="40"/>
      <c r="L330" s="42" t="str">
        <f>IFERROR((VLOOKUP(F330,'Planilha de Cadastro - Previsão'!$A$2:$N$1100,11,FALSE()))," ")</f>
        <v xml:space="preserve"> </v>
      </c>
      <c r="M330" s="41" t="str">
        <f>IFERROR((IF(VLOOKUP(F330,'Planilha de Cadastro - Previsão'!$A$2:$N$1100,10,FALSE())="","",VLOOKUP(F330,'Planilha de Cadastro - Previsão'!$A$2:$N$1100,10,FALSE()))),"")</f>
        <v/>
      </c>
      <c r="N330" s="41"/>
      <c r="O330" s="41"/>
      <c r="P330" s="41" t="str">
        <f>IFERROR((IF(VLOOKUP(F330,'Acompanhamento da Licitação'!$F$2:$O$1000,10,FALSE())="","",VLOOKUP(F330,'Acompanhamento da Licitação'!$F$2:$O$1000,10,FALSE()))),"")</f>
        <v/>
      </c>
      <c r="R330" s="61" t="str">
        <f>IFERROR(IF(F330&gt;0,(Final[[#This Row],[Valor da Venda Real]]-Final[[#This Row],[Valor de Compra Previsto]]-4%*Final[[#This Row],[Valor da Venda Real]])/Final[[#This Row],[Valor da Venda Real]],""),"")</f>
        <v/>
      </c>
      <c r="S330" s="61" t="str">
        <f t="shared" si="25"/>
        <v/>
      </c>
      <c r="T330" s="23" t="str">
        <f>IFERROR((R330*Final[[#This Row],[Valor da Venda Real]]*Final[[#This Row],[Quantidade ]]*S330),"")</f>
        <v/>
      </c>
    </row>
    <row r="331" spans="1:20" ht="15.75" x14ac:dyDescent="0.2">
      <c r="A331">
        <f>COUNTIF($C$2:C331,C331)</f>
        <v>330</v>
      </c>
      <c r="B331" s="1" t="str">
        <f t="shared" si="24"/>
        <v>330</v>
      </c>
      <c r="C331" s="1" t="str">
        <f>IFERROR(VLOOKUP(D331,'Planilha de Cadastro - Previsão'!$A$2:$N$1000,14,FALSE()),"")</f>
        <v/>
      </c>
      <c r="D331" s="1">
        <v>330</v>
      </c>
      <c r="F331" s="40" t="str">
        <f t="shared" si="23"/>
        <v/>
      </c>
      <c r="G331" s="40" t="str">
        <f>IF(F331="","",'Prosposta Inicial'!$O$2)</f>
        <v/>
      </c>
      <c r="H331" s="40" t="str">
        <f t="shared" si="22"/>
        <v xml:space="preserve"> </v>
      </c>
      <c r="I331" s="41" t="str">
        <f>IFERROR((VLOOKUP(F331,'Planilha de Cadastro - Previsão'!$A$2:$N$1100,2,FALSE()))," ")</f>
        <v xml:space="preserve"> </v>
      </c>
      <c r="J331" s="40" t="str">
        <f>IFERROR((VLOOKUP(F331,'Planilha de Cadastro - Previsão'!$A$2:$N$1100,3,FALSE()))," ")</f>
        <v xml:space="preserve"> </v>
      </c>
      <c r="K331" s="40"/>
      <c r="L331" s="42" t="str">
        <f>IFERROR((VLOOKUP(F331,'Planilha de Cadastro - Previsão'!$A$2:$N$1100,11,FALSE()))," ")</f>
        <v xml:space="preserve"> </v>
      </c>
      <c r="M331" s="41" t="str">
        <f>IFERROR((IF(VLOOKUP(F331,'Planilha de Cadastro - Previsão'!$A$2:$N$1100,10,FALSE())="","",VLOOKUP(F331,'Planilha de Cadastro - Previsão'!$A$2:$N$1100,10,FALSE()))),"")</f>
        <v/>
      </c>
      <c r="N331" s="41"/>
      <c r="O331" s="41"/>
      <c r="P331" s="41" t="str">
        <f>IFERROR((IF(VLOOKUP(F331,'Acompanhamento da Licitação'!$F$2:$O$1000,10,FALSE())="","",VLOOKUP(F331,'Acompanhamento da Licitação'!$F$2:$O$1000,10,FALSE()))),"")</f>
        <v/>
      </c>
      <c r="R331" s="61" t="str">
        <f>IFERROR(IF(F331&gt;0,(Final[[#This Row],[Valor da Venda Real]]-Final[[#This Row],[Valor de Compra Previsto]]-4%*Final[[#This Row],[Valor da Venda Real]])/Final[[#This Row],[Valor da Venda Real]],""),"")</f>
        <v/>
      </c>
      <c r="S331" s="61" t="str">
        <f t="shared" si="25"/>
        <v/>
      </c>
      <c r="T331" s="23" t="str">
        <f>IFERROR((R331*Final[[#This Row],[Valor da Venda Real]]*Final[[#This Row],[Quantidade ]]*S331),"")</f>
        <v/>
      </c>
    </row>
    <row r="332" spans="1:20" ht="15.75" x14ac:dyDescent="0.2">
      <c r="A332">
        <f>COUNTIF($C$2:C332,C332)</f>
        <v>331</v>
      </c>
      <c r="B332" s="1" t="str">
        <f t="shared" si="24"/>
        <v>331</v>
      </c>
      <c r="C332" s="1" t="str">
        <f>IFERROR(VLOOKUP(D332,'Planilha de Cadastro - Previsão'!$A$2:$N$1000,14,FALSE()),"")</f>
        <v/>
      </c>
      <c r="D332" s="1">
        <v>331</v>
      </c>
      <c r="F332" s="40" t="str">
        <f t="shared" si="23"/>
        <v/>
      </c>
      <c r="G332" s="40" t="str">
        <f>IF(F332="","",'Prosposta Inicial'!$O$2)</f>
        <v/>
      </c>
      <c r="H332" s="40" t="str">
        <f t="shared" si="22"/>
        <v xml:space="preserve"> </v>
      </c>
      <c r="I332" s="41" t="str">
        <f>IFERROR((VLOOKUP(F332,'Planilha de Cadastro - Previsão'!$A$2:$N$1100,2,FALSE()))," ")</f>
        <v xml:space="preserve"> </v>
      </c>
      <c r="J332" s="40" t="str">
        <f>IFERROR((VLOOKUP(F332,'Planilha de Cadastro - Previsão'!$A$2:$N$1100,3,FALSE()))," ")</f>
        <v xml:space="preserve"> </v>
      </c>
      <c r="K332" s="40"/>
      <c r="L332" s="42" t="str">
        <f>IFERROR((VLOOKUP(F332,'Planilha de Cadastro - Previsão'!$A$2:$N$1100,11,FALSE()))," ")</f>
        <v xml:space="preserve"> </v>
      </c>
      <c r="M332" s="41" t="str">
        <f>IFERROR((IF(VLOOKUP(F332,'Planilha de Cadastro - Previsão'!$A$2:$N$1100,10,FALSE())="","",VLOOKUP(F332,'Planilha de Cadastro - Previsão'!$A$2:$N$1100,10,FALSE()))),"")</f>
        <v/>
      </c>
      <c r="N332" s="41"/>
      <c r="O332" s="41"/>
      <c r="P332" s="41" t="str">
        <f>IFERROR((IF(VLOOKUP(F332,'Acompanhamento da Licitação'!$F$2:$O$1000,10,FALSE())="","",VLOOKUP(F332,'Acompanhamento da Licitação'!$F$2:$O$1000,10,FALSE()))),"")</f>
        <v/>
      </c>
      <c r="R332" s="61" t="str">
        <f>IFERROR(IF(F332&gt;0,(Final[[#This Row],[Valor da Venda Real]]-Final[[#This Row],[Valor de Compra Previsto]]-4%*Final[[#This Row],[Valor da Venda Real]])/Final[[#This Row],[Valor da Venda Real]],""),"")</f>
        <v/>
      </c>
      <c r="S332" s="61" t="str">
        <f t="shared" si="25"/>
        <v/>
      </c>
      <c r="T332" s="23" t="str">
        <f>IFERROR((R332*Final[[#This Row],[Valor da Venda Real]]*Final[[#This Row],[Quantidade ]]*S332),"")</f>
        <v/>
      </c>
    </row>
    <row r="333" spans="1:20" ht="15.75" x14ac:dyDescent="0.2">
      <c r="A333">
        <f>COUNTIF($C$2:C333,C333)</f>
        <v>332</v>
      </c>
      <c r="B333" s="1" t="str">
        <f t="shared" si="24"/>
        <v>332</v>
      </c>
      <c r="C333" s="1" t="str">
        <f>IFERROR(VLOOKUP(D333,'Planilha de Cadastro - Previsão'!$A$2:$N$1000,14,FALSE()),"")</f>
        <v/>
      </c>
      <c r="D333" s="1">
        <v>332</v>
      </c>
      <c r="F333" s="40" t="str">
        <f t="shared" si="23"/>
        <v/>
      </c>
      <c r="G333" s="40" t="str">
        <f>IF(F333="","",'Prosposta Inicial'!$O$2)</f>
        <v/>
      </c>
      <c r="H333" s="40" t="str">
        <f t="shared" si="22"/>
        <v xml:space="preserve"> </v>
      </c>
      <c r="I333" s="41" t="str">
        <f>IFERROR((VLOOKUP(F333,'Planilha de Cadastro - Previsão'!$A$2:$N$1100,2,FALSE()))," ")</f>
        <v xml:space="preserve"> </v>
      </c>
      <c r="J333" s="40" t="str">
        <f>IFERROR((VLOOKUP(F333,'Planilha de Cadastro - Previsão'!$A$2:$N$1100,3,FALSE()))," ")</f>
        <v xml:space="preserve"> </v>
      </c>
      <c r="K333" s="40"/>
      <c r="L333" s="42" t="str">
        <f>IFERROR((VLOOKUP(F333,'Planilha de Cadastro - Previsão'!$A$2:$N$1100,11,FALSE()))," ")</f>
        <v xml:space="preserve"> </v>
      </c>
      <c r="M333" s="41" t="str">
        <f>IFERROR((IF(VLOOKUP(F333,'Planilha de Cadastro - Previsão'!$A$2:$N$1100,10,FALSE())="","",VLOOKUP(F333,'Planilha de Cadastro - Previsão'!$A$2:$N$1100,10,FALSE()))),"")</f>
        <v/>
      </c>
      <c r="N333" s="41"/>
      <c r="O333" s="41"/>
      <c r="P333" s="41" t="str">
        <f>IFERROR((IF(VLOOKUP(F333,'Acompanhamento da Licitação'!$F$2:$O$1000,10,FALSE())="","",VLOOKUP(F333,'Acompanhamento da Licitação'!$F$2:$O$1000,10,FALSE()))),"")</f>
        <v/>
      </c>
      <c r="R333" s="61" t="str">
        <f>IFERROR(IF(F333&gt;0,(Final[[#This Row],[Valor da Venda Real]]-Final[[#This Row],[Valor de Compra Previsto]]-4%*Final[[#This Row],[Valor da Venda Real]])/Final[[#This Row],[Valor da Venda Real]],""),"")</f>
        <v/>
      </c>
      <c r="S333" s="61" t="str">
        <f t="shared" si="25"/>
        <v/>
      </c>
      <c r="T333" s="23" t="str">
        <f>IFERROR((R333*Final[[#This Row],[Valor da Venda Real]]*Final[[#This Row],[Quantidade ]]*S333),"")</f>
        <v/>
      </c>
    </row>
    <row r="334" spans="1:20" ht="15.75" x14ac:dyDescent="0.2">
      <c r="A334">
        <f>COUNTIF($C$2:C334,C334)</f>
        <v>333</v>
      </c>
      <c r="B334" s="1" t="str">
        <f t="shared" si="24"/>
        <v>333</v>
      </c>
      <c r="C334" s="1" t="str">
        <f>IFERROR(VLOOKUP(D334,'Planilha de Cadastro - Previsão'!$A$2:$N$1000,14,FALSE()),"")</f>
        <v/>
      </c>
      <c r="D334" s="1">
        <v>333</v>
      </c>
      <c r="F334" s="40" t="str">
        <f t="shared" si="23"/>
        <v/>
      </c>
      <c r="G334" s="40" t="str">
        <f>IF(F334="","",'Prosposta Inicial'!$O$2)</f>
        <v/>
      </c>
      <c r="H334" s="40" t="str">
        <f t="shared" si="22"/>
        <v xml:space="preserve"> </v>
      </c>
      <c r="I334" s="41" t="str">
        <f>IFERROR((VLOOKUP(F334,'Planilha de Cadastro - Previsão'!$A$2:$N$1100,2,FALSE()))," ")</f>
        <v xml:space="preserve"> </v>
      </c>
      <c r="J334" s="40" t="str">
        <f>IFERROR((VLOOKUP(F334,'Planilha de Cadastro - Previsão'!$A$2:$N$1100,3,FALSE()))," ")</f>
        <v xml:space="preserve"> </v>
      </c>
      <c r="K334" s="40"/>
      <c r="L334" s="42" t="str">
        <f>IFERROR((VLOOKUP(F334,'Planilha de Cadastro - Previsão'!$A$2:$N$1100,11,FALSE()))," ")</f>
        <v xml:space="preserve"> </v>
      </c>
      <c r="M334" s="41" t="str">
        <f>IFERROR((IF(VLOOKUP(F334,'Planilha de Cadastro - Previsão'!$A$2:$N$1100,10,FALSE())="","",VLOOKUP(F334,'Planilha de Cadastro - Previsão'!$A$2:$N$1100,10,FALSE()))),"")</f>
        <v/>
      </c>
      <c r="N334" s="41"/>
      <c r="O334" s="41"/>
      <c r="P334" s="41" t="str">
        <f>IFERROR((IF(VLOOKUP(F334,'Acompanhamento da Licitação'!$F$2:$O$1000,10,FALSE())="","",VLOOKUP(F334,'Acompanhamento da Licitação'!$F$2:$O$1000,10,FALSE()))),"")</f>
        <v/>
      </c>
      <c r="R334" s="61" t="str">
        <f>IFERROR(IF(F334&gt;0,(Final[[#This Row],[Valor da Venda Real]]-Final[[#This Row],[Valor de Compra Previsto]]-4%*Final[[#This Row],[Valor da Venda Real]])/Final[[#This Row],[Valor da Venda Real]],""),"")</f>
        <v/>
      </c>
      <c r="S334" s="61" t="str">
        <f t="shared" si="25"/>
        <v/>
      </c>
      <c r="T334" s="23" t="str">
        <f>IFERROR((R334*Final[[#This Row],[Valor da Venda Real]]*Final[[#This Row],[Quantidade ]]*S334),"")</f>
        <v/>
      </c>
    </row>
    <row r="335" spans="1:20" ht="15.75" x14ac:dyDescent="0.2">
      <c r="A335">
        <f>COUNTIF($C$2:C335,C335)</f>
        <v>334</v>
      </c>
      <c r="B335" s="1" t="str">
        <f t="shared" si="24"/>
        <v>334</v>
      </c>
      <c r="C335" s="1" t="str">
        <f>IFERROR(VLOOKUP(D335,'Planilha de Cadastro - Previsão'!$A$2:$N$1000,14,FALSE()),"")</f>
        <v/>
      </c>
      <c r="D335" s="1">
        <v>334</v>
      </c>
      <c r="F335" s="40" t="str">
        <f t="shared" si="23"/>
        <v/>
      </c>
      <c r="G335" s="40" t="str">
        <f>IF(F335="","",'Prosposta Inicial'!$O$2)</f>
        <v/>
      </c>
      <c r="H335" s="40" t="str">
        <f t="shared" si="22"/>
        <v xml:space="preserve"> </v>
      </c>
      <c r="I335" s="41" t="str">
        <f>IFERROR((VLOOKUP(F335,'Planilha de Cadastro - Previsão'!$A$2:$N$1100,2,FALSE()))," ")</f>
        <v xml:space="preserve"> </v>
      </c>
      <c r="J335" s="40" t="str">
        <f>IFERROR((VLOOKUP(F335,'Planilha de Cadastro - Previsão'!$A$2:$N$1100,3,FALSE()))," ")</f>
        <v xml:space="preserve"> </v>
      </c>
      <c r="K335" s="40"/>
      <c r="L335" s="42" t="str">
        <f>IFERROR((VLOOKUP(F335,'Planilha de Cadastro - Previsão'!$A$2:$N$1100,11,FALSE()))," ")</f>
        <v xml:space="preserve"> </v>
      </c>
      <c r="M335" s="41" t="str">
        <f>IFERROR((IF(VLOOKUP(F335,'Planilha de Cadastro - Previsão'!$A$2:$N$1100,10,FALSE())="","",VLOOKUP(F335,'Planilha de Cadastro - Previsão'!$A$2:$N$1100,10,FALSE()))),"")</f>
        <v/>
      </c>
      <c r="N335" s="41"/>
      <c r="O335" s="41"/>
      <c r="P335" s="41" t="str">
        <f>IFERROR((IF(VLOOKUP(F335,'Acompanhamento da Licitação'!$F$2:$O$1000,10,FALSE())="","",VLOOKUP(F335,'Acompanhamento da Licitação'!$F$2:$O$1000,10,FALSE()))),"")</f>
        <v/>
      </c>
      <c r="R335" s="61" t="str">
        <f>IFERROR(IF(F335&gt;0,(Final[[#This Row],[Valor da Venda Real]]-Final[[#This Row],[Valor de Compra Previsto]]-4%*Final[[#This Row],[Valor da Venda Real]])/Final[[#This Row],[Valor da Venda Real]],""),"")</f>
        <v/>
      </c>
      <c r="S335" s="61" t="str">
        <f t="shared" si="25"/>
        <v/>
      </c>
      <c r="T335" s="23" t="str">
        <f>IFERROR((R335*Final[[#This Row],[Valor da Venda Real]]*Final[[#This Row],[Quantidade ]]*S335),"")</f>
        <v/>
      </c>
    </row>
    <row r="336" spans="1:20" ht="15.75" x14ac:dyDescent="0.2">
      <c r="A336">
        <f>COUNTIF($C$2:C336,C336)</f>
        <v>335</v>
      </c>
      <c r="B336" s="1" t="str">
        <f t="shared" si="24"/>
        <v>335</v>
      </c>
      <c r="C336" s="1" t="str">
        <f>IFERROR(VLOOKUP(D336,'Planilha de Cadastro - Previsão'!$A$2:$N$1000,14,FALSE()),"")</f>
        <v/>
      </c>
      <c r="D336" s="1">
        <v>335</v>
      </c>
      <c r="F336" s="40" t="str">
        <f t="shared" si="23"/>
        <v/>
      </c>
      <c r="G336" s="40" t="str">
        <f>IF(F336="","",'Prosposta Inicial'!$O$2)</f>
        <v/>
      </c>
      <c r="H336" s="40" t="str">
        <f t="shared" si="22"/>
        <v xml:space="preserve"> </v>
      </c>
      <c r="I336" s="41" t="str">
        <f>IFERROR((VLOOKUP(F336,'Planilha de Cadastro - Previsão'!$A$2:$N$1100,2,FALSE()))," ")</f>
        <v xml:space="preserve"> </v>
      </c>
      <c r="J336" s="40" t="str">
        <f>IFERROR((VLOOKUP(F336,'Planilha de Cadastro - Previsão'!$A$2:$N$1100,3,FALSE()))," ")</f>
        <v xml:space="preserve"> </v>
      </c>
      <c r="K336" s="40"/>
      <c r="L336" s="42" t="str">
        <f>IFERROR((VLOOKUP(F336,'Planilha de Cadastro - Previsão'!$A$2:$N$1100,11,FALSE()))," ")</f>
        <v xml:space="preserve"> </v>
      </c>
      <c r="M336" s="41" t="str">
        <f>IFERROR((IF(VLOOKUP(F336,'Planilha de Cadastro - Previsão'!$A$2:$N$1100,10,FALSE())="","",VLOOKUP(F336,'Planilha de Cadastro - Previsão'!$A$2:$N$1100,10,FALSE()))),"")</f>
        <v/>
      </c>
      <c r="N336" s="41"/>
      <c r="O336" s="41"/>
      <c r="P336" s="41" t="str">
        <f>IFERROR((IF(VLOOKUP(F336,'Acompanhamento da Licitação'!$F$2:$O$1000,10,FALSE())="","",VLOOKUP(F336,'Acompanhamento da Licitação'!$F$2:$O$1000,10,FALSE()))),"")</f>
        <v/>
      </c>
      <c r="R336" s="61" t="str">
        <f>IFERROR(IF(F336&gt;0,(Final[[#This Row],[Valor da Venda Real]]-Final[[#This Row],[Valor de Compra Previsto]]-4%*Final[[#This Row],[Valor da Venda Real]])/Final[[#This Row],[Valor da Venda Real]],""),"")</f>
        <v/>
      </c>
      <c r="S336" s="61" t="str">
        <f t="shared" si="25"/>
        <v/>
      </c>
      <c r="T336" s="23" t="str">
        <f>IFERROR((R336*Final[[#This Row],[Valor da Venda Real]]*Final[[#This Row],[Quantidade ]]*S336),"")</f>
        <v/>
      </c>
    </row>
    <row r="337" spans="1:20" ht="15.75" x14ac:dyDescent="0.2">
      <c r="A337">
        <f>COUNTIF($C$2:C337,C337)</f>
        <v>336</v>
      </c>
      <c r="B337" s="1" t="str">
        <f t="shared" si="24"/>
        <v>336</v>
      </c>
      <c r="C337" s="1" t="str">
        <f>IFERROR(VLOOKUP(D337,'Planilha de Cadastro - Previsão'!$A$2:$N$1000,14,FALSE()),"")</f>
        <v/>
      </c>
      <c r="D337" s="1">
        <v>336</v>
      </c>
      <c r="F337" s="40" t="str">
        <f t="shared" si="23"/>
        <v/>
      </c>
      <c r="G337" s="40" t="str">
        <f>IF(F337="","",'Prosposta Inicial'!$O$2)</f>
        <v/>
      </c>
      <c r="H337" s="40" t="str">
        <f t="shared" si="22"/>
        <v xml:space="preserve"> </v>
      </c>
      <c r="I337" s="41" t="str">
        <f>IFERROR((VLOOKUP(F337,'Planilha de Cadastro - Previsão'!$A$2:$N$1100,2,FALSE()))," ")</f>
        <v xml:space="preserve"> </v>
      </c>
      <c r="J337" s="40" t="str">
        <f>IFERROR((VLOOKUP(F337,'Planilha de Cadastro - Previsão'!$A$2:$N$1100,3,FALSE()))," ")</f>
        <v xml:space="preserve"> </v>
      </c>
      <c r="K337" s="40"/>
      <c r="L337" s="42" t="str">
        <f>IFERROR((VLOOKUP(F337,'Planilha de Cadastro - Previsão'!$A$2:$N$1100,11,FALSE()))," ")</f>
        <v xml:space="preserve"> </v>
      </c>
      <c r="M337" s="41" t="str">
        <f>IFERROR((IF(VLOOKUP(F337,'Planilha de Cadastro - Previsão'!$A$2:$N$1100,10,FALSE())="","",VLOOKUP(F337,'Planilha de Cadastro - Previsão'!$A$2:$N$1100,10,FALSE()))),"")</f>
        <v/>
      </c>
      <c r="N337" s="41"/>
      <c r="O337" s="41"/>
      <c r="P337" s="41" t="str">
        <f>IFERROR((IF(VLOOKUP(F337,'Acompanhamento da Licitação'!$F$2:$O$1000,10,FALSE())="","",VLOOKUP(F337,'Acompanhamento da Licitação'!$F$2:$O$1000,10,FALSE()))),"")</f>
        <v/>
      </c>
      <c r="R337" s="61" t="str">
        <f>IFERROR(IF(F337&gt;0,(Final[[#This Row],[Valor da Venda Real]]-Final[[#This Row],[Valor de Compra Previsto]]-4%*Final[[#This Row],[Valor da Venda Real]])/Final[[#This Row],[Valor da Venda Real]],""),"")</f>
        <v/>
      </c>
      <c r="S337" s="61" t="str">
        <f t="shared" si="25"/>
        <v/>
      </c>
      <c r="T337" s="23" t="str">
        <f>IFERROR((R337*Final[[#This Row],[Valor da Venda Real]]*Final[[#This Row],[Quantidade ]]*S337),"")</f>
        <v/>
      </c>
    </row>
    <row r="338" spans="1:20" ht="15.75" x14ac:dyDescent="0.2">
      <c r="A338">
        <f>COUNTIF($C$2:C338,C338)</f>
        <v>337</v>
      </c>
      <c r="B338" s="1" t="str">
        <f t="shared" si="24"/>
        <v>337</v>
      </c>
      <c r="C338" s="1" t="str">
        <f>IFERROR(VLOOKUP(D338,'Planilha de Cadastro - Previsão'!$A$2:$N$1000,14,FALSE()),"")</f>
        <v/>
      </c>
      <c r="D338" s="1">
        <v>337</v>
      </c>
      <c r="F338" s="40" t="str">
        <f t="shared" si="23"/>
        <v/>
      </c>
      <c r="G338" s="40" t="str">
        <f>IF(F338="","",'Prosposta Inicial'!$O$2)</f>
        <v/>
      </c>
      <c r="H338" s="40" t="str">
        <f t="shared" si="22"/>
        <v xml:space="preserve"> </v>
      </c>
      <c r="I338" s="41" t="str">
        <f>IFERROR((VLOOKUP(F338,'Planilha de Cadastro - Previsão'!$A$2:$N$1100,2,FALSE()))," ")</f>
        <v xml:space="preserve"> </v>
      </c>
      <c r="J338" s="40" t="str">
        <f>IFERROR((VLOOKUP(F338,'Planilha de Cadastro - Previsão'!$A$2:$N$1100,3,FALSE()))," ")</f>
        <v xml:space="preserve"> </v>
      </c>
      <c r="K338" s="40"/>
      <c r="L338" s="42" t="str">
        <f>IFERROR((VLOOKUP(F338,'Planilha de Cadastro - Previsão'!$A$2:$N$1100,11,FALSE()))," ")</f>
        <v xml:space="preserve"> </v>
      </c>
      <c r="M338" s="41" t="str">
        <f>IFERROR((IF(VLOOKUP(F338,'Planilha de Cadastro - Previsão'!$A$2:$N$1100,10,FALSE())="","",VLOOKUP(F338,'Planilha de Cadastro - Previsão'!$A$2:$N$1100,10,FALSE()))),"")</f>
        <v/>
      </c>
      <c r="N338" s="41"/>
      <c r="O338" s="41"/>
      <c r="P338" s="41" t="str">
        <f>IFERROR((IF(VLOOKUP(F338,'Acompanhamento da Licitação'!$F$2:$O$1000,10,FALSE())="","",VLOOKUP(F338,'Acompanhamento da Licitação'!$F$2:$O$1000,10,FALSE()))),"")</f>
        <v/>
      </c>
      <c r="R338" s="61" t="str">
        <f>IFERROR(IF(F338&gt;0,(Final[[#This Row],[Valor da Venda Real]]-Final[[#This Row],[Valor de Compra Previsto]]-4%*Final[[#This Row],[Valor da Venda Real]])/Final[[#This Row],[Valor da Venda Real]],""),"")</f>
        <v/>
      </c>
      <c r="S338" s="61" t="str">
        <f t="shared" si="25"/>
        <v/>
      </c>
      <c r="T338" s="23" t="str">
        <f>IFERROR((R338*Final[[#This Row],[Valor da Venda Real]]*Final[[#This Row],[Quantidade ]]*S338),"")</f>
        <v/>
      </c>
    </row>
    <row r="339" spans="1:20" ht="15.75" x14ac:dyDescent="0.2">
      <c r="A339">
        <f>COUNTIF($C$2:C339,C339)</f>
        <v>338</v>
      </c>
      <c r="B339" s="1" t="str">
        <f t="shared" si="24"/>
        <v>338</v>
      </c>
      <c r="C339" s="1" t="str">
        <f>IFERROR(VLOOKUP(D339,'Planilha de Cadastro - Previsão'!$A$2:$N$1000,14,FALSE()),"")</f>
        <v/>
      </c>
      <c r="D339" s="1">
        <v>338</v>
      </c>
      <c r="F339" s="40" t="str">
        <f t="shared" si="23"/>
        <v/>
      </c>
      <c r="G339" s="40" t="str">
        <f>IF(F339="","",'Prosposta Inicial'!$O$2)</f>
        <v/>
      </c>
      <c r="H339" s="40" t="str">
        <f t="shared" si="22"/>
        <v xml:space="preserve"> </v>
      </c>
      <c r="I339" s="41" t="str">
        <f>IFERROR((VLOOKUP(F339,'Planilha de Cadastro - Previsão'!$A$2:$N$1100,2,FALSE()))," ")</f>
        <v xml:space="preserve"> </v>
      </c>
      <c r="J339" s="40" t="str">
        <f>IFERROR((VLOOKUP(F339,'Planilha de Cadastro - Previsão'!$A$2:$N$1100,3,FALSE()))," ")</f>
        <v xml:space="preserve"> </v>
      </c>
      <c r="K339" s="40"/>
      <c r="L339" s="42" t="str">
        <f>IFERROR((VLOOKUP(F339,'Planilha de Cadastro - Previsão'!$A$2:$N$1100,11,FALSE()))," ")</f>
        <v xml:space="preserve"> </v>
      </c>
      <c r="M339" s="41" t="str">
        <f>IFERROR((IF(VLOOKUP(F339,'Planilha de Cadastro - Previsão'!$A$2:$N$1100,10,FALSE())="","",VLOOKUP(F339,'Planilha de Cadastro - Previsão'!$A$2:$N$1100,10,FALSE()))),"")</f>
        <v/>
      </c>
      <c r="N339" s="41"/>
      <c r="O339" s="41"/>
      <c r="P339" s="41" t="str">
        <f>IFERROR((IF(VLOOKUP(F339,'Acompanhamento da Licitação'!$F$2:$O$1000,10,FALSE())="","",VLOOKUP(F339,'Acompanhamento da Licitação'!$F$2:$O$1000,10,FALSE()))),"")</f>
        <v/>
      </c>
      <c r="R339" s="61" t="str">
        <f>IFERROR(IF(F339&gt;0,(Final[[#This Row],[Valor da Venda Real]]-Final[[#This Row],[Valor de Compra Previsto]]-4%*Final[[#This Row],[Valor da Venda Real]])/Final[[#This Row],[Valor da Venda Real]],""),"")</f>
        <v/>
      </c>
      <c r="S339" s="61" t="str">
        <f t="shared" si="25"/>
        <v/>
      </c>
      <c r="T339" s="23" t="str">
        <f>IFERROR((R339*Final[[#This Row],[Valor da Venda Real]]*Final[[#This Row],[Quantidade ]]*S339),"")</f>
        <v/>
      </c>
    </row>
    <row r="340" spans="1:20" ht="15.75" x14ac:dyDescent="0.2">
      <c r="A340">
        <f>COUNTIF($C$2:C340,C340)</f>
        <v>339</v>
      </c>
      <c r="B340" s="1" t="str">
        <f t="shared" si="24"/>
        <v>339</v>
      </c>
      <c r="C340" s="1" t="str">
        <f>IFERROR(VLOOKUP(D340,'Planilha de Cadastro - Previsão'!$A$2:$N$1000,14,FALSE()),"")</f>
        <v/>
      </c>
      <c r="D340" s="1">
        <v>339</v>
      </c>
      <c r="F340" s="40" t="str">
        <f t="shared" si="23"/>
        <v/>
      </c>
      <c r="G340" s="40" t="str">
        <f>IF(F340="","",'Prosposta Inicial'!$O$2)</f>
        <v/>
      </c>
      <c r="H340" s="40" t="str">
        <f t="shared" si="22"/>
        <v xml:space="preserve"> </v>
      </c>
      <c r="I340" s="41" t="str">
        <f>IFERROR((VLOOKUP(F340,'Planilha de Cadastro - Previsão'!$A$2:$N$1100,2,FALSE()))," ")</f>
        <v xml:space="preserve"> </v>
      </c>
      <c r="J340" s="40" t="str">
        <f>IFERROR((VLOOKUP(F340,'Planilha de Cadastro - Previsão'!$A$2:$N$1100,3,FALSE()))," ")</f>
        <v xml:space="preserve"> </v>
      </c>
      <c r="K340" s="40"/>
      <c r="L340" s="42" t="str">
        <f>IFERROR((VLOOKUP(F340,'Planilha de Cadastro - Previsão'!$A$2:$N$1100,11,FALSE()))," ")</f>
        <v xml:space="preserve"> </v>
      </c>
      <c r="M340" s="41" t="str">
        <f>IFERROR((IF(VLOOKUP(F340,'Planilha de Cadastro - Previsão'!$A$2:$N$1100,10,FALSE())="","",VLOOKUP(F340,'Planilha de Cadastro - Previsão'!$A$2:$N$1100,10,FALSE()))),"")</f>
        <v/>
      </c>
      <c r="N340" s="41"/>
      <c r="O340" s="41"/>
      <c r="P340" s="41" t="str">
        <f>IFERROR((IF(VLOOKUP(F340,'Acompanhamento da Licitação'!$F$2:$O$1000,10,FALSE())="","",VLOOKUP(F340,'Acompanhamento da Licitação'!$F$2:$O$1000,10,FALSE()))),"")</f>
        <v/>
      </c>
      <c r="R340" s="61" t="str">
        <f>IFERROR(IF(F340&gt;0,(Final[[#This Row],[Valor da Venda Real]]-Final[[#This Row],[Valor de Compra Previsto]]-4%*Final[[#This Row],[Valor da Venda Real]])/Final[[#This Row],[Valor da Venda Real]],""),"")</f>
        <v/>
      </c>
      <c r="S340" s="61" t="str">
        <f t="shared" si="25"/>
        <v/>
      </c>
      <c r="T340" s="23" t="str">
        <f>IFERROR((R340*Final[[#This Row],[Valor da Venda Real]]*Final[[#This Row],[Quantidade ]]*S340),"")</f>
        <v/>
      </c>
    </row>
    <row r="341" spans="1:20" ht="15.75" x14ac:dyDescent="0.2">
      <c r="A341">
        <f>COUNTIF($C$2:C341,C341)</f>
        <v>340</v>
      </c>
      <c r="B341" s="1" t="str">
        <f t="shared" si="24"/>
        <v>340</v>
      </c>
      <c r="C341" s="1" t="str">
        <f>IFERROR(VLOOKUP(D341,'Planilha de Cadastro - Previsão'!$A$2:$N$1000,14,FALSE()),"")</f>
        <v/>
      </c>
      <c r="D341" s="1">
        <v>340</v>
      </c>
      <c r="F341" s="40" t="str">
        <f t="shared" si="23"/>
        <v/>
      </c>
      <c r="G341" s="40" t="str">
        <f>IF(F341="","",'Prosposta Inicial'!$O$2)</f>
        <v/>
      </c>
      <c r="H341" s="40" t="str">
        <f t="shared" si="22"/>
        <v xml:space="preserve"> </v>
      </c>
      <c r="I341" s="41" t="str">
        <f>IFERROR((VLOOKUP(F341,'Planilha de Cadastro - Previsão'!$A$2:$N$1100,2,FALSE()))," ")</f>
        <v xml:space="preserve"> </v>
      </c>
      <c r="J341" s="40" t="str">
        <f>IFERROR((VLOOKUP(F341,'Planilha de Cadastro - Previsão'!$A$2:$N$1100,3,FALSE()))," ")</f>
        <v xml:space="preserve"> </v>
      </c>
      <c r="K341" s="40"/>
      <c r="L341" s="42" t="str">
        <f>IFERROR((VLOOKUP(F341,'Planilha de Cadastro - Previsão'!$A$2:$N$1100,11,FALSE()))," ")</f>
        <v xml:space="preserve"> </v>
      </c>
      <c r="M341" s="41" t="str">
        <f>IFERROR((IF(VLOOKUP(F341,'Planilha de Cadastro - Previsão'!$A$2:$N$1100,10,FALSE())="","",VLOOKUP(F341,'Planilha de Cadastro - Previsão'!$A$2:$N$1100,10,FALSE()))),"")</f>
        <v/>
      </c>
      <c r="N341" s="41"/>
      <c r="O341" s="41"/>
      <c r="P341" s="41" t="str">
        <f>IFERROR((IF(VLOOKUP(F341,'Acompanhamento da Licitação'!$F$2:$O$1000,10,FALSE())="","",VLOOKUP(F341,'Acompanhamento da Licitação'!$F$2:$O$1000,10,FALSE()))),"")</f>
        <v/>
      </c>
      <c r="R341" s="61" t="str">
        <f>IFERROR(IF(F341&gt;0,(Final[[#This Row],[Valor da Venda Real]]-Final[[#This Row],[Valor de Compra Previsto]]-4%*Final[[#This Row],[Valor da Venda Real]])/Final[[#This Row],[Valor da Venda Real]],""),"")</f>
        <v/>
      </c>
      <c r="S341" s="61" t="str">
        <f t="shared" si="25"/>
        <v/>
      </c>
      <c r="T341" s="23" t="str">
        <f>IFERROR((R341*Final[[#This Row],[Valor da Venda Real]]*Final[[#This Row],[Quantidade ]]*S341),"")</f>
        <v/>
      </c>
    </row>
    <row r="342" spans="1:20" ht="15.75" x14ac:dyDescent="0.2">
      <c r="A342">
        <f>COUNTIF($C$2:C342,C342)</f>
        <v>341</v>
      </c>
      <c r="B342" s="1" t="str">
        <f t="shared" si="24"/>
        <v>341</v>
      </c>
      <c r="C342" s="1" t="str">
        <f>IFERROR(VLOOKUP(D342,'Planilha de Cadastro - Previsão'!$A$2:$N$1000,14,FALSE()),"")</f>
        <v/>
      </c>
      <c r="D342" s="1">
        <v>341</v>
      </c>
      <c r="F342" s="40" t="str">
        <f t="shared" si="23"/>
        <v/>
      </c>
      <c r="G342" s="40" t="str">
        <f>IF(F342="","",'Prosposta Inicial'!$O$2)</f>
        <v/>
      </c>
      <c r="H342" s="40" t="str">
        <f t="shared" si="22"/>
        <v xml:space="preserve"> </v>
      </c>
      <c r="I342" s="41" t="str">
        <f>IFERROR((VLOOKUP(F342,'Planilha de Cadastro - Previsão'!$A$2:$N$1100,2,FALSE()))," ")</f>
        <v xml:space="preserve"> </v>
      </c>
      <c r="J342" s="40" t="str">
        <f>IFERROR((VLOOKUP(F342,'Planilha de Cadastro - Previsão'!$A$2:$N$1100,3,FALSE()))," ")</f>
        <v xml:space="preserve"> </v>
      </c>
      <c r="K342" s="40"/>
      <c r="L342" s="42" t="str">
        <f>IFERROR((VLOOKUP(F342,'Planilha de Cadastro - Previsão'!$A$2:$N$1100,11,FALSE()))," ")</f>
        <v xml:space="preserve"> </v>
      </c>
      <c r="M342" s="41" t="str">
        <f>IFERROR((IF(VLOOKUP(F342,'Planilha de Cadastro - Previsão'!$A$2:$N$1100,10,FALSE())="","",VLOOKUP(F342,'Planilha de Cadastro - Previsão'!$A$2:$N$1100,10,FALSE()))),"")</f>
        <v/>
      </c>
      <c r="N342" s="41"/>
      <c r="O342" s="41"/>
      <c r="P342" s="41" t="str">
        <f>IFERROR((IF(VLOOKUP(F342,'Acompanhamento da Licitação'!$F$2:$O$1000,10,FALSE())="","",VLOOKUP(F342,'Acompanhamento da Licitação'!$F$2:$O$1000,10,FALSE()))),"")</f>
        <v/>
      </c>
      <c r="R342" s="61" t="str">
        <f>IFERROR(IF(F342&gt;0,(Final[[#This Row],[Valor da Venda Real]]-Final[[#This Row],[Valor de Compra Previsto]]-4%*Final[[#This Row],[Valor da Venda Real]])/Final[[#This Row],[Valor da Venda Real]],""),"")</f>
        <v/>
      </c>
      <c r="S342" s="61" t="str">
        <f t="shared" si="25"/>
        <v/>
      </c>
      <c r="T342" s="23" t="str">
        <f>IFERROR((R342*Final[[#This Row],[Valor da Venda Real]]*Final[[#This Row],[Quantidade ]]*S342),"")</f>
        <v/>
      </c>
    </row>
    <row r="343" spans="1:20" ht="15.75" x14ac:dyDescent="0.2">
      <c r="A343">
        <f>COUNTIF($C$2:C343,C343)</f>
        <v>342</v>
      </c>
      <c r="B343" s="1" t="str">
        <f t="shared" si="24"/>
        <v>342</v>
      </c>
      <c r="C343" s="1" t="str">
        <f>IFERROR(VLOOKUP(D343,'Planilha de Cadastro - Previsão'!$A$2:$N$1000,14,FALSE()),"")</f>
        <v/>
      </c>
      <c r="D343" s="1">
        <v>342</v>
      </c>
      <c r="F343" s="40" t="str">
        <f t="shared" si="23"/>
        <v/>
      </c>
      <c r="G343" s="40" t="str">
        <f>IF(F343="","",'Prosposta Inicial'!$O$2)</f>
        <v/>
      </c>
      <c r="H343" s="40" t="str">
        <f t="shared" si="22"/>
        <v xml:space="preserve"> </v>
      </c>
      <c r="I343" s="41" t="str">
        <f>IFERROR((VLOOKUP(F343,'Planilha de Cadastro - Previsão'!$A$2:$N$1100,2,FALSE()))," ")</f>
        <v xml:space="preserve"> </v>
      </c>
      <c r="J343" s="40" t="str">
        <f>IFERROR((VLOOKUP(F343,'Planilha de Cadastro - Previsão'!$A$2:$N$1100,3,FALSE()))," ")</f>
        <v xml:space="preserve"> </v>
      </c>
      <c r="K343" s="40"/>
      <c r="L343" s="42" t="str">
        <f>IFERROR((VLOOKUP(F343,'Planilha de Cadastro - Previsão'!$A$2:$N$1100,11,FALSE()))," ")</f>
        <v xml:space="preserve"> </v>
      </c>
      <c r="M343" s="41" t="str">
        <f>IFERROR((IF(VLOOKUP(F343,'Planilha de Cadastro - Previsão'!$A$2:$N$1100,10,FALSE())="","",VLOOKUP(F343,'Planilha de Cadastro - Previsão'!$A$2:$N$1100,10,FALSE()))),"")</f>
        <v/>
      </c>
      <c r="N343" s="41"/>
      <c r="O343" s="41"/>
      <c r="P343" s="41" t="str">
        <f>IFERROR((IF(VLOOKUP(F343,'Acompanhamento da Licitação'!$F$2:$O$1000,10,FALSE())="","",VLOOKUP(F343,'Acompanhamento da Licitação'!$F$2:$O$1000,10,FALSE()))),"")</f>
        <v/>
      </c>
      <c r="R343" s="61" t="str">
        <f>IFERROR(IF(F343&gt;0,(Final[[#This Row],[Valor da Venda Real]]-Final[[#This Row],[Valor de Compra Previsto]]-4%*Final[[#This Row],[Valor da Venda Real]])/Final[[#This Row],[Valor da Venda Real]],""),"")</f>
        <v/>
      </c>
      <c r="S343" s="61" t="str">
        <f t="shared" si="25"/>
        <v/>
      </c>
      <c r="T343" s="23" t="str">
        <f>IFERROR((R343*Final[[#This Row],[Valor da Venda Real]]*Final[[#This Row],[Quantidade ]]*S343),"")</f>
        <v/>
      </c>
    </row>
    <row r="344" spans="1:20" ht="15.75" x14ac:dyDescent="0.2">
      <c r="A344">
        <f>COUNTIF($C$2:C344,C344)</f>
        <v>343</v>
      </c>
      <c r="B344" s="1" t="str">
        <f t="shared" si="24"/>
        <v>343</v>
      </c>
      <c r="C344" s="1" t="str">
        <f>IFERROR(VLOOKUP(D344,'Planilha de Cadastro - Previsão'!$A$2:$N$1000,14,FALSE()),"")</f>
        <v/>
      </c>
      <c r="D344" s="1">
        <v>343</v>
      </c>
      <c r="F344" s="40" t="str">
        <f t="shared" si="23"/>
        <v/>
      </c>
      <c r="G344" s="40" t="str">
        <f>IF(F344="","",'Prosposta Inicial'!$O$2)</f>
        <v/>
      </c>
      <c r="H344" s="40" t="str">
        <f t="shared" si="22"/>
        <v xml:space="preserve"> </v>
      </c>
      <c r="I344" s="41" t="str">
        <f>IFERROR((VLOOKUP(F344,'Planilha de Cadastro - Previsão'!$A$2:$N$1100,2,FALSE()))," ")</f>
        <v xml:space="preserve"> </v>
      </c>
      <c r="J344" s="40" t="str">
        <f>IFERROR((VLOOKUP(F344,'Planilha de Cadastro - Previsão'!$A$2:$N$1100,3,FALSE()))," ")</f>
        <v xml:space="preserve"> </v>
      </c>
      <c r="K344" s="40"/>
      <c r="L344" s="42" t="str">
        <f>IFERROR((VLOOKUP(F344,'Planilha de Cadastro - Previsão'!$A$2:$N$1100,11,FALSE()))," ")</f>
        <v xml:space="preserve"> </v>
      </c>
      <c r="M344" s="41" t="str">
        <f>IFERROR((IF(VLOOKUP(F344,'Planilha de Cadastro - Previsão'!$A$2:$N$1100,10,FALSE())="","",VLOOKUP(F344,'Planilha de Cadastro - Previsão'!$A$2:$N$1100,10,FALSE()))),"")</f>
        <v/>
      </c>
      <c r="N344" s="41"/>
      <c r="O344" s="41"/>
      <c r="P344" s="41" t="str">
        <f>IFERROR((IF(VLOOKUP(F344,'Acompanhamento da Licitação'!$F$2:$O$1000,10,FALSE())="","",VLOOKUP(F344,'Acompanhamento da Licitação'!$F$2:$O$1000,10,FALSE()))),"")</f>
        <v/>
      </c>
      <c r="R344" s="61" t="str">
        <f>IFERROR(IF(F344&gt;0,(Final[[#This Row],[Valor da Venda Real]]-Final[[#This Row],[Valor de Compra Previsto]]-4%*Final[[#This Row],[Valor da Venda Real]])/Final[[#This Row],[Valor da Venda Real]],""),"")</f>
        <v/>
      </c>
      <c r="S344" s="61" t="str">
        <f t="shared" si="25"/>
        <v/>
      </c>
      <c r="T344" s="23" t="str">
        <f>IFERROR((R344*Final[[#This Row],[Valor da Venda Real]]*Final[[#This Row],[Quantidade ]]*S344),"")</f>
        <v/>
      </c>
    </row>
    <row r="345" spans="1:20" ht="15.75" x14ac:dyDescent="0.2">
      <c r="A345">
        <f>COUNTIF($C$2:C345,C345)</f>
        <v>344</v>
      </c>
      <c r="B345" s="1" t="str">
        <f t="shared" si="24"/>
        <v>344</v>
      </c>
      <c r="C345" s="1" t="str">
        <f>IFERROR(VLOOKUP(D345,'Planilha de Cadastro - Previsão'!$A$2:$N$1000,14,FALSE()),"")</f>
        <v/>
      </c>
      <c r="D345" s="1">
        <v>344</v>
      </c>
      <c r="F345" s="40" t="str">
        <f t="shared" si="23"/>
        <v/>
      </c>
      <c r="G345" s="40" t="str">
        <f>IF(F345="","",'Prosposta Inicial'!$O$2)</f>
        <v/>
      </c>
      <c r="H345" s="40" t="str">
        <f t="shared" si="22"/>
        <v xml:space="preserve"> </v>
      </c>
      <c r="I345" s="41" t="str">
        <f>IFERROR((VLOOKUP(F345,'Planilha de Cadastro - Previsão'!$A$2:$N$1100,2,FALSE()))," ")</f>
        <v xml:space="preserve"> </v>
      </c>
      <c r="J345" s="40" t="str">
        <f>IFERROR((VLOOKUP(F345,'Planilha de Cadastro - Previsão'!$A$2:$N$1100,3,FALSE()))," ")</f>
        <v xml:space="preserve"> </v>
      </c>
      <c r="K345" s="40"/>
      <c r="L345" s="42" t="str">
        <f>IFERROR((VLOOKUP(F345,'Planilha de Cadastro - Previsão'!$A$2:$N$1100,11,FALSE()))," ")</f>
        <v xml:space="preserve"> </v>
      </c>
      <c r="M345" s="41" t="str">
        <f>IFERROR((IF(VLOOKUP(F345,'Planilha de Cadastro - Previsão'!$A$2:$N$1100,10,FALSE())="","",VLOOKUP(F345,'Planilha de Cadastro - Previsão'!$A$2:$N$1100,10,FALSE()))),"")</f>
        <v/>
      </c>
      <c r="N345" s="41"/>
      <c r="O345" s="41"/>
      <c r="P345" s="41" t="str">
        <f>IFERROR((IF(VLOOKUP(F345,'Acompanhamento da Licitação'!$F$2:$O$1000,10,FALSE())="","",VLOOKUP(F345,'Acompanhamento da Licitação'!$F$2:$O$1000,10,FALSE()))),"")</f>
        <v/>
      </c>
      <c r="R345" s="61" t="str">
        <f>IFERROR(IF(F345&gt;0,(Final[[#This Row],[Valor da Venda Real]]-Final[[#This Row],[Valor de Compra Previsto]]-4%*Final[[#This Row],[Valor da Venda Real]])/Final[[#This Row],[Valor da Venda Real]],""),"")</f>
        <v/>
      </c>
      <c r="S345" s="61" t="str">
        <f t="shared" si="25"/>
        <v/>
      </c>
      <c r="T345" s="23" t="str">
        <f>IFERROR((R345*Final[[#This Row],[Valor da Venda Real]]*Final[[#This Row],[Quantidade ]]*S345),"")</f>
        <v/>
      </c>
    </row>
    <row r="346" spans="1:20" ht="15.75" x14ac:dyDescent="0.2">
      <c r="A346">
        <f>COUNTIF($C$2:C346,C346)</f>
        <v>345</v>
      </c>
      <c r="B346" s="1" t="str">
        <f t="shared" si="24"/>
        <v>345</v>
      </c>
      <c r="C346" s="1" t="str">
        <f>IFERROR(VLOOKUP(D346,'Planilha de Cadastro - Previsão'!$A$2:$N$1000,14,FALSE()),"")</f>
        <v/>
      </c>
      <c r="D346" s="1">
        <v>345</v>
      </c>
      <c r="F346" s="40" t="str">
        <f t="shared" si="23"/>
        <v/>
      </c>
      <c r="G346" s="40" t="str">
        <f>IF(F346="","",'Prosposta Inicial'!$O$2)</f>
        <v/>
      </c>
      <c r="H346" s="40" t="str">
        <f t="shared" si="22"/>
        <v xml:space="preserve"> </v>
      </c>
      <c r="I346" s="41" t="str">
        <f>IFERROR((VLOOKUP(F346,'Planilha de Cadastro - Previsão'!$A$2:$N$1100,2,FALSE()))," ")</f>
        <v xml:space="preserve"> </v>
      </c>
      <c r="J346" s="40" t="str">
        <f>IFERROR((VLOOKUP(F346,'Planilha de Cadastro - Previsão'!$A$2:$N$1100,3,FALSE()))," ")</f>
        <v xml:space="preserve"> </v>
      </c>
      <c r="K346" s="40"/>
      <c r="L346" s="42" t="str">
        <f>IFERROR((VLOOKUP(F346,'Planilha de Cadastro - Previsão'!$A$2:$N$1100,11,FALSE()))," ")</f>
        <v xml:space="preserve"> </v>
      </c>
      <c r="M346" s="41" t="str">
        <f>IFERROR((IF(VLOOKUP(F346,'Planilha de Cadastro - Previsão'!$A$2:$N$1100,10,FALSE())="","",VLOOKUP(F346,'Planilha de Cadastro - Previsão'!$A$2:$N$1100,10,FALSE()))),"")</f>
        <v/>
      </c>
      <c r="N346" s="41"/>
      <c r="O346" s="41"/>
      <c r="P346" s="41" t="str">
        <f>IFERROR((IF(VLOOKUP(F346,'Acompanhamento da Licitação'!$F$2:$O$1000,10,FALSE())="","",VLOOKUP(F346,'Acompanhamento da Licitação'!$F$2:$O$1000,10,FALSE()))),"")</f>
        <v/>
      </c>
      <c r="R346" s="61" t="str">
        <f>IFERROR(IF(F346&gt;0,(Final[[#This Row],[Valor da Venda Real]]-Final[[#This Row],[Valor de Compra Previsto]]-4%*Final[[#This Row],[Valor da Venda Real]])/Final[[#This Row],[Valor da Venda Real]],""),"")</f>
        <v/>
      </c>
      <c r="S346" s="61" t="str">
        <f t="shared" si="25"/>
        <v/>
      </c>
      <c r="T346" s="23" t="str">
        <f>IFERROR((R346*Final[[#This Row],[Valor da Venda Real]]*Final[[#This Row],[Quantidade ]]*S346),"")</f>
        <v/>
      </c>
    </row>
    <row r="347" spans="1:20" ht="15.75" x14ac:dyDescent="0.2">
      <c r="A347">
        <f>COUNTIF($C$2:C347,C347)</f>
        <v>346</v>
      </c>
      <c r="B347" s="1" t="str">
        <f t="shared" si="24"/>
        <v>346</v>
      </c>
      <c r="C347" s="1" t="str">
        <f>IFERROR(VLOOKUP(D347,'Planilha de Cadastro - Previsão'!$A$2:$N$1000,14,FALSE()),"")</f>
        <v/>
      </c>
      <c r="D347" s="1">
        <v>346</v>
      </c>
      <c r="F347" s="40" t="str">
        <f t="shared" si="23"/>
        <v/>
      </c>
      <c r="G347" s="40" t="str">
        <f>IF(F347="","",'Prosposta Inicial'!$O$2)</f>
        <v/>
      </c>
      <c r="H347" s="40" t="str">
        <f t="shared" si="22"/>
        <v xml:space="preserve"> </v>
      </c>
      <c r="I347" s="41" t="str">
        <f>IFERROR((VLOOKUP(F347,'Planilha de Cadastro - Previsão'!$A$2:$N$1100,2,FALSE()))," ")</f>
        <v xml:space="preserve"> </v>
      </c>
      <c r="J347" s="40" t="str">
        <f>IFERROR((VLOOKUP(F347,'Planilha de Cadastro - Previsão'!$A$2:$N$1100,3,FALSE()))," ")</f>
        <v xml:space="preserve"> </v>
      </c>
      <c r="K347" s="40"/>
      <c r="L347" s="42" t="str">
        <f>IFERROR((VLOOKUP(F347,'Planilha de Cadastro - Previsão'!$A$2:$N$1100,11,FALSE()))," ")</f>
        <v xml:space="preserve"> </v>
      </c>
      <c r="M347" s="41" t="str">
        <f>IFERROR((IF(VLOOKUP(F347,'Planilha de Cadastro - Previsão'!$A$2:$N$1100,10,FALSE())="","",VLOOKUP(F347,'Planilha de Cadastro - Previsão'!$A$2:$N$1100,10,FALSE()))),"")</f>
        <v/>
      </c>
      <c r="N347" s="41"/>
      <c r="O347" s="41"/>
      <c r="P347" s="41" t="str">
        <f>IFERROR((IF(VLOOKUP(F347,'Acompanhamento da Licitação'!$F$2:$O$1000,10,FALSE())="","",VLOOKUP(F347,'Acompanhamento da Licitação'!$F$2:$O$1000,10,FALSE()))),"")</f>
        <v/>
      </c>
      <c r="R347" s="61" t="str">
        <f>IFERROR(IF(F347&gt;0,(Final[[#This Row],[Valor da Venda Real]]-Final[[#This Row],[Valor de Compra Previsto]]-4%*Final[[#This Row],[Valor da Venda Real]])/Final[[#This Row],[Valor da Venda Real]],""),"")</f>
        <v/>
      </c>
      <c r="S347" s="61" t="str">
        <f t="shared" si="25"/>
        <v/>
      </c>
      <c r="T347" s="23" t="str">
        <f>IFERROR((R347*Final[[#This Row],[Valor da Venda Real]]*Final[[#This Row],[Quantidade ]]*S347),"")</f>
        <v/>
      </c>
    </row>
    <row r="348" spans="1:20" ht="15.75" x14ac:dyDescent="0.2">
      <c r="A348">
        <f>COUNTIF($C$2:C348,C348)</f>
        <v>347</v>
      </c>
      <c r="B348" s="1" t="str">
        <f t="shared" si="24"/>
        <v>347</v>
      </c>
      <c r="C348" s="1" t="str">
        <f>IFERROR(VLOOKUP(D348,'Planilha de Cadastro - Previsão'!$A$2:$N$1000,14,FALSE()),"")</f>
        <v/>
      </c>
      <c r="D348" s="1">
        <v>347</v>
      </c>
      <c r="F348" s="40" t="str">
        <f t="shared" si="23"/>
        <v/>
      </c>
      <c r="G348" s="40" t="str">
        <f>IF(F348="","",'Prosposta Inicial'!$O$2)</f>
        <v/>
      </c>
      <c r="H348" s="40" t="str">
        <f t="shared" si="22"/>
        <v xml:space="preserve"> </v>
      </c>
      <c r="I348" s="41" t="str">
        <f>IFERROR((VLOOKUP(F348,'Planilha de Cadastro - Previsão'!$A$2:$N$1100,2,FALSE()))," ")</f>
        <v xml:space="preserve"> </v>
      </c>
      <c r="J348" s="40" t="str">
        <f>IFERROR((VLOOKUP(F348,'Planilha de Cadastro - Previsão'!$A$2:$N$1100,3,FALSE()))," ")</f>
        <v xml:space="preserve"> </v>
      </c>
      <c r="K348" s="40"/>
      <c r="L348" s="42" t="str">
        <f>IFERROR((VLOOKUP(F348,'Planilha de Cadastro - Previsão'!$A$2:$N$1100,11,FALSE()))," ")</f>
        <v xml:space="preserve"> </v>
      </c>
      <c r="M348" s="41" t="str">
        <f>IFERROR((IF(VLOOKUP(F348,'Planilha de Cadastro - Previsão'!$A$2:$N$1100,10,FALSE())="","",VLOOKUP(F348,'Planilha de Cadastro - Previsão'!$A$2:$N$1100,10,FALSE()))),"")</f>
        <v/>
      </c>
      <c r="N348" s="41"/>
      <c r="O348" s="41"/>
      <c r="P348" s="41" t="str">
        <f>IFERROR((IF(VLOOKUP(F348,'Acompanhamento da Licitação'!$F$2:$O$1000,10,FALSE())="","",VLOOKUP(F348,'Acompanhamento da Licitação'!$F$2:$O$1000,10,FALSE()))),"")</f>
        <v/>
      </c>
      <c r="R348" s="61" t="str">
        <f>IFERROR(IF(F348&gt;0,(Final[[#This Row],[Valor da Venda Real]]-Final[[#This Row],[Valor de Compra Previsto]]-4%*Final[[#This Row],[Valor da Venda Real]])/Final[[#This Row],[Valor da Venda Real]],""),"")</f>
        <v/>
      </c>
      <c r="S348" s="61" t="str">
        <f t="shared" si="25"/>
        <v/>
      </c>
      <c r="T348" s="23" t="str">
        <f>IFERROR((R348*Final[[#This Row],[Valor da Venda Real]]*Final[[#This Row],[Quantidade ]]*S348),"")</f>
        <v/>
      </c>
    </row>
    <row r="349" spans="1:20" ht="15.75" x14ac:dyDescent="0.2">
      <c r="A349">
        <f>COUNTIF($C$2:C349,C349)</f>
        <v>348</v>
      </c>
      <c r="B349" s="1" t="str">
        <f t="shared" si="24"/>
        <v>348</v>
      </c>
      <c r="C349" s="1" t="str">
        <f>IFERROR(VLOOKUP(D349,'Planilha de Cadastro - Previsão'!$A$2:$N$1000,14,FALSE()),"")</f>
        <v/>
      </c>
      <c r="D349" s="1">
        <v>348</v>
      </c>
      <c r="F349" s="40" t="str">
        <f t="shared" si="23"/>
        <v/>
      </c>
      <c r="G349" s="40" t="str">
        <f>IF(F349="","",'Prosposta Inicial'!$O$2)</f>
        <v/>
      </c>
      <c r="H349" s="40" t="str">
        <f t="shared" si="22"/>
        <v xml:space="preserve"> </v>
      </c>
      <c r="I349" s="41" t="str">
        <f>IFERROR((VLOOKUP(F349,'Planilha de Cadastro - Previsão'!$A$2:$N$1100,2,FALSE()))," ")</f>
        <v xml:space="preserve"> </v>
      </c>
      <c r="J349" s="40" t="str">
        <f>IFERROR((VLOOKUP(F349,'Planilha de Cadastro - Previsão'!$A$2:$N$1100,3,FALSE()))," ")</f>
        <v xml:space="preserve"> </v>
      </c>
      <c r="K349" s="40"/>
      <c r="L349" s="42" t="str">
        <f>IFERROR((VLOOKUP(F349,'Planilha de Cadastro - Previsão'!$A$2:$N$1100,11,FALSE()))," ")</f>
        <v xml:space="preserve"> </v>
      </c>
      <c r="M349" s="41" t="str">
        <f>IFERROR((IF(VLOOKUP(F349,'Planilha de Cadastro - Previsão'!$A$2:$N$1100,10,FALSE())="","",VLOOKUP(F349,'Planilha de Cadastro - Previsão'!$A$2:$N$1100,10,FALSE()))),"")</f>
        <v/>
      </c>
      <c r="N349" s="41"/>
      <c r="O349" s="41"/>
      <c r="P349" s="41" t="str">
        <f>IFERROR((IF(VLOOKUP(F349,'Acompanhamento da Licitação'!$F$2:$O$1000,10,FALSE())="","",VLOOKUP(F349,'Acompanhamento da Licitação'!$F$2:$O$1000,10,FALSE()))),"")</f>
        <v/>
      </c>
      <c r="R349" s="61" t="str">
        <f>IFERROR(IF(F349&gt;0,(Final[[#This Row],[Valor da Venda Real]]-Final[[#This Row],[Valor de Compra Previsto]]-4%*Final[[#This Row],[Valor da Venda Real]])/Final[[#This Row],[Valor da Venda Real]],""),"")</f>
        <v/>
      </c>
      <c r="S349" s="61" t="str">
        <f t="shared" si="25"/>
        <v/>
      </c>
      <c r="T349" s="23" t="str">
        <f>IFERROR((R349*Final[[#This Row],[Valor da Venda Real]]*Final[[#This Row],[Quantidade ]]*S349),"")</f>
        <v/>
      </c>
    </row>
    <row r="350" spans="1:20" ht="15.75" x14ac:dyDescent="0.2">
      <c r="A350">
        <f>COUNTIF($C$2:C350,C350)</f>
        <v>349</v>
      </c>
      <c r="B350" s="1" t="str">
        <f t="shared" si="24"/>
        <v>349</v>
      </c>
      <c r="C350" s="1" t="str">
        <f>IFERROR(VLOOKUP(D350,'Planilha de Cadastro - Previsão'!$A$2:$N$1000,14,FALSE()),"")</f>
        <v/>
      </c>
      <c r="D350" s="1">
        <v>349</v>
      </c>
      <c r="F350" s="40" t="str">
        <f t="shared" si="23"/>
        <v/>
      </c>
      <c r="G350" s="40" t="str">
        <f>IF(F350="","",'Prosposta Inicial'!$O$2)</f>
        <v/>
      </c>
      <c r="H350" s="40" t="str">
        <f t="shared" si="22"/>
        <v xml:space="preserve"> </v>
      </c>
      <c r="I350" s="41" t="str">
        <f>IFERROR((VLOOKUP(F350,'Planilha de Cadastro - Previsão'!$A$2:$N$1100,2,FALSE()))," ")</f>
        <v xml:space="preserve"> </v>
      </c>
      <c r="J350" s="40" t="str">
        <f>IFERROR((VLOOKUP(F350,'Planilha de Cadastro - Previsão'!$A$2:$N$1100,3,FALSE()))," ")</f>
        <v xml:space="preserve"> </v>
      </c>
      <c r="K350" s="40"/>
      <c r="L350" s="42" t="str">
        <f>IFERROR((VLOOKUP(F350,'Planilha de Cadastro - Previsão'!$A$2:$N$1100,11,FALSE()))," ")</f>
        <v xml:space="preserve"> </v>
      </c>
      <c r="M350" s="41" t="str">
        <f>IFERROR((IF(VLOOKUP(F350,'Planilha de Cadastro - Previsão'!$A$2:$N$1100,10,FALSE())="","",VLOOKUP(F350,'Planilha de Cadastro - Previsão'!$A$2:$N$1100,10,FALSE()))),"")</f>
        <v/>
      </c>
      <c r="N350" s="41"/>
      <c r="O350" s="41"/>
      <c r="P350" s="41" t="str">
        <f>IFERROR((IF(VLOOKUP(F350,'Acompanhamento da Licitação'!$F$2:$O$1000,10,FALSE())="","",VLOOKUP(F350,'Acompanhamento da Licitação'!$F$2:$O$1000,10,FALSE()))),"")</f>
        <v/>
      </c>
      <c r="R350" s="61" t="str">
        <f>IFERROR(IF(F350&gt;0,(Final[[#This Row],[Valor da Venda Real]]-Final[[#This Row],[Valor de Compra Previsto]]-4%*Final[[#This Row],[Valor da Venda Real]])/Final[[#This Row],[Valor da Venda Real]],""),"")</f>
        <v/>
      </c>
      <c r="S350" s="61" t="str">
        <f t="shared" si="25"/>
        <v/>
      </c>
      <c r="T350" s="23" t="str">
        <f>IFERROR((R350*Final[[#This Row],[Valor da Venda Real]]*Final[[#This Row],[Quantidade ]]*S350),"")</f>
        <v/>
      </c>
    </row>
    <row r="351" spans="1:20" ht="15.75" x14ac:dyDescent="0.2">
      <c r="A351">
        <f>COUNTIF($C$2:C351,C351)</f>
        <v>350</v>
      </c>
      <c r="B351" s="1" t="str">
        <f t="shared" si="24"/>
        <v>350</v>
      </c>
      <c r="C351" s="1" t="str">
        <f>IFERROR(VLOOKUP(D351,'Planilha de Cadastro - Previsão'!$A$2:$N$1000,14,FALSE()),"")</f>
        <v/>
      </c>
      <c r="D351" s="1">
        <v>350</v>
      </c>
      <c r="F351" s="40" t="str">
        <f t="shared" si="23"/>
        <v/>
      </c>
      <c r="G351" s="40" t="str">
        <f>IF(F351="","",'Prosposta Inicial'!$O$2)</f>
        <v/>
      </c>
      <c r="H351" s="40" t="str">
        <f t="shared" si="22"/>
        <v xml:space="preserve"> </v>
      </c>
      <c r="I351" s="41" t="str">
        <f>IFERROR((VLOOKUP(F351,'Planilha de Cadastro - Previsão'!$A$2:$N$1100,2,FALSE()))," ")</f>
        <v xml:space="preserve"> </v>
      </c>
      <c r="J351" s="40" t="str">
        <f>IFERROR((VLOOKUP(F351,'Planilha de Cadastro - Previsão'!$A$2:$N$1100,3,FALSE()))," ")</f>
        <v xml:space="preserve"> </v>
      </c>
      <c r="K351" s="40"/>
      <c r="L351" s="42" t="str">
        <f>IFERROR((VLOOKUP(F351,'Planilha de Cadastro - Previsão'!$A$2:$N$1100,11,FALSE()))," ")</f>
        <v xml:space="preserve"> </v>
      </c>
      <c r="M351" s="41" t="str">
        <f>IFERROR((IF(VLOOKUP(F351,'Planilha de Cadastro - Previsão'!$A$2:$N$1100,10,FALSE())="","",VLOOKUP(F351,'Planilha de Cadastro - Previsão'!$A$2:$N$1100,10,FALSE()))),"")</f>
        <v/>
      </c>
      <c r="N351" s="41"/>
      <c r="O351" s="41"/>
      <c r="P351" s="41" t="str">
        <f>IFERROR((IF(VLOOKUP(F351,'Acompanhamento da Licitação'!$F$2:$O$1000,10,FALSE())="","",VLOOKUP(F351,'Acompanhamento da Licitação'!$F$2:$O$1000,10,FALSE()))),"")</f>
        <v/>
      </c>
      <c r="R351" s="61" t="str">
        <f>IFERROR(IF(F351&gt;0,(Final[[#This Row],[Valor da Venda Real]]-Final[[#This Row],[Valor de Compra Previsto]]-4%*Final[[#This Row],[Valor da Venda Real]])/Final[[#This Row],[Valor da Venda Real]],""),"")</f>
        <v/>
      </c>
      <c r="S351" s="61" t="str">
        <f t="shared" si="25"/>
        <v/>
      </c>
      <c r="T351" s="23" t="str">
        <f>IFERROR((R351*Final[[#This Row],[Valor da Venda Real]]*Final[[#This Row],[Quantidade ]]*S351),"")</f>
        <v/>
      </c>
    </row>
    <row r="352" spans="1:20" ht="15.75" x14ac:dyDescent="0.2">
      <c r="A352">
        <f>COUNTIF($C$2:C352,C352)</f>
        <v>351</v>
      </c>
      <c r="B352" s="1" t="str">
        <f t="shared" si="24"/>
        <v>351</v>
      </c>
      <c r="C352" s="1" t="str">
        <f>IFERROR(VLOOKUP(D352,'Planilha de Cadastro - Previsão'!$A$2:$N$1000,14,FALSE()),"")</f>
        <v/>
      </c>
      <c r="D352" s="1">
        <v>351</v>
      </c>
      <c r="F352" s="40" t="str">
        <f t="shared" si="23"/>
        <v/>
      </c>
      <c r="G352" s="40" t="str">
        <f>IF(F352="","",'Prosposta Inicial'!$O$2)</f>
        <v/>
      </c>
      <c r="H352" s="40" t="str">
        <f t="shared" si="22"/>
        <v xml:space="preserve"> </v>
      </c>
      <c r="I352" s="41" t="str">
        <f>IFERROR((VLOOKUP(F352,'Planilha de Cadastro - Previsão'!$A$2:$N$1100,2,FALSE()))," ")</f>
        <v xml:space="preserve"> </v>
      </c>
      <c r="J352" s="40" t="str">
        <f>IFERROR((VLOOKUP(F352,'Planilha de Cadastro - Previsão'!$A$2:$N$1100,3,FALSE()))," ")</f>
        <v xml:space="preserve"> </v>
      </c>
      <c r="K352" s="40"/>
      <c r="L352" s="42" t="str">
        <f>IFERROR((VLOOKUP(F352,'Planilha de Cadastro - Previsão'!$A$2:$N$1100,11,FALSE()))," ")</f>
        <v xml:space="preserve"> </v>
      </c>
      <c r="M352" s="41" t="str">
        <f>IFERROR((IF(VLOOKUP(F352,'Planilha de Cadastro - Previsão'!$A$2:$N$1100,10,FALSE())="","",VLOOKUP(F352,'Planilha de Cadastro - Previsão'!$A$2:$N$1100,10,FALSE()))),"")</f>
        <v/>
      </c>
      <c r="N352" s="41"/>
      <c r="O352" s="41"/>
      <c r="P352" s="41" t="str">
        <f>IFERROR((IF(VLOOKUP(F352,'Acompanhamento da Licitação'!$F$2:$O$1000,10,FALSE())="","",VLOOKUP(F352,'Acompanhamento da Licitação'!$F$2:$O$1000,10,FALSE()))),"")</f>
        <v/>
      </c>
      <c r="R352" s="61" t="str">
        <f>IFERROR(IF(F352&gt;0,(Final[[#This Row],[Valor da Venda Real]]-Final[[#This Row],[Valor de Compra Previsto]]-4%*Final[[#This Row],[Valor da Venda Real]])/Final[[#This Row],[Valor da Venda Real]],""),"")</f>
        <v/>
      </c>
      <c r="S352" s="61" t="str">
        <f t="shared" si="25"/>
        <v/>
      </c>
      <c r="T352" s="23" t="str">
        <f>IFERROR((R352*Final[[#This Row],[Valor da Venda Real]]*Final[[#This Row],[Quantidade ]]*S352),"")</f>
        <v/>
      </c>
    </row>
    <row r="353" spans="1:20" ht="15.75" x14ac:dyDescent="0.2">
      <c r="A353">
        <f>COUNTIF($C$2:C353,C353)</f>
        <v>352</v>
      </c>
      <c r="B353" s="1" t="str">
        <f t="shared" si="24"/>
        <v>352</v>
      </c>
      <c r="C353" s="1" t="str">
        <f>IFERROR(VLOOKUP(D353,'Planilha de Cadastro - Previsão'!$A$2:$N$1000,14,FALSE()),"")</f>
        <v/>
      </c>
      <c r="D353" s="1">
        <v>352</v>
      </c>
      <c r="F353" s="40" t="str">
        <f t="shared" si="23"/>
        <v/>
      </c>
      <c r="G353" s="40" t="str">
        <f>IF(F353="","",'Prosposta Inicial'!$O$2)</f>
        <v/>
      </c>
      <c r="H353" s="40" t="str">
        <f t="shared" si="22"/>
        <v xml:space="preserve"> </v>
      </c>
      <c r="I353" s="41" t="str">
        <f>IFERROR((VLOOKUP(F353,'Planilha de Cadastro - Previsão'!$A$2:$N$1100,2,FALSE()))," ")</f>
        <v xml:space="preserve"> </v>
      </c>
      <c r="J353" s="40" t="str">
        <f>IFERROR((VLOOKUP(F353,'Planilha de Cadastro - Previsão'!$A$2:$N$1100,3,FALSE()))," ")</f>
        <v xml:space="preserve"> </v>
      </c>
      <c r="K353" s="40"/>
      <c r="L353" s="42" t="str">
        <f>IFERROR((VLOOKUP(F353,'Planilha de Cadastro - Previsão'!$A$2:$N$1100,11,FALSE()))," ")</f>
        <v xml:space="preserve"> </v>
      </c>
      <c r="M353" s="41" t="str">
        <f>IFERROR((IF(VLOOKUP(F353,'Planilha de Cadastro - Previsão'!$A$2:$N$1100,10,FALSE())="","",VLOOKUP(F353,'Planilha de Cadastro - Previsão'!$A$2:$N$1100,10,FALSE()))),"")</f>
        <v/>
      </c>
      <c r="N353" s="41"/>
      <c r="O353" s="41"/>
      <c r="P353" s="41" t="str">
        <f>IFERROR((IF(VLOOKUP(F353,'Acompanhamento da Licitação'!$F$2:$O$1000,10,FALSE())="","",VLOOKUP(F353,'Acompanhamento da Licitação'!$F$2:$O$1000,10,FALSE()))),"")</f>
        <v/>
      </c>
      <c r="R353" s="61" t="str">
        <f>IFERROR(IF(F353&gt;0,(Final[[#This Row],[Valor da Venda Real]]-Final[[#This Row],[Valor de Compra Previsto]]-4%*Final[[#This Row],[Valor da Venda Real]])/Final[[#This Row],[Valor da Venda Real]],""),"")</f>
        <v/>
      </c>
      <c r="S353" s="61" t="str">
        <f t="shared" si="25"/>
        <v/>
      </c>
      <c r="T353" s="23" t="str">
        <f>IFERROR((R353*Final[[#This Row],[Valor da Venda Real]]*Final[[#This Row],[Quantidade ]]*S353),"")</f>
        <v/>
      </c>
    </row>
    <row r="354" spans="1:20" ht="15.75" x14ac:dyDescent="0.2">
      <c r="A354">
        <f>COUNTIF($C$2:C354,C354)</f>
        <v>353</v>
      </c>
      <c r="B354" s="1" t="str">
        <f t="shared" si="24"/>
        <v>353</v>
      </c>
      <c r="C354" s="1" t="str">
        <f>IFERROR(VLOOKUP(D354,'Planilha de Cadastro - Previsão'!$A$2:$N$1000,14,FALSE()),"")</f>
        <v/>
      </c>
      <c r="D354" s="1">
        <v>353</v>
      </c>
      <c r="F354" s="40" t="str">
        <f t="shared" si="23"/>
        <v/>
      </c>
      <c r="G354" s="40" t="str">
        <f>IF(F354="","",'Prosposta Inicial'!$O$2)</f>
        <v/>
      </c>
      <c r="H354" s="40" t="str">
        <f t="shared" si="22"/>
        <v xml:space="preserve"> </v>
      </c>
      <c r="I354" s="41" t="str">
        <f>IFERROR((VLOOKUP(F354,'Planilha de Cadastro - Previsão'!$A$2:$N$1100,2,FALSE()))," ")</f>
        <v xml:space="preserve"> </v>
      </c>
      <c r="J354" s="40" t="str">
        <f>IFERROR((VLOOKUP(F354,'Planilha de Cadastro - Previsão'!$A$2:$N$1100,3,FALSE()))," ")</f>
        <v xml:space="preserve"> </v>
      </c>
      <c r="K354" s="40"/>
      <c r="L354" s="42" t="str">
        <f>IFERROR((VLOOKUP(F354,'Planilha de Cadastro - Previsão'!$A$2:$N$1100,11,FALSE()))," ")</f>
        <v xml:space="preserve"> </v>
      </c>
      <c r="M354" s="41" t="str">
        <f>IFERROR((IF(VLOOKUP(F354,'Planilha de Cadastro - Previsão'!$A$2:$N$1100,10,FALSE())="","",VLOOKUP(F354,'Planilha de Cadastro - Previsão'!$A$2:$N$1100,10,FALSE()))),"")</f>
        <v/>
      </c>
      <c r="N354" s="41"/>
      <c r="O354" s="41"/>
      <c r="P354" s="41" t="str">
        <f>IFERROR((IF(VLOOKUP(F354,'Acompanhamento da Licitação'!$F$2:$O$1000,10,FALSE())="","",VLOOKUP(F354,'Acompanhamento da Licitação'!$F$2:$O$1000,10,FALSE()))),"")</f>
        <v/>
      </c>
      <c r="R354" s="61" t="str">
        <f>IFERROR(IF(F354&gt;0,(Final[[#This Row],[Valor da Venda Real]]-Final[[#This Row],[Valor de Compra Previsto]]-4%*Final[[#This Row],[Valor da Venda Real]])/Final[[#This Row],[Valor da Venda Real]],""),"")</f>
        <v/>
      </c>
      <c r="S354" s="61" t="str">
        <f t="shared" si="25"/>
        <v/>
      </c>
      <c r="T354" s="23" t="str">
        <f>IFERROR((R354*Final[[#This Row],[Valor da Venda Real]]*Final[[#This Row],[Quantidade ]]*S354),"")</f>
        <v/>
      </c>
    </row>
    <row r="355" spans="1:20" ht="15.75" x14ac:dyDescent="0.2">
      <c r="A355">
        <f>COUNTIF($C$2:C355,C355)</f>
        <v>354</v>
      </c>
      <c r="B355" s="1" t="str">
        <f t="shared" si="24"/>
        <v>354</v>
      </c>
      <c r="C355" s="1" t="str">
        <f>IFERROR(VLOOKUP(D355,'Planilha de Cadastro - Previsão'!$A$2:$N$1000,14,FALSE()),"")</f>
        <v/>
      </c>
      <c r="D355" s="1">
        <v>354</v>
      </c>
      <c r="F355" s="40" t="str">
        <f t="shared" si="23"/>
        <v/>
      </c>
      <c r="G355" s="40" t="str">
        <f>IF(F355="","",'Prosposta Inicial'!$O$2)</f>
        <v/>
      </c>
      <c r="H355" s="40" t="str">
        <f t="shared" si="22"/>
        <v xml:space="preserve"> </v>
      </c>
      <c r="I355" s="41" t="str">
        <f>IFERROR((VLOOKUP(F355,'Planilha de Cadastro - Previsão'!$A$2:$N$1100,2,FALSE()))," ")</f>
        <v xml:space="preserve"> </v>
      </c>
      <c r="J355" s="40" t="str">
        <f>IFERROR((VLOOKUP(F355,'Planilha de Cadastro - Previsão'!$A$2:$N$1100,3,FALSE()))," ")</f>
        <v xml:space="preserve"> </v>
      </c>
      <c r="K355" s="40"/>
      <c r="L355" s="42" t="str">
        <f>IFERROR((VLOOKUP(F355,'Planilha de Cadastro - Previsão'!$A$2:$N$1100,11,FALSE()))," ")</f>
        <v xml:space="preserve"> </v>
      </c>
      <c r="M355" s="41" t="str">
        <f>IFERROR((IF(VLOOKUP(F355,'Planilha de Cadastro - Previsão'!$A$2:$N$1100,10,FALSE())="","",VLOOKUP(F355,'Planilha de Cadastro - Previsão'!$A$2:$N$1100,10,FALSE()))),"")</f>
        <v/>
      </c>
      <c r="N355" s="41"/>
      <c r="O355" s="41"/>
      <c r="P355" s="41" t="str">
        <f>IFERROR((IF(VLOOKUP(F355,'Acompanhamento da Licitação'!$F$2:$O$1000,10,FALSE())="","",VLOOKUP(F355,'Acompanhamento da Licitação'!$F$2:$O$1000,10,FALSE()))),"")</f>
        <v/>
      </c>
      <c r="R355" s="61" t="str">
        <f>IFERROR(IF(F355&gt;0,(Final[[#This Row],[Valor da Venda Real]]-Final[[#This Row],[Valor de Compra Previsto]]-4%*Final[[#This Row],[Valor da Venda Real]])/Final[[#This Row],[Valor da Venda Real]],""),"")</f>
        <v/>
      </c>
      <c r="S355" s="61" t="str">
        <f t="shared" si="25"/>
        <v/>
      </c>
      <c r="T355" s="23" t="str">
        <f>IFERROR((R355*Final[[#This Row],[Valor da Venda Real]]*Final[[#This Row],[Quantidade ]]*S355),"")</f>
        <v/>
      </c>
    </row>
    <row r="356" spans="1:20" ht="15.75" x14ac:dyDescent="0.2">
      <c r="A356">
        <f>COUNTIF($C$2:C356,C356)</f>
        <v>355</v>
      </c>
      <c r="B356" s="1" t="str">
        <f t="shared" si="24"/>
        <v>355</v>
      </c>
      <c r="C356" s="1" t="str">
        <f>IFERROR(VLOOKUP(D356,'Planilha de Cadastro - Previsão'!$A$2:$N$1000,14,FALSE()),"")</f>
        <v/>
      </c>
      <c r="D356" s="1">
        <v>355</v>
      </c>
      <c r="F356" s="40" t="str">
        <f t="shared" si="23"/>
        <v/>
      </c>
      <c r="G356" s="40" t="str">
        <f>IF(F356="","",'Prosposta Inicial'!$O$2)</f>
        <v/>
      </c>
      <c r="H356" s="40" t="str">
        <f t="shared" si="22"/>
        <v xml:space="preserve"> </v>
      </c>
      <c r="I356" s="41" t="str">
        <f>IFERROR((VLOOKUP(F356,'Planilha de Cadastro - Previsão'!$A$2:$N$1100,2,FALSE()))," ")</f>
        <v xml:space="preserve"> </v>
      </c>
      <c r="J356" s="40" t="str">
        <f>IFERROR((VLOOKUP(F356,'Planilha de Cadastro - Previsão'!$A$2:$N$1100,3,FALSE()))," ")</f>
        <v xml:space="preserve"> </v>
      </c>
      <c r="K356" s="40"/>
      <c r="L356" s="42" t="str">
        <f>IFERROR((VLOOKUP(F356,'Planilha de Cadastro - Previsão'!$A$2:$N$1100,11,FALSE()))," ")</f>
        <v xml:space="preserve"> </v>
      </c>
      <c r="M356" s="41" t="str">
        <f>IFERROR((IF(VLOOKUP(F356,'Planilha de Cadastro - Previsão'!$A$2:$N$1100,10,FALSE())="","",VLOOKUP(F356,'Planilha de Cadastro - Previsão'!$A$2:$N$1100,10,FALSE()))),"")</f>
        <v/>
      </c>
      <c r="N356" s="41"/>
      <c r="O356" s="41"/>
      <c r="P356" s="41" t="str">
        <f>IFERROR((IF(VLOOKUP(F356,'Acompanhamento da Licitação'!$F$2:$O$1000,10,FALSE())="","",VLOOKUP(F356,'Acompanhamento da Licitação'!$F$2:$O$1000,10,FALSE()))),"")</f>
        <v/>
      </c>
      <c r="R356" s="61" t="str">
        <f>IFERROR(IF(F356&gt;0,(Final[[#This Row],[Valor da Venda Real]]-Final[[#This Row],[Valor de Compra Previsto]]-4%*Final[[#This Row],[Valor da Venda Real]])/Final[[#This Row],[Valor da Venda Real]],""),"")</f>
        <v/>
      </c>
      <c r="S356" s="61" t="str">
        <f t="shared" si="25"/>
        <v/>
      </c>
      <c r="T356" s="23" t="str">
        <f>IFERROR((R356*Final[[#This Row],[Valor da Venda Real]]*Final[[#This Row],[Quantidade ]]*S356),"")</f>
        <v/>
      </c>
    </row>
    <row r="357" spans="1:20" ht="15.75" x14ac:dyDescent="0.2">
      <c r="A357">
        <f>COUNTIF($C$2:C357,C357)</f>
        <v>356</v>
      </c>
      <c r="B357" s="1" t="str">
        <f t="shared" si="24"/>
        <v>356</v>
      </c>
      <c r="C357" s="1" t="str">
        <f>IFERROR(VLOOKUP(D357,'Planilha de Cadastro - Previsão'!$A$2:$N$1000,14,FALSE()),"")</f>
        <v/>
      </c>
      <c r="D357" s="1">
        <v>356</v>
      </c>
      <c r="F357" s="40" t="str">
        <f t="shared" si="23"/>
        <v/>
      </c>
      <c r="G357" s="40" t="str">
        <f>IF(F357="","",'Prosposta Inicial'!$O$2)</f>
        <v/>
      </c>
      <c r="H357" s="40" t="str">
        <f t="shared" ref="H357:H420" si="26">CONCATENATE(F357,G357,I357)</f>
        <v xml:space="preserve"> </v>
      </c>
      <c r="I357" s="41" t="str">
        <f>IFERROR((VLOOKUP(F357,'Planilha de Cadastro - Previsão'!$A$2:$N$1100,2,FALSE()))," ")</f>
        <v xml:space="preserve"> </v>
      </c>
      <c r="J357" s="40" t="str">
        <f>IFERROR((VLOOKUP(F357,'Planilha de Cadastro - Previsão'!$A$2:$N$1100,3,FALSE()))," ")</f>
        <v xml:space="preserve"> </v>
      </c>
      <c r="K357" s="40"/>
      <c r="L357" s="42" t="str">
        <f>IFERROR((VLOOKUP(F357,'Planilha de Cadastro - Previsão'!$A$2:$N$1100,11,FALSE()))," ")</f>
        <v xml:space="preserve"> </v>
      </c>
      <c r="M357" s="41" t="str">
        <f>IFERROR((IF(VLOOKUP(F357,'Planilha de Cadastro - Previsão'!$A$2:$N$1100,10,FALSE())="","",VLOOKUP(F357,'Planilha de Cadastro - Previsão'!$A$2:$N$1100,10,FALSE()))),"")</f>
        <v/>
      </c>
      <c r="N357" s="41"/>
      <c r="O357" s="41"/>
      <c r="P357" s="41" t="str">
        <f>IFERROR((IF(VLOOKUP(F357,'Acompanhamento da Licitação'!$F$2:$O$1000,10,FALSE())="","",VLOOKUP(F357,'Acompanhamento da Licitação'!$F$2:$O$1000,10,FALSE()))),"")</f>
        <v/>
      </c>
      <c r="R357" s="61" t="str">
        <f>IFERROR(IF(F357&gt;0,(Final[[#This Row],[Valor da Venda Real]]-Final[[#This Row],[Valor de Compra Previsto]]-4%*Final[[#This Row],[Valor da Venda Real]])/Final[[#This Row],[Valor da Venda Real]],""),"")</f>
        <v/>
      </c>
      <c r="S357" s="61" t="str">
        <f t="shared" si="25"/>
        <v/>
      </c>
      <c r="T357" s="23" t="str">
        <f>IFERROR((R357*Final[[#This Row],[Valor da Venda Real]]*Final[[#This Row],[Quantidade ]]*S357),"")</f>
        <v/>
      </c>
    </row>
    <row r="358" spans="1:20" ht="15.75" x14ac:dyDescent="0.2">
      <c r="A358">
        <f>COUNTIF($C$2:C358,C358)</f>
        <v>357</v>
      </c>
      <c r="B358" s="1" t="str">
        <f t="shared" si="24"/>
        <v>357</v>
      </c>
      <c r="C358" s="1" t="str">
        <f>IFERROR(VLOOKUP(D358,'Planilha de Cadastro - Previsão'!$A$2:$N$1000,14,FALSE()),"")</f>
        <v/>
      </c>
      <c r="D358" s="1">
        <v>357</v>
      </c>
      <c r="F358" s="40" t="str">
        <f t="shared" si="23"/>
        <v/>
      </c>
      <c r="G358" s="40" t="str">
        <f>IF(F358="","",'Prosposta Inicial'!$O$2)</f>
        <v/>
      </c>
      <c r="H358" s="40" t="str">
        <f t="shared" si="26"/>
        <v xml:space="preserve"> </v>
      </c>
      <c r="I358" s="41" t="str">
        <f>IFERROR((VLOOKUP(F358,'Planilha de Cadastro - Previsão'!$A$2:$N$1100,2,FALSE()))," ")</f>
        <v xml:space="preserve"> </v>
      </c>
      <c r="J358" s="40" t="str">
        <f>IFERROR((VLOOKUP(F358,'Planilha de Cadastro - Previsão'!$A$2:$N$1100,3,FALSE()))," ")</f>
        <v xml:space="preserve"> </v>
      </c>
      <c r="K358" s="40"/>
      <c r="L358" s="42" t="str">
        <f>IFERROR((VLOOKUP(F358,'Planilha de Cadastro - Previsão'!$A$2:$N$1100,11,FALSE()))," ")</f>
        <v xml:space="preserve"> </v>
      </c>
      <c r="M358" s="41" t="str">
        <f>IFERROR((IF(VLOOKUP(F358,'Planilha de Cadastro - Previsão'!$A$2:$N$1100,10,FALSE())="","",VLOOKUP(F358,'Planilha de Cadastro - Previsão'!$A$2:$N$1100,10,FALSE()))),"")</f>
        <v/>
      </c>
      <c r="N358" s="41"/>
      <c r="O358" s="41"/>
      <c r="P358" s="41" t="str">
        <f>IFERROR((IF(VLOOKUP(F358,'Acompanhamento da Licitação'!$F$2:$O$1000,10,FALSE())="","",VLOOKUP(F358,'Acompanhamento da Licitação'!$F$2:$O$1000,10,FALSE()))),"")</f>
        <v/>
      </c>
      <c r="R358" s="61" t="str">
        <f>IFERROR(IF(F358&gt;0,(Final[[#This Row],[Valor da Venda Real]]-Final[[#This Row],[Valor de Compra Previsto]]-4%*Final[[#This Row],[Valor da Venda Real]])/Final[[#This Row],[Valor da Venda Real]],""),"")</f>
        <v/>
      </c>
      <c r="S358" s="61" t="str">
        <f t="shared" si="25"/>
        <v/>
      </c>
      <c r="T358" s="23" t="str">
        <f>IFERROR((R358*Final[[#This Row],[Valor da Venda Real]]*Final[[#This Row],[Quantidade ]]*S358),"")</f>
        <v/>
      </c>
    </row>
    <row r="359" spans="1:20" ht="15.75" x14ac:dyDescent="0.2">
      <c r="A359">
        <f>COUNTIF($C$2:C359,C359)</f>
        <v>358</v>
      </c>
      <c r="B359" s="1" t="str">
        <f t="shared" si="24"/>
        <v>358</v>
      </c>
      <c r="C359" s="1" t="str">
        <f>IFERROR(VLOOKUP(D359,'Planilha de Cadastro - Previsão'!$A$2:$N$1000,14,FALSE()),"")</f>
        <v/>
      </c>
      <c r="D359" s="1">
        <v>358</v>
      </c>
      <c r="F359" s="40" t="str">
        <f t="shared" si="23"/>
        <v/>
      </c>
      <c r="G359" s="40" t="str">
        <f>IF(F359="","",'Prosposta Inicial'!$O$2)</f>
        <v/>
      </c>
      <c r="H359" s="40" t="str">
        <f t="shared" si="26"/>
        <v xml:space="preserve"> </v>
      </c>
      <c r="I359" s="41" t="str">
        <f>IFERROR((VLOOKUP(F359,'Planilha de Cadastro - Previsão'!$A$2:$N$1100,2,FALSE()))," ")</f>
        <v xml:space="preserve"> </v>
      </c>
      <c r="J359" s="40" t="str">
        <f>IFERROR((VLOOKUP(F359,'Planilha de Cadastro - Previsão'!$A$2:$N$1100,3,FALSE()))," ")</f>
        <v xml:space="preserve"> </v>
      </c>
      <c r="K359" s="40"/>
      <c r="L359" s="42" t="str">
        <f>IFERROR((VLOOKUP(F359,'Planilha de Cadastro - Previsão'!$A$2:$N$1100,11,FALSE()))," ")</f>
        <v xml:space="preserve"> </v>
      </c>
      <c r="M359" s="41" t="str">
        <f>IFERROR((IF(VLOOKUP(F359,'Planilha de Cadastro - Previsão'!$A$2:$N$1100,10,FALSE())="","",VLOOKUP(F359,'Planilha de Cadastro - Previsão'!$A$2:$N$1100,10,FALSE()))),"")</f>
        <v/>
      </c>
      <c r="N359" s="41"/>
      <c r="O359" s="41"/>
      <c r="P359" s="41" t="str">
        <f>IFERROR((IF(VLOOKUP(F359,'Acompanhamento da Licitação'!$F$2:$O$1000,10,FALSE())="","",VLOOKUP(F359,'Acompanhamento da Licitação'!$F$2:$O$1000,10,FALSE()))),"")</f>
        <v/>
      </c>
      <c r="R359" s="61" t="str">
        <f>IFERROR(IF(F359&gt;0,(Final[[#This Row],[Valor da Venda Real]]-Final[[#This Row],[Valor de Compra Previsto]]-4%*Final[[#This Row],[Valor da Venda Real]])/Final[[#This Row],[Valor da Venda Real]],""),"")</f>
        <v/>
      </c>
      <c r="S359" s="61" t="str">
        <f t="shared" si="25"/>
        <v/>
      </c>
      <c r="T359" s="23" t="str">
        <f>IFERROR((R359*Final[[#This Row],[Valor da Venda Real]]*Final[[#This Row],[Quantidade ]]*S359),"")</f>
        <v/>
      </c>
    </row>
    <row r="360" spans="1:20" ht="15.75" x14ac:dyDescent="0.2">
      <c r="A360">
        <f>COUNTIF($C$2:C360,C360)</f>
        <v>359</v>
      </c>
      <c r="B360" s="1" t="str">
        <f t="shared" si="24"/>
        <v>359</v>
      </c>
      <c r="C360" s="1" t="str">
        <f>IFERROR(VLOOKUP(D360,'Planilha de Cadastro - Previsão'!$A$2:$N$1000,14,FALSE()),"")</f>
        <v/>
      </c>
      <c r="D360" s="1">
        <v>359</v>
      </c>
      <c r="F360" s="40" t="str">
        <f t="shared" si="23"/>
        <v/>
      </c>
      <c r="G360" s="40" t="str">
        <f>IF(F360="","",'Prosposta Inicial'!$O$2)</f>
        <v/>
      </c>
      <c r="H360" s="40" t="str">
        <f t="shared" si="26"/>
        <v xml:space="preserve"> </v>
      </c>
      <c r="I360" s="41" t="str">
        <f>IFERROR((VLOOKUP(F360,'Planilha de Cadastro - Previsão'!$A$2:$N$1100,2,FALSE()))," ")</f>
        <v xml:space="preserve"> </v>
      </c>
      <c r="J360" s="40" t="str">
        <f>IFERROR((VLOOKUP(F360,'Planilha de Cadastro - Previsão'!$A$2:$N$1100,3,FALSE()))," ")</f>
        <v xml:space="preserve"> </v>
      </c>
      <c r="K360" s="40"/>
      <c r="L360" s="42" t="str">
        <f>IFERROR((VLOOKUP(F360,'Planilha de Cadastro - Previsão'!$A$2:$N$1100,11,FALSE()))," ")</f>
        <v xml:space="preserve"> </v>
      </c>
      <c r="M360" s="41" t="str">
        <f>IFERROR((IF(VLOOKUP(F360,'Planilha de Cadastro - Previsão'!$A$2:$N$1100,10,FALSE())="","",VLOOKUP(F360,'Planilha de Cadastro - Previsão'!$A$2:$N$1100,10,FALSE()))),"")</f>
        <v/>
      </c>
      <c r="N360" s="41"/>
      <c r="O360" s="41"/>
      <c r="P360" s="41" t="str">
        <f>IFERROR((IF(VLOOKUP(F360,'Acompanhamento da Licitação'!$F$2:$O$1000,10,FALSE())="","",VLOOKUP(F360,'Acompanhamento da Licitação'!$F$2:$O$1000,10,FALSE()))),"")</f>
        <v/>
      </c>
      <c r="R360" s="61" t="str">
        <f>IFERROR(IF(F360&gt;0,(Final[[#This Row],[Valor da Venda Real]]-Final[[#This Row],[Valor de Compra Previsto]]-4%*Final[[#This Row],[Valor da Venda Real]])/Final[[#This Row],[Valor da Venda Real]],""),"")</f>
        <v/>
      </c>
      <c r="S360" s="61" t="str">
        <f t="shared" si="25"/>
        <v/>
      </c>
      <c r="T360" s="23" t="str">
        <f>IFERROR((R360*Final[[#This Row],[Valor da Venda Real]]*Final[[#This Row],[Quantidade ]]*S360),"")</f>
        <v/>
      </c>
    </row>
    <row r="361" spans="1:20" ht="15.75" x14ac:dyDescent="0.2">
      <c r="A361">
        <f>COUNTIF($C$2:C361,C361)</f>
        <v>360</v>
      </c>
      <c r="B361" s="1" t="str">
        <f t="shared" si="24"/>
        <v>360</v>
      </c>
      <c r="C361" s="1" t="str">
        <f>IFERROR(VLOOKUP(D361,'Planilha de Cadastro - Previsão'!$A$2:$N$1000,14,FALSE()),"")</f>
        <v/>
      </c>
      <c r="D361" s="1">
        <v>360</v>
      </c>
      <c r="F361" s="40" t="str">
        <f t="shared" si="23"/>
        <v/>
      </c>
      <c r="G361" s="40" t="str">
        <f>IF(F361="","",'Prosposta Inicial'!$O$2)</f>
        <v/>
      </c>
      <c r="H361" s="40" t="str">
        <f t="shared" si="26"/>
        <v xml:space="preserve"> </v>
      </c>
      <c r="I361" s="41" t="str">
        <f>IFERROR((VLOOKUP(F361,'Planilha de Cadastro - Previsão'!$A$2:$N$1100,2,FALSE()))," ")</f>
        <v xml:space="preserve"> </v>
      </c>
      <c r="J361" s="40" t="str">
        <f>IFERROR((VLOOKUP(F361,'Planilha de Cadastro - Previsão'!$A$2:$N$1100,3,FALSE()))," ")</f>
        <v xml:space="preserve"> </v>
      </c>
      <c r="K361" s="40"/>
      <c r="L361" s="42" t="str">
        <f>IFERROR((VLOOKUP(F361,'Planilha de Cadastro - Previsão'!$A$2:$N$1100,11,FALSE()))," ")</f>
        <v xml:space="preserve"> </v>
      </c>
      <c r="M361" s="41" t="str">
        <f>IFERROR((IF(VLOOKUP(F361,'Planilha de Cadastro - Previsão'!$A$2:$N$1100,10,FALSE())="","",VLOOKUP(F361,'Planilha de Cadastro - Previsão'!$A$2:$N$1100,10,FALSE()))),"")</f>
        <v/>
      </c>
      <c r="N361" s="41"/>
      <c r="O361" s="41"/>
      <c r="P361" s="41" t="str">
        <f>IFERROR((IF(VLOOKUP(F361,'Acompanhamento da Licitação'!$F$2:$O$1000,10,FALSE())="","",VLOOKUP(F361,'Acompanhamento da Licitação'!$F$2:$O$1000,10,FALSE()))),"")</f>
        <v/>
      </c>
      <c r="R361" s="61" t="str">
        <f>IFERROR(IF(F361&gt;0,(Final[[#This Row],[Valor da Venda Real]]-Final[[#This Row],[Valor de Compra Previsto]]-4%*Final[[#This Row],[Valor da Venda Real]])/Final[[#This Row],[Valor da Venda Real]],""),"")</f>
        <v/>
      </c>
      <c r="S361" s="61" t="str">
        <f t="shared" si="25"/>
        <v/>
      </c>
      <c r="T361" s="23" t="str">
        <f>IFERROR((R361*Final[[#This Row],[Valor da Venda Real]]*Final[[#This Row],[Quantidade ]]*S361),"")</f>
        <v/>
      </c>
    </row>
    <row r="362" spans="1:20" ht="15.75" x14ac:dyDescent="0.2">
      <c r="A362">
        <f>COUNTIF($C$2:C362,C362)</f>
        <v>361</v>
      </c>
      <c r="B362" s="1" t="str">
        <f t="shared" si="24"/>
        <v>361</v>
      </c>
      <c r="C362" s="1" t="str">
        <f>IFERROR(VLOOKUP(D362,'Planilha de Cadastro - Previsão'!$A$2:$N$1000,14,FALSE()),"")</f>
        <v/>
      </c>
      <c r="D362" s="1">
        <v>361</v>
      </c>
      <c r="F362" s="40" t="str">
        <f t="shared" si="23"/>
        <v/>
      </c>
      <c r="G362" s="40" t="str">
        <f>IF(F362="","",'Prosposta Inicial'!$O$2)</f>
        <v/>
      </c>
      <c r="H362" s="40" t="str">
        <f t="shared" si="26"/>
        <v xml:space="preserve"> </v>
      </c>
      <c r="I362" s="41" t="str">
        <f>IFERROR((VLOOKUP(F362,'Planilha de Cadastro - Previsão'!$A$2:$N$1100,2,FALSE()))," ")</f>
        <v xml:space="preserve"> </v>
      </c>
      <c r="J362" s="40" t="str">
        <f>IFERROR((VLOOKUP(F362,'Planilha de Cadastro - Previsão'!$A$2:$N$1100,3,FALSE()))," ")</f>
        <v xml:space="preserve"> </v>
      </c>
      <c r="K362" s="40"/>
      <c r="L362" s="42" t="str">
        <f>IFERROR((VLOOKUP(F362,'Planilha de Cadastro - Previsão'!$A$2:$N$1100,11,FALSE()))," ")</f>
        <v xml:space="preserve"> </v>
      </c>
      <c r="M362" s="41" t="str">
        <f>IFERROR((IF(VLOOKUP(F362,'Planilha de Cadastro - Previsão'!$A$2:$N$1100,10,FALSE())="","",VLOOKUP(F362,'Planilha de Cadastro - Previsão'!$A$2:$N$1100,10,FALSE()))),"")</f>
        <v/>
      </c>
      <c r="N362" s="41"/>
      <c r="O362" s="41"/>
      <c r="P362" s="41" t="str">
        <f>IFERROR((IF(VLOOKUP(F362,'Acompanhamento da Licitação'!$F$2:$O$1000,10,FALSE())="","",VLOOKUP(F362,'Acompanhamento da Licitação'!$F$2:$O$1000,10,FALSE()))),"")</f>
        <v/>
      </c>
      <c r="R362" s="61" t="str">
        <f>IFERROR(IF(F362&gt;0,(Final[[#This Row],[Valor da Venda Real]]-Final[[#This Row],[Valor de Compra Previsto]]-4%*Final[[#This Row],[Valor da Venda Real]])/Final[[#This Row],[Valor da Venda Real]],""),"")</f>
        <v/>
      </c>
      <c r="S362" s="61" t="str">
        <f t="shared" si="25"/>
        <v/>
      </c>
      <c r="T362" s="23" t="str">
        <f>IFERROR((R362*Final[[#This Row],[Valor da Venda Real]]*Final[[#This Row],[Quantidade ]]*S362),"")</f>
        <v/>
      </c>
    </row>
    <row r="363" spans="1:20" ht="15.75" x14ac:dyDescent="0.2">
      <c r="A363">
        <f>COUNTIF($C$2:C363,C363)</f>
        <v>362</v>
      </c>
      <c r="B363" s="1" t="str">
        <f t="shared" si="24"/>
        <v>362</v>
      </c>
      <c r="C363" s="1" t="str">
        <f>IFERROR(VLOOKUP(D363,'Planilha de Cadastro - Previsão'!$A$2:$N$1000,14,FALSE()),"")</f>
        <v/>
      </c>
      <c r="D363" s="1">
        <v>362</v>
      </c>
      <c r="F363" s="40" t="str">
        <f t="shared" si="23"/>
        <v/>
      </c>
      <c r="G363" s="40" t="str">
        <f>IF(F363="","",'Prosposta Inicial'!$O$2)</f>
        <v/>
      </c>
      <c r="H363" s="40" t="str">
        <f t="shared" si="26"/>
        <v xml:space="preserve"> </v>
      </c>
      <c r="I363" s="41" t="str">
        <f>IFERROR((VLOOKUP(F363,'Planilha de Cadastro - Previsão'!$A$2:$N$1100,2,FALSE()))," ")</f>
        <v xml:space="preserve"> </v>
      </c>
      <c r="J363" s="40" t="str">
        <f>IFERROR((VLOOKUP(F363,'Planilha de Cadastro - Previsão'!$A$2:$N$1100,3,FALSE()))," ")</f>
        <v xml:space="preserve"> </v>
      </c>
      <c r="K363" s="40"/>
      <c r="L363" s="42" t="str">
        <f>IFERROR((VLOOKUP(F363,'Planilha de Cadastro - Previsão'!$A$2:$N$1100,11,FALSE()))," ")</f>
        <v xml:space="preserve"> </v>
      </c>
      <c r="M363" s="41" t="str">
        <f>IFERROR((IF(VLOOKUP(F363,'Planilha de Cadastro - Previsão'!$A$2:$N$1100,10,FALSE())="","",VLOOKUP(F363,'Planilha de Cadastro - Previsão'!$A$2:$N$1100,10,FALSE()))),"")</f>
        <v/>
      </c>
      <c r="N363" s="41"/>
      <c r="O363" s="41"/>
      <c r="P363" s="41" t="str">
        <f>IFERROR((IF(VLOOKUP(F363,'Acompanhamento da Licitação'!$F$2:$O$1000,10,FALSE())="","",VLOOKUP(F363,'Acompanhamento da Licitação'!$F$2:$O$1000,10,FALSE()))),"")</f>
        <v/>
      </c>
      <c r="R363" s="61" t="str">
        <f>IFERROR(IF(F363&gt;0,(Final[[#This Row],[Valor da Venda Real]]-Final[[#This Row],[Valor de Compra Previsto]]-4%*Final[[#This Row],[Valor da Venda Real]])/Final[[#This Row],[Valor da Venda Real]],""),"")</f>
        <v/>
      </c>
      <c r="S363" s="61" t="str">
        <f t="shared" si="25"/>
        <v/>
      </c>
      <c r="T363" s="23" t="str">
        <f>IFERROR((R363*Final[[#This Row],[Valor da Venda Real]]*Final[[#This Row],[Quantidade ]]*S363),"")</f>
        <v/>
      </c>
    </row>
    <row r="364" spans="1:20" ht="15.75" x14ac:dyDescent="0.2">
      <c r="A364">
        <f>COUNTIF($C$2:C364,C364)</f>
        <v>363</v>
      </c>
      <c r="B364" s="1" t="str">
        <f t="shared" si="24"/>
        <v>363</v>
      </c>
      <c r="C364" s="1" t="str">
        <f>IFERROR(VLOOKUP(D364,'Planilha de Cadastro - Previsão'!$A$2:$N$1000,14,FALSE()),"")</f>
        <v/>
      </c>
      <c r="D364" s="1">
        <v>363</v>
      </c>
      <c r="F364" s="40" t="str">
        <f t="shared" si="23"/>
        <v/>
      </c>
      <c r="G364" s="40" t="str">
        <f>IF(F364="","",'Prosposta Inicial'!$O$2)</f>
        <v/>
      </c>
      <c r="H364" s="40" t="str">
        <f t="shared" si="26"/>
        <v xml:space="preserve"> </v>
      </c>
      <c r="I364" s="41" t="str">
        <f>IFERROR((VLOOKUP(F364,'Planilha de Cadastro - Previsão'!$A$2:$N$1100,2,FALSE()))," ")</f>
        <v xml:space="preserve"> </v>
      </c>
      <c r="J364" s="40" t="str">
        <f>IFERROR((VLOOKUP(F364,'Planilha de Cadastro - Previsão'!$A$2:$N$1100,3,FALSE()))," ")</f>
        <v xml:space="preserve"> </v>
      </c>
      <c r="K364" s="40"/>
      <c r="L364" s="42" t="str">
        <f>IFERROR((VLOOKUP(F364,'Planilha de Cadastro - Previsão'!$A$2:$N$1100,11,FALSE()))," ")</f>
        <v xml:space="preserve"> </v>
      </c>
      <c r="M364" s="41" t="str">
        <f>IFERROR((IF(VLOOKUP(F364,'Planilha de Cadastro - Previsão'!$A$2:$N$1100,10,FALSE())="","",VLOOKUP(F364,'Planilha de Cadastro - Previsão'!$A$2:$N$1100,10,FALSE()))),"")</f>
        <v/>
      </c>
      <c r="N364" s="41"/>
      <c r="O364" s="41"/>
      <c r="P364" s="41" t="str">
        <f>IFERROR((IF(VLOOKUP(F364,'Acompanhamento da Licitação'!$F$2:$O$1000,10,FALSE())="","",VLOOKUP(F364,'Acompanhamento da Licitação'!$F$2:$O$1000,10,FALSE()))),"")</f>
        <v/>
      </c>
      <c r="R364" s="61" t="str">
        <f>IFERROR(IF(F364&gt;0,(Final[[#This Row],[Valor da Venda Real]]-Final[[#This Row],[Valor de Compra Previsto]]-4%*Final[[#This Row],[Valor da Venda Real]])/Final[[#This Row],[Valor da Venda Real]],""),"")</f>
        <v/>
      </c>
      <c r="S364" s="61" t="str">
        <f t="shared" si="25"/>
        <v/>
      </c>
      <c r="T364" s="23" t="str">
        <f>IFERROR((R364*Final[[#This Row],[Valor da Venda Real]]*Final[[#This Row],[Quantidade ]]*S364),"")</f>
        <v/>
      </c>
    </row>
    <row r="365" spans="1:20" ht="15.75" x14ac:dyDescent="0.2">
      <c r="A365">
        <f>COUNTIF($C$2:C365,C365)</f>
        <v>364</v>
      </c>
      <c r="B365" s="1" t="str">
        <f t="shared" si="24"/>
        <v>364</v>
      </c>
      <c r="C365" s="1" t="str">
        <f>IFERROR(VLOOKUP(D365,'Planilha de Cadastro - Previsão'!$A$2:$N$1000,14,FALSE()),"")</f>
        <v/>
      </c>
      <c r="D365" s="1">
        <v>364</v>
      </c>
      <c r="F365" s="40" t="str">
        <f t="shared" si="23"/>
        <v/>
      </c>
      <c r="G365" s="40" t="str">
        <f>IF(F365="","",'Prosposta Inicial'!$O$2)</f>
        <v/>
      </c>
      <c r="H365" s="40" t="str">
        <f t="shared" si="26"/>
        <v xml:space="preserve"> </v>
      </c>
      <c r="I365" s="41" t="str">
        <f>IFERROR((VLOOKUP(F365,'Planilha de Cadastro - Previsão'!$A$2:$N$1100,2,FALSE()))," ")</f>
        <v xml:space="preserve"> </v>
      </c>
      <c r="J365" s="40" t="str">
        <f>IFERROR((VLOOKUP(F365,'Planilha de Cadastro - Previsão'!$A$2:$N$1100,3,FALSE()))," ")</f>
        <v xml:space="preserve"> </v>
      </c>
      <c r="K365" s="40"/>
      <c r="L365" s="42" t="str">
        <f>IFERROR((VLOOKUP(F365,'Planilha de Cadastro - Previsão'!$A$2:$N$1100,11,FALSE()))," ")</f>
        <v xml:space="preserve"> </v>
      </c>
      <c r="M365" s="41" t="str">
        <f>IFERROR((IF(VLOOKUP(F365,'Planilha de Cadastro - Previsão'!$A$2:$N$1100,10,FALSE())="","",VLOOKUP(F365,'Planilha de Cadastro - Previsão'!$A$2:$N$1100,10,FALSE()))),"")</f>
        <v/>
      </c>
      <c r="N365" s="41"/>
      <c r="O365" s="41"/>
      <c r="P365" s="41" t="str">
        <f>IFERROR((IF(VLOOKUP(F365,'Acompanhamento da Licitação'!$F$2:$O$1000,10,FALSE())="","",VLOOKUP(F365,'Acompanhamento da Licitação'!$F$2:$O$1000,10,FALSE()))),"")</f>
        <v/>
      </c>
      <c r="R365" s="61" t="str">
        <f>IFERROR(IF(F365&gt;0,(Final[[#This Row],[Valor da Venda Real]]-Final[[#This Row],[Valor de Compra Previsto]]-4%*Final[[#This Row],[Valor da Venda Real]])/Final[[#This Row],[Valor da Venda Real]],""),"")</f>
        <v/>
      </c>
      <c r="S365" s="61" t="str">
        <f t="shared" si="25"/>
        <v/>
      </c>
      <c r="T365" s="23" t="str">
        <f>IFERROR((R365*Final[[#This Row],[Valor da Venda Real]]*Final[[#This Row],[Quantidade ]]*S365),"")</f>
        <v/>
      </c>
    </row>
    <row r="366" spans="1:20" ht="15.75" x14ac:dyDescent="0.2">
      <c r="A366">
        <f>COUNTIF($C$2:C366,C366)</f>
        <v>365</v>
      </c>
      <c r="B366" s="1" t="str">
        <f t="shared" si="24"/>
        <v>365</v>
      </c>
      <c r="C366" s="1" t="str">
        <f>IFERROR(VLOOKUP(D366,'Planilha de Cadastro - Previsão'!$A$2:$N$1000,14,FALSE()),"")</f>
        <v/>
      </c>
      <c r="D366" s="1">
        <v>365</v>
      </c>
      <c r="F366" s="40" t="str">
        <f t="shared" si="23"/>
        <v/>
      </c>
      <c r="G366" s="40" t="str">
        <f>IF(F366="","",'Prosposta Inicial'!$O$2)</f>
        <v/>
      </c>
      <c r="H366" s="40" t="str">
        <f t="shared" si="26"/>
        <v xml:space="preserve"> </v>
      </c>
      <c r="I366" s="41" t="str">
        <f>IFERROR((VLOOKUP(F366,'Planilha de Cadastro - Previsão'!$A$2:$N$1100,2,FALSE()))," ")</f>
        <v xml:space="preserve"> </v>
      </c>
      <c r="J366" s="40" t="str">
        <f>IFERROR((VLOOKUP(F366,'Planilha de Cadastro - Previsão'!$A$2:$N$1100,3,FALSE()))," ")</f>
        <v xml:space="preserve"> </v>
      </c>
      <c r="K366" s="40"/>
      <c r="L366" s="42" t="str">
        <f>IFERROR((VLOOKUP(F366,'Planilha de Cadastro - Previsão'!$A$2:$N$1100,11,FALSE()))," ")</f>
        <v xml:space="preserve"> </v>
      </c>
      <c r="M366" s="41" t="str">
        <f>IFERROR((IF(VLOOKUP(F366,'Planilha de Cadastro - Previsão'!$A$2:$N$1100,10,FALSE())="","",VLOOKUP(F366,'Planilha de Cadastro - Previsão'!$A$2:$N$1100,10,FALSE()))),"")</f>
        <v/>
      </c>
      <c r="N366" s="41"/>
      <c r="O366" s="41"/>
      <c r="P366" s="41" t="str">
        <f>IFERROR((IF(VLOOKUP(F366,'Acompanhamento da Licitação'!$F$2:$O$1000,10,FALSE())="","",VLOOKUP(F366,'Acompanhamento da Licitação'!$F$2:$O$1000,10,FALSE()))),"")</f>
        <v/>
      </c>
      <c r="R366" s="61" t="str">
        <f>IFERROR(IF(F366&gt;0,(Final[[#This Row],[Valor da Venda Real]]-Final[[#This Row],[Valor de Compra Previsto]]-4%*Final[[#This Row],[Valor da Venda Real]])/Final[[#This Row],[Valor da Venda Real]],""),"")</f>
        <v/>
      </c>
      <c r="S366" s="61" t="str">
        <f t="shared" si="25"/>
        <v/>
      </c>
      <c r="T366" s="23" t="str">
        <f>IFERROR((R366*Final[[#This Row],[Valor da Venda Real]]*Final[[#This Row],[Quantidade ]]*S366),"")</f>
        <v/>
      </c>
    </row>
    <row r="367" spans="1:20" ht="15.75" x14ac:dyDescent="0.2">
      <c r="A367">
        <f>COUNTIF($C$2:C367,C367)</f>
        <v>366</v>
      </c>
      <c r="B367" s="1" t="str">
        <f t="shared" si="24"/>
        <v>366</v>
      </c>
      <c r="C367" s="1" t="str">
        <f>IFERROR(VLOOKUP(D367,'Planilha de Cadastro - Previsão'!$A$2:$N$1000,14,FALSE()),"")</f>
        <v/>
      </c>
      <c r="D367" s="1">
        <v>366</v>
      </c>
      <c r="F367" s="40" t="str">
        <f t="shared" si="23"/>
        <v/>
      </c>
      <c r="G367" s="40" t="str">
        <f>IF(F367="","",'Prosposta Inicial'!$O$2)</f>
        <v/>
      </c>
      <c r="H367" s="40" t="str">
        <f t="shared" si="26"/>
        <v xml:space="preserve"> </v>
      </c>
      <c r="I367" s="41" t="str">
        <f>IFERROR((VLOOKUP(F367,'Planilha de Cadastro - Previsão'!$A$2:$N$1100,2,FALSE()))," ")</f>
        <v xml:space="preserve"> </v>
      </c>
      <c r="J367" s="40" t="str">
        <f>IFERROR((VLOOKUP(F367,'Planilha de Cadastro - Previsão'!$A$2:$N$1100,3,FALSE()))," ")</f>
        <v xml:space="preserve"> </v>
      </c>
      <c r="K367" s="40"/>
      <c r="L367" s="42" t="str">
        <f>IFERROR((VLOOKUP(F367,'Planilha de Cadastro - Previsão'!$A$2:$N$1100,11,FALSE()))," ")</f>
        <v xml:space="preserve"> </v>
      </c>
      <c r="M367" s="41" t="str">
        <f>IFERROR((IF(VLOOKUP(F367,'Planilha de Cadastro - Previsão'!$A$2:$N$1100,10,FALSE())="","",VLOOKUP(F367,'Planilha de Cadastro - Previsão'!$A$2:$N$1100,10,FALSE()))),"")</f>
        <v/>
      </c>
      <c r="N367" s="41"/>
      <c r="O367" s="41"/>
      <c r="P367" s="41" t="str">
        <f>IFERROR((IF(VLOOKUP(F367,'Acompanhamento da Licitação'!$F$2:$O$1000,10,FALSE())="","",VLOOKUP(F367,'Acompanhamento da Licitação'!$F$2:$O$1000,10,FALSE()))),"")</f>
        <v/>
      </c>
      <c r="R367" s="61" t="str">
        <f>IFERROR(IF(F367&gt;0,(Final[[#This Row],[Valor da Venda Real]]-Final[[#This Row],[Valor de Compra Previsto]]-4%*Final[[#This Row],[Valor da Venda Real]])/Final[[#This Row],[Valor da Venda Real]],""),"")</f>
        <v/>
      </c>
      <c r="S367" s="61" t="str">
        <f t="shared" si="25"/>
        <v/>
      </c>
      <c r="T367" s="23" t="str">
        <f>IFERROR((R367*Final[[#This Row],[Valor da Venda Real]]*Final[[#This Row],[Quantidade ]]*S367),"")</f>
        <v/>
      </c>
    </row>
    <row r="368" spans="1:20" ht="15.75" x14ac:dyDescent="0.2">
      <c r="A368">
        <f>COUNTIF($C$2:C368,C368)</f>
        <v>367</v>
      </c>
      <c r="B368" s="1" t="str">
        <f t="shared" si="24"/>
        <v>367</v>
      </c>
      <c r="C368" s="1" t="str">
        <f>IFERROR(VLOOKUP(D368,'Planilha de Cadastro - Previsão'!$A$2:$N$1000,14,FALSE()),"")</f>
        <v/>
      </c>
      <c r="D368" s="1">
        <v>367</v>
      </c>
      <c r="F368" s="40" t="str">
        <f t="shared" si="23"/>
        <v/>
      </c>
      <c r="G368" s="40" t="str">
        <f>IF(F368="","",'Prosposta Inicial'!$O$2)</f>
        <v/>
      </c>
      <c r="H368" s="40" t="str">
        <f t="shared" si="26"/>
        <v xml:space="preserve"> </v>
      </c>
      <c r="I368" s="41" t="str">
        <f>IFERROR((VLOOKUP(F368,'Planilha de Cadastro - Previsão'!$A$2:$N$1100,2,FALSE()))," ")</f>
        <v xml:space="preserve"> </v>
      </c>
      <c r="J368" s="40" t="str">
        <f>IFERROR((VLOOKUP(F368,'Planilha de Cadastro - Previsão'!$A$2:$N$1100,3,FALSE()))," ")</f>
        <v xml:space="preserve"> </v>
      </c>
      <c r="K368" s="40"/>
      <c r="L368" s="42" t="str">
        <f>IFERROR((VLOOKUP(F368,'Planilha de Cadastro - Previsão'!$A$2:$N$1100,11,FALSE()))," ")</f>
        <v xml:space="preserve"> </v>
      </c>
      <c r="M368" s="41" t="str">
        <f>IFERROR((IF(VLOOKUP(F368,'Planilha de Cadastro - Previsão'!$A$2:$N$1100,10,FALSE())="","",VLOOKUP(F368,'Planilha de Cadastro - Previsão'!$A$2:$N$1100,10,FALSE()))),"")</f>
        <v/>
      </c>
      <c r="N368" s="41"/>
      <c r="O368" s="41"/>
      <c r="P368" s="41" t="str">
        <f>IFERROR((IF(VLOOKUP(F368,'Acompanhamento da Licitação'!$F$2:$O$1000,10,FALSE())="","",VLOOKUP(F368,'Acompanhamento da Licitação'!$F$2:$O$1000,10,FALSE()))),"")</f>
        <v/>
      </c>
      <c r="R368" s="61" t="str">
        <f>IFERROR(IF(F368&gt;0,(Final[[#This Row],[Valor da Venda Real]]-Final[[#This Row],[Valor de Compra Previsto]]-4%*Final[[#This Row],[Valor da Venda Real]])/Final[[#This Row],[Valor da Venda Real]],""),"")</f>
        <v/>
      </c>
      <c r="S368" s="61" t="str">
        <f t="shared" si="25"/>
        <v/>
      </c>
      <c r="T368" s="23" t="str">
        <f>IFERROR((R368*Final[[#This Row],[Valor da Venda Real]]*Final[[#This Row],[Quantidade ]]*S368),"")</f>
        <v/>
      </c>
    </row>
    <row r="369" spans="1:20" ht="15.75" x14ac:dyDescent="0.2">
      <c r="A369">
        <f>COUNTIF($C$2:C369,C369)</f>
        <v>368</v>
      </c>
      <c r="B369" s="1" t="str">
        <f t="shared" si="24"/>
        <v>368</v>
      </c>
      <c r="C369" s="1" t="str">
        <f>IFERROR(VLOOKUP(D369,'Planilha de Cadastro - Previsão'!$A$2:$N$1000,14,FALSE()),"")</f>
        <v/>
      </c>
      <c r="D369" s="1">
        <v>368</v>
      </c>
      <c r="F369" s="40" t="str">
        <f t="shared" si="23"/>
        <v/>
      </c>
      <c r="G369" s="40" t="str">
        <f>IF(F369="","",'Prosposta Inicial'!$O$2)</f>
        <v/>
      </c>
      <c r="H369" s="40" t="str">
        <f t="shared" si="26"/>
        <v xml:space="preserve"> </v>
      </c>
      <c r="I369" s="41" t="str">
        <f>IFERROR((VLOOKUP(F369,'Planilha de Cadastro - Previsão'!$A$2:$N$1100,2,FALSE()))," ")</f>
        <v xml:space="preserve"> </v>
      </c>
      <c r="J369" s="40" t="str">
        <f>IFERROR((VLOOKUP(F369,'Planilha de Cadastro - Previsão'!$A$2:$N$1100,3,FALSE()))," ")</f>
        <v xml:space="preserve"> </v>
      </c>
      <c r="K369" s="40"/>
      <c r="L369" s="42" t="str">
        <f>IFERROR((VLOOKUP(F369,'Planilha de Cadastro - Previsão'!$A$2:$N$1100,11,FALSE()))," ")</f>
        <v xml:space="preserve"> </v>
      </c>
      <c r="M369" s="41" t="str">
        <f>IFERROR((IF(VLOOKUP(F369,'Planilha de Cadastro - Previsão'!$A$2:$N$1100,10,FALSE())="","",VLOOKUP(F369,'Planilha de Cadastro - Previsão'!$A$2:$N$1100,10,FALSE()))),"")</f>
        <v/>
      </c>
      <c r="N369" s="41"/>
      <c r="O369" s="41"/>
      <c r="P369" s="41" t="str">
        <f>IFERROR((IF(VLOOKUP(F369,'Acompanhamento da Licitação'!$F$2:$O$1000,10,FALSE())="","",VLOOKUP(F369,'Acompanhamento da Licitação'!$F$2:$O$1000,10,FALSE()))),"")</f>
        <v/>
      </c>
      <c r="R369" s="61" t="str">
        <f>IFERROR(IF(F369&gt;0,(Final[[#This Row],[Valor da Venda Real]]-Final[[#This Row],[Valor de Compra Previsto]]-4%*Final[[#This Row],[Valor da Venda Real]])/Final[[#This Row],[Valor da Venda Real]],""),"")</f>
        <v/>
      </c>
      <c r="S369" s="61" t="str">
        <f t="shared" si="25"/>
        <v/>
      </c>
      <c r="T369" s="23" t="str">
        <f>IFERROR((R369*Final[[#This Row],[Valor da Venda Real]]*Final[[#This Row],[Quantidade ]]*S369),"")</f>
        <v/>
      </c>
    </row>
    <row r="370" spans="1:20" ht="15.75" x14ac:dyDescent="0.2">
      <c r="A370">
        <f>COUNTIF($C$2:C370,C370)</f>
        <v>369</v>
      </c>
      <c r="B370" s="1" t="str">
        <f t="shared" si="24"/>
        <v>369</v>
      </c>
      <c r="C370" s="1" t="str">
        <f>IFERROR(VLOOKUP(D370,'Planilha de Cadastro - Previsão'!$A$2:$N$1000,14,FALSE()),"")</f>
        <v/>
      </c>
      <c r="D370" s="1">
        <v>369</v>
      </c>
      <c r="F370" s="40" t="str">
        <f t="shared" si="23"/>
        <v/>
      </c>
      <c r="G370" s="40" t="str">
        <f>IF(F370="","",'Prosposta Inicial'!$O$2)</f>
        <v/>
      </c>
      <c r="H370" s="40" t="str">
        <f t="shared" si="26"/>
        <v xml:space="preserve"> </v>
      </c>
      <c r="I370" s="41" t="str">
        <f>IFERROR((VLOOKUP(F370,'Planilha de Cadastro - Previsão'!$A$2:$N$1100,2,FALSE()))," ")</f>
        <v xml:space="preserve"> </v>
      </c>
      <c r="J370" s="40" t="str">
        <f>IFERROR((VLOOKUP(F370,'Planilha de Cadastro - Previsão'!$A$2:$N$1100,3,FALSE()))," ")</f>
        <v xml:space="preserve"> </v>
      </c>
      <c r="K370" s="40"/>
      <c r="L370" s="42" t="str">
        <f>IFERROR((VLOOKUP(F370,'Planilha de Cadastro - Previsão'!$A$2:$N$1100,11,FALSE()))," ")</f>
        <v xml:space="preserve"> </v>
      </c>
      <c r="M370" s="41" t="str">
        <f>IFERROR((IF(VLOOKUP(F370,'Planilha de Cadastro - Previsão'!$A$2:$N$1100,10,FALSE())="","",VLOOKUP(F370,'Planilha de Cadastro - Previsão'!$A$2:$N$1100,10,FALSE()))),"")</f>
        <v/>
      </c>
      <c r="N370" s="41"/>
      <c r="O370" s="41"/>
      <c r="P370" s="41" t="str">
        <f>IFERROR((IF(VLOOKUP(F370,'Acompanhamento da Licitação'!$F$2:$O$1000,10,FALSE())="","",VLOOKUP(F370,'Acompanhamento da Licitação'!$F$2:$O$1000,10,FALSE()))),"")</f>
        <v/>
      </c>
      <c r="R370" s="61" t="str">
        <f>IFERROR(IF(F370&gt;0,(Final[[#This Row],[Valor da Venda Real]]-Final[[#This Row],[Valor de Compra Previsto]]-4%*Final[[#This Row],[Valor da Venda Real]])/Final[[#This Row],[Valor da Venda Real]],""),"")</f>
        <v/>
      </c>
      <c r="S370" s="61" t="str">
        <f t="shared" si="25"/>
        <v/>
      </c>
      <c r="T370" s="23" t="str">
        <f>IFERROR((R370*Final[[#This Row],[Valor da Venda Real]]*Final[[#This Row],[Quantidade ]]*S370),"")</f>
        <v/>
      </c>
    </row>
    <row r="371" spans="1:20" ht="15.75" x14ac:dyDescent="0.2">
      <c r="A371">
        <f>COUNTIF($C$2:C371,C371)</f>
        <v>370</v>
      </c>
      <c r="B371" s="1" t="str">
        <f t="shared" si="24"/>
        <v>370</v>
      </c>
      <c r="C371" s="1" t="str">
        <f>IFERROR(VLOOKUP(D371,'Planilha de Cadastro - Previsão'!$A$2:$N$1000,14,FALSE()),"")</f>
        <v/>
      </c>
      <c r="D371" s="1">
        <v>370</v>
      </c>
      <c r="F371" s="40" t="str">
        <f t="shared" si="23"/>
        <v/>
      </c>
      <c r="G371" s="40" t="str">
        <f>IF(F371="","",'Prosposta Inicial'!$O$2)</f>
        <v/>
      </c>
      <c r="H371" s="40" t="str">
        <f t="shared" si="26"/>
        <v xml:space="preserve"> </v>
      </c>
      <c r="I371" s="41" t="str">
        <f>IFERROR((VLOOKUP(F371,'Planilha de Cadastro - Previsão'!$A$2:$N$1100,2,FALSE()))," ")</f>
        <v xml:space="preserve"> </v>
      </c>
      <c r="J371" s="40" t="str">
        <f>IFERROR((VLOOKUP(F371,'Planilha de Cadastro - Previsão'!$A$2:$N$1100,3,FALSE()))," ")</f>
        <v xml:space="preserve"> </v>
      </c>
      <c r="K371" s="40"/>
      <c r="L371" s="42" t="str">
        <f>IFERROR((VLOOKUP(F371,'Planilha de Cadastro - Previsão'!$A$2:$N$1100,11,FALSE()))," ")</f>
        <v xml:space="preserve"> </v>
      </c>
      <c r="M371" s="41" t="str">
        <f>IFERROR((IF(VLOOKUP(F371,'Planilha de Cadastro - Previsão'!$A$2:$N$1100,10,FALSE())="","",VLOOKUP(F371,'Planilha de Cadastro - Previsão'!$A$2:$N$1100,10,FALSE()))),"")</f>
        <v/>
      </c>
      <c r="N371" s="41"/>
      <c r="O371" s="41"/>
      <c r="P371" s="41" t="str">
        <f>IFERROR((IF(VLOOKUP(F371,'Acompanhamento da Licitação'!$F$2:$O$1000,10,FALSE())="","",VLOOKUP(F371,'Acompanhamento da Licitação'!$F$2:$O$1000,10,FALSE()))),"")</f>
        <v/>
      </c>
      <c r="R371" s="61" t="str">
        <f>IFERROR(IF(F371&gt;0,(Final[[#This Row],[Valor da Venda Real]]-Final[[#This Row],[Valor de Compra Previsto]]-4%*Final[[#This Row],[Valor da Venda Real]])/Final[[#This Row],[Valor da Venda Real]],""),"")</f>
        <v/>
      </c>
      <c r="S371" s="61" t="str">
        <f t="shared" si="25"/>
        <v/>
      </c>
      <c r="T371" s="23" t="str">
        <f>IFERROR((R371*Final[[#This Row],[Valor da Venda Real]]*Final[[#This Row],[Quantidade ]]*S371),"")</f>
        <v/>
      </c>
    </row>
    <row r="372" spans="1:20" ht="15.75" x14ac:dyDescent="0.2">
      <c r="A372">
        <f>COUNTIF($C$2:C372,C372)</f>
        <v>371</v>
      </c>
      <c r="B372" s="1" t="str">
        <f t="shared" si="24"/>
        <v>371</v>
      </c>
      <c r="C372" s="1" t="str">
        <f>IFERROR(VLOOKUP(D372,'Planilha de Cadastro - Previsão'!$A$2:$N$1000,14,FALSE()),"")</f>
        <v/>
      </c>
      <c r="D372" s="1">
        <v>371</v>
      </c>
      <c r="F372" s="40" t="str">
        <f t="shared" si="23"/>
        <v/>
      </c>
      <c r="G372" s="40" t="str">
        <f>IF(F372="","",'Prosposta Inicial'!$O$2)</f>
        <v/>
      </c>
      <c r="H372" s="40" t="str">
        <f t="shared" si="26"/>
        <v xml:space="preserve"> </v>
      </c>
      <c r="I372" s="41" t="str">
        <f>IFERROR((VLOOKUP(F372,'Planilha de Cadastro - Previsão'!$A$2:$N$1100,2,FALSE()))," ")</f>
        <v xml:space="preserve"> </v>
      </c>
      <c r="J372" s="40" t="str">
        <f>IFERROR((VLOOKUP(F372,'Planilha de Cadastro - Previsão'!$A$2:$N$1100,3,FALSE()))," ")</f>
        <v xml:space="preserve"> </v>
      </c>
      <c r="K372" s="40"/>
      <c r="L372" s="42" t="str">
        <f>IFERROR((VLOOKUP(F372,'Planilha de Cadastro - Previsão'!$A$2:$N$1100,11,FALSE()))," ")</f>
        <v xml:space="preserve"> </v>
      </c>
      <c r="M372" s="41" t="str">
        <f>IFERROR((IF(VLOOKUP(F372,'Planilha de Cadastro - Previsão'!$A$2:$N$1100,10,FALSE())="","",VLOOKUP(F372,'Planilha de Cadastro - Previsão'!$A$2:$N$1100,10,FALSE()))),"")</f>
        <v/>
      </c>
      <c r="N372" s="41"/>
      <c r="O372" s="41"/>
      <c r="P372" s="41" t="str">
        <f>IFERROR((IF(VLOOKUP(F372,'Acompanhamento da Licitação'!$F$2:$O$1000,10,FALSE())="","",VLOOKUP(F372,'Acompanhamento da Licitação'!$F$2:$O$1000,10,FALSE()))),"")</f>
        <v/>
      </c>
      <c r="R372" s="61" t="str">
        <f>IFERROR(IF(F372&gt;0,(Final[[#This Row],[Valor da Venda Real]]-Final[[#This Row],[Valor de Compra Previsto]]-4%*Final[[#This Row],[Valor da Venda Real]])/Final[[#This Row],[Valor da Venda Real]],""),"")</f>
        <v/>
      </c>
      <c r="S372" s="61" t="str">
        <f t="shared" si="25"/>
        <v/>
      </c>
      <c r="T372" s="23" t="str">
        <f>IFERROR((R372*Final[[#This Row],[Valor da Venda Real]]*Final[[#This Row],[Quantidade ]]*S372),"")</f>
        <v/>
      </c>
    </row>
    <row r="373" spans="1:20" ht="15.75" x14ac:dyDescent="0.2">
      <c r="A373">
        <f>COUNTIF($C$2:C373,C373)</f>
        <v>372</v>
      </c>
      <c r="B373" s="1" t="str">
        <f t="shared" si="24"/>
        <v>372</v>
      </c>
      <c r="C373" s="1" t="str">
        <f>IFERROR(VLOOKUP(D373,'Planilha de Cadastro - Previsão'!$A$2:$N$1000,14,FALSE()),"")</f>
        <v/>
      </c>
      <c r="D373" s="1">
        <v>372</v>
      </c>
      <c r="F373" s="40" t="str">
        <f t="shared" si="23"/>
        <v/>
      </c>
      <c r="G373" s="40" t="str">
        <f>IF(F373="","",'Prosposta Inicial'!$O$2)</f>
        <v/>
      </c>
      <c r="H373" s="40" t="str">
        <f t="shared" si="26"/>
        <v xml:space="preserve"> </v>
      </c>
      <c r="I373" s="41" t="str">
        <f>IFERROR((VLOOKUP(F373,'Planilha de Cadastro - Previsão'!$A$2:$N$1100,2,FALSE()))," ")</f>
        <v xml:space="preserve"> </v>
      </c>
      <c r="J373" s="40" t="str">
        <f>IFERROR((VLOOKUP(F373,'Planilha de Cadastro - Previsão'!$A$2:$N$1100,3,FALSE()))," ")</f>
        <v xml:space="preserve"> </v>
      </c>
      <c r="K373" s="40"/>
      <c r="L373" s="42" t="str">
        <f>IFERROR((VLOOKUP(F373,'Planilha de Cadastro - Previsão'!$A$2:$N$1100,11,FALSE()))," ")</f>
        <v xml:space="preserve"> </v>
      </c>
      <c r="M373" s="41" t="str">
        <f>IFERROR((IF(VLOOKUP(F373,'Planilha de Cadastro - Previsão'!$A$2:$N$1100,10,FALSE())="","",VLOOKUP(F373,'Planilha de Cadastro - Previsão'!$A$2:$N$1100,10,FALSE()))),"")</f>
        <v/>
      </c>
      <c r="N373" s="41"/>
      <c r="O373" s="41"/>
      <c r="P373" s="41" t="str">
        <f>IFERROR((IF(VLOOKUP(F373,'Acompanhamento da Licitação'!$F$2:$O$1000,10,FALSE())="","",VLOOKUP(F373,'Acompanhamento da Licitação'!$F$2:$O$1000,10,FALSE()))),"")</f>
        <v/>
      </c>
      <c r="R373" s="61" t="str">
        <f>IFERROR(IF(F373&gt;0,(Final[[#This Row],[Valor da Venda Real]]-Final[[#This Row],[Valor de Compra Previsto]]-4%*Final[[#This Row],[Valor da Venda Real]])/Final[[#This Row],[Valor da Venda Real]],""),"")</f>
        <v/>
      </c>
      <c r="S373" s="61" t="str">
        <f t="shared" si="25"/>
        <v/>
      </c>
      <c r="T373" s="23" t="str">
        <f>IFERROR((R373*Final[[#This Row],[Valor da Venda Real]]*Final[[#This Row],[Quantidade ]]*S373),"")</f>
        <v/>
      </c>
    </row>
    <row r="374" spans="1:20" ht="15.75" x14ac:dyDescent="0.2">
      <c r="A374">
        <f>COUNTIF($C$2:C374,C374)</f>
        <v>373</v>
      </c>
      <c r="B374" s="1" t="str">
        <f t="shared" si="24"/>
        <v>373</v>
      </c>
      <c r="C374" s="1" t="str">
        <f>IFERROR(VLOOKUP(D374,'Planilha de Cadastro - Previsão'!$A$2:$N$1000,14,FALSE()),"")</f>
        <v/>
      </c>
      <c r="D374" s="1">
        <v>373</v>
      </c>
      <c r="F374" s="40" t="str">
        <f t="shared" si="23"/>
        <v/>
      </c>
      <c r="G374" s="40" t="str">
        <f>IF(F374="","",'Prosposta Inicial'!$O$2)</f>
        <v/>
      </c>
      <c r="H374" s="40" t="str">
        <f t="shared" si="26"/>
        <v xml:space="preserve"> </v>
      </c>
      <c r="I374" s="41" t="str">
        <f>IFERROR((VLOOKUP(F374,'Planilha de Cadastro - Previsão'!$A$2:$N$1100,2,FALSE()))," ")</f>
        <v xml:space="preserve"> </v>
      </c>
      <c r="J374" s="40" t="str">
        <f>IFERROR((VLOOKUP(F374,'Planilha de Cadastro - Previsão'!$A$2:$N$1100,3,FALSE()))," ")</f>
        <v xml:space="preserve"> </v>
      </c>
      <c r="K374" s="40"/>
      <c r="L374" s="42" t="str">
        <f>IFERROR((VLOOKUP(F374,'Planilha de Cadastro - Previsão'!$A$2:$N$1100,11,FALSE()))," ")</f>
        <v xml:space="preserve"> </v>
      </c>
      <c r="M374" s="41" t="str">
        <f>IFERROR((IF(VLOOKUP(F374,'Planilha de Cadastro - Previsão'!$A$2:$N$1100,10,FALSE())="","",VLOOKUP(F374,'Planilha de Cadastro - Previsão'!$A$2:$N$1100,10,FALSE()))),"")</f>
        <v/>
      </c>
      <c r="N374" s="41"/>
      <c r="O374" s="41"/>
      <c r="P374" s="41" t="str">
        <f>IFERROR((IF(VLOOKUP(F374,'Acompanhamento da Licitação'!$F$2:$O$1000,10,FALSE())="","",VLOOKUP(F374,'Acompanhamento da Licitação'!$F$2:$O$1000,10,FALSE()))),"")</f>
        <v/>
      </c>
      <c r="R374" s="61" t="str">
        <f>IFERROR(IF(F374&gt;0,(Final[[#This Row],[Valor da Venda Real]]-Final[[#This Row],[Valor de Compra Previsto]]-4%*Final[[#This Row],[Valor da Venda Real]])/Final[[#This Row],[Valor da Venda Real]],""),"")</f>
        <v/>
      </c>
      <c r="S374" s="61" t="str">
        <f t="shared" si="25"/>
        <v/>
      </c>
      <c r="T374" s="23" t="str">
        <f>IFERROR((R374*Final[[#This Row],[Valor da Venda Real]]*Final[[#This Row],[Quantidade ]]*S374),"")</f>
        <v/>
      </c>
    </row>
    <row r="375" spans="1:20" ht="15.75" x14ac:dyDescent="0.2">
      <c r="A375">
        <f>COUNTIF($C$2:C375,C375)</f>
        <v>374</v>
      </c>
      <c r="B375" s="1" t="str">
        <f t="shared" si="24"/>
        <v>374</v>
      </c>
      <c r="C375" s="1" t="str">
        <f>IFERROR(VLOOKUP(D375,'Planilha de Cadastro - Previsão'!$A$2:$N$1000,14,FALSE()),"")</f>
        <v/>
      </c>
      <c r="D375" s="1">
        <v>374</v>
      </c>
      <c r="F375" s="40" t="str">
        <f t="shared" si="23"/>
        <v/>
      </c>
      <c r="G375" s="40" t="str">
        <f>IF(F375="","",'Prosposta Inicial'!$O$2)</f>
        <v/>
      </c>
      <c r="H375" s="40" t="str">
        <f t="shared" si="26"/>
        <v xml:space="preserve"> </v>
      </c>
      <c r="I375" s="41" t="str">
        <f>IFERROR((VLOOKUP(F375,'Planilha de Cadastro - Previsão'!$A$2:$N$1100,2,FALSE()))," ")</f>
        <v xml:space="preserve"> </v>
      </c>
      <c r="J375" s="40" t="str">
        <f>IFERROR((VLOOKUP(F375,'Planilha de Cadastro - Previsão'!$A$2:$N$1100,3,FALSE()))," ")</f>
        <v xml:space="preserve"> </v>
      </c>
      <c r="K375" s="40"/>
      <c r="L375" s="42" t="str">
        <f>IFERROR((VLOOKUP(F375,'Planilha de Cadastro - Previsão'!$A$2:$N$1100,11,FALSE()))," ")</f>
        <v xml:space="preserve"> </v>
      </c>
      <c r="M375" s="41" t="str">
        <f>IFERROR((IF(VLOOKUP(F375,'Planilha de Cadastro - Previsão'!$A$2:$N$1100,10,FALSE())="","",VLOOKUP(F375,'Planilha de Cadastro - Previsão'!$A$2:$N$1100,10,FALSE()))),"")</f>
        <v/>
      </c>
      <c r="N375" s="41"/>
      <c r="O375" s="41"/>
      <c r="P375" s="41" t="str">
        <f>IFERROR((IF(VLOOKUP(F375,'Acompanhamento da Licitação'!$F$2:$O$1000,10,FALSE())="","",VLOOKUP(F375,'Acompanhamento da Licitação'!$F$2:$O$1000,10,FALSE()))),"")</f>
        <v/>
      </c>
      <c r="R375" s="61" t="str">
        <f>IFERROR(IF(F375&gt;0,(Final[[#This Row],[Valor da Venda Real]]-Final[[#This Row],[Valor de Compra Previsto]]-4%*Final[[#This Row],[Valor da Venda Real]])/Final[[#This Row],[Valor da Venda Real]],""),"")</f>
        <v/>
      </c>
      <c r="S375" s="61" t="str">
        <f t="shared" si="25"/>
        <v/>
      </c>
      <c r="T375" s="23" t="str">
        <f>IFERROR((R375*Final[[#This Row],[Valor da Venda Real]]*Final[[#This Row],[Quantidade ]]*S375),"")</f>
        <v/>
      </c>
    </row>
    <row r="376" spans="1:20" ht="15.75" x14ac:dyDescent="0.2">
      <c r="A376">
        <f>COUNTIF($C$2:C376,C376)</f>
        <v>375</v>
      </c>
      <c r="B376" s="1" t="str">
        <f t="shared" si="24"/>
        <v>375</v>
      </c>
      <c r="C376" s="1" t="str">
        <f>IFERROR(VLOOKUP(D376,'Planilha de Cadastro - Previsão'!$A$2:$N$1000,14,FALSE()),"")</f>
        <v/>
      </c>
      <c r="D376" s="1">
        <v>375</v>
      </c>
      <c r="F376" s="40" t="str">
        <f t="shared" si="23"/>
        <v/>
      </c>
      <c r="G376" s="40" t="str">
        <f>IF(F376="","",'Prosposta Inicial'!$O$2)</f>
        <v/>
      </c>
      <c r="H376" s="40" t="str">
        <f t="shared" si="26"/>
        <v xml:space="preserve"> </v>
      </c>
      <c r="I376" s="41" t="str">
        <f>IFERROR((VLOOKUP(F376,'Planilha de Cadastro - Previsão'!$A$2:$N$1100,2,FALSE()))," ")</f>
        <v xml:space="preserve"> </v>
      </c>
      <c r="J376" s="40" t="str">
        <f>IFERROR((VLOOKUP(F376,'Planilha de Cadastro - Previsão'!$A$2:$N$1100,3,FALSE()))," ")</f>
        <v xml:space="preserve"> </v>
      </c>
      <c r="K376" s="40"/>
      <c r="L376" s="42" t="str">
        <f>IFERROR((VLOOKUP(F376,'Planilha de Cadastro - Previsão'!$A$2:$N$1100,11,FALSE()))," ")</f>
        <v xml:space="preserve"> </v>
      </c>
      <c r="M376" s="41" t="str">
        <f>IFERROR((IF(VLOOKUP(F376,'Planilha de Cadastro - Previsão'!$A$2:$N$1100,10,FALSE())="","",VLOOKUP(F376,'Planilha de Cadastro - Previsão'!$A$2:$N$1100,10,FALSE()))),"")</f>
        <v/>
      </c>
      <c r="N376" s="41"/>
      <c r="O376" s="41"/>
      <c r="P376" s="41" t="str">
        <f>IFERROR((IF(VLOOKUP(F376,'Acompanhamento da Licitação'!$F$2:$O$1000,10,FALSE())="","",VLOOKUP(F376,'Acompanhamento da Licitação'!$F$2:$O$1000,10,FALSE()))),"")</f>
        <v/>
      </c>
      <c r="R376" s="61" t="str">
        <f>IFERROR(IF(F376&gt;0,(Final[[#This Row],[Valor da Venda Real]]-Final[[#This Row],[Valor de Compra Previsto]]-4%*Final[[#This Row],[Valor da Venda Real]])/Final[[#This Row],[Valor da Venda Real]],""),"")</f>
        <v/>
      </c>
      <c r="S376" s="61" t="str">
        <f t="shared" si="25"/>
        <v/>
      </c>
      <c r="T376" s="23" t="str">
        <f>IFERROR((R376*Final[[#This Row],[Valor da Venda Real]]*Final[[#This Row],[Quantidade ]]*S376),"")</f>
        <v/>
      </c>
    </row>
    <row r="377" spans="1:20" ht="15.75" x14ac:dyDescent="0.2">
      <c r="A377">
        <f>COUNTIF($C$2:C377,C377)</f>
        <v>376</v>
      </c>
      <c r="B377" s="1" t="str">
        <f t="shared" si="24"/>
        <v>376</v>
      </c>
      <c r="C377" s="1" t="str">
        <f>IFERROR(VLOOKUP(D377,'Planilha de Cadastro - Previsão'!$A$2:$N$1000,14,FALSE()),"")</f>
        <v/>
      </c>
      <c r="D377" s="1">
        <v>376</v>
      </c>
      <c r="F377" s="40" t="str">
        <f t="shared" si="23"/>
        <v/>
      </c>
      <c r="G377" s="40" t="str">
        <f>IF(F377="","",'Prosposta Inicial'!$O$2)</f>
        <v/>
      </c>
      <c r="H377" s="40" t="str">
        <f t="shared" si="26"/>
        <v xml:space="preserve"> </v>
      </c>
      <c r="I377" s="41" t="str">
        <f>IFERROR((VLOOKUP(F377,'Planilha de Cadastro - Previsão'!$A$2:$N$1100,2,FALSE()))," ")</f>
        <v xml:space="preserve"> </v>
      </c>
      <c r="J377" s="40" t="str">
        <f>IFERROR((VLOOKUP(F377,'Planilha de Cadastro - Previsão'!$A$2:$N$1100,3,FALSE()))," ")</f>
        <v xml:space="preserve"> </v>
      </c>
      <c r="K377" s="40"/>
      <c r="L377" s="42" t="str">
        <f>IFERROR((VLOOKUP(F377,'Planilha de Cadastro - Previsão'!$A$2:$N$1100,11,FALSE()))," ")</f>
        <v xml:space="preserve"> </v>
      </c>
      <c r="M377" s="41" t="str">
        <f>IFERROR((IF(VLOOKUP(F377,'Planilha de Cadastro - Previsão'!$A$2:$N$1100,10,FALSE())="","",VLOOKUP(F377,'Planilha de Cadastro - Previsão'!$A$2:$N$1100,10,FALSE()))),"")</f>
        <v/>
      </c>
      <c r="N377" s="41"/>
      <c r="O377" s="41"/>
      <c r="P377" s="41" t="str">
        <f>IFERROR((IF(VLOOKUP(F377,'Acompanhamento da Licitação'!$F$2:$O$1000,10,FALSE())="","",VLOOKUP(F377,'Acompanhamento da Licitação'!$F$2:$O$1000,10,FALSE()))),"")</f>
        <v/>
      </c>
      <c r="R377" s="61" t="str">
        <f>IFERROR(IF(F377&gt;0,(Final[[#This Row],[Valor da Venda Real]]-Final[[#This Row],[Valor de Compra Previsto]]-4%*Final[[#This Row],[Valor da Venda Real]])/Final[[#This Row],[Valor da Venda Real]],""),"")</f>
        <v/>
      </c>
      <c r="S377" s="61" t="str">
        <f t="shared" si="25"/>
        <v/>
      </c>
      <c r="T377" s="23" t="str">
        <f>IFERROR((R377*Final[[#This Row],[Valor da Venda Real]]*Final[[#This Row],[Quantidade ]]*S377),"")</f>
        <v/>
      </c>
    </row>
    <row r="378" spans="1:20" ht="15.75" x14ac:dyDescent="0.2">
      <c r="A378">
        <f>COUNTIF($C$2:C378,C378)</f>
        <v>377</v>
      </c>
      <c r="B378" s="1" t="str">
        <f t="shared" si="24"/>
        <v>377</v>
      </c>
      <c r="C378" s="1" t="str">
        <f>IFERROR(VLOOKUP(D378,'Planilha de Cadastro - Previsão'!$A$2:$N$1000,14,FALSE()),"")</f>
        <v/>
      </c>
      <c r="D378" s="1">
        <v>377</v>
      </c>
      <c r="F378" s="40" t="str">
        <f t="shared" si="23"/>
        <v/>
      </c>
      <c r="G378" s="40" t="str">
        <f>IF(F378="","",'Prosposta Inicial'!$O$2)</f>
        <v/>
      </c>
      <c r="H378" s="40" t="str">
        <f t="shared" si="26"/>
        <v xml:space="preserve"> </v>
      </c>
      <c r="I378" s="41" t="str">
        <f>IFERROR((VLOOKUP(F378,'Planilha de Cadastro - Previsão'!$A$2:$N$1100,2,FALSE()))," ")</f>
        <v xml:space="preserve"> </v>
      </c>
      <c r="J378" s="40" t="str">
        <f>IFERROR((VLOOKUP(F378,'Planilha de Cadastro - Previsão'!$A$2:$N$1100,3,FALSE()))," ")</f>
        <v xml:space="preserve"> </v>
      </c>
      <c r="K378" s="40"/>
      <c r="L378" s="42" t="str">
        <f>IFERROR((VLOOKUP(F378,'Planilha de Cadastro - Previsão'!$A$2:$N$1100,11,FALSE()))," ")</f>
        <v xml:space="preserve"> </v>
      </c>
      <c r="M378" s="41" t="str">
        <f>IFERROR((IF(VLOOKUP(F378,'Planilha de Cadastro - Previsão'!$A$2:$N$1100,10,FALSE())="","",VLOOKUP(F378,'Planilha de Cadastro - Previsão'!$A$2:$N$1100,10,FALSE()))),"")</f>
        <v/>
      </c>
      <c r="N378" s="41"/>
      <c r="O378" s="41"/>
      <c r="P378" s="41" t="str">
        <f>IFERROR((IF(VLOOKUP(F378,'Acompanhamento da Licitação'!$F$2:$O$1000,10,FALSE())="","",VLOOKUP(F378,'Acompanhamento da Licitação'!$F$2:$O$1000,10,FALSE()))),"")</f>
        <v/>
      </c>
      <c r="R378" s="61" t="str">
        <f>IFERROR(IF(F378&gt;0,(Final[[#This Row],[Valor da Venda Real]]-Final[[#This Row],[Valor de Compra Previsto]]-4%*Final[[#This Row],[Valor da Venda Real]])/Final[[#This Row],[Valor da Venda Real]],""),"")</f>
        <v/>
      </c>
      <c r="S378" s="61" t="str">
        <f t="shared" si="25"/>
        <v/>
      </c>
      <c r="T378" s="23" t="str">
        <f>IFERROR((R378*Final[[#This Row],[Valor da Venda Real]]*Final[[#This Row],[Quantidade ]]*S378),"")</f>
        <v/>
      </c>
    </row>
    <row r="379" spans="1:20" ht="15.75" x14ac:dyDescent="0.2">
      <c r="A379">
        <f>COUNTIF($C$2:C379,C379)</f>
        <v>378</v>
      </c>
      <c r="B379" s="1" t="str">
        <f t="shared" si="24"/>
        <v>378</v>
      </c>
      <c r="C379" s="1" t="str">
        <f>IFERROR(VLOOKUP(D379,'Planilha de Cadastro - Previsão'!$A$2:$N$1000,14,FALSE()),"")</f>
        <v/>
      </c>
      <c r="D379" s="1">
        <v>378</v>
      </c>
      <c r="F379" s="40" t="str">
        <f t="shared" si="23"/>
        <v/>
      </c>
      <c r="G379" s="40" t="str">
        <f>IF(F379="","",'Prosposta Inicial'!$O$2)</f>
        <v/>
      </c>
      <c r="H379" s="40" t="str">
        <f t="shared" si="26"/>
        <v xml:space="preserve"> </v>
      </c>
      <c r="I379" s="41" t="str">
        <f>IFERROR((VLOOKUP(F379,'Planilha de Cadastro - Previsão'!$A$2:$N$1100,2,FALSE()))," ")</f>
        <v xml:space="preserve"> </v>
      </c>
      <c r="J379" s="40" t="str">
        <f>IFERROR((VLOOKUP(F379,'Planilha de Cadastro - Previsão'!$A$2:$N$1100,3,FALSE()))," ")</f>
        <v xml:space="preserve"> </v>
      </c>
      <c r="K379" s="40"/>
      <c r="L379" s="42" t="str">
        <f>IFERROR((VLOOKUP(F379,'Planilha de Cadastro - Previsão'!$A$2:$N$1100,11,FALSE()))," ")</f>
        <v xml:space="preserve"> </v>
      </c>
      <c r="M379" s="41" t="str">
        <f>IFERROR((IF(VLOOKUP(F379,'Planilha de Cadastro - Previsão'!$A$2:$N$1100,10,FALSE())="","",VLOOKUP(F379,'Planilha de Cadastro - Previsão'!$A$2:$N$1100,10,FALSE()))),"")</f>
        <v/>
      </c>
      <c r="N379" s="41"/>
      <c r="O379" s="41"/>
      <c r="P379" s="41" t="str">
        <f>IFERROR((IF(VLOOKUP(F379,'Acompanhamento da Licitação'!$F$2:$O$1000,10,FALSE())="","",VLOOKUP(F379,'Acompanhamento da Licitação'!$F$2:$O$1000,10,FALSE()))),"")</f>
        <v/>
      </c>
      <c r="R379" s="61" t="str">
        <f>IFERROR(IF(F379&gt;0,(Final[[#This Row],[Valor da Venda Real]]-Final[[#This Row],[Valor de Compra Previsto]]-4%*Final[[#This Row],[Valor da Venda Real]])/Final[[#This Row],[Valor da Venda Real]],""),"")</f>
        <v/>
      </c>
      <c r="S379" s="61" t="str">
        <f t="shared" si="25"/>
        <v/>
      </c>
      <c r="T379" s="23" t="str">
        <f>IFERROR((R379*Final[[#This Row],[Valor da Venda Real]]*Final[[#This Row],[Quantidade ]]*S379),"")</f>
        <v/>
      </c>
    </row>
    <row r="380" spans="1:20" ht="15.75" x14ac:dyDescent="0.2">
      <c r="A380">
        <f>COUNTIF($C$2:C380,C380)</f>
        <v>379</v>
      </c>
      <c r="B380" s="1" t="str">
        <f t="shared" si="24"/>
        <v>379</v>
      </c>
      <c r="C380" s="1" t="str">
        <f>IFERROR(VLOOKUP(D380,'Planilha de Cadastro - Previsão'!$A$2:$N$1000,14,FALSE()),"")</f>
        <v/>
      </c>
      <c r="D380" s="1">
        <v>379</v>
      </c>
      <c r="F380" s="40" t="str">
        <f t="shared" si="23"/>
        <v/>
      </c>
      <c r="G380" s="40" t="str">
        <f>IF(F380="","",'Prosposta Inicial'!$O$2)</f>
        <v/>
      </c>
      <c r="H380" s="40" t="str">
        <f t="shared" si="26"/>
        <v xml:space="preserve"> </v>
      </c>
      <c r="I380" s="41" t="str">
        <f>IFERROR((VLOOKUP(F380,'Planilha de Cadastro - Previsão'!$A$2:$N$1100,2,FALSE()))," ")</f>
        <v xml:space="preserve"> </v>
      </c>
      <c r="J380" s="40" t="str">
        <f>IFERROR((VLOOKUP(F380,'Planilha de Cadastro - Previsão'!$A$2:$N$1100,3,FALSE()))," ")</f>
        <v xml:space="preserve"> </v>
      </c>
      <c r="K380" s="40"/>
      <c r="L380" s="42" t="str">
        <f>IFERROR((VLOOKUP(F380,'Planilha de Cadastro - Previsão'!$A$2:$N$1100,11,FALSE()))," ")</f>
        <v xml:space="preserve"> </v>
      </c>
      <c r="M380" s="41" t="str">
        <f>IFERROR((IF(VLOOKUP(F380,'Planilha de Cadastro - Previsão'!$A$2:$N$1100,10,FALSE())="","",VLOOKUP(F380,'Planilha de Cadastro - Previsão'!$A$2:$N$1100,10,FALSE()))),"")</f>
        <v/>
      </c>
      <c r="N380" s="41"/>
      <c r="O380" s="41"/>
      <c r="P380" s="41" t="str">
        <f>IFERROR((IF(VLOOKUP(F380,'Acompanhamento da Licitação'!$F$2:$O$1000,10,FALSE())="","",VLOOKUP(F380,'Acompanhamento da Licitação'!$F$2:$O$1000,10,FALSE()))),"")</f>
        <v/>
      </c>
      <c r="R380" s="61" t="str">
        <f>IFERROR(IF(F380&gt;0,(Final[[#This Row],[Valor da Venda Real]]-Final[[#This Row],[Valor de Compra Previsto]]-4%*Final[[#This Row],[Valor da Venda Real]])/Final[[#This Row],[Valor da Venda Real]],""),"")</f>
        <v/>
      </c>
      <c r="S380" s="61" t="str">
        <f t="shared" si="25"/>
        <v/>
      </c>
      <c r="T380" s="23" t="str">
        <f>IFERROR((R380*Final[[#This Row],[Valor da Venda Real]]*Final[[#This Row],[Quantidade ]]*S380),"")</f>
        <v/>
      </c>
    </row>
    <row r="381" spans="1:20" ht="15.75" x14ac:dyDescent="0.2">
      <c r="A381">
        <f>COUNTIF($C$2:C381,C381)</f>
        <v>380</v>
      </c>
      <c r="B381" s="1" t="str">
        <f t="shared" si="24"/>
        <v>380</v>
      </c>
      <c r="C381" s="1" t="str">
        <f>IFERROR(VLOOKUP(D381,'Planilha de Cadastro - Previsão'!$A$2:$N$1000,14,FALSE()),"")</f>
        <v/>
      </c>
      <c r="D381" s="1">
        <v>380</v>
      </c>
      <c r="F381" s="40" t="str">
        <f t="shared" si="23"/>
        <v/>
      </c>
      <c r="G381" s="40" t="str">
        <f>IF(F381="","",'Prosposta Inicial'!$O$2)</f>
        <v/>
      </c>
      <c r="H381" s="40" t="str">
        <f t="shared" si="26"/>
        <v xml:space="preserve"> </v>
      </c>
      <c r="I381" s="41" t="str">
        <f>IFERROR((VLOOKUP(F381,'Planilha de Cadastro - Previsão'!$A$2:$N$1100,2,FALSE()))," ")</f>
        <v xml:space="preserve"> </v>
      </c>
      <c r="J381" s="40" t="str">
        <f>IFERROR((VLOOKUP(F381,'Planilha de Cadastro - Previsão'!$A$2:$N$1100,3,FALSE()))," ")</f>
        <v xml:space="preserve"> </v>
      </c>
      <c r="K381" s="40"/>
      <c r="L381" s="42" t="str">
        <f>IFERROR((VLOOKUP(F381,'Planilha de Cadastro - Previsão'!$A$2:$N$1100,11,FALSE()))," ")</f>
        <v xml:space="preserve"> </v>
      </c>
      <c r="M381" s="41" t="str">
        <f>IFERROR((IF(VLOOKUP(F381,'Planilha de Cadastro - Previsão'!$A$2:$N$1100,10,FALSE())="","",VLOOKUP(F381,'Planilha de Cadastro - Previsão'!$A$2:$N$1100,10,FALSE()))),"")</f>
        <v/>
      </c>
      <c r="N381" s="41"/>
      <c r="O381" s="41"/>
      <c r="P381" s="41" t="str">
        <f>IFERROR((IF(VLOOKUP(F381,'Acompanhamento da Licitação'!$F$2:$O$1000,10,FALSE())="","",VLOOKUP(F381,'Acompanhamento da Licitação'!$F$2:$O$1000,10,FALSE()))),"")</f>
        <v/>
      </c>
      <c r="R381" s="61" t="str">
        <f>IFERROR(IF(F381&gt;0,(Final[[#This Row],[Valor da Venda Real]]-Final[[#This Row],[Valor de Compra Previsto]]-4%*Final[[#This Row],[Valor da Venda Real]])/Final[[#This Row],[Valor da Venda Real]],""),"")</f>
        <v/>
      </c>
      <c r="S381" s="61" t="str">
        <f t="shared" si="25"/>
        <v/>
      </c>
      <c r="T381" s="23" t="str">
        <f>IFERROR((R381*Final[[#This Row],[Valor da Venda Real]]*Final[[#This Row],[Quantidade ]]*S381),"")</f>
        <v/>
      </c>
    </row>
    <row r="382" spans="1:20" ht="15.75" x14ac:dyDescent="0.2">
      <c r="A382">
        <f>COUNTIF($C$2:C382,C382)</f>
        <v>381</v>
      </c>
      <c r="B382" s="1" t="str">
        <f t="shared" si="24"/>
        <v>381</v>
      </c>
      <c r="C382" s="1" t="str">
        <f>IFERROR(VLOOKUP(D382,'Planilha de Cadastro - Previsão'!$A$2:$N$1000,14,FALSE()),"")</f>
        <v/>
      </c>
      <c r="D382" s="1">
        <v>381</v>
      </c>
      <c r="F382" s="40" t="str">
        <f t="shared" si="23"/>
        <v/>
      </c>
      <c r="G382" s="40" t="str">
        <f>IF(F382="","",'Prosposta Inicial'!$O$2)</f>
        <v/>
      </c>
      <c r="H382" s="40" t="str">
        <f t="shared" si="26"/>
        <v xml:space="preserve"> </v>
      </c>
      <c r="I382" s="41" t="str">
        <f>IFERROR((VLOOKUP(F382,'Planilha de Cadastro - Previsão'!$A$2:$N$1100,2,FALSE()))," ")</f>
        <v xml:space="preserve"> </v>
      </c>
      <c r="J382" s="40" t="str">
        <f>IFERROR((VLOOKUP(F382,'Planilha de Cadastro - Previsão'!$A$2:$N$1100,3,FALSE()))," ")</f>
        <v xml:space="preserve"> </v>
      </c>
      <c r="K382" s="40"/>
      <c r="L382" s="42" t="str">
        <f>IFERROR((VLOOKUP(F382,'Planilha de Cadastro - Previsão'!$A$2:$N$1100,11,FALSE()))," ")</f>
        <v xml:space="preserve"> </v>
      </c>
      <c r="M382" s="41" t="str">
        <f>IFERROR((IF(VLOOKUP(F382,'Planilha de Cadastro - Previsão'!$A$2:$N$1100,10,FALSE())="","",VLOOKUP(F382,'Planilha de Cadastro - Previsão'!$A$2:$N$1100,10,FALSE()))),"")</f>
        <v/>
      </c>
      <c r="N382" s="41"/>
      <c r="O382" s="41"/>
      <c r="P382" s="41" t="str">
        <f>IFERROR((IF(VLOOKUP(F382,'Acompanhamento da Licitação'!$F$2:$O$1000,10,FALSE())="","",VLOOKUP(F382,'Acompanhamento da Licitação'!$F$2:$O$1000,10,FALSE()))),"")</f>
        <v/>
      </c>
      <c r="R382" s="61" t="str">
        <f>IFERROR(IF(F382&gt;0,(Final[[#This Row],[Valor da Venda Real]]-Final[[#This Row],[Valor de Compra Previsto]]-4%*Final[[#This Row],[Valor da Venda Real]])/Final[[#This Row],[Valor da Venda Real]],""),"")</f>
        <v/>
      </c>
      <c r="S382" s="61" t="str">
        <f t="shared" si="25"/>
        <v/>
      </c>
      <c r="T382" s="23" t="str">
        <f>IFERROR((R382*Final[[#This Row],[Valor da Venda Real]]*Final[[#This Row],[Quantidade ]]*S382),"")</f>
        <v/>
      </c>
    </row>
    <row r="383" spans="1:20" ht="15.75" x14ac:dyDescent="0.2">
      <c r="A383">
        <f>COUNTIF($C$2:C383,C383)</f>
        <v>382</v>
      </c>
      <c r="B383" s="1" t="str">
        <f t="shared" si="24"/>
        <v>382</v>
      </c>
      <c r="C383" s="1" t="str">
        <f>IFERROR(VLOOKUP(D383,'Planilha de Cadastro - Previsão'!$A$2:$N$1000,14,FALSE()),"")</f>
        <v/>
      </c>
      <c r="D383" s="1">
        <v>382</v>
      </c>
      <c r="F383" s="40" t="str">
        <f t="shared" si="23"/>
        <v/>
      </c>
      <c r="G383" s="40" t="str">
        <f>IF(F383="","",'Prosposta Inicial'!$O$2)</f>
        <v/>
      </c>
      <c r="H383" s="40" t="str">
        <f t="shared" si="26"/>
        <v xml:space="preserve"> </v>
      </c>
      <c r="I383" s="41" t="str">
        <f>IFERROR((VLOOKUP(F383,'Planilha de Cadastro - Previsão'!$A$2:$N$1100,2,FALSE()))," ")</f>
        <v xml:space="preserve"> </v>
      </c>
      <c r="J383" s="40" t="str">
        <f>IFERROR((VLOOKUP(F383,'Planilha de Cadastro - Previsão'!$A$2:$N$1100,3,FALSE()))," ")</f>
        <v xml:space="preserve"> </v>
      </c>
      <c r="K383" s="40"/>
      <c r="L383" s="42" t="str">
        <f>IFERROR((VLOOKUP(F383,'Planilha de Cadastro - Previsão'!$A$2:$N$1100,11,FALSE()))," ")</f>
        <v xml:space="preserve"> </v>
      </c>
      <c r="M383" s="41" t="str">
        <f>IFERROR((IF(VLOOKUP(F383,'Planilha de Cadastro - Previsão'!$A$2:$N$1100,10,FALSE())="","",VLOOKUP(F383,'Planilha de Cadastro - Previsão'!$A$2:$N$1100,10,FALSE()))),"")</f>
        <v/>
      </c>
      <c r="N383" s="41"/>
      <c r="O383" s="41"/>
      <c r="P383" s="41" t="str">
        <f>IFERROR((IF(VLOOKUP(F383,'Acompanhamento da Licitação'!$F$2:$O$1000,10,FALSE())="","",VLOOKUP(F383,'Acompanhamento da Licitação'!$F$2:$O$1000,10,FALSE()))),"")</f>
        <v/>
      </c>
      <c r="R383" s="61" t="str">
        <f>IFERROR(IF(F383&gt;0,(Final[[#This Row],[Valor da Venda Real]]-Final[[#This Row],[Valor de Compra Previsto]]-4%*Final[[#This Row],[Valor da Venda Real]])/Final[[#This Row],[Valor da Venda Real]],""),"")</f>
        <v/>
      </c>
      <c r="S383" s="61" t="str">
        <f t="shared" si="25"/>
        <v/>
      </c>
      <c r="T383" s="23" t="str">
        <f>IFERROR((R383*Final[[#This Row],[Valor da Venda Real]]*Final[[#This Row],[Quantidade ]]*S383),"")</f>
        <v/>
      </c>
    </row>
    <row r="384" spans="1:20" ht="15.75" x14ac:dyDescent="0.2">
      <c r="A384">
        <f>COUNTIF($C$2:C384,C384)</f>
        <v>383</v>
      </c>
      <c r="B384" s="1" t="str">
        <f t="shared" si="24"/>
        <v>383</v>
      </c>
      <c r="C384" s="1" t="str">
        <f>IFERROR(VLOOKUP(D384,'Planilha de Cadastro - Previsão'!$A$2:$N$1000,14,FALSE()),"")</f>
        <v/>
      </c>
      <c r="D384" s="1">
        <v>383</v>
      </c>
      <c r="F384" s="40" t="str">
        <f t="shared" si="23"/>
        <v/>
      </c>
      <c r="G384" s="40" t="str">
        <f>IF(F384="","",'Prosposta Inicial'!$O$2)</f>
        <v/>
      </c>
      <c r="H384" s="40" t="str">
        <f t="shared" si="26"/>
        <v xml:space="preserve"> </v>
      </c>
      <c r="I384" s="41" t="str">
        <f>IFERROR((VLOOKUP(F384,'Planilha de Cadastro - Previsão'!$A$2:$N$1100,2,FALSE()))," ")</f>
        <v xml:space="preserve"> </v>
      </c>
      <c r="J384" s="40" t="str">
        <f>IFERROR((VLOOKUP(F384,'Planilha de Cadastro - Previsão'!$A$2:$N$1100,3,FALSE()))," ")</f>
        <v xml:space="preserve"> </v>
      </c>
      <c r="K384" s="40"/>
      <c r="L384" s="42" t="str">
        <f>IFERROR((VLOOKUP(F384,'Planilha de Cadastro - Previsão'!$A$2:$N$1100,11,FALSE()))," ")</f>
        <v xml:space="preserve"> </v>
      </c>
      <c r="M384" s="41" t="str">
        <f>IFERROR((IF(VLOOKUP(F384,'Planilha de Cadastro - Previsão'!$A$2:$N$1100,10,FALSE())="","",VLOOKUP(F384,'Planilha de Cadastro - Previsão'!$A$2:$N$1100,10,FALSE()))),"")</f>
        <v/>
      </c>
      <c r="N384" s="41"/>
      <c r="O384" s="41"/>
      <c r="P384" s="41" t="str">
        <f>IFERROR((IF(VLOOKUP(F384,'Acompanhamento da Licitação'!$F$2:$O$1000,10,FALSE())="","",VLOOKUP(F384,'Acompanhamento da Licitação'!$F$2:$O$1000,10,FALSE()))),"")</f>
        <v/>
      </c>
      <c r="R384" s="61" t="str">
        <f>IFERROR(IF(F384&gt;0,(Final[[#This Row],[Valor da Venda Real]]-Final[[#This Row],[Valor de Compra Previsto]]-4%*Final[[#This Row],[Valor da Venda Real]])/Final[[#This Row],[Valor da Venda Real]],""),"")</f>
        <v/>
      </c>
      <c r="S384" s="61" t="str">
        <f t="shared" si="25"/>
        <v/>
      </c>
      <c r="T384" s="23" t="str">
        <f>IFERROR((R384*Final[[#This Row],[Valor da Venda Real]]*Final[[#This Row],[Quantidade ]]*S384),"")</f>
        <v/>
      </c>
    </row>
    <row r="385" spans="1:20" ht="15.75" x14ac:dyDescent="0.2">
      <c r="A385">
        <f>COUNTIF($C$2:C385,C385)</f>
        <v>384</v>
      </c>
      <c r="B385" s="1" t="str">
        <f t="shared" si="24"/>
        <v>384</v>
      </c>
      <c r="C385" s="1" t="str">
        <f>IFERROR(VLOOKUP(D385,'Planilha de Cadastro - Previsão'!$A$2:$N$1000,14,FALSE()),"")</f>
        <v/>
      </c>
      <c r="D385" s="1">
        <v>384</v>
      </c>
      <c r="F385" s="40" t="str">
        <f t="shared" si="23"/>
        <v/>
      </c>
      <c r="G385" s="40" t="str">
        <f>IF(F385="","",'Prosposta Inicial'!$O$2)</f>
        <v/>
      </c>
      <c r="H385" s="40" t="str">
        <f t="shared" si="26"/>
        <v xml:space="preserve"> </v>
      </c>
      <c r="I385" s="41" t="str">
        <f>IFERROR((VLOOKUP(F385,'Planilha de Cadastro - Previsão'!$A$2:$N$1100,2,FALSE()))," ")</f>
        <v xml:space="preserve"> </v>
      </c>
      <c r="J385" s="40" t="str">
        <f>IFERROR((VLOOKUP(F385,'Planilha de Cadastro - Previsão'!$A$2:$N$1100,3,FALSE()))," ")</f>
        <v xml:space="preserve"> </v>
      </c>
      <c r="K385" s="40"/>
      <c r="L385" s="42" t="str">
        <f>IFERROR((VLOOKUP(F385,'Planilha de Cadastro - Previsão'!$A$2:$N$1100,11,FALSE()))," ")</f>
        <v xml:space="preserve"> </v>
      </c>
      <c r="M385" s="41" t="str">
        <f>IFERROR((IF(VLOOKUP(F385,'Planilha de Cadastro - Previsão'!$A$2:$N$1100,10,FALSE())="","",VLOOKUP(F385,'Planilha de Cadastro - Previsão'!$A$2:$N$1100,10,FALSE()))),"")</f>
        <v/>
      </c>
      <c r="N385" s="41"/>
      <c r="O385" s="41"/>
      <c r="P385" s="41" t="str">
        <f>IFERROR((IF(VLOOKUP(F385,'Acompanhamento da Licitação'!$F$2:$O$1000,10,FALSE())="","",VLOOKUP(F385,'Acompanhamento da Licitação'!$F$2:$O$1000,10,FALSE()))),"")</f>
        <v/>
      </c>
      <c r="R385" s="61" t="str">
        <f>IFERROR(IF(F385&gt;0,(Final[[#This Row],[Valor da Venda Real]]-Final[[#This Row],[Valor de Compra Previsto]]-4%*Final[[#This Row],[Valor da Venda Real]])/Final[[#This Row],[Valor da Venda Real]],""),"")</f>
        <v/>
      </c>
      <c r="S385" s="61" t="str">
        <f t="shared" si="25"/>
        <v/>
      </c>
      <c r="T385" s="23" t="str">
        <f>IFERROR((R385*Final[[#This Row],[Valor da Venda Real]]*Final[[#This Row],[Quantidade ]]*S385),"")</f>
        <v/>
      </c>
    </row>
    <row r="386" spans="1:20" ht="15.75" x14ac:dyDescent="0.2">
      <c r="A386">
        <f>COUNTIF($C$2:C386,C386)</f>
        <v>385</v>
      </c>
      <c r="B386" s="1" t="str">
        <f t="shared" si="24"/>
        <v>385</v>
      </c>
      <c r="C386" s="1" t="str">
        <f>IFERROR(VLOOKUP(D386,'Planilha de Cadastro - Previsão'!$A$2:$N$1000,14,FALSE()),"")</f>
        <v/>
      </c>
      <c r="D386" s="1">
        <v>385</v>
      </c>
      <c r="F386" s="40" t="str">
        <f t="shared" ref="F386:F449" si="27">IFERROR((VLOOKUP(CONCATENATE("Sim",D386),$B$2:$D$1000,3,FALSE())),"")</f>
        <v/>
      </c>
      <c r="G386" s="40" t="str">
        <f>IF(F386="","",'Prosposta Inicial'!$O$2)</f>
        <v/>
      </c>
      <c r="H386" s="40" t="str">
        <f t="shared" si="26"/>
        <v xml:space="preserve"> </v>
      </c>
      <c r="I386" s="41" t="str">
        <f>IFERROR((VLOOKUP(F386,'Planilha de Cadastro - Previsão'!$A$2:$N$1100,2,FALSE()))," ")</f>
        <v xml:space="preserve"> </v>
      </c>
      <c r="J386" s="40" t="str">
        <f>IFERROR((VLOOKUP(F386,'Planilha de Cadastro - Previsão'!$A$2:$N$1100,3,FALSE()))," ")</f>
        <v xml:space="preserve"> </v>
      </c>
      <c r="K386" s="40"/>
      <c r="L386" s="42" t="str">
        <f>IFERROR((VLOOKUP(F386,'Planilha de Cadastro - Previsão'!$A$2:$N$1100,11,FALSE()))," ")</f>
        <v xml:space="preserve"> </v>
      </c>
      <c r="M386" s="41" t="str">
        <f>IFERROR((IF(VLOOKUP(F386,'Planilha de Cadastro - Previsão'!$A$2:$N$1100,10,FALSE())="","",VLOOKUP(F386,'Planilha de Cadastro - Previsão'!$A$2:$N$1100,10,FALSE()))),"")</f>
        <v/>
      </c>
      <c r="N386" s="41"/>
      <c r="O386" s="41"/>
      <c r="P386" s="41" t="str">
        <f>IFERROR((IF(VLOOKUP(F386,'Acompanhamento da Licitação'!$F$2:$O$1000,10,FALSE())="","",VLOOKUP(F386,'Acompanhamento da Licitação'!$F$2:$O$1000,10,FALSE()))),"")</f>
        <v/>
      </c>
      <c r="R386" s="61" t="str">
        <f>IFERROR(IF(F386&gt;0,(Final[[#This Row],[Valor da Venda Real]]-Final[[#This Row],[Valor de Compra Previsto]]-4%*Final[[#This Row],[Valor da Venda Real]])/Final[[#This Row],[Valor da Venda Real]],""),"")</f>
        <v/>
      </c>
      <c r="S386" s="61" t="str">
        <f t="shared" si="25"/>
        <v/>
      </c>
      <c r="T386" s="23" t="str">
        <f>IFERROR((R386*Final[[#This Row],[Valor da Venda Real]]*Final[[#This Row],[Quantidade ]]*S386),"")</f>
        <v/>
      </c>
    </row>
    <row r="387" spans="1:20" ht="15.75" x14ac:dyDescent="0.2">
      <c r="A387">
        <f>COUNTIF($C$2:C387,C387)</f>
        <v>386</v>
      </c>
      <c r="B387" s="1" t="str">
        <f t="shared" ref="B387:B450" si="28">IFERROR(CONCATENATE(C387,A387),"")</f>
        <v>386</v>
      </c>
      <c r="C387" s="1" t="str">
        <f>IFERROR(VLOOKUP(D387,'Planilha de Cadastro - Previsão'!$A$2:$N$1000,14,FALSE()),"")</f>
        <v/>
      </c>
      <c r="D387" s="1">
        <v>386</v>
      </c>
      <c r="F387" s="40" t="str">
        <f t="shared" si="27"/>
        <v/>
      </c>
      <c r="G387" s="40" t="str">
        <f>IF(F387="","",'Prosposta Inicial'!$O$2)</f>
        <v/>
      </c>
      <c r="H387" s="40" t="str">
        <f t="shared" si="26"/>
        <v xml:space="preserve"> </v>
      </c>
      <c r="I387" s="41" t="str">
        <f>IFERROR((VLOOKUP(F387,'Planilha de Cadastro - Previsão'!$A$2:$N$1100,2,FALSE()))," ")</f>
        <v xml:space="preserve"> </v>
      </c>
      <c r="J387" s="40" t="str">
        <f>IFERROR((VLOOKUP(F387,'Planilha de Cadastro - Previsão'!$A$2:$N$1100,3,FALSE()))," ")</f>
        <v xml:space="preserve"> </v>
      </c>
      <c r="K387" s="40"/>
      <c r="L387" s="42" t="str">
        <f>IFERROR((VLOOKUP(F387,'Planilha de Cadastro - Previsão'!$A$2:$N$1100,11,FALSE()))," ")</f>
        <v xml:space="preserve"> </v>
      </c>
      <c r="M387" s="41" t="str">
        <f>IFERROR((IF(VLOOKUP(F387,'Planilha de Cadastro - Previsão'!$A$2:$N$1100,10,FALSE())="","",VLOOKUP(F387,'Planilha de Cadastro - Previsão'!$A$2:$N$1100,10,FALSE()))),"")</f>
        <v/>
      </c>
      <c r="N387" s="41"/>
      <c r="O387" s="41"/>
      <c r="P387" s="41" t="str">
        <f>IFERROR((IF(VLOOKUP(F387,'Acompanhamento da Licitação'!$F$2:$O$1000,10,FALSE())="","",VLOOKUP(F387,'Acompanhamento da Licitação'!$F$2:$O$1000,10,FALSE()))),"")</f>
        <v/>
      </c>
      <c r="R387" s="61" t="str">
        <f>IFERROR(IF(F387&gt;0,(Final[[#This Row],[Valor da Venda Real]]-Final[[#This Row],[Valor de Compra Previsto]]-4%*Final[[#This Row],[Valor da Venda Real]])/Final[[#This Row],[Valor da Venda Real]],""),"")</f>
        <v/>
      </c>
      <c r="S387" s="61" t="str">
        <f t="shared" ref="S387:S450" si="29">IF(R387="","",IF(R387&lt;0.2,0.05,IF(R387&lt;0.25,0.1,IF(R387&lt;0.3,0.15,IF(R387&lt;0.35,0.2,IF(R387&lt;0.45,0.25,IF(R387&lt;0.5,0.3,IF(R387&lt;0.6,0.35,0.4))))))))</f>
        <v/>
      </c>
      <c r="T387" s="23" t="str">
        <f>IFERROR((R387*Final[[#This Row],[Valor da Venda Real]]*Final[[#This Row],[Quantidade ]]*S387),"")</f>
        <v/>
      </c>
    </row>
    <row r="388" spans="1:20" ht="15.75" x14ac:dyDescent="0.2">
      <c r="A388">
        <f>COUNTIF($C$2:C388,C388)</f>
        <v>387</v>
      </c>
      <c r="B388" s="1" t="str">
        <f t="shared" si="28"/>
        <v>387</v>
      </c>
      <c r="C388" s="1" t="str">
        <f>IFERROR(VLOOKUP(D388,'Planilha de Cadastro - Previsão'!$A$2:$N$1000,14,FALSE()),"")</f>
        <v/>
      </c>
      <c r="D388" s="1">
        <v>387</v>
      </c>
      <c r="F388" s="40" t="str">
        <f t="shared" si="27"/>
        <v/>
      </c>
      <c r="G388" s="40" t="str">
        <f>IF(F388="","",'Prosposta Inicial'!$O$2)</f>
        <v/>
      </c>
      <c r="H388" s="40" t="str">
        <f t="shared" si="26"/>
        <v xml:space="preserve"> </v>
      </c>
      <c r="I388" s="41" t="str">
        <f>IFERROR((VLOOKUP(F388,'Planilha de Cadastro - Previsão'!$A$2:$N$1100,2,FALSE()))," ")</f>
        <v xml:space="preserve"> </v>
      </c>
      <c r="J388" s="40" t="str">
        <f>IFERROR((VLOOKUP(F388,'Planilha de Cadastro - Previsão'!$A$2:$N$1100,3,FALSE()))," ")</f>
        <v xml:space="preserve"> </v>
      </c>
      <c r="K388" s="40"/>
      <c r="L388" s="42" t="str">
        <f>IFERROR((VLOOKUP(F388,'Planilha de Cadastro - Previsão'!$A$2:$N$1100,11,FALSE()))," ")</f>
        <v xml:space="preserve"> </v>
      </c>
      <c r="M388" s="41" t="str">
        <f>IFERROR((IF(VLOOKUP(F388,'Planilha de Cadastro - Previsão'!$A$2:$N$1100,10,FALSE())="","",VLOOKUP(F388,'Planilha de Cadastro - Previsão'!$A$2:$N$1100,10,FALSE()))),"")</f>
        <v/>
      </c>
      <c r="N388" s="41"/>
      <c r="O388" s="41"/>
      <c r="P388" s="41" t="str">
        <f>IFERROR((IF(VLOOKUP(F388,'Acompanhamento da Licitação'!$F$2:$O$1000,10,FALSE())="","",VLOOKUP(F388,'Acompanhamento da Licitação'!$F$2:$O$1000,10,FALSE()))),"")</f>
        <v/>
      </c>
      <c r="R388" s="61" t="str">
        <f>IFERROR(IF(F388&gt;0,(Final[[#This Row],[Valor da Venda Real]]-Final[[#This Row],[Valor de Compra Previsto]]-4%*Final[[#This Row],[Valor da Venda Real]])/Final[[#This Row],[Valor da Venda Real]],""),"")</f>
        <v/>
      </c>
      <c r="S388" s="61" t="str">
        <f t="shared" si="29"/>
        <v/>
      </c>
      <c r="T388" s="23" t="str">
        <f>IFERROR((R388*Final[[#This Row],[Valor da Venda Real]]*Final[[#This Row],[Quantidade ]]*S388),"")</f>
        <v/>
      </c>
    </row>
    <row r="389" spans="1:20" ht="15.75" x14ac:dyDescent="0.2">
      <c r="A389">
        <f>COUNTIF($C$2:C389,C389)</f>
        <v>388</v>
      </c>
      <c r="B389" s="1" t="str">
        <f t="shared" si="28"/>
        <v>388</v>
      </c>
      <c r="C389" s="1" t="str">
        <f>IFERROR(VLOOKUP(D389,'Planilha de Cadastro - Previsão'!$A$2:$N$1000,14,FALSE()),"")</f>
        <v/>
      </c>
      <c r="D389" s="1">
        <v>388</v>
      </c>
      <c r="F389" s="40" t="str">
        <f t="shared" si="27"/>
        <v/>
      </c>
      <c r="G389" s="40" t="str">
        <f>IF(F389="","",'Prosposta Inicial'!$O$2)</f>
        <v/>
      </c>
      <c r="H389" s="40" t="str">
        <f t="shared" si="26"/>
        <v xml:space="preserve"> </v>
      </c>
      <c r="I389" s="41" t="str">
        <f>IFERROR((VLOOKUP(F389,'Planilha de Cadastro - Previsão'!$A$2:$N$1100,2,FALSE()))," ")</f>
        <v xml:space="preserve"> </v>
      </c>
      <c r="J389" s="40" t="str">
        <f>IFERROR((VLOOKUP(F389,'Planilha de Cadastro - Previsão'!$A$2:$N$1100,3,FALSE()))," ")</f>
        <v xml:space="preserve"> </v>
      </c>
      <c r="K389" s="40"/>
      <c r="L389" s="42" t="str">
        <f>IFERROR((VLOOKUP(F389,'Planilha de Cadastro - Previsão'!$A$2:$N$1100,11,FALSE()))," ")</f>
        <v xml:space="preserve"> </v>
      </c>
      <c r="M389" s="41" t="str">
        <f>IFERROR((IF(VLOOKUP(F389,'Planilha de Cadastro - Previsão'!$A$2:$N$1100,10,FALSE())="","",VLOOKUP(F389,'Planilha de Cadastro - Previsão'!$A$2:$N$1100,10,FALSE()))),"")</f>
        <v/>
      </c>
      <c r="N389" s="41"/>
      <c r="O389" s="41"/>
      <c r="P389" s="41" t="str">
        <f>IFERROR((IF(VLOOKUP(F389,'Acompanhamento da Licitação'!$F$2:$O$1000,10,FALSE())="","",VLOOKUP(F389,'Acompanhamento da Licitação'!$F$2:$O$1000,10,FALSE()))),"")</f>
        <v/>
      </c>
      <c r="R389" s="61" t="str">
        <f>IFERROR(IF(F389&gt;0,(Final[[#This Row],[Valor da Venda Real]]-Final[[#This Row],[Valor de Compra Previsto]]-4%*Final[[#This Row],[Valor da Venda Real]])/Final[[#This Row],[Valor da Venda Real]],""),"")</f>
        <v/>
      </c>
      <c r="S389" s="61" t="str">
        <f t="shared" si="29"/>
        <v/>
      </c>
      <c r="T389" s="23" t="str">
        <f>IFERROR((R389*Final[[#This Row],[Valor da Venda Real]]*Final[[#This Row],[Quantidade ]]*S389),"")</f>
        <v/>
      </c>
    </row>
    <row r="390" spans="1:20" ht="15.75" x14ac:dyDescent="0.2">
      <c r="A390">
        <f>COUNTIF($C$2:C390,C390)</f>
        <v>389</v>
      </c>
      <c r="B390" s="1" t="str">
        <f t="shared" si="28"/>
        <v>389</v>
      </c>
      <c r="C390" s="1" t="str">
        <f>IFERROR(VLOOKUP(D390,'Planilha de Cadastro - Previsão'!$A$2:$N$1000,14,FALSE()),"")</f>
        <v/>
      </c>
      <c r="D390" s="1">
        <v>389</v>
      </c>
      <c r="F390" s="40" t="str">
        <f t="shared" si="27"/>
        <v/>
      </c>
      <c r="G390" s="40" t="str">
        <f>IF(F390="","",'Prosposta Inicial'!$O$2)</f>
        <v/>
      </c>
      <c r="H390" s="40" t="str">
        <f t="shared" si="26"/>
        <v xml:space="preserve"> </v>
      </c>
      <c r="I390" s="41" t="str">
        <f>IFERROR((VLOOKUP(F390,'Planilha de Cadastro - Previsão'!$A$2:$N$1100,2,FALSE()))," ")</f>
        <v xml:space="preserve"> </v>
      </c>
      <c r="J390" s="40" t="str">
        <f>IFERROR((VLOOKUP(F390,'Planilha de Cadastro - Previsão'!$A$2:$N$1100,3,FALSE()))," ")</f>
        <v xml:space="preserve"> </v>
      </c>
      <c r="K390" s="40"/>
      <c r="L390" s="42" t="str">
        <f>IFERROR((VLOOKUP(F390,'Planilha de Cadastro - Previsão'!$A$2:$N$1100,11,FALSE()))," ")</f>
        <v xml:space="preserve"> </v>
      </c>
      <c r="M390" s="41" t="str">
        <f>IFERROR((IF(VLOOKUP(F390,'Planilha de Cadastro - Previsão'!$A$2:$N$1100,10,FALSE())="","",VLOOKUP(F390,'Planilha de Cadastro - Previsão'!$A$2:$N$1100,10,FALSE()))),"")</f>
        <v/>
      </c>
      <c r="N390" s="41"/>
      <c r="O390" s="41"/>
      <c r="P390" s="41" t="str">
        <f>IFERROR((IF(VLOOKUP(F390,'Acompanhamento da Licitação'!$F$2:$O$1000,10,FALSE())="","",VLOOKUP(F390,'Acompanhamento da Licitação'!$F$2:$O$1000,10,FALSE()))),"")</f>
        <v/>
      </c>
      <c r="R390" s="61" t="str">
        <f>IFERROR(IF(F390&gt;0,(Final[[#This Row],[Valor da Venda Real]]-Final[[#This Row],[Valor de Compra Previsto]]-4%*Final[[#This Row],[Valor da Venda Real]])/Final[[#This Row],[Valor da Venda Real]],""),"")</f>
        <v/>
      </c>
      <c r="S390" s="61" t="str">
        <f t="shared" si="29"/>
        <v/>
      </c>
      <c r="T390" s="23" t="str">
        <f>IFERROR((R390*Final[[#This Row],[Valor da Venda Real]]*Final[[#This Row],[Quantidade ]]*S390),"")</f>
        <v/>
      </c>
    </row>
    <row r="391" spans="1:20" ht="15.75" x14ac:dyDescent="0.2">
      <c r="A391">
        <f>COUNTIF($C$2:C391,C391)</f>
        <v>390</v>
      </c>
      <c r="B391" s="1" t="str">
        <f t="shared" si="28"/>
        <v>390</v>
      </c>
      <c r="C391" s="1" t="str">
        <f>IFERROR(VLOOKUP(D391,'Planilha de Cadastro - Previsão'!$A$2:$N$1000,14,FALSE()),"")</f>
        <v/>
      </c>
      <c r="D391" s="1">
        <v>390</v>
      </c>
      <c r="F391" s="40" t="str">
        <f t="shared" si="27"/>
        <v/>
      </c>
      <c r="G391" s="40" t="str">
        <f>IF(F391="","",'Prosposta Inicial'!$O$2)</f>
        <v/>
      </c>
      <c r="H391" s="40" t="str">
        <f t="shared" si="26"/>
        <v xml:space="preserve"> </v>
      </c>
      <c r="I391" s="41" t="str">
        <f>IFERROR((VLOOKUP(F391,'Planilha de Cadastro - Previsão'!$A$2:$N$1100,2,FALSE()))," ")</f>
        <v xml:space="preserve"> </v>
      </c>
      <c r="J391" s="40" t="str">
        <f>IFERROR((VLOOKUP(F391,'Planilha de Cadastro - Previsão'!$A$2:$N$1100,3,FALSE()))," ")</f>
        <v xml:space="preserve"> </v>
      </c>
      <c r="K391" s="40"/>
      <c r="L391" s="42" t="str">
        <f>IFERROR((VLOOKUP(F391,'Planilha de Cadastro - Previsão'!$A$2:$N$1100,11,FALSE()))," ")</f>
        <v xml:space="preserve"> </v>
      </c>
      <c r="M391" s="41" t="str">
        <f>IFERROR((IF(VLOOKUP(F391,'Planilha de Cadastro - Previsão'!$A$2:$N$1100,10,FALSE())="","",VLOOKUP(F391,'Planilha de Cadastro - Previsão'!$A$2:$N$1100,10,FALSE()))),"")</f>
        <v/>
      </c>
      <c r="N391" s="41"/>
      <c r="O391" s="41"/>
      <c r="P391" s="41" t="str">
        <f>IFERROR((IF(VLOOKUP(F391,'Acompanhamento da Licitação'!$F$2:$O$1000,10,FALSE())="","",VLOOKUP(F391,'Acompanhamento da Licitação'!$F$2:$O$1000,10,FALSE()))),"")</f>
        <v/>
      </c>
      <c r="R391" s="61" t="str">
        <f>IFERROR(IF(F391&gt;0,(Final[[#This Row],[Valor da Venda Real]]-Final[[#This Row],[Valor de Compra Previsto]]-4%*Final[[#This Row],[Valor da Venda Real]])/Final[[#This Row],[Valor da Venda Real]],""),"")</f>
        <v/>
      </c>
      <c r="S391" s="61" t="str">
        <f t="shared" si="29"/>
        <v/>
      </c>
      <c r="T391" s="23" t="str">
        <f>IFERROR((R391*Final[[#This Row],[Valor da Venda Real]]*Final[[#This Row],[Quantidade ]]*S391),"")</f>
        <v/>
      </c>
    </row>
    <row r="392" spans="1:20" ht="15.75" x14ac:dyDescent="0.2">
      <c r="A392">
        <f>COUNTIF($C$2:C392,C392)</f>
        <v>391</v>
      </c>
      <c r="B392" s="1" t="str">
        <f t="shared" si="28"/>
        <v>391</v>
      </c>
      <c r="C392" s="1" t="str">
        <f>IFERROR(VLOOKUP(D392,'Planilha de Cadastro - Previsão'!$A$2:$N$1000,14,FALSE()),"")</f>
        <v/>
      </c>
      <c r="D392" s="1">
        <v>391</v>
      </c>
      <c r="F392" s="40" t="str">
        <f t="shared" si="27"/>
        <v/>
      </c>
      <c r="G392" s="40" t="str">
        <f>IF(F392="","",'Prosposta Inicial'!$O$2)</f>
        <v/>
      </c>
      <c r="H392" s="40" t="str">
        <f t="shared" si="26"/>
        <v xml:space="preserve"> </v>
      </c>
      <c r="I392" s="41" t="str">
        <f>IFERROR((VLOOKUP(F392,'Planilha de Cadastro - Previsão'!$A$2:$N$1100,2,FALSE()))," ")</f>
        <v xml:space="preserve"> </v>
      </c>
      <c r="J392" s="40" t="str">
        <f>IFERROR((VLOOKUP(F392,'Planilha de Cadastro - Previsão'!$A$2:$N$1100,3,FALSE()))," ")</f>
        <v xml:space="preserve"> </v>
      </c>
      <c r="K392" s="40"/>
      <c r="L392" s="42" t="str">
        <f>IFERROR((VLOOKUP(F392,'Planilha de Cadastro - Previsão'!$A$2:$N$1100,11,FALSE()))," ")</f>
        <v xml:space="preserve"> </v>
      </c>
      <c r="M392" s="41" t="str">
        <f>IFERROR((IF(VLOOKUP(F392,'Planilha de Cadastro - Previsão'!$A$2:$N$1100,10,FALSE())="","",VLOOKUP(F392,'Planilha de Cadastro - Previsão'!$A$2:$N$1100,10,FALSE()))),"")</f>
        <v/>
      </c>
      <c r="N392" s="41"/>
      <c r="O392" s="41"/>
      <c r="P392" s="41" t="str">
        <f>IFERROR((IF(VLOOKUP(F392,'Acompanhamento da Licitação'!$F$2:$O$1000,10,FALSE())="","",VLOOKUP(F392,'Acompanhamento da Licitação'!$F$2:$O$1000,10,FALSE()))),"")</f>
        <v/>
      </c>
      <c r="R392" s="61" t="str">
        <f>IFERROR(IF(F392&gt;0,(Final[[#This Row],[Valor da Venda Real]]-Final[[#This Row],[Valor de Compra Previsto]]-4%*Final[[#This Row],[Valor da Venda Real]])/Final[[#This Row],[Valor da Venda Real]],""),"")</f>
        <v/>
      </c>
      <c r="S392" s="61" t="str">
        <f t="shared" si="29"/>
        <v/>
      </c>
      <c r="T392" s="23" t="str">
        <f>IFERROR((R392*Final[[#This Row],[Valor da Venda Real]]*Final[[#This Row],[Quantidade ]]*S392),"")</f>
        <v/>
      </c>
    </row>
    <row r="393" spans="1:20" ht="15.75" x14ac:dyDescent="0.2">
      <c r="A393">
        <f>COUNTIF($C$2:C393,C393)</f>
        <v>392</v>
      </c>
      <c r="B393" s="1" t="str">
        <f t="shared" si="28"/>
        <v>392</v>
      </c>
      <c r="C393" s="1" t="str">
        <f>IFERROR(VLOOKUP(D393,'Planilha de Cadastro - Previsão'!$A$2:$N$1000,14,FALSE()),"")</f>
        <v/>
      </c>
      <c r="D393" s="1">
        <v>392</v>
      </c>
      <c r="F393" s="40" t="str">
        <f t="shared" si="27"/>
        <v/>
      </c>
      <c r="G393" s="40" t="str">
        <f>IF(F393="","",'Prosposta Inicial'!$O$2)</f>
        <v/>
      </c>
      <c r="H393" s="40" t="str">
        <f t="shared" si="26"/>
        <v xml:space="preserve"> </v>
      </c>
      <c r="I393" s="41" t="str">
        <f>IFERROR((VLOOKUP(F393,'Planilha de Cadastro - Previsão'!$A$2:$N$1100,2,FALSE()))," ")</f>
        <v xml:space="preserve"> </v>
      </c>
      <c r="J393" s="40" t="str">
        <f>IFERROR((VLOOKUP(F393,'Planilha de Cadastro - Previsão'!$A$2:$N$1100,3,FALSE()))," ")</f>
        <v xml:space="preserve"> </v>
      </c>
      <c r="K393" s="40"/>
      <c r="L393" s="42" t="str">
        <f>IFERROR((VLOOKUP(F393,'Planilha de Cadastro - Previsão'!$A$2:$N$1100,11,FALSE()))," ")</f>
        <v xml:space="preserve"> </v>
      </c>
      <c r="M393" s="41" t="str">
        <f>IFERROR((IF(VLOOKUP(F393,'Planilha de Cadastro - Previsão'!$A$2:$N$1100,10,FALSE())="","",VLOOKUP(F393,'Planilha de Cadastro - Previsão'!$A$2:$N$1100,10,FALSE()))),"")</f>
        <v/>
      </c>
      <c r="N393" s="41"/>
      <c r="O393" s="41"/>
      <c r="P393" s="41" t="str">
        <f>IFERROR((IF(VLOOKUP(F393,'Acompanhamento da Licitação'!$F$2:$O$1000,10,FALSE())="","",VLOOKUP(F393,'Acompanhamento da Licitação'!$F$2:$O$1000,10,FALSE()))),"")</f>
        <v/>
      </c>
      <c r="R393" s="61" t="str">
        <f>IFERROR(IF(F393&gt;0,(Final[[#This Row],[Valor da Venda Real]]-Final[[#This Row],[Valor de Compra Previsto]]-4%*Final[[#This Row],[Valor da Venda Real]])/Final[[#This Row],[Valor da Venda Real]],""),"")</f>
        <v/>
      </c>
      <c r="S393" s="61" t="str">
        <f t="shared" si="29"/>
        <v/>
      </c>
      <c r="T393" s="23" t="str">
        <f>IFERROR((R393*Final[[#This Row],[Valor da Venda Real]]*Final[[#This Row],[Quantidade ]]*S393),"")</f>
        <v/>
      </c>
    </row>
    <row r="394" spans="1:20" ht="15.75" x14ac:dyDescent="0.2">
      <c r="A394">
        <f>COUNTIF($C$2:C394,C394)</f>
        <v>393</v>
      </c>
      <c r="B394" s="1" t="str">
        <f t="shared" si="28"/>
        <v>393</v>
      </c>
      <c r="C394" s="1" t="str">
        <f>IFERROR(VLOOKUP(D394,'Planilha de Cadastro - Previsão'!$A$2:$N$1000,14,FALSE()),"")</f>
        <v/>
      </c>
      <c r="D394" s="1">
        <v>393</v>
      </c>
      <c r="F394" s="40" t="str">
        <f t="shared" si="27"/>
        <v/>
      </c>
      <c r="G394" s="40" t="str">
        <f>IF(F394="","",'Prosposta Inicial'!$O$2)</f>
        <v/>
      </c>
      <c r="H394" s="40" t="str">
        <f t="shared" si="26"/>
        <v xml:space="preserve"> </v>
      </c>
      <c r="I394" s="41" t="str">
        <f>IFERROR((VLOOKUP(F394,'Planilha de Cadastro - Previsão'!$A$2:$N$1100,2,FALSE()))," ")</f>
        <v xml:space="preserve"> </v>
      </c>
      <c r="J394" s="40" t="str">
        <f>IFERROR((VLOOKUP(F394,'Planilha de Cadastro - Previsão'!$A$2:$N$1100,3,FALSE()))," ")</f>
        <v xml:space="preserve"> </v>
      </c>
      <c r="K394" s="40"/>
      <c r="L394" s="42" t="str">
        <f>IFERROR((VLOOKUP(F394,'Planilha de Cadastro - Previsão'!$A$2:$N$1100,11,FALSE()))," ")</f>
        <v xml:space="preserve"> </v>
      </c>
      <c r="M394" s="41" t="str">
        <f>IFERROR((IF(VLOOKUP(F394,'Planilha de Cadastro - Previsão'!$A$2:$N$1100,10,FALSE())="","",VLOOKUP(F394,'Planilha de Cadastro - Previsão'!$A$2:$N$1100,10,FALSE()))),"")</f>
        <v/>
      </c>
      <c r="N394" s="41"/>
      <c r="O394" s="41"/>
      <c r="P394" s="41" t="str">
        <f>IFERROR((IF(VLOOKUP(F394,'Acompanhamento da Licitação'!$F$2:$O$1000,10,FALSE())="","",VLOOKUP(F394,'Acompanhamento da Licitação'!$F$2:$O$1000,10,FALSE()))),"")</f>
        <v/>
      </c>
      <c r="R394" s="61" t="str">
        <f>IFERROR(IF(F394&gt;0,(Final[[#This Row],[Valor da Venda Real]]-Final[[#This Row],[Valor de Compra Previsto]]-4%*Final[[#This Row],[Valor da Venda Real]])/Final[[#This Row],[Valor da Venda Real]],""),"")</f>
        <v/>
      </c>
      <c r="S394" s="61" t="str">
        <f t="shared" si="29"/>
        <v/>
      </c>
      <c r="T394" s="23" t="str">
        <f>IFERROR((R394*Final[[#This Row],[Valor da Venda Real]]*Final[[#This Row],[Quantidade ]]*S394),"")</f>
        <v/>
      </c>
    </row>
    <row r="395" spans="1:20" ht="15.75" x14ac:dyDescent="0.2">
      <c r="A395">
        <f>COUNTIF($C$2:C395,C395)</f>
        <v>394</v>
      </c>
      <c r="B395" s="1" t="str">
        <f t="shared" si="28"/>
        <v>394</v>
      </c>
      <c r="C395" s="1" t="str">
        <f>IFERROR(VLOOKUP(D395,'Planilha de Cadastro - Previsão'!$A$2:$N$1000,14,FALSE()),"")</f>
        <v/>
      </c>
      <c r="D395" s="1">
        <v>394</v>
      </c>
      <c r="F395" s="40" t="str">
        <f t="shared" si="27"/>
        <v/>
      </c>
      <c r="G395" s="40" t="str">
        <f>IF(F395="","",'Prosposta Inicial'!$O$2)</f>
        <v/>
      </c>
      <c r="H395" s="40" t="str">
        <f t="shared" si="26"/>
        <v xml:space="preserve"> </v>
      </c>
      <c r="I395" s="41" t="str">
        <f>IFERROR((VLOOKUP(F395,'Planilha de Cadastro - Previsão'!$A$2:$N$1100,2,FALSE()))," ")</f>
        <v xml:space="preserve"> </v>
      </c>
      <c r="J395" s="40" t="str">
        <f>IFERROR((VLOOKUP(F395,'Planilha de Cadastro - Previsão'!$A$2:$N$1100,3,FALSE()))," ")</f>
        <v xml:space="preserve"> </v>
      </c>
      <c r="K395" s="40"/>
      <c r="L395" s="42" t="str">
        <f>IFERROR((VLOOKUP(F395,'Planilha de Cadastro - Previsão'!$A$2:$N$1100,11,FALSE()))," ")</f>
        <v xml:space="preserve"> </v>
      </c>
      <c r="M395" s="41" t="str">
        <f>IFERROR((IF(VLOOKUP(F395,'Planilha de Cadastro - Previsão'!$A$2:$N$1100,10,FALSE())="","",VLOOKUP(F395,'Planilha de Cadastro - Previsão'!$A$2:$N$1100,10,FALSE()))),"")</f>
        <v/>
      </c>
      <c r="N395" s="41"/>
      <c r="O395" s="41"/>
      <c r="P395" s="41" t="str">
        <f>IFERROR((IF(VLOOKUP(F395,'Acompanhamento da Licitação'!$F$2:$O$1000,10,FALSE())="","",VLOOKUP(F395,'Acompanhamento da Licitação'!$F$2:$O$1000,10,FALSE()))),"")</f>
        <v/>
      </c>
      <c r="R395" s="61" t="str">
        <f>IFERROR(IF(F395&gt;0,(Final[[#This Row],[Valor da Venda Real]]-Final[[#This Row],[Valor de Compra Previsto]]-4%*Final[[#This Row],[Valor da Venda Real]])/Final[[#This Row],[Valor da Venda Real]],""),"")</f>
        <v/>
      </c>
      <c r="S395" s="61" t="str">
        <f t="shared" si="29"/>
        <v/>
      </c>
      <c r="T395" s="23" t="str">
        <f>IFERROR((R395*Final[[#This Row],[Valor da Venda Real]]*Final[[#This Row],[Quantidade ]]*S395),"")</f>
        <v/>
      </c>
    </row>
    <row r="396" spans="1:20" ht="15.75" x14ac:dyDescent="0.2">
      <c r="A396">
        <f>COUNTIF($C$2:C396,C396)</f>
        <v>395</v>
      </c>
      <c r="B396" s="1" t="str">
        <f t="shared" si="28"/>
        <v>395</v>
      </c>
      <c r="C396" s="1" t="str">
        <f>IFERROR(VLOOKUP(D396,'Planilha de Cadastro - Previsão'!$A$2:$N$1000,14,FALSE()),"")</f>
        <v/>
      </c>
      <c r="D396" s="1">
        <v>395</v>
      </c>
      <c r="F396" s="40" t="str">
        <f t="shared" si="27"/>
        <v/>
      </c>
      <c r="G396" s="40" t="str">
        <f>IF(F396="","",'Prosposta Inicial'!$O$2)</f>
        <v/>
      </c>
      <c r="H396" s="40" t="str">
        <f t="shared" si="26"/>
        <v xml:space="preserve"> </v>
      </c>
      <c r="I396" s="41" t="str">
        <f>IFERROR((VLOOKUP(F396,'Planilha de Cadastro - Previsão'!$A$2:$N$1100,2,FALSE()))," ")</f>
        <v xml:space="preserve"> </v>
      </c>
      <c r="J396" s="40" t="str">
        <f>IFERROR((VLOOKUP(F396,'Planilha de Cadastro - Previsão'!$A$2:$N$1100,3,FALSE()))," ")</f>
        <v xml:space="preserve"> </v>
      </c>
      <c r="K396" s="40"/>
      <c r="L396" s="42" t="str">
        <f>IFERROR((VLOOKUP(F396,'Planilha de Cadastro - Previsão'!$A$2:$N$1100,11,FALSE()))," ")</f>
        <v xml:space="preserve"> </v>
      </c>
      <c r="M396" s="41" t="str">
        <f>IFERROR((IF(VLOOKUP(F396,'Planilha de Cadastro - Previsão'!$A$2:$N$1100,10,FALSE())="","",VLOOKUP(F396,'Planilha de Cadastro - Previsão'!$A$2:$N$1100,10,FALSE()))),"")</f>
        <v/>
      </c>
      <c r="N396" s="41"/>
      <c r="O396" s="41"/>
      <c r="P396" s="41" t="str">
        <f>IFERROR((IF(VLOOKUP(F396,'Acompanhamento da Licitação'!$F$2:$O$1000,10,FALSE())="","",VLOOKUP(F396,'Acompanhamento da Licitação'!$F$2:$O$1000,10,FALSE()))),"")</f>
        <v/>
      </c>
      <c r="R396" s="61" t="str">
        <f>IFERROR(IF(F396&gt;0,(Final[[#This Row],[Valor da Venda Real]]-Final[[#This Row],[Valor de Compra Previsto]]-4%*Final[[#This Row],[Valor da Venda Real]])/Final[[#This Row],[Valor da Venda Real]],""),"")</f>
        <v/>
      </c>
      <c r="S396" s="61" t="str">
        <f t="shared" si="29"/>
        <v/>
      </c>
      <c r="T396" s="23" t="str">
        <f>IFERROR((R396*Final[[#This Row],[Valor da Venda Real]]*Final[[#This Row],[Quantidade ]]*S396),"")</f>
        <v/>
      </c>
    </row>
    <row r="397" spans="1:20" ht="15.75" x14ac:dyDescent="0.2">
      <c r="A397">
        <f>COUNTIF($C$2:C397,C397)</f>
        <v>396</v>
      </c>
      <c r="B397" s="1" t="str">
        <f t="shared" si="28"/>
        <v>396</v>
      </c>
      <c r="C397" s="1" t="str">
        <f>IFERROR(VLOOKUP(D397,'Planilha de Cadastro - Previsão'!$A$2:$N$1000,14,FALSE()),"")</f>
        <v/>
      </c>
      <c r="D397" s="1">
        <v>396</v>
      </c>
      <c r="F397" s="40" t="str">
        <f t="shared" si="27"/>
        <v/>
      </c>
      <c r="G397" s="40" t="str">
        <f>IF(F397="","",'Prosposta Inicial'!$O$2)</f>
        <v/>
      </c>
      <c r="H397" s="40" t="str">
        <f t="shared" si="26"/>
        <v xml:space="preserve"> </v>
      </c>
      <c r="I397" s="41" t="str">
        <f>IFERROR((VLOOKUP(F397,'Planilha de Cadastro - Previsão'!$A$2:$N$1100,2,FALSE()))," ")</f>
        <v xml:space="preserve"> </v>
      </c>
      <c r="J397" s="40" t="str">
        <f>IFERROR((VLOOKUP(F397,'Planilha de Cadastro - Previsão'!$A$2:$N$1100,3,FALSE()))," ")</f>
        <v xml:space="preserve"> </v>
      </c>
      <c r="K397" s="40"/>
      <c r="L397" s="42" t="str">
        <f>IFERROR((VLOOKUP(F397,'Planilha de Cadastro - Previsão'!$A$2:$N$1100,11,FALSE()))," ")</f>
        <v xml:space="preserve"> </v>
      </c>
      <c r="M397" s="41" t="str">
        <f>IFERROR((IF(VLOOKUP(F397,'Planilha de Cadastro - Previsão'!$A$2:$N$1100,10,FALSE())="","",VLOOKUP(F397,'Planilha de Cadastro - Previsão'!$A$2:$N$1100,10,FALSE()))),"")</f>
        <v/>
      </c>
      <c r="N397" s="41"/>
      <c r="O397" s="41"/>
      <c r="P397" s="41" t="str">
        <f>IFERROR((IF(VLOOKUP(F397,'Acompanhamento da Licitação'!$F$2:$O$1000,10,FALSE())="","",VLOOKUP(F397,'Acompanhamento da Licitação'!$F$2:$O$1000,10,FALSE()))),"")</f>
        <v/>
      </c>
      <c r="R397" s="61" t="str">
        <f>IFERROR(IF(F397&gt;0,(Final[[#This Row],[Valor da Venda Real]]-Final[[#This Row],[Valor de Compra Previsto]]-4%*Final[[#This Row],[Valor da Venda Real]])/Final[[#This Row],[Valor da Venda Real]],""),"")</f>
        <v/>
      </c>
      <c r="S397" s="61" t="str">
        <f t="shared" si="29"/>
        <v/>
      </c>
      <c r="T397" s="23" t="str">
        <f>IFERROR((R397*Final[[#This Row],[Valor da Venda Real]]*Final[[#This Row],[Quantidade ]]*S397),"")</f>
        <v/>
      </c>
    </row>
    <row r="398" spans="1:20" ht="15.75" x14ac:dyDescent="0.2">
      <c r="A398">
        <f>COUNTIF($C$2:C398,C398)</f>
        <v>397</v>
      </c>
      <c r="B398" s="1" t="str">
        <f t="shared" si="28"/>
        <v>397</v>
      </c>
      <c r="C398" s="1" t="str">
        <f>IFERROR(VLOOKUP(D398,'Planilha de Cadastro - Previsão'!$A$2:$N$1000,14,FALSE()),"")</f>
        <v/>
      </c>
      <c r="D398" s="1">
        <v>397</v>
      </c>
      <c r="F398" s="40" t="str">
        <f t="shared" si="27"/>
        <v/>
      </c>
      <c r="G398" s="40" t="str">
        <f>IF(F398="","",'Prosposta Inicial'!$O$2)</f>
        <v/>
      </c>
      <c r="H398" s="40" t="str">
        <f t="shared" si="26"/>
        <v xml:space="preserve"> </v>
      </c>
      <c r="I398" s="41" t="str">
        <f>IFERROR((VLOOKUP(F398,'Planilha de Cadastro - Previsão'!$A$2:$N$1100,2,FALSE()))," ")</f>
        <v xml:space="preserve"> </v>
      </c>
      <c r="J398" s="40" t="str">
        <f>IFERROR((VLOOKUP(F398,'Planilha de Cadastro - Previsão'!$A$2:$N$1100,3,FALSE()))," ")</f>
        <v xml:space="preserve"> </v>
      </c>
      <c r="K398" s="40"/>
      <c r="L398" s="42" t="str">
        <f>IFERROR((VLOOKUP(F398,'Planilha de Cadastro - Previsão'!$A$2:$N$1100,11,FALSE()))," ")</f>
        <v xml:space="preserve"> </v>
      </c>
      <c r="M398" s="41" t="str">
        <f>IFERROR((IF(VLOOKUP(F398,'Planilha de Cadastro - Previsão'!$A$2:$N$1100,10,FALSE())="","",VLOOKUP(F398,'Planilha de Cadastro - Previsão'!$A$2:$N$1100,10,FALSE()))),"")</f>
        <v/>
      </c>
      <c r="N398" s="41"/>
      <c r="O398" s="41"/>
      <c r="P398" s="41" t="str">
        <f>IFERROR((IF(VLOOKUP(F398,'Acompanhamento da Licitação'!$F$2:$O$1000,10,FALSE())="","",VLOOKUP(F398,'Acompanhamento da Licitação'!$F$2:$O$1000,10,FALSE()))),"")</f>
        <v/>
      </c>
      <c r="R398" s="61" t="str">
        <f>IFERROR(IF(F398&gt;0,(Final[[#This Row],[Valor da Venda Real]]-Final[[#This Row],[Valor de Compra Previsto]]-4%*Final[[#This Row],[Valor da Venda Real]])/Final[[#This Row],[Valor da Venda Real]],""),"")</f>
        <v/>
      </c>
      <c r="S398" s="61" t="str">
        <f t="shared" si="29"/>
        <v/>
      </c>
      <c r="T398" s="23" t="str">
        <f>IFERROR((R398*Final[[#This Row],[Valor da Venda Real]]*Final[[#This Row],[Quantidade ]]*S398),"")</f>
        <v/>
      </c>
    </row>
    <row r="399" spans="1:20" ht="15.75" x14ac:dyDescent="0.2">
      <c r="A399">
        <f>COUNTIF($C$2:C399,C399)</f>
        <v>398</v>
      </c>
      <c r="B399" s="1" t="str">
        <f t="shared" si="28"/>
        <v>398</v>
      </c>
      <c r="C399" s="1" t="str">
        <f>IFERROR(VLOOKUP(D399,'Planilha de Cadastro - Previsão'!$A$2:$N$1000,14,FALSE()),"")</f>
        <v/>
      </c>
      <c r="D399" s="1">
        <v>398</v>
      </c>
      <c r="F399" s="40" t="str">
        <f t="shared" si="27"/>
        <v/>
      </c>
      <c r="G399" s="40" t="str">
        <f>IF(F399="","",'Prosposta Inicial'!$O$2)</f>
        <v/>
      </c>
      <c r="H399" s="40" t="str">
        <f t="shared" si="26"/>
        <v xml:space="preserve"> </v>
      </c>
      <c r="I399" s="41" t="str">
        <f>IFERROR((VLOOKUP(F399,'Planilha de Cadastro - Previsão'!$A$2:$N$1100,2,FALSE()))," ")</f>
        <v xml:space="preserve"> </v>
      </c>
      <c r="J399" s="40" t="str">
        <f>IFERROR((VLOOKUP(F399,'Planilha de Cadastro - Previsão'!$A$2:$N$1100,3,FALSE()))," ")</f>
        <v xml:space="preserve"> </v>
      </c>
      <c r="K399" s="40"/>
      <c r="L399" s="42" t="str">
        <f>IFERROR((VLOOKUP(F399,'Planilha de Cadastro - Previsão'!$A$2:$N$1100,11,FALSE()))," ")</f>
        <v xml:space="preserve"> </v>
      </c>
      <c r="M399" s="41" t="str">
        <f>IFERROR((IF(VLOOKUP(F399,'Planilha de Cadastro - Previsão'!$A$2:$N$1100,10,FALSE())="","",VLOOKUP(F399,'Planilha de Cadastro - Previsão'!$A$2:$N$1100,10,FALSE()))),"")</f>
        <v/>
      </c>
      <c r="N399" s="41"/>
      <c r="O399" s="41"/>
      <c r="P399" s="41" t="str">
        <f>IFERROR((IF(VLOOKUP(F399,'Acompanhamento da Licitação'!$F$2:$O$1000,10,FALSE())="","",VLOOKUP(F399,'Acompanhamento da Licitação'!$F$2:$O$1000,10,FALSE()))),"")</f>
        <v/>
      </c>
      <c r="R399" s="61" t="str">
        <f>IFERROR(IF(F399&gt;0,(Final[[#This Row],[Valor da Venda Real]]-Final[[#This Row],[Valor de Compra Previsto]]-4%*Final[[#This Row],[Valor da Venda Real]])/Final[[#This Row],[Valor da Venda Real]],""),"")</f>
        <v/>
      </c>
      <c r="S399" s="61" t="str">
        <f t="shared" si="29"/>
        <v/>
      </c>
      <c r="T399" s="23" t="str">
        <f>IFERROR((R399*Final[[#This Row],[Valor da Venda Real]]*Final[[#This Row],[Quantidade ]]*S399),"")</f>
        <v/>
      </c>
    </row>
    <row r="400" spans="1:20" ht="15.75" x14ac:dyDescent="0.2">
      <c r="A400">
        <f>COUNTIF($C$2:C400,C400)</f>
        <v>399</v>
      </c>
      <c r="B400" s="1" t="str">
        <f t="shared" si="28"/>
        <v>399</v>
      </c>
      <c r="C400" s="1" t="str">
        <f>IFERROR(VLOOKUP(D400,'Planilha de Cadastro - Previsão'!$A$2:$N$1000,14,FALSE()),"")</f>
        <v/>
      </c>
      <c r="D400" s="1">
        <v>399</v>
      </c>
      <c r="F400" s="40" t="str">
        <f t="shared" si="27"/>
        <v/>
      </c>
      <c r="G400" s="40" t="str">
        <f>IF(F400="","",'Prosposta Inicial'!$O$2)</f>
        <v/>
      </c>
      <c r="H400" s="40" t="str">
        <f t="shared" si="26"/>
        <v xml:space="preserve"> </v>
      </c>
      <c r="I400" s="41" t="str">
        <f>IFERROR((VLOOKUP(F400,'Planilha de Cadastro - Previsão'!$A$2:$N$1100,2,FALSE()))," ")</f>
        <v xml:space="preserve"> </v>
      </c>
      <c r="J400" s="40" t="str">
        <f>IFERROR((VLOOKUP(F400,'Planilha de Cadastro - Previsão'!$A$2:$N$1100,3,FALSE()))," ")</f>
        <v xml:space="preserve"> </v>
      </c>
      <c r="K400" s="40"/>
      <c r="L400" s="42" t="str">
        <f>IFERROR((VLOOKUP(F400,'Planilha de Cadastro - Previsão'!$A$2:$N$1100,11,FALSE()))," ")</f>
        <v xml:space="preserve"> </v>
      </c>
      <c r="M400" s="41" t="str">
        <f>IFERROR((IF(VLOOKUP(F400,'Planilha de Cadastro - Previsão'!$A$2:$N$1100,10,FALSE())="","",VLOOKUP(F400,'Planilha de Cadastro - Previsão'!$A$2:$N$1100,10,FALSE()))),"")</f>
        <v/>
      </c>
      <c r="N400" s="41"/>
      <c r="O400" s="41"/>
      <c r="P400" s="41" t="str">
        <f>IFERROR((IF(VLOOKUP(F400,'Acompanhamento da Licitação'!$F$2:$O$1000,10,FALSE())="","",VLOOKUP(F400,'Acompanhamento da Licitação'!$F$2:$O$1000,10,FALSE()))),"")</f>
        <v/>
      </c>
      <c r="R400" s="61" t="str">
        <f>IFERROR(IF(F400&gt;0,(Final[[#This Row],[Valor da Venda Real]]-Final[[#This Row],[Valor de Compra Previsto]]-4%*Final[[#This Row],[Valor da Venda Real]])/Final[[#This Row],[Valor da Venda Real]],""),"")</f>
        <v/>
      </c>
      <c r="S400" s="61" t="str">
        <f t="shared" si="29"/>
        <v/>
      </c>
      <c r="T400" s="23" t="str">
        <f>IFERROR((R400*Final[[#This Row],[Valor da Venda Real]]*Final[[#This Row],[Quantidade ]]*S400),"")</f>
        <v/>
      </c>
    </row>
    <row r="401" spans="1:20" ht="15.75" x14ac:dyDescent="0.2">
      <c r="A401">
        <f>COUNTIF($C$2:C401,C401)</f>
        <v>400</v>
      </c>
      <c r="B401" s="1" t="str">
        <f t="shared" si="28"/>
        <v>400</v>
      </c>
      <c r="C401" s="1" t="str">
        <f>IFERROR(VLOOKUP(D401,'Planilha de Cadastro - Previsão'!$A$2:$N$1000,14,FALSE()),"")</f>
        <v/>
      </c>
      <c r="D401" s="1">
        <v>400</v>
      </c>
      <c r="F401" s="40" t="str">
        <f t="shared" si="27"/>
        <v/>
      </c>
      <c r="G401" s="40" t="str">
        <f>IF(F401="","",'Prosposta Inicial'!$O$2)</f>
        <v/>
      </c>
      <c r="H401" s="40" t="str">
        <f t="shared" si="26"/>
        <v xml:space="preserve"> </v>
      </c>
      <c r="I401" s="41" t="str">
        <f>IFERROR((VLOOKUP(F401,'Planilha de Cadastro - Previsão'!$A$2:$N$1100,2,FALSE()))," ")</f>
        <v xml:space="preserve"> </v>
      </c>
      <c r="J401" s="40" t="str">
        <f>IFERROR((VLOOKUP(F401,'Planilha de Cadastro - Previsão'!$A$2:$N$1100,3,FALSE()))," ")</f>
        <v xml:space="preserve"> </v>
      </c>
      <c r="K401" s="40"/>
      <c r="L401" s="42" t="str">
        <f>IFERROR((VLOOKUP(F401,'Planilha de Cadastro - Previsão'!$A$2:$N$1100,11,FALSE()))," ")</f>
        <v xml:space="preserve"> </v>
      </c>
      <c r="M401" s="41" t="str">
        <f>IFERROR((IF(VLOOKUP(F401,'Planilha de Cadastro - Previsão'!$A$2:$N$1100,10,FALSE())="","",VLOOKUP(F401,'Planilha de Cadastro - Previsão'!$A$2:$N$1100,10,FALSE()))),"")</f>
        <v/>
      </c>
      <c r="N401" s="41"/>
      <c r="O401" s="41"/>
      <c r="P401" s="41" t="str">
        <f>IFERROR((IF(VLOOKUP(F401,'Acompanhamento da Licitação'!$F$2:$O$1000,10,FALSE())="","",VLOOKUP(F401,'Acompanhamento da Licitação'!$F$2:$O$1000,10,FALSE()))),"")</f>
        <v/>
      </c>
      <c r="R401" s="61" t="str">
        <f>IFERROR(IF(F401&gt;0,(Final[[#This Row],[Valor da Venda Real]]-Final[[#This Row],[Valor de Compra Previsto]]-4%*Final[[#This Row],[Valor da Venda Real]])/Final[[#This Row],[Valor da Venda Real]],""),"")</f>
        <v/>
      </c>
      <c r="S401" s="61" t="str">
        <f t="shared" si="29"/>
        <v/>
      </c>
      <c r="T401" s="23" t="str">
        <f>IFERROR((R401*Final[[#This Row],[Valor da Venda Real]]*Final[[#This Row],[Quantidade ]]*S401),"")</f>
        <v/>
      </c>
    </row>
    <row r="402" spans="1:20" ht="15.75" x14ac:dyDescent="0.2">
      <c r="A402">
        <f>COUNTIF($C$2:C402,C402)</f>
        <v>401</v>
      </c>
      <c r="B402" s="1" t="str">
        <f t="shared" si="28"/>
        <v>401</v>
      </c>
      <c r="C402" s="1" t="str">
        <f>IFERROR(VLOOKUP(D402,'Planilha de Cadastro - Previsão'!$A$2:$N$1000,14,FALSE()),"")</f>
        <v/>
      </c>
      <c r="D402" s="1">
        <v>401</v>
      </c>
      <c r="F402" s="40" t="str">
        <f t="shared" si="27"/>
        <v/>
      </c>
      <c r="G402" s="40" t="str">
        <f>IF(F402="","",'Prosposta Inicial'!$O$2)</f>
        <v/>
      </c>
      <c r="H402" s="40" t="str">
        <f t="shared" si="26"/>
        <v xml:space="preserve"> </v>
      </c>
      <c r="I402" s="41" t="str">
        <f>IFERROR((VLOOKUP(F402,'Planilha de Cadastro - Previsão'!$A$2:$N$1100,2,FALSE()))," ")</f>
        <v xml:space="preserve"> </v>
      </c>
      <c r="J402" s="40" t="str">
        <f>IFERROR((VLOOKUP(F402,'Planilha de Cadastro - Previsão'!$A$2:$N$1100,3,FALSE()))," ")</f>
        <v xml:space="preserve"> </v>
      </c>
      <c r="K402" s="40"/>
      <c r="L402" s="42" t="str">
        <f>IFERROR((VLOOKUP(F402,'Planilha de Cadastro - Previsão'!$A$2:$N$1100,11,FALSE()))," ")</f>
        <v xml:space="preserve"> </v>
      </c>
      <c r="M402" s="41" t="str">
        <f>IFERROR((IF(VLOOKUP(F402,'Planilha de Cadastro - Previsão'!$A$2:$N$1100,10,FALSE())="","",VLOOKUP(F402,'Planilha de Cadastro - Previsão'!$A$2:$N$1100,10,FALSE()))),"")</f>
        <v/>
      </c>
      <c r="N402" s="41"/>
      <c r="O402" s="41"/>
      <c r="P402" s="41" t="str">
        <f>IFERROR((IF(VLOOKUP(F402,'Acompanhamento da Licitação'!$F$2:$O$1000,10,FALSE())="","",VLOOKUP(F402,'Acompanhamento da Licitação'!$F$2:$O$1000,10,FALSE()))),"")</f>
        <v/>
      </c>
      <c r="R402" s="61" t="str">
        <f>IFERROR(IF(F402&gt;0,(Final[[#This Row],[Valor da Venda Real]]-Final[[#This Row],[Valor de Compra Previsto]]-4%*Final[[#This Row],[Valor da Venda Real]])/Final[[#This Row],[Valor da Venda Real]],""),"")</f>
        <v/>
      </c>
      <c r="S402" s="61" t="str">
        <f t="shared" si="29"/>
        <v/>
      </c>
      <c r="T402" s="23" t="str">
        <f>IFERROR((R402*Final[[#This Row],[Valor da Venda Real]]*Final[[#This Row],[Quantidade ]]*S402),"")</f>
        <v/>
      </c>
    </row>
    <row r="403" spans="1:20" ht="15.75" x14ac:dyDescent="0.2">
      <c r="A403">
        <f>COUNTIF($C$2:C403,C403)</f>
        <v>402</v>
      </c>
      <c r="B403" s="1" t="str">
        <f t="shared" si="28"/>
        <v>402</v>
      </c>
      <c r="C403" s="1" t="str">
        <f>IFERROR(VLOOKUP(D403,'Planilha de Cadastro - Previsão'!$A$2:$N$1000,14,FALSE()),"")</f>
        <v/>
      </c>
      <c r="D403" s="1">
        <v>402</v>
      </c>
      <c r="F403" s="40" t="str">
        <f t="shared" si="27"/>
        <v/>
      </c>
      <c r="G403" s="40" t="str">
        <f>IF(F403="","",'Prosposta Inicial'!$O$2)</f>
        <v/>
      </c>
      <c r="H403" s="40" t="str">
        <f t="shared" si="26"/>
        <v xml:space="preserve"> </v>
      </c>
      <c r="I403" s="41" t="str">
        <f>IFERROR((VLOOKUP(F403,'Planilha de Cadastro - Previsão'!$A$2:$N$1100,2,FALSE()))," ")</f>
        <v xml:space="preserve"> </v>
      </c>
      <c r="J403" s="40" t="str">
        <f>IFERROR((VLOOKUP(F403,'Planilha de Cadastro - Previsão'!$A$2:$N$1100,3,FALSE()))," ")</f>
        <v xml:space="preserve"> </v>
      </c>
      <c r="K403" s="40"/>
      <c r="L403" s="42" t="str">
        <f>IFERROR((VLOOKUP(F403,'Planilha de Cadastro - Previsão'!$A$2:$N$1100,11,FALSE()))," ")</f>
        <v xml:space="preserve"> </v>
      </c>
      <c r="M403" s="41" t="str">
        <f>IFERROR((IF(VLOOKUP(F403,'Planilha de Cadastro - Previsão'!$A$2:$N$1100,10,FALSE())="","",VLOOKUP(F403,'Planilha de Cadastro - Previsão'!$A$2:$N$1100,10,FALSE()))),"")</f>
        <v/>
      </c>
      <c r="N403" s="41"/>
      <c r="O403" s="41"/>
      <c r="P403" s="41" t="str">
        <f>IFERROR((IF(VLOOKUP(F403,'Acompanhamento da Licitação'!$F$2:$O$1000,10,FALSE())="","",VLOOKUP(F403,'Acompanhamento da Licitação'!$F$2:$O$1000,10,FALSE()))),"")</f>
        <v/>
      </c>
      <c r="R403" s="61" t="str">
        <f>IFERROR(IF(F403&gt;0,(Final[[#This Row],[Valor da Venda Real]]-Final[[#This Row],[Valor de Compra Previsto]]-4%*Final[[#This Row],[Valor da Venda Real]])/Final[[#This Row],[Valor da Venda Real]],""),"")</f>
        <v/>
      </c>
      <c r="S403" s="61" t="str">
        <f t="shared" si="29"/>
        <v/>
      </c>
      <c r="T403" s="23" t="str">
        <f>IFERROR((R403*Final[[#This Row],[Valor da Venda Real]]*Final[[#This Row],[Quantidade ]]*S403),"")</f>
        <v/>
      </c>
    </row>
    <row r="404" spans="1:20" ht="15.75" x14ac:dyDescent="0.2">
      <c r="A404">
        <f>COUNTIF($C$2:C404,C404)</f>
        <v>403</v>
      </c>
      <c r="B404" s="1" t="str">
        <f t="shared" si="28"/>
        <v>403</v>
      </c>
      <c r="C404" s="1" t="str">
        <f>IFERROR(VLOOKUP(D404,'Planilha de Cadastro - Previsão'!$A$2:$N$1000,14,FALSE()),"")</f>
        <v/>
      </c>
      <c r="D404" s="1">
        <v>403</v>
      </c>
      <c r="F404" s="40" t="str">
        <f t="shared" si="27"/>
        <v/>
      </c>
      <c r="G404" s="40" t="str">
        <f>IF(F404="","",'Prosposta Inicial'!$O$2)</f>
        <v/>
      </c>
      <c r="H404" s="40" t="str">
        <f t="shared" si="26"/>
        <v xml:space="preserve"> </v>
      </c>
      <c r="I404" s="41" t="str">
        <f>IFERROR((VLOOKUP(F404,'Planilha de Cadastro - Previsão'!$A$2:$N$1100,2,FALSE()))," ")</f>
        <v xml:space="preserve"> </v>
      </c>
      <c r="J404" s="40" t="str">
        <f>IFERROR((VLOOKUP(F404,'Planilha de Cadastro - Previsão'!$A$2:$N$1100,3,FALSE()))," ")</f>
        <v xml:space="preserve"> </v>
      </c>
      <c r="K404" s="40"/>
      <c r="L404" s="42" t="str">
        <f>IFERROR((VLOOKUP(F404,'Planilha de Cadastro - Previsão'!$A$2:$N$1100,11,FALSE()))," ")</f>
        <v xml:space="preserve"> </v>
      </c>
      <c r="M404" s="41" t="str">
        <f>IFERROR((IF(VLOOKUP(F404,'Planilha de Cadastro - Previsão'!$A$2:$N$1100,10,FALSE())="","",VLOOKUP(F404,'Planilha de Cadastro - Previsão'!$A$2:$N$1100,10,FALSE()))),"")</f>
        <v/>
      </c>
      <c r="N404" s="41"/>
      <c r="O404" s="41"/>
      <c r="P404" s="41" t="str">
        <f>IFERROR((IF(VLOOKUP(F404,'Acompanhamento da Licitação'!$F$2:$O$1000,10,FALSE())="","",VLOOKUP(F404,'Acompanhamento da Licitação'!$F$2:$O$1000,10,FALSE()))),"")</f>
        <v/>
      </c>
      <c r="R404" s="61" t="str">
        <f>IFERROR(IF(F404&gt;0,(Final[[#This Row],[Valor da Venda Real]]-Final[[#This Row],[Valor de Compra Previsto]]-4%*Final[[#This Row],[Valor da Venda Real]])/Final[[#This Row],[Valor da Venda Real]],""),"")</f>
        <v/>
      </c>
      <c r="S404" s="61" t="str">
        <f t="shared" si="29"/>
        <v/>
      </c>
      <c r="T404" s="23" t="str">
        <f>IFERROR((R404*Final[[#This Row],[Valor da Venda Real]]*Final[[#This Row],[Quantidade ]]*S404),"")</f>
        <v/>
      </c>
    </row>
    <row r="405" spans="1:20" ht="15.75" x14ac:dyDescent="0.2">
      <c r="A405">
        <f>COUNTIF($C$2:C405,C405)</f>
        <v>404</v>
      </c>
      <c r="B405" s="1" t="str">
        <f t="shared" si="28"/>
        <v>404</v>
      </c>
      <c r="C405" s="1" t="str">
        <f>IFERROR(VLOOKUP(D405,'Planilha de Cadastro - Previsão'!$A$2:$N$1000,14,FALSE()),"")</f>
        <v/>
      </c>
      <c r="D405" s="1">
        <v>404</v>
      </c>
      <c r="F405" s="40" t="str">
        <f t="shared" si="27"/>
        <v/>
      </c>
      <c r="G405" s="40" t="str">
        <f>IF(F405="","",'Prosposta Inicial'!$O$2)</f>
        <v/>
      </c>
      <c r="H405" s="40" t="str">
        <f t="shared" si="26"/>
        <v xml:space="preserve"> </v>
      </c>
      <c r="I405" s="41" t="str">
        <f>IFERROR((VLOOKUP(F405,'Planilha de Cadastro - Previsão'!$A$2:$N$1100,2,FALSE()))," ")</f>
        <v xml:space="preserve"> </v>
      </c>
      <c r="J405" s="40" t="str">
        <f>IFERROR((VLOOKUP(F405,'Planilha de Cadastro - Previsão'!$A$2:$N$1100,3,FALSE()))," ")</f>
        <v xml:space="preserve"> </v>
      </c>
      <c r="K405" s="40"/>
      <c r="L405" s="42" t="str">
        <f>IFERROR((VLOOKUP(F405,'Planilha de Cadastro - Previsão'!$A$2:$N$1100,11,FALSE()))," ")</f>
        <v xml:space="preserve"> </v>
      </c>
      <c r="M405" s="41" t="str">
        <f>IFERROR((IF(VLOOKUP(F405,'Planilha de Cadastro - Previsão'!$A$2:$N$1100,10,FALSE())="","",VLOOKUP(F405,'Planilha de Cadastro - Previsão'!$A$2:$N$1100,10,FALSE()))),"")</f>
        <v/>
      </c>
      <c r="N405" s="41"/>
      <c r="O405" s="41"/>
      <c r="P405" s="41" t="str">
        <f>IFERROR((IF(VLOOKUP(F405,'Acompanhamento da Licitação'!$F$2:$O$1000,10,FALSE())="","",VLOOKUP(F405,'Acompanhamento da Licitação'!$F$2:$O$1000,10,FALSE()))),"")</f>
        <v/>
      </c>
      <c r="R405" s="61" t="str">
        <f>IFERROR(IF(F405&gt;0,(Final[[#This Row],[Valor da Venda Real]]-Final[[#This Row],[Valor de Compra Previsto]]-4%*Final[[#This Row],[Valor da Venda Real]])/Final[[#This Row],[Valor da Venda Real]],""),"")</f>
        <v/>
      </c>
      <c r="S405" s="61" t="str">
        <f t="shared" si="29"/>
        <v/>
      </c>
      <c r="T405" s="23" t="str">
        <f>IFERROR((R405*Final[[#This Row],[Valor da Venda Real]]*Final[[#This Row],[Quantidade ]]*S405),"")</f>
        <v/>
      </c>
    </row>
    <row r="406" spans="1:20" ht="15.75" x14ac:dyDescent="0.2">
      <c r="A406">
        <f>COUNTIF($C$2:C406,C406)</f>
        <v>405</v>
      </c>
      <c r="B406" s="1" t="str">
        <f t="shared" si="28"/>
        <v>405</v>
      </c>
      <c r="C406" s="1" t="str">
        <f>IFERROR(VLOOKUP(D406,'Planilha de Cadastro - Previsão'!$A$2:$N$1000,14,FALSE()),"")</f>
        <v/>
      </c>
      <c r="D406" s="1">
        <v>405</v>
      </c>
      <c r="F406" s="40" t="str">
        <f t="shared" si="27"/>
        <v/>
      </c>
      <c r="G406" s="40" t="str">
        <f>IF(F406="","",'Prosposta Inicial'!$O$2)</f>
        <v/>
      </c>
      <c r="H406" s="40" t="str">
        <f t="shared" si="26"/>
        <v xml:space="preserve"> </v>
      </c>
      <c r="I406" s="41" t="str">
        <f>IFERROR((VLOOKUP(F406,'Planilha de Cadastro - Previsão'!$A$2:$N$1100,2,FALSE()))," ")</f>
        <v xml:space="preserve"> </v>
      </c>
      <c r="J406" s="40" t="str">
        <f>IFERROR((VLOOKUP(F406,'Planilha de Cadastro - Previsão'!$A$2:$N$1100,3,FALSE()))," ")</f>
        <v xml:space="preserve"> </v>
      </c>
      <c r="K406" s="40"/>
      <c r="L406" s="42" t="str">
        <f>IFERROR((VLOOKUP(F406,'Planilha de Cadastro - Previsão'!$A$2:$N$1100,11,FALSE()))," ")</f>
        <v xml:space="preserve"> </v>
      </c>
      <c r="M406" s="41" t="str">
        <f>IFERROR((IF(VLOOKUP(F406,'Planilha de Cadastro - Previsão'!$A$2:$N$1100,10,FALSE())="","",VLOOKUP(F406,'Planilha de Cadastro - Previsão'!$A$2:$N$1100,10,FALSE()))),"")</f>
        <v/>
      </c>
      <c r="N406" s="41"/>
      <c r="O406" s="41"/>
      <c r="P406" s="41" t="str">
        <f>IFERROR((IF(VLOOKUP(F406,'Acompanhamento da Licitação'!$F$2:$O$1000,10,FALSE())="","",VLOOKUP(F406,'Acompanhamento da Licitação'!$F$2:$O$1000,10,FALSE()))),"")</f>
        <v/>
      </c>
      <c r="R406" s="61" t="str">
        <f>IFERROR(IF(F406&gt;0,(Final[[#This Row],[Valor da Venda Real]]-Final[[#This Row],[Valor de Compra Previsto]]-4%*Final[[#This Row],[Valor da Venda Real]])/Final[[#This Row],[Valor da Venda Real]],""),"")</f>
        <v/>
      </c>
      <c r="S406" s="61" t="str">
        <f t="shared" si="29"/>
        <v/>
      </c>
      <c r="T406" s="23" t="str">
        <f>IFERROR((R406*Final[[#This Row],[Valor da Venda Real]]*Final[[#This Row],[Quantidade ]]*S406),"")</f>
        <v/>
      </c>
    </row>
    <row r="407" spans="1:20" ht="15.75" x14ac:dyDescent="0.2">
      <c r="A407">
        <f>COUNTIF($C$2:C407,C407)</f>
        <v>406</v>
      </c>
      <c r="B407" s="1" t="str">
        <f t="shared" si="28"/>
        <v>406</v>
      </c>
      <c r="C407" s="1" t="str">
        <f>IFERROR(VLOOKUP(D407,'Planilha de Cadastro - Previsão'!$A$2:$N$1000,14,FALSE()),"")</f>
        <v/>
      </c>
      <c r="D407" s="1">
        <v>406</v>
      </c>
      <c r="F407" s="40" t="str">
        <f t="shared" si="27"/>
        <v/>
      </c>
      <c r="G407" s="40" t="str">
        <f>IF(F407="","",'Prosposta Inicial'!$O$2)</f>
        <v/>
      </c>
      <c r="H407" s="40" t="str">
        <f t="shared" si="26"/>
        <v xml:space="preserve"> </v>
      </c>
      <c r="I407" s="41" t="str">
        <f>IFERROR((VLOOKUP(F407,'Planilha de Cadastro - Previsão'!$A$2:$N$1100,2,FALSE()))," ")</f>
        <v xml:space="preserve"> </v>
      </c>
      <c r="J407" s="40" t="str">
        <f>IFERROR((VLOOKUP(F407,'Planilha de Cadastro - Previsão'!$A$2:$N$1100,3,FALSE()))," ")</f>
        <v xml:space="preserve"> </v>
      </c>
      <c r="K407" s="40"/>
      <c r="L407" s="42" t="str">
        <f>IFERROR((VLOOKUP(F407,'Planilha de Cadastro - Previsão'!$A$2:$N$1100,11,FALSE()))," ")</f>
        <v xml:space="preserve"> </v>
      </c>
      <c r="M407" s="41" t="str">
        <f>IFERROR((IF(VLOOKUP(F407,'Planilha de Cadastro - Previsão'!$A$2:$N$1100,10,FALSE())="","",VLOOKUP(F407,'Planilha de Cadastro - Previsão'!$A$2:$N$1100,10,FALSE()))),"")</f>
        <v/>
      </c>
      <c r="N407" s="41"/>
      <c r="O407" s="41"/>
      <c r="P407" s="41" t="str">
        <f>IFERROR((IF(VLOOKUP(F407,'Acompanhamento da Licitação'!$F$2:$O$1000,10,FALSE())="","",VLOOKUP(F407,'Acompanhamento da Licitação'!$F$2:$O$1000,10,FALSE()))),"")</f>
        <v/>
      </c>
      <c r="R407" s="61" t="str">
        <f>IFERROR(IF(F407&gt;0,(Final[[#This Row],[Valor da Venda Real]]-Final[[#This Row],[Valor de Compra Previsto]]-4%*Final[[#This Row],[Valor da Venda Real]])/Final[[#This Row],[Valor da Venda Real]],""),"")</f>
        <v/>
      </c>
      <c r="S407" s="61" t="str">
        <f t="shared" si="29"/>
        <v/>
      </c>
      <c r="T407" s="23" t="str">
        <f>IFERROR((R407*Final[[#This Row],[Valor da Venda Real]]*Final[[#This Row],[Quantidade ]]*S407),"")</f>
        <v/>
      </c>
    </row>
    <row r="408" spans="1:20" ht="15.75" x14ac:dyDescent="0.2">
      <c r="A408">
        <f>COUNTIF($C$2:C408,C408)</f>
        <v>407</v>
      </c>
      <c r="B408" s="1" t="str">
        <f t="shared" si="28"/>
        <v>407</v>
      </c>
      <c r="C408" s="1" t="str">
        <f>IFERROR(VLOOKUP(D408,'Planilha de Cadastro - Previsão'!$A$2:$N$1000,14,FALSE()),"")</f>
        <v/>
      </c>
      <c r="D408" s="1">
        <v>407</v>
      </c>
      <c r="F408" s="40" t="str">
        <f t="shared" si="27"/>
        <v/>
      </c>
      <c r="G408" s="40" t="str">
        <f>IF(F408="","",'Prosposta Inicial'!$O$2)</f>
        <v/>
      </c>
      <c r="H408" s="40" t="str">
        <f t="shared" si="26"/>
        <v xml:space="preserve"> </v>
      </c>
      <c r="I408" s="41" t="str">
        <f>IFERROR((VLOOKUP(F408,'Planilha de Cadastro - Previsão'!$A$2:$N$1100,2,FALSE()))," ")</f>
        <v xml:space="preserve"> </v>
      </c>
      <c r="J408" s="40" t="str">
        <f>IFERROR((VLOOKUP(F408,'Planilha de Cadastro - Previsão'!$A$2:$N$1100,3,FALSE()))," ")</f>
        <v xml:space="preserve"> </v>
      </c>
      <c r="K408" s="40"/>
      <c r="L408" s="42" t="str">
        <f>IFERROR((VLOOKUP(F408,'Planilha de Cadastro - Previsão'!$A$2:$N$1100,11,FALSE()))," ")</f>
        <v xml:space="preserve"> </v>
      </c>
      <c r="M408" s="41" t="str">
        <f>IFERROR((IF(VLOOKUP(F408,'Planilha de Cadastro - Previsão'!$A$2:$N$1100,10,FALSE())="","",VLOOKUP(F408,'Planilha de Cadastro - Previsão'!$A$2:$N$1100,10,FALSE()))),"")</f>
        <v/>
      </c>
      <c r="N408" s="41"/>
      <c r="O408" s="41"/>
      <c r="P408" s="41" t="str">
        <f>IFERROR((IF(VLOOKUP(F408,'Acompanhamento da Licitação'!$F$2:$O$1000,10,FALSE())="","",VLOOKUP(F408,'Acompanhamento da Licitação'!$F$2:$O$1000,10,FALSE()))),"")</f>
        <v/>
      </c>
      <c r="R408" s="61" t="str">
        <f>IFERROR(IF(F408&gt;0,(Final[[#This Row],[Valor da Venda Real]]-Final[[#This Row],[Valor de Compra Previsto]]-4%*Final[[#This Row],[Valor da Venda Real]])/Final[[#This Row],[Valor da Venda Real]],""),"")</f>
        <v/>
      </c>
      <c r="S408" s="61" t="str">
        <f t="shared" si="29"/>
        <v/>
      </c>
      <c r="T408" s="23" t="str">
        <f>IFERROR((R408*Final[[#This Row],[Valor da Venda Real]]*Final[[#This Row],[Quantidade ]]*S408),"")</f>
        <v/>
      </c>
    </row>
    <row r="409" spans="1:20" ht="15.75" x14ac:dyDescent="0.2">
      <c r="A409">
        <f>COUNTIF($C$2:C409,C409)</f>
        <v>408</v>
      </c>
      <c r="B409" s="1" t="str">
        <f t="shared" si="28"/>
        <v>408</v>
      </c>
      <c r="C409" s="1" t="str">
        <f>IFERROR(VLOOKUP(D409,'Planilha de Cadastro - Previsão'!$A$2:$N$1000,14,FALSE()),"")</f>
        <v/>
      </c>
      <c r="D409" s="1">
        <v>408</v>
      </c>
      <c r="F409" s="40" t="str">
        <f t="shared" si="27"/>
        <v/>
      </c>
      <c r="G409" s="40" t="str">
        <f>IF(F409="","",'Prosposta Inicial'!$O$2)</f>
        <v/>
      </c>
      <c r="H409" s="40" t="str">
        <f t="shared" si="26"/>
        <v xml:space="preserve"> </v>
      </c>
      <c r="I409" s="41" t="str">
        <f>IFERROR((VLOOKUP(F409,'Planilha de Cadastro - Previsão'!$A$2:$N$1100,2,FALSE()))," ")</f>
        <v xml:space="preserve"> </v>
      </c>
      <c r="J409" s="40" t="str">
        <f>IFERROR((VLOOKUP(F409,'Planilha de Cadastro - Previsão'!$A$2:$N$1100,3,FALSE()))," ")</f>
        <v xml:space="preserve"> </v>
      </c>
      <c r="K409" s="40"/>
      <c r="L409" s="42" t="str">
        <f>IFERROR((VLOOKUP(F409,'Planilha de Cadastro - Previsão'!$A$2:$N$1100,11,FALSE()))," ")</f>
        <v xml:space="preserve"> </v>
      </c>
      <c r="M409" s="41" t="str">
        <f>IFERROR((IF(VLOOKUP(F409,'Planilha de Cadastro - Previsão'!$A$2:$N$1100,10,FALSE())="","",VLOOKUP(F409,'Planilha de Cadastro - Previsão'!$A$2:$N$1100,10,FALSE()))),"")</f>
        <v/>
      </c>
      <c r="N409" s="41"/>
      <c r="O409" s="41"/>
      <c r="P409" s="41" t="str">
        <f>IFERROR((IF(VLOOKUP(F409,'Acompanhamento da Licitação'!$F$2:$O$1000,10,FALSE())="","",VLOOKUP(F409,'Acompanhamento da Licitação'!$F$2:$O$1000,10,FALSE()))),"")</f>
        <v/>
      </c>
      <c r="R409" s="61" t="str">
        <f>IFERROR(IF(F409&gt;0,(Final[[#This Row],[Valor da Venda Real]]-Final[[#This Row],[Valor de Compra Previsto]]-4%*Final[[#This Row],[Valor da Venda Real]])/Final[[#This Row],[Valor da Venda Real]],""),"")</f>
        <v/>
      </c>
      <c r="S409" s="61" t="str">
        <f t="shared" si="29"/>
        <v/>
      </c>
      <c r="T409" s="23" t="str">
        <f>IFERROR((R409*Final[[#This Row],[Valor da Venda Real]]*Final[[#This Row],[Quantidade ]]*S409),"")</f>
        <v/>
      </c>
    </row>
    <row r="410" spans="1:20" ht="15.75" x14ac:dyDescent="0.2">
      <c r="A410">
        <f>COUNTIF($C$2:C410,C410)</f>
        <v>409</v>
      </c>
      <c r="B410" s="1" t="str">
        <f t="shared" si="28"/>
        <v>409</v>
      </c>
      <c r="C410" s="1" t="str">
        <f>IFERROR(VLOOKUP(D410,'Planilha de Cadastro - Previsão'!$A$2:$N$1000,14,FALSE()),"")</f>
        <v/>
      </c>
      <c r="D410" s="1">
        <v>409</v>
      </c>
      <c r="F410" s="40" t="str">
        <f t="shared" si="27"/>
        <v/>
      </c>
      <c r="G410" s="40" t="str">
        <f>IF(F410="","",'Prosposta Inicial'!$O$2)</f>
        <v/>
      </c>
      <c r="H410" s="40" t="str">
        <f t="shared" si="26"/>
        <v xml:space="preserve"> </v>
      </c>
      <c r="I410" s="41" t="str">
        <f>IFERROR((VLOOKUP(F410,'Planilha de Cadastro - Previsão'!$A$2:$N$1100,2,FALSE()))," ")</f>
        <v xml:space="preserve"> </v>
      </c>
      <c r="J410" s="40" t="str">
        <f>IFERROR((VLOOKUP(F410,'Planilha de Cadastro - Previsão'!$A$2:$N$1100,3,FALSE()))," ")</f>
        <v xml:space="preserve"> </v>
      </c>
      <c r="K410" s="40"/>
      <c r="L410" s="42" t="str">
        <f>IFERROR((VLOOKUP(F410,'Planilha de Cadastro - Previsão'!$A$2:$N$1100,11,FALSE()))," ")</f>
        <v xml:space="preserve"> </v>
      </c>
      <c r="M410" s="41" t="str">
        <f>IFERROR((IF(VLOOKUP(F410,'Planilha de Cadastro - Previsão'!$A$2:$N$1100,10,FALSE())="","",VLOOKUP(F410,'Planilha de Cadastro - Previsão'!$A$2:$N$1100,10,FALSE()))),"")</f>
        <v/>
      </c>
      <c r="N410" s="41"/>
      <c r="O410" s="41"/>
      <c r="P410" s="41" t="str">
        <f>IFERROR((IF(VLOOKUP(F410,'Acompanhamento da Licitação'!$F$2:$O$1000,10,FALSE())="","",VLOOKUP(F410,'Acompanhamento da Licitação'!$F$2:$O$1000,10,FALSE()))),"")</f>
        <v/>
      </c>
      <c r="R410" s="61" t="str">
        <f>IFERROR(IF(F410&gt;0,(Final[[#This Row],[Valor da Venda Real]]-Final[[#This Row],[Valor de Compra Previsto]]-4%*Final[[#This Row],[Valor da Venda Real]])/Final[[#This Row],[Valor da Venda Real]],""),"")</f>
        <v/>
      </c>
      <c r="S410" s="61" t="str">
        <f t="shared" si="29"/>
        <v/>
      </c>
      <c r="T410" s="23" t="str">
        <f>IFERROR((R410*Final[[#This Row],[Valor da Venda Real]]*Final[[#This Row],[Quantidade ]]*S410),"")</f>
        <v/>
      </c>
    </row>
    <row r="411" spans="1:20" ht="15.75" x14ac:dyDescent="0.2">
      <c r="A411">
        <f>COUNTIF($C$2:C411,C411)</f>
        <v>410</v>
      </c>
      <c r="B411" s="1" t="str">
        <f t="shared" si="28"/>
        <v>410</v>
      </c>
      <c r="C411" s="1" t="str">
        <f>IFERROR(VLOOKUP(D411,'Planilha de Cadastro - Previsão'!$A$2:$N$1000,14,FALSE()),"")</f>
        <v/>
      </c>
      <c r="D411" s="1">
        <v>410</v>
      </c>
      <c r="F411" s="40" t="str">
        <f t="shared" si="27"/>
        <v/>
      </c>
      <c r="G411" s="40" t="str">
        <f>IF(F411="","",'Prosposta Inicial'!$O$2)</f>
        <v/>
      </c>
      <c r="H411" s="40" t="str">
        <f t="shared" si="26"/>
        <v xml:space="preserve"> </v>
      </c>
      <c r="I411" s="41" t="str">
        <f>IFERROR((VLOOKUP(F411,'Planilha de Cadastro - Previsão'!$A$2:$N$1100,2,FALSE()))," ")</f>
        <v xml:space="preserve"> </v>
      </c>
      <c r="J411" s="40" t="str">
        <f>IFERROR((VLOOKUP(F411,'Planilha de Cadastro - Previsão'!$A$2:$N$1100,3,FALSE()))," ")</f>
        <v xml:space="preserve"> </v>
      </c>
      <c r="K411" s="40"/>
      <c r="L411" s="42" t="str">
        <f>IFERROR((VLOOKUP(F411,'Planilha de Cadastro - Previsão'!$A$2:$N$1100,11,FALSE()))," ")</f>
        <v xml:space="preserve"> </v>
      </c>
      <c r="M411" s="41" t="str">
        <f>IFERROR((IF(VLOOKUP(F411,'Planilha de Cadastro - Previsão'!$A$2:$N$1100,10,FALSE())="","",VLOOKUP(F411,'Planilha de Cadastro - Previsão'!$A$2:$N$1100,10,FALSE()))),"")</f>
        <v/>
      </c>
      <c r="N411" s="41"/>
      <c r="O411" s="41"/>
      <c r="P411" s="41" t="str">
        <f>IFERROR((IF(VLOOKUP(F411,'Acompanhamento da Licitação'!$F$2:$O$1000,10,FALSE())="","",VLOOKUP(F411,'Acompanhamento da Licitação'!$F$2:$O$1000,10,FALSE()))),"")</f>
        <v/>
      </c>
      <c r="R411" s="61" t="str">
        <f>IFERROR(IF(F411&gt;0,(Final[[#This Row],[Valor da Venda Real]]-Final[[#This Row],[Valor de Compra Previsto]]-4%*Final[[#This Row],[Valor da Venda Real]])/Final[[#This Row],[Valor da Venda Real]],""),"")</f>
        <v/>
      </c>
      <c r="S411" s="61" t="str">
        <f t="shared" si="29"/>
        <v/>
      </c>
      <c r="T411" s="23" t="str">
        <f>IFERROR((R411*Final[[#This Row],[Valor da Venda Real]]*Final[[#This Row],[Quantidade ]]*S411),"")</f>
        <v/>
      </c>
    </row>
    <row r="412" spans="1:20" ht="15.75" x14ac:dyDescent="0.2">
      <c r="A412">
        <f>COUNTIF($C$2:C412,C412)</f>
        <v>411</v>
      </c>
      <c r="B412" s="1" t="str">
        <f t="shared" si="28"/>
        <v>411</v>
      </c>
      <c r="C412" s="1" t="str">
        <f>IFERROR(VLOOKUP(D412,'Planilha de Cadastro - Previsão'!$A$2:$N$1000,14,FALSE()),"")</f>
        <v/>
      </c>
      <c r="D412" s="1">
        <v>411</v>
      </c>
      <c r="F412" s="40" t="str">
        <f t="shared" si="27"/>
        <v/>
      </c>
      <c r="G412" s="40" t="str">
        <f>IF(F412="","",'Prosposta Inicial'!$O$2)</f>
        <v/>
      </c>
      <c r="H412" s="40" t="str">
        <f t="shared" si="26"/>
        <v xml:space="preserve"> </v>
      </c>
      <c r="I412" s="41" t="str">
        <f>IFERROR((VLOOKUP(F412,'Planilha de Cadastro - Previsão'!$A$2:$N$1100,2,FALSE()))," ")</f>
        <v xml:space="preserve"> </v>
      </c>
      <c r="J412" s="40" t="str">
        <f>IFERROR((VLOOKUP(F412,'Planilha de Cadastro - Previsão'!$A$2:$N$1100,3,FALSE()))," ")</f>
        <v xml:space="preserve"> </v>
      </c>
      <c r="K412" s="40"/>
      <c r="L412" s="42" t="str">
        <f>IFERROR((VLOOKUP(F412,'Planilha de Cadastro - Previsão'!$A$2:$N$1100,11,FALSE()))," ")</f>
        <v xml:space="preserve"> </v>
      </c>
      <c r="M412" s="41" t="str">
        <f>IFERROR((IF(VLOOKUP(F412,'Planilha de Cadastro - Previsão'!$A$2:$N$1100,10,FALSE())="","",VLOOKUP(F412,'Planilha de Cadastro - Previsão'!$A$2:$N$1100,10,FALSE()))),"")</f>
        <v/>
      </c>
      <c r="N412" s="41"/>
      <c r="O412" s="41"/>
      <c r="P412" s="41" t="str">
        <f>IFERROR((IF(VLOOKUP(F412,'Acompanhamento da Licitação'!$F$2:$O$1000,10,FALSE())="","",VLOOKUP(F412,'Acompanhamento da Licitação'!$F$2:$O$1000,10,FALSE()))),"")</f>
        <v/>
      </c>
      <c r="R412" s="61" t="str">
        <f>IFERROR(IF(F412&gt;0,(Final[[#This Row],[Valor da Venda Real]]-Final[[#This Row],[Valor de Compra Previsto]]-4%*Final[[#This Row],[Valor da Venda Real]])/Final[[#This Row],[Valor da Venda Real]],""),"")</f>
        <v/>
      </c>
      <c r="S412" s="61" t="str">
        <f t="shared" si="29"/>
        <v/>
      </c>
      <c r="T412" s="23" t="str">
        <f>IFERROR((R412*Final[[#This Row],[Valor da Venda Real]]*Final[[#This Row],[Quantidade ]]*S412),"")</f>
        <v/>
      </c>
    </row>
    <row r="413" spans="1:20" ht="15.75" x14ac:dyDescent="0.2">
      <c r="A413">
        <f>COUNTIF($C$2:C413,C413)</f>
        <v>412</v>
      </c>
      <c r="B413" s="1" t="str">
        <f t="shared" si="28"/>
        <v>412</v>
      </c>
      <c r="C413" s="1" t="str">
        <f>IFERROR(VLOOKUP(D413,'Planilha de Cadastro - Previsão'!$A$2:$N$1000,14,FALSE()),"")</f>
        <v/>
      </c>
      <c r="D413" s="1">
        <v>412</v>
      </c>
      <c r="F413" s="40" t="str">
        <f t="shared" si="27"/>
        <v/>
      </c>
      <c r="G413" s="40" t="str">
        <f>IF(F413="","",'Prosposta Inicial'!$O$2)</f>
        <v/>
      </c>
      <c r="H413" s="40" t="str">
        <f t="shared" si="26"/>
        <v xml:space="preserve"> </v>
      </c>
      <c r="I413" s="41" t="str">
        <f>IFERROR((VLOOKUP(F413,'Planilha de Cadastro - Previsão'!$A$2:$N$1100,2,FALSE()))," ")</f>
        <v xml:space="preserve"> </v>
      </c>
      <c r="J413" s="40" t="str">
        <f>IFERROR((VLOOKUP(F413,'Planilha de Cadastro - Previsão'!$A$2:$N$1100,3,FALSE()))," ")</f>
        <v xml:space="preserve"> </v>
      </c>
      <c r="K413" s="40"/>
      <c r="L413" s="42" t="str">
        <f>IFERROR((VLOOKUP(F413,'Planilha de Cadastro - Previsão'!$A$2:$N$1100,11,FALSE()))," ")</f>
        <v xml:space="preserve"> </v>
      </c>
      <c r="M413" s="41" t="str">
        <f>IFERROR((IF(VLOOKUP(F413,'Planilha de Cadastro - Previsão'!$A$2:$N$1100,10,FALSE())="","",VLOOKUP(F413,'Planilha de Cadastro - Previsão'!$A$2:$N$1100,10,FALSE()))),"")</f>
        <v/>
      </c>
      <c r="N413" s="41"/>
      <c r="O413" s="41"/>
      <c r="P413" s="41" t="str">
        <f>IFERROR((IF(VLOOKUP(F413,'Acompanhamento da Licitação'!$F$2:$O$1000,10,FALSE())="","",VLOOKUP(F413,'Acompanhamento da Licitação'!$F$2:$O$1000,10,FALSE()))),"")</f>
        <v/>
      </c>
      <c r="R413" s="61" t="str">
        <f>IFERROR(IF(F413&gt;0,(Final[[#This Row],[Valor da Venda Real]]-Final[[#This Row],[Valor de Compra Previsto]]-4%*Final[[#This Row],[Valor da Venda Real]])/Final[[#This Row],[Valor da Venda Real]],""),"")</f>
        <v/>
      </c>
      <c r="S413" s="61" t="str">
        <f t="shared" si="29"/>
        <v/>
      </c>
      <c r="T413" s="23" t="str">
        <f>IFERROR((R413*Final[[#This Row],[Valor da Venda Real]]*Final[[#This Row],[Quantidade ]]*S413),"")</f>
        <v/>
      </c>
    </row>
    <row r="414" spans="1:20" ht="15.75" x14ac:dyDescent="0.2">
      <c r="A414">
        <f>COUNTIF($C$2:C414,C414)</f>
        <v>413</v>
      </c>
      <c r="B414" s="1" t="str">
        <f t="shared" si="28"/>
        <v>413</v>
      </c>
      <c r="C414" s="1" t="str">
        <f>IFERROR(VLOOKUP(D414,'Planilha de Cadastro - Previsão'!$A$2:$N$1000,14,FALSE()),"")</f>
        <v/>
      </c>
      <c r="D414" s="1">
        <v>413</v>
      </c>
      <c r="F414" s="40" t="str">
        <f t="shared" si="27"/>
        <v/>
      </c>
      <c r="G414" s="40" t="str">
        <f>IF(F414="","",'Prosposta Inicial'!$O$2)</f>
        <v/>
      </c>
      <c r="H414" s="40" t="str">
        <f t="shared" si="26"/>
        <v xml:space="preserve"> </v>
      </c>
      <c r="I414" s="41" t="str">
        <f>IFERROR((VLOOKUP(F414,'Planilha de Cadastro - Previsão'!$A$2:$N$1100,2,FALSE()))," ")</f>
        <v xml:space="preserve"> </v>
      </c>
      <c r="J414" s="40" t="str">
        <f>IFERROR((VLOOKUP(F414,'Planilha de Cadastro - Previsão'!$A$2:$N$1100,3,FALSE()))," ")</f>
        <v xml:space="preserve"> </v>
      </c>
      <c r="K414" s="40"/>
      <c r="L414" s="42" t="str">
        <f>IFERROR((VLOOKUP(F414,'Planilha de Cadastro - Previsão'!$A$2:$N$1100,11,FALSE()))," ")</f>
        <v xml:space="preserve"> </v>
      </c>
      <c r="M414" s="41" t="str">
        <f>IFERROR((IF(VLOOKUP(F414,'Planilha de Cadastro - Previsão'!$A$2:$N$1100,10,FALSE())="","",VLOOKUP(F414,'Planilha de Cadastro - Previsão'!$A$2:$N$1100,10,FALSE()))),"")</f>
        <v/>
      </c>
      <c r="N414" s="41"/>
      <c r="O414" s="41"/>
      <c r="P414" s="41" t="str">
        <f>IFERROR((IF(VLOOKUP(F414,'Acompanhamento da Licitação'!$F$2:$O$1000,10,FALSE())="","",VLOOKUP(F414,'Acompanhamento da Licitação'!$F$2:$O$1000,10,FALSE()))),"")</f>
        <v/>
      </c>
      <c r="R414" s="61" t="str">
        <f>IFERROR(IF(F414&gt;0,(Final[[#This Row],[Valor da Venda Real]]-Final[[#This Row],[Valor de Compra Previsto]]-4%*Final[[#This Row],[Valor da Venda Real]])/Final[[#This Row],[Valor da Venda Real]],""),"")</f>
        <v/>
      </c>
      <c r="S414" s="61" t="str">
        <f t="shared" si="29"/>
        <v/>
      </c>
      <c r="T414" s="23" t="str">
        <f>IFERROR((R414*Final[[#This Row],[Valor da Venda Real]]*Final[[#This Row],[Quantidade ]]*S414),"")</f>
        <v/>
      </c>
    </row>
    <row r="415" spans="1:20" ht="15.75" x14ac:dyDescent="0.2">
      <c r="A415">
        <f>COUNTIF($C$2:C415,C415)</f>
        <v>414</v>
      </c>
      <c r="B415" s="1" t="str">
        <f t="shared" si="28"/>
        <v>414</v>
      </c>
      <c r="C415" s="1" t="str">
        <f>IFERROR(VLOOKUP(D415,'Planilha de Cadastro - Previsão'!$A$2:$N$1000,14,FALSE()),"")</f>
        <v/>
      </c>
      <c r="D415" s="1">
        <v>414</v>
      </c>
      <c r="F415" s="40" t="str">
        <f t="shared" si="27"/>
        <v/>
      </c>
      <c r="G415" s="40" t="str">
        <f>IF(F415="","",'Prosposta Inicial'!$O$2)</f>
        <v/>
      </c>
      <c r="H415" s="40" t="str">
        <f t="shared" si="26"/>
        <v xml:space="preserve"> </v>
      </c>
      <c r="I415" s="41" t="str">
        <f>IFERROR((VLOOKUP(F415,'Planilha de Cadastro - Previsão'!$A$2:$N$1100,2,FALSE()))," ")</f>
        <v xml:space="preserve"> </v>
      </c>
      <c r="J415" s="40" t="str">
        <f>IFERROR((VLOOKUP(F415,'Planilha de Cadastro - Previsão'!$A$2:$N$1100,3,FALSE()))," ")</f>
        <v xml:space="preserve"> </v>
      </c>
      <c r="K415" s="40"/>
      <c r="L415" s="42" t="str">
        <f>IFERROR((VLOOKUP(F415,'Planilha de Cadastro - Previsão'!$A$2:$N$1100,11,FALSE()))," ")</f>
        <v xml:space="preserve"> </v>
      </c>
      <c r="M415" s="41" t="str">
        <f>IFERROR((IF(VLOOKUP(F415,'Planilha de Cadastro - Previsão'!$A$2:$N$1100,10,FALSE())="","",VLOOKUP(F415,'Planilha de Cadastro - Previsão'!$A$2:$N$1100,10,FALSE()))),"")</f>
        <v/>
      </c>
      <c r="N415" s="41"/>
      <c r="O415" s="41"/>
      <c r="P415" s="41" t="str">
        <f>IFERROR((IF(VLOOKUP(F415,'Acompanhamento da Licitação'!$F$2:$O$1000,10,FALSE())="","",VLOOKUP(F415,'Acompanhamento da Licitação'!$F$2:$O$1000,10,FALSE()))),"")</f>
        <v/>
      </c>
      <c r="R415" s="61" t="str">
        <f>IFERROR(IF(F415&gt;0,(Final[[#This Row],[Valor da Venda Real]]-Final[[#This Row],[Valor de Compra Previsto]]-4%*Final[[#This Row],[Valor da Venda Real]])/Final[[#This Row],[Valor da Venda Real]],""),"")</f>
        <v/>
      </c>
      <c r="S415" s="61" t="str">
        <f t="shared" si="29"/>
        <v/>
      </c>
      <c r="T415" s="23" t="str">
        <f>IFERROR((R415*Final[[#This Row],[Valor da Venda Real]]*Final[[#This Row],[Quantidade ]]*S415),"")</f>
        <v/>
      </c>
    </row>
    <row r="416" spans="1:20" ht="15.75" x14ac:dyDescent="0.2">
      <c r="A416">
        <f>COUNTIF($C$2:C416,C416)</f>
        <v>415</v>
      </c>
      <c r="B416" s="1" t="str">
        <f t="shared" si="28"/>
        <v>415</v>
      </c>
      <c r="C416" s="1" t="str">
        <f>IFERROR(VLOOKUP(D416,'Planilha de Cadastro - Previsão'!$A$2:$N$1000,14,FALSE()),"")</f>
        <v/>
      </c>
      <c r="D416" s="1">
        <v>415</v>
      </c>
      <c r="F416" s="40" t="str">
        <f t="shared" si="27"/>
        <v/>
      </c>
      <c r="G416" s="40" t="str">
        <f>IF(F416="","",'Prosposta Inicial'!$O$2)</f>
        <v/>
      </c>
      <c r="H416" s="40" t="str">
        <f t="shared" si="26"/>
        <v xml:space="preserve"> </v>
      </c>
      <c r="I416" s="41" t="str">
        <f>IFERROR((VLOOKUP(F416,'Planilha de Cadastro - Previsão'!$A$2:$N$1100,2,FALSE()))," ")</f>
        <v xml:space="preserve"> </v>
      </c>
      <c r="J416" s="40" t="str">
        <f>IFERROR((VLOOKUP(F416,'Planilha de Cadastro - Previsão'!$A$2:$N$1100,3,FALSE()))," ")</f>
        <v xml:space="preserve"> </v>
      </c>
      <c r="K416" s="40"/>
      <c r="L416" s="42" t="str">
        <f>IFERROR((VLOOKUP(F416,'Planilha de Cadastro - Previsão'!$A$2:$N$1100,11,FALSE()))," ")</f>
        <v xml:space="preserve"> </v>
      </c>
      <c r="M416" s="41" t="str">
        <f>IFERROR((IF(VLOOKUP(F416,'Planilha de Cadastro - Previsão'!$A$2:$N$1100,10,FALSE())="","",VLOOKUP(F416,'Planilha de Cadastro - Previsão'!$A$2:$N$1100,10,FALSE()))),"")</f>
        <v/>
      </c>
      <c r="N416" s="41"/>
      <c r="O416" s="41"/>
      <c r="P416" s="41" t="str">
        <f>IFERROR((IF(VLOOKUP(F416,'Acompanhamento da Licitação'!$F$2:$O$1000,10,FALSE())="","",VLOOKUP(F416,'Acompanhamento da Licitação'!$F$2:$O$1000,10,FALSE()))),"")</f>
        <v/>
      </c>
      <c r="R416" s="61" t="str">
        <f>IFERROR(IF(F416&gt;0,(Final[[#This Row],[Valor da Venda Real]]-Final[[#This Row],[Valor de Compra Previsto]]-4%*Final[[#This Row],[Valor da Venda Real]])/Final[[#This Row],[Valor da Venda Real]],""),"")</f>
        <v/>
      </c>
      <c r="S416" s="61" t="str">
        <f t="shared" si="29"/>
        <v/>
      </c>
      <c r="T416" s="23" t="str">
        <f>IFERROR((R416*Final[[#This Row],[Valor da Venda Real]]*Final[[#This Row],[Quantidade ]]*S416),"")</f>
        <v/>
      </c>
    </row>
    <row r="417" spans="1:20" ht="15.75" x14ac:dyDescent="0.2">
      <c r="A417">
        <f>COUNTIF($C$2:C417,C417)</f>
        <v>416</v>
      </c>
      <c r="B417" s="1" t="str">
        <f t="shared" si="28"/>
        <v>416</v>
      </c>
      <c r="C417" s="1" t="str">
        <f>IFERROR(VLOOKUP(D417,'Planilha de Cadastro - Previsão'!$A$2:$N$1000,14,FALSE()),"")</f>
        <v/>
      </c>
      <c r="D417" s="1">
        <v>416</v>
      </c>
      <c r="F417" s="40" t="str">
        <f t="shared" si="27"/>
        <v/>
      </c>
      <c r="G417" s="40" t="str">
        <f>IF(F417="","",'Prosposta Inicial'!$O$2)</f>
        <v/>
      </c>
      <c r="H417" s="40" t="str">
        <f t="shared" si="26"/>
        <v xml:space="preserve"> </v>
      </c>
      <c r="I417" s="41" t="str">
        <f>IFERROR((VLOOKUP(F417,'Planilha de Cadastro - Previsão'!$A$2:$N$1100,2,FALSE()))," ")</f>
        <v xml:space="preserve"> </v>
      </c>
      <c r="J417" s="40" t="str">
        <f>IFERROR((VLOOKUP(F417,'Planilha de Cadastro - Previsão'!$A$2:$N$1100,3,FALSE()))," ")</f>
        <v xml:space="preserve"> </v>
      </c>
      <c r="K417" s="40"/>
      <c r="L417" s="42" t="str">
        <f>IFERROR((VLOOKUP(F417,'Planilha de Cadastro - Previsão'!$A$2:$N$1100,11,FALSE()))," ")</f>
        <v xml:space="preserve"> </v>
      </c>
      <c r="M417" s="41" t="str">
        <f>IFERROR((IF(VLOOKUP(F417,'Planilha de Cadastro - Previsão'!$A$2:$N$1100,10,FALSE())="","",VLOOKUP(F417,'Planilha de Cadastro - Previsão'!$A$2:$N$1100,10,FALSE()))),"")</f>
        <v/>
      </c>
      <c r="N417" s="41"/>
      <c r="O417" s="41"/>
      <c r="P417" s="41" t="str">
        <f>IFERROR((IF(VLOOKUP(F417,'Acompanhamento da Licitação'!$F$2:$O$1000,10,FALSE())="","",VLOOKUP(F417,'Acompanhamento da Licitação'!$F$2:$O$1000,10,FALSE()))),"")</f>
        <v/>
      </c>
      <c r="R417" s="61" t="str">
        <f>IFERROR(IF(F417&gt;0,(Final[[#This Row],[Valor da Venda Real]]-Final[[#This Row],[Valor de Compra Previsto]]-4%*Final[[#This Row],[Valor da Venda Real]])/Final[[#This Row],[Valor da Venda Real]],""),"")</f>
        <v/>
      </c>
      <c r="S417" s="61" t="str">
        <f t="shared" si="29"/>
        <v/>
      </c>
      <c r="T417" s="23" t="str">
        <f>IFERROR((R417*Final[[#This Row],[Valor da Venda Real]]*Final[[#This Row],[Quantidade ]]*S417),"")</f>
        <v/>
      </c>
    </row>
    <row r="418" spans="1:20" ht="15.75" x14ac:dyDescent="0.2">
      <c r="A418">
        <f>COUNTIF($C$2:C418,C418)</f>
        <v>417</v>
      </c>
      <c r="B418" s="1" t="str">
        <f t="shared" si="28"/>
        <v>417</v>
      </c>
      <c r="C418" s="1" t="str">
        <f>IFERROR(VLOOKUP(D418,'Planilha de Cadastro - Previsão'!$A$2:$N$1000,14,FALSE()),"")</f>
        <v/>
      </c>
      <c r="D418" s="1">
        <v>417</v>
      </c>
      <c r="F418" s="40" t="str">
        <f t="shared" si="27"/>
        <v/>
      </c>
      <c r="G418" s="40" t="str">
        <f>IF(F418="","",'Prosposta Inicial'!$O$2)</f>
        <v/>
      </c>
      <c r="H418" s="40" t="str">
        <f t="shared" si="26"/>
        <v xml:space="preserve"> </v>
      </c>
      <c r="I418" s="41" t="str">
        <f>IFERROR((VLOOKUP(F418,'Planilha de Cadastro - Previsão'!$A$2:$N$1100,2,FALSE()))," ")</f>
        <v xml:space="preserve"> </v>
      </c>
      <c r="J418" s="40" t="str">
        <f>IFERROR((VLOOKUP(F418,'Planilha de Cadastro - Previsão'!$A$2:$N$1100,3,FALSE()))," ")</f>
        <v xml:space="preserve"> </v>
      </c>
      <c r="K418" s="40"/>
      <c r="L418" s="42" t="str">
        <f>IFERROR((VLOOKUP(F418,'Planilha de Cadastro - Previsão'!$A$2:$N$1100,11,FALSE()))," ")</f>
        <v xml:space="preserve"> </v>
      </c>
      <c r="M418" s="41" t="str">
        <f>IFERROR((IF(VLOOKUP(F418,'Planilha de Cadastro - Previsão'!$A$2:$N$1100,10,FALSE())="","",VLOOKUP(F418,'Planilha de Cadastro - Previsão'!$A$2:$N$1100,10,FALSE()))),"")</f>
        <v/>
      </c>
      <c r="N418" s="41"/>
      <c r="O418" s="41"/>
      <c r="P418" s="41" t="str">
        <f>IFERROR((IF(VLOOKUP(F418,'Acompanhamento da Licitação'!$F$2:$O$1000,10,FALSE())="","",VLOOKUP(F418,'Acompanhamento da Licitação'!$F$2:$O$1000,10,FALSE()))),"")</f>
        <v/>
      </c>
      <c r="R418" s="61" t="str">
        <f>IFERROR(IF(F418&gt;0,(Final[[#This Row],[Valor da Venda Real]]-Final[[#This Row],[Valor de Compra Previsto]]-4%*Final[[#This Row],[Valor da Venda Real]])/Final[[#This Row],[Valor da Venda Real]],""),"")</f>
        <v/>
      </c>
      <c r="S418" s="61" t="str">
        <f t="shared" si="29"/>
        <v/>
      </c>
      <c r="T418" s="23" t="str">
        <f>IFERROR((R418*Final[[#This Row],[Valor da Venda Real]]*Final[[#This Row],[Quantidade ]]*S418),"")</f>
        <v/>
      </c>
    </row>
    <row r="419" spans="1:20" ht="15.75" x14ac:dyDescent="0.2">
      <c r="A419">
        <f>COUNTIF($C$2:C419,C419)</f>
        <v>418</v>
      </c>
      <c r="B419" s="1" t="str">
        <f t="shared" si="28"/>
        <v>418</v>
      </c>
      <c r="C419" s="1" t="str">
        <f>IFERROR(VLOOKUP(D419,'Planilha de Cadastro - Previsão'!$A$2:$N$1000,14,FALSE()),"")</f>
        <v/>
      </c>
      <c r="D419" s="1">
        <v>418</v>
      </c>
      <c r="F419" s="40" t="str">
        <f t="shared" si="27"/>
        <v/>
      </c>
      <c r="G419" s="40" t="str">
        <f>IF(F419="","",'Prosposta Inicial'!$O$2)</f>
        <v/>
      </c>
      <c r="H419" s="40" t="str">
        <f t="shared" si="26"/>
        <v xml:space="preserve"> </v>
      </c>
      <c r="I419" s="41" t="str">
        <f>IFERROR((VLOOKUP(F419,'Planilha de Cadastro - Previsão'!$A$2:$N$1100,2,FALSE()))," ")</f>
        <v xml:space="preserve"> </v>
      </c>
      <c r="J419" s="40" t="str">
        <f>IFERROR((VLOOKUP(F419,'Planilha de Cadastro - Previsão'!$A$2:$N$1100,3,FALSE()))," ")</f>
        <v xml:space="preserve"> </v>
      </c>
      <c r="K419" s="40"/>
      <c r="L419" s="42" t="str">
        <f>IFERROR((VLOOKUP(F419,'Planilha de Cadastro - Previsão'!$A$2:$N$1100,11,FALSE()))," ")</f>
        <v xml:space="preserve"> </v>
      </c>
      <c r="M419" s="41" t="str">
        <f>IFERROR((IF(VLOOKUP(F419,'Planilha de Cadastro - Previsão'!$A$2:$N$1100,10,FALSE())="","",VLOOKUP(F419,'Planilha de Cadastro - Previsão'!$A$2:$N$1100,10,FALSE()))),"")</f>
        <v/>
      </c>
      <c r="N419" s="41"/>
      <c r="O419" s="41"/>
      <c r="P419" s="41" t="str">
        <f>IFERROR((IF(VLOOKUP(F419,'Acompanhamento da Licitação'!$F$2:$O$1000,10,FALSE())="","",VLOOKUP(F419,'Acompanhamento da Licitação'!$F$2:$O$1000,10,FALSE()))),"")</f>
        <v/>
      </c>
      <c r="R419" s="61" t="str">
        <f>IFERROR(IF(F419&gt;0,(Final[[#This Row],[Valor da Venda Real]]-Final[[#This Row],[Valor de Compra Previsto]]-4%*Final[[#This Row],[Valor da Venda Real]])/Final[[#This Row],[Valor da Venda Real]],""),"")</f>
        <v/>
      </c>
      <c r="S419" s="61" t="str">
        <f t="shared" si="29"/>
        <v/>
      </c>
      <c r="T419" s="23" t="str">
        <f>IFERROR((R419*Final[[#This Row],[Valor da Venda Real]]*Final[[#This Row],[Quantidade ]]*S419),"")</f>
        <v/>
      </c>
    </row>
    <row r="420" spans="1:20" ht="15.75" x14ac:dyDescent="0.2">
      <c r="A420">
        <f>COUNTIF($C$2:C420,C420)</f>
        <v>419</v>
      </c>
      <c r="B420" s="1" t="str">
        <f t="shared" si="28"/>
        <v>419</v>
      </c>
      <c r="C420" s="1" t="str">
        <f>IFERROR(VLOOKUP(D420,'Planilha de Cadastro - Previsão'!$A$2:$N$1000,14,FALSE()),"")</f>
        <v/>
      </c>
      <c r="D420" s="1">
        <v>419</v>
      </c>
      <c r="F420" s="40" t="str">
        <f t="shared" si="27"/>
        <v/>
      </c>
      <c r="G420" s="40" t="str">
        <f>IF(F420="","",'Prosposta Inicial'!$O$2)</f>
        <v/>
      </c>
      <c r="H420" s="40" t="str">
        <f t="shared" si="26"/>
        <v xml:space="preserve"> </v>
      </c>
      <c r="I420" s="41" t="str">
        <f>IFERROR((VLOOKUP(F420,'Planilha de Cadastro - Previsão'!$A$2:$N$1100,2,FALSE()))," ")</f>
        <v xml:space="preserve"> </v>
      </c>
      <c r="J420" s="40" t="str">
        <f>IFERROR((VLOOKUP(F420,'Planilha de Cadastro - Previsão'!$A$2:$N$1100,3,FALSE()))," ")</f>
        <v xml:space="preserve"> </v>
      </c>
      <c r="K420" s="40"/>
      <c r="L420" s="42" t="str">
        <f>IFERROR((VLOOKUP(F420,'Planilha de Cadastro - Previsão'!$A$2:$N$1100,11,FALSE()))," ")</f>
        <v xml:space="preserve"> </v>
      </c>
      <c r="M420" s="41" t="str">
        <f>IFERROR((IF(VLOOKUP(F420,'Planilha de Cadastro - Previsão'!$A$2:$N$1100,10,FALSE())="","",VLOOKUP(F420,'Planilha de Cadastro - Previsão'!$A$2:$N$1100,10,FALSE()))),"")</f>
        <v/>
      </c>
      <c r="N420" s="41"/>
      <c r="O420" s="41"/>
      <c r="P420" s="41" t="str">
        <f>IFERROR((IF(VLOOKUP(F420,'Acompanhamento da Licitação'!$F$2:$O$1000,10,FALSE())="","",VLOOKUP(F420,'Acompanhamento da Licitação'!$F$2:$O$1000,10,FALSE()))),"")</f>
        <v/>
      </c>
      <c r="R420" s="61" t="str">
        <f>IFERROR(IF(F420&gt;0,(Final[[#This Row],[Valor da Venda Real]]-Final[[#This Row],[Valor de Compra Previsto]]-4%*Final[[#This Row],[Valor da Venda Real]])/Final[[#This Row],[Valor da Venda Real]],""),"")</f>
        <v/>
      </c>
      <c r="S420" s="61" t="str">
        <f t="shared" si="29"/>
        <v/>
      </c>
      <c r="T420" s="23" t="str">
        <f>IFERROR((R420*Final[[#This Row],[Valor da Venda Real]]*Final[[#This Row],[Quantidade ]]*S420),"")</f>
        <v/>
      </c>
    </row>
    <row r="421" spans="1:20" ht="15.75" x14ac:dyDescent="0.2">
      <c r="A421">
        <f>COUNTIF($C$2:C421,C421)</f>
        <v>420</v>
      </c>
      <c r="B421" s="1" t="str">
        <f t="shared" si="28"/>
        <v>420</v>
      </c>
      <c r="C421" s="1" t="str">
        <f>IFERROR(VLOOKUP(D421,'Planilha de Cadastro - Previsão'!$A$2:$N$1000,14,FALSE()),"")</f>
        <v/>
      </c>
      <c r="D421" s="1">
        <v>420</v>
      </c>
      <c r="F421" s="40" t="str">
        <f t="shared" si="27"/>
        <v/>
      </c>
      <c r="G421" s="40" t="str">
        <f>IF(F421="","",'Prosposta Inicial'!$O$2)</f>
        <v/>
      </c>
      <c r="H421" s="40" t="str">
        <f t="shared" ref="H421:H484" si="30">CONCATENATE(F421,G421,I421)</f>
        <v xml:space="preserve"> </v>
      </c>
      <c r="I421" s="41" t="str">
        <f>IFERROR((VLOOKUP(F421,'Planilha de Cadastro - Previsão'!$A$2:$N$1100,2,FALSE()))," ")</f>
        <v xml:space="preserve"> </v>
      </c>
      <c r="J421" s="40" t="str">
        <f>IFERROR((VLOOKUP(F421,'Planilha de Cadastro - Previsão'!$A$2:$N$1100,3,FALSE()))," ")</f>
        <v xml:space="preserve"> </v>
      </c>
      <c r="K421" s="40"/>
      <c r="L421" s="42" t="str">
        <f>IFERROR((VLOOKUP(F421,'Planilha de Cadastro - Previsão'!$A$2:$N$1100,11,FALSE()))," ")</f>
        <v xml:space="preserve"> </v>
      </c>
      <c r="M421" s="41" t="str">
        <f>IFERROR((IF(VLOOKUP(F421,'Planilha de Cadastro - Previsão'!$A$2:$N$1100,10,FALSE())="","",VLOOKUP(F421,'Planilha de Cadastro - Previsão'!$A$2:$N$1100,10,FALSE()))),"")</f>
        <v/>
      </c>
      <c r="N421" s="41"/>
      <c r="O421" s="41"/>
      <c r="P421" s="41" t="str">
        <f>IFERROR((IF(VLOOKUP(F421,'Acompanhamento da Licitação'!$F$2:$O$1000,10,FALSE())="","",VLOOKUP(F421,'Acompanhamento da Licitação'!$F$2:$O$1000,10,FALSE()))),"")</f>
        <v/>
      </c>
      <c r="R421" s="61" t="str">
        <f>IFERROR(IF(F421&gt;0,(Final[[#This Row],[Valor da Venda Real]]-Final[[#This Row],[Valor de Compra Previsto]]-4%*Final[[#This Row],[Valor da Venda Real]])/Final[[#This Row],[Valor da Venda Real]],""),"")</f>
        <v/>
      </c>
      <c r="S421" s="61" t="str">
        <f t="shared" si="29"/>
        <v/>
      </c>
      <c r="T421" s="23" t="str">
        <f>IFERROR((R421*Final[[#This Row],[Valor da Venda Real]]*Final[[#This Row],[Quantidade ]]*S421),"")</f>
        <v/>
      </c>
    </row>
    <row r="422" spans="1:20" ht="15.75" x14ac:dyDescent="0.2">
      <c r="A422">
        <f>COUNTIF($C$2:C422,C422)</f>
        <v>421</v>
      </c>
      <c r="B422" s="1" t="str">
        <f t="shared" si="28"/>
        <v>421</v>
      </c>
      <c r="C422" s="1" t="str">
        <f>IFERROR(VLOOKUP(D422,'Planilha de Cadastro - Previsão'!$A$2:$N$1000,14,FALSE()),"")</f>
        <v/>
      </c>
      <c r="D422" s="1">
        <v>421</v>
      </c>
      <c r="F422" s="40" t="str">
        <f t="shared" si="27"/>
        <v/>
      </c>
      <c r="G422" s="40" t="str">
        <f>IF(F422="","",'Prosposta Inicial'!$O$2)</f>
        <v/>
      </c>
      <c r="H422" s="40" t="str">
        <f t="shared" si="30"/>
        <v xml:space="preserve"> </v>
      </c>
      <c r="I422" s="41" t="str">
        <f>IFERROR((VLOOKUP(F422,'Planilha de Cadastro - Previsão'!$A$2:$N$1100,2,FALSE()))," ")</f>
        <v xml:space="preserve"> </v>
      </c>
      <c r="J422" s="40" t="str">
        <f>IFERROR((VLOOKUP(F422,'Planilha de Cadastro - Previsão'!$A$2:$N$1100,3,FALSE()))," ")</f>
        <v xml:space="preserve"> </v>
      </c>
      <c r="K422" s="40"/>
      <c r="L422" s="42" t="str">
        <f>IFERROR((VLOOKUP(F422,'Planilha de Cadastro - Previsão'!$A$2:$N$1100,11,FALSE()))," ")</f>
        <v xml:space="preserve"> </v>
      </c>
      <c r="M422" s="41" t="str">
        <f>IFERROR((IF(VLOOKUP(F422,'Planilha de Cadastro - Previsão'!$A$2:$N$1100,10,FALSE())="","",VLOOKUP(F422,'Planilha de Cadastro - Previsão'!$A$2:$N$1100,10,FALSE()))),"")</f>
        <v/>
      </c>
      <c r="N422" s="41"/>
      <c r="O422" s="41"/>
      <c r="P422" s="41" t="str">
        <f>IFERROR((IF(VLOOKUP(F422,'Acompanhamento da Licitação'!$F$2:$O$1000,10,FALSE())="","",VLOOKUP(F422,'Acompanhamento da Licitação'!$F$2:$O$1000,10,FALSE()))),"")</f>
        <v/>
      </c>
      <c r="R422" s="61" t="str">
        <f>IFERROR(IF(F422&gt;0,(Final[[#This Row],[Valor da Venda Real]]-Final[[#This Row],[Valor de Compra Previsto]]-4%*Final[[#This Row],[Valor da Venda Real]])/Final[[#This Row],[Valor da Venda Real]],""),"")</f>
        <v/>
      </c>
      <c r="S422" s="61" t="str">
        <f t="shared" si="29"/>
        <v/>
      </c>
      <c r="T422" s="23" t="str">
        <f>IFERROR((R422*Final[[#This Row],[Valor da Venda Real]]*Final[[#This Row],[Quantidade ]]*S422),"")</f>
        <v/>
      </c>
    </row>
    <row r="423" spans="1:20" ht="15.75" x14ac:dyDescent="0.2">
      <c r="A423">
        <f>COUNTIF($C$2:C423,C423)</f>
        <v>422</v>
      </c>
      <c r="B423" s="1" t="str">
        <f t="shared" si="28"/>
        <v>422</v>
      </c>
      <c r="C423" s="1" t="str">
        <f>IFERROR(VLOOKUP(D423,'Planilha de Cadastro - Previsão'!$A$2:$N$1000,14,FALSE()),"")</f>
        <v/>
      </c>
      <c r="D423" s="1">
        <v>422</v>
      </c>
      <c r="F423" s="40" t="str">
        <f t="shared" si="27"/>
        <v/>
      </c>
      <c r="G423" s="40" t="str">
        <f>IF(F423="","",'Prosposta Inicial'!$O$2)</f>
        <v/>
      </c>
      <c r="H423" s="40" t="str">
        <f t="shared" si="30"/>
        <v xml:space="preserve"> </v>
      </c>
      <c r="I423" s="41" t="str">
        <f>IFERROR((VLOOKUP(F423,'Planilha de Cadastro - Previsão'!$A$2:$N$1100,2,FALSE()))," ")</f>
        <v xml:space="preserve"> </v>
      </c>
      <c r="J423" s="40" t="str">
        <f>IFERROR((VLOOKUP(F423,'Planilha de Cadastro - Previsão'!$A$2:$N$1100,3,FALSE()))," ")</f>
        <v xml:space="preserve"> </v>
      </c>
      <c r="K423" s="40"/>
      <c r="L423" s="42" t="str">
        <f>IFERROR((VLOOKUP(F423,'Planilha de Cadastro - Previsão'!$A$2:$N$1100,11,FALSE()))," ")</f>
        <v xml:space="preserve"> </v>
      </c>
      <c r="M423" s="41" t="str">
        <f>IFERROR((IF(VLOOKUP(F423,'Planilha de Cadastro - Previsão'!$A$2:$N$1100,10,FALSE())="","",VLOOKUP(F423,'Planilha de Cadastro - Previsão'!$A$2:$N$1100,10,FALSE()))),"")</f>
        <v/>
      </c>
      <c r="N423" s="41"/>
      <c r="O423" s="41"/>
      <c r="P423" s="41" t="str">
        <f>IFERROR((IF(VLOOKUP(F423,'Acompanhamento da Licitação'!$F$2:$O$1000,10,FALSE())="","",VLOOKUP(F423,'Acompanhamento da Licitação'!$F$2:$O$1000,10,FALSE()))),"")</f>
        <v/>
      </c>
      <c r="R423" s="61" t="str">
        <f>IFERROR(IF(F423&gt;0,(Final[[#This Row],[Valor da Venda Real]]-Final[[#This Row],[Valor de Compra Previsto]]-4%*Final[[#This Row],[Valor da Venda Real]])/Final[[#This Row],[Valor da Venda Real]],""),"")</f>
        <v/>
      </c>
      <c r="S423" s="61" t="str">
        <f t="shared" si="29"/>
        <v/>
      </c>
      <c r="T423" s="23" t="str">
        <f>IFERROR((R423*Final[[#This Row],[Valor da Venda Real]]*Final[[#This Row],[Quantidade ]]*S423),"")</f>
        <v/>
      </c>
    </row>
    <row r="424" spans="1:20" ht="15.75" x14ac:dyDescent="0.2">
      <c r="A424">
        <f>COUNTIF($C$2:C424,C424)</f>
        <v>423</v>
      </c>
      <c r="B424" s="1" t="str">
        <f t="shared" si="28"/>
        <v>423</v>
      </c>
      <c r="C424" s="1" t="str">
        <f>IFERROR(VLOOKUP(D424,'Planilha de Cadastro - Previsão'!$A$2:$N$1000,14,FALSE()),"")</f>
        <v/>
      </c>
      <c r="D424" s="1">
        <v>423</v>
      </c>
      <c r="F424" s="40" t="str">
        <f t="shared" si="27"/>
        <v/>
      </c>
      <c r="G424" s="40" t="str">
        <f>IF(F424="","",'Prosposta Inicial'!$O$2)</f>
        <v/>
      </c>
      <c r="H424" s="40" t="str">
        <f t="shared" si="30"/>
        <v xml:space="preserve"> </v>
      </c>
      <c r="I424" s="41" t="str">
        <f>IFERROR((VLOOKUP(F424,'Planilha de Cadastro - Previsão'!$A$2:$N$1100,2,FALSE()))," ")</f>
        <v xml:space="preserve"> </v>
      </c>
      <c r="J424" s="40" t="str">
        <f>IFERROR((VLOOKUP(F424,'Planilha de Cadastro - Previsão'!$A$2:$N$1100,3,FALSE()))," ")</f>
        <v xml:space="preserve"> </v>
      </c>
      <c r="K424" s="40"/>
      <c r="L424" s="42" t="str">
        <f>IFERROR((VLOOKUP(F424,'Planilha de Cadastro - Previsão'!$A$2:$N$1100,11,FALSE()))," ")</f>
        <v xml:space="preserve"> </v>
      </c>
      <c r="M424" s="41" t="str">
        <f>IFERROR((IF(VLOOKUP(F424,'Planilha de Cadastro - Previsão'!$A$2:$N$1100,10,FALSE())="","",VLOOKUP(F424,'Planilha de Cadastro - Previsão'!$A$2:$N$1100,10,FALSE()))),"")</f>
        <v/>
      </c>
      <c r="N424" s="41"/>
      <c r="O424" s="41"/>
      <c r="P424" s="41" t="str">
        <f>IFERROR((IF(VLOOKUP(F424,'Acompanhamento da Licitação'!$F$2:$O$1000,10,FALSE())="","",VLOOKUP(F424,'Acompanhamento da Licitação'!$F$2:$O$1000,10,FALSE()))),"")</f>
        <v/>
      </c>
      <c r="R424" s="61" t="str">
        <f>IFERROR(IF(F424&gt;0,(Final[[#This Row],[Valor da Venda Real]]-Final[[#This Row],[Valor de Compra Previsto]]-4%*Final[[#This Row],[Valor da Venda Real]])/Final[[#This Row],[Valor da Venda Real]],""),"")</f>
        <v/>
      </c>
      <c r="S424" s="61" t="str">
        <f t="shared" si="29"/>
        <v/>
      </c>
      <c r="T424" s="23" t="str">
        <f>IFERROR((R424*Final[[#This Row],[Valor da Venda Real]]*Final[[#This Row],[Quantidade ]]*S424),"")</f>
        <v/>
      </c>
    </row>
    <row r="425" spans="1:20" ht="15.75" x14ac:dyDescent="0.2">
      <c r="A425">
        <f>COUNTIF($C$2:C425,C425)</f>
        <v>424</v>
      </c>
      <c r="B425" s="1" t="str">
        <f t="shared" si="28"/>
        <v>424</v>
      </c>
      <c r="C425" s="1" t="str">
        <f>IFERROR(VLOOKUP(D425,'Planilha de Cadastro - Previsão'!$A$2:$N$1000,14,FALSE()),"")</f>
        <v/>
      </c>
      <c r="D425" s="1">
        <v>424</v>
      </c>
      <c r="F425" s="40" t="str">
        <f t="shared" si="27"/>
        <v/>
      </c>
      <c r="G425" s="40" t="str">
        <f>IF(F425="","",'Prosposta Inicial'!$O$2)</f>
        <v/>
      </c>
      <c r="H425" s="40" t="str">
        <f t="shared" si="30"/>
        <v xml:space="preserve"> </v>
      </c>
      <c r="I425" s="41" t="str">
        <f>IFERROR((VLOOKUP(F425,'Planilha de Cadastro - Previsão'!$A$2:$N$1100,2,FALSE()))," ")</f>
        <v xml:space="preserve"> </v>
      </c>
      <c r="J425" s="40" t="str">
        <f>IFERROR((VLOOKUP(F425,'Planilha de Cadastro - Previsão'!$A$2:$N$1100,3,FALSE()))," ")</f>
        <v xml:space="preserve"> </v>
      </c>
      <c r="K425" s="40"/>
      <c r="L425" s="42" t="str">
        <f>IFERROR((VLOOKUP(F425,'Planilha de Cadastro - Previsão'!$A$2:$N$1100,11,FALSE()))," ")</f>
        <v xml:space="preserve"> </v>
      </c>
      <c r="M425" s="41" t="str">
        <f>IFERROR((IF(VLOOKUP(F425,'Planilha de Cadastro - Previsão'!$A$2:$N$1100,10,FALSE())="","",VLOOKUP(F425,'Planilha de Cadastro - Previsão'!$A$2:$N$1100,10,FALSE()))),"")</f>
        <v/>
      </c>
      <c r="N425" s="41"/>
      <c r="O425" s="41"/>
      <c r="P425" s="41" t="str">
        <f>IFERROR((IF(VLOOKUP(F425,'Acompanhamento da Licitação'!$F$2:$O$1000,10,FALSE())="","",VLOOKUP(F425,'Acompanhamento da Licitação'!$F$2:$O$1000,10,FALSE()))),"")</f>
        <v/>
      </c>
      <c r="R425" s="61" t="str">
        <f>IFERROR(IF(F425&gt;0,(Final[[#This Row],[Valor da Venda Real]]-Final[[#This Row],[Valor de Compra Previsto]]-4%*Final[[#This Row],[Valor da Venda Real]])/Final[[#This Row],[Valor da Venda Real]],""),"")</f>
        <v/>
      </c>
      <c r="S425" s="61" t="str">
        <f t="shared" si="29"/>
        <v/>
      </c>
      <c r="T425" s="23" t="str">
        <f>IFERROR((R425*Final[[#This Row],[Valor da Venda Real]]*Final[[#This Row],[Quantidade ]]*S425),"")</f>
        <v/>
      </c>
    </row>
    <row r="426" spans="1:20" ht="15.75" x14ac:dyDescent="0.2">
      <c r="A426">
        <f>COUNTIF($C$2:C426,C426)</f>
        <v>425</v>
      </c>
      <c r="B426" s="1" t="str">
        <f t="shared" si="28"/>
        <v>425</v>
      </c>
      <c r="C426" s="1" t="str">
        <f>IFERROR(VLOOKUP(D426,'Planilha de Cadastro - Previsão'!$A$2:$N$1000,14,FALSE()),"")</f>
        <v/>
      </c>
      <c r="D426" s="1">
        <v>425</v>
      </c>
      <c r="F426" s="40" t="str">
        <f t="shared" si="27"/>
        <v/>
      </c>
      <c r="G426" s="40" t="str">
        <f>IF(F426="","",'Prosposta Inicial'!$O$2)</f>
        <v/>
      </c>
      <c r="H426" s="40" t="str">
        <f t="shared" si="30"/>
        <v xml:space="preserve"> </v>
      </c>
      <c r="I426" s="41" t="str">
        <f>IFERROR((VLOOKUP(F426,'Planilha de Cadastro - Previsão'!$A$2:$N$1100,2,FALSE()))," ")</f>
        <v xml:space="preserve"> </v>
      </c>
      <c r="J426" s="40" t="str">
        <f>IFERROR((VLOOKUP(F426,'Planilha de Cadastro - Previsão'!$A$2:$N$1100,3,FALSE()))," ")</f>
        <v xml:space="preserve"> </v>
      </c>
      <c r="K426" s="40"/>
      <c r="L426" s="42" t="str">
        <f>IFERROR((VLOOKUP(F426,'Planilha de Cadastro - Previsão'!$A$2:$N$1100,11,FALSE()))," ")</f>
        <v xml:space="preserve"> </v>
      </c>
      <c r="M426" s="41" t="str">
        <f>IFERROR((IF(VLOOKUP(F426,'Planilha de Cadastro - Previsão'!$A$2:$N$1100,10,FALSE())="","",VLOOKUP(F426,'Planilha de Cadastro - Previsão'!$A$2:$N$1100,10,FALSE()))),"")</f>
        <v/>
      </c>
      <c r="N426" s="41"/>
      <c r="O426" s="41"/>
      <c r="P426" s="41" t="str">
        <f>IFERROR((IF(VLOOKUP(F426,'Acompanhamento da Licitação'!$F$2:$O$1000,10,FALSE())="","",VLOOKUP(F426,'Acompanhamento da Licitação'!$F$2:$O$1000,10,FALSE()))),"")</f>
        <v/>
      </c>
      <c r="R426" s="61" t="str">
        <f>IFERROR(IF(F426&gt;0,(Final[[#This Row],[Valor da Venda Real]]-Final[[#This Row],[Valor de Compra Previsto]]-4%*Final[[#This Row],[Valor da Venda Real]])/Final[[#This Row],[Valor da Venda Real]],""),"")</f>
        <v/>
      </c>
      <c r="S426" s="61" t="str">
        <f t="shared" si="29"/>
        <v/>
      </c>
      <c r="T426" s="23" t="str">
        <f>IFERROR((R426*Final[[#This Row],[Valor da Venda Real]]*Final[[#This Row],[Quantidade ]]*S426),"")</f>
        <v/>
      </c>
    </row>
    <row r="427" spans="1:20" ht="15.75" x14ac:dyDescent="0.2">
      <c r="A427">
        <f>COUNTIF($C$2:C427,C427)</f>
        <v>426</v>
      </c>
      <c r="B427" s="1" t="str">
        <f t="shared" si="28"/>
        <v>426</v>
      </c>
      <c r="C427" s="1" t="str">
        <f>IFERROR(VLOOKUP(D427,'Planilha de Cadastro - Previsão'!$A$2:$N$1000,14,FALSE()),"")</f>
        <v/>
      </c>
      <c r="D427" s="1">
        <v>426</v>
      </c>
      <c r="F427" s="40" t="str">
        <f t="shared" si="27"/>
        <v/>
      </c>
      <c r="G427" s="40" t="str">
        <f>IF(F427="","",'Prosposta Inicial'!$O$2)</f>
        <v/>
      </c>
      <c r="H427" s="40" t="str">
        <f t="shared" si="30"/>
        <v xml:space="preserve"> </v>
      </c>
      <c r="I427" s="41" t="str">
        <f>IFERROR((VLOOKUP(F427,'Planilha de Cadastro - Previsão'!$A$2:$N$1100,2,FALSE()))," ")</f>
        <v xml:space="preserve"> </v>
      </c>
      <c r="J427" s="40" t="str">
        <f>IFERROR((VLOOKUP(F427,'Planilha de Cadastro - Previsão'!$A$2:$N$1100,3,FALSE()))," ")</f>
        <v xml:space="preserve"> </v>
      </c>
      <c r="K427" s="40"/>
      <c r="L427" s="42" t="str">
        <f>IFERROR((VLOOKUP(F427,'Planilha de Cadastro - Previsão'!$A$2:$N$1100,11,FALSE()))," ")</f>
        <v xml:space="preserve"> </v>
      </c>
      <c r="M427" s="41" t="str">
        <f>IFERROR((IF(VLOOKUP(F427,'Planilha de Cadastro - Previsão'!$A$2:$N$1100,10,FALSE())="","",VLOOKUP(F427,'Planilha de Cadastro - Previsão'!$A$2:$N$1100,10,FALSE()))),"")</f>
        <v/>
      </c>
      <c r="N427" s="41"/>
      <c r="O427" s="41"/>
      <c r="P427" s="41" t="str">
        <f>IFERROR((IF(VLOOKUP(F427,'Acompanhamento da Licitação'!$F$2:$O$1000,10,FALSE())="","",VLOOKUP(F427,'Acompanhamento da Licitação'!$F$2:$O$1000,10,FALSE()))),"")</f>
        <v/>
      </c>
      <c r="R427" s="61" t="str">
        <f>IFERROR(IF(F427&gt;0,(Final[[#This Row],[Valor da Venda Real]]-Final[[#This Row],[Valor de Compra Previsto]]-4%*Final[[#This Row],[Valor da Venda Real]])/Final[[#This Row],[Valor da Venda Real]],""),"")</f>
        <v/>
      </c>
      <c r="S427" s="61" t="str">
        <f t="shared" si="29"/>
        <v/>
      </c>
      <c r="T427" s="23" t="str">
        <f>IFERROR((R427*Final[[#This Row],[Valor da Venda Real]]*Final[[#This Row],[Quantidade ]]*S427),"")</f>
        <v/>
      </c>
    </row>
    <row r="428" spans="1:20" ht="15.75" x14ac:dyDescent="0.2">
      <c r="A428">
        <f>COUNTIF($C$2:C428,C428)</f>
        <v>427</v>
      </c>
      <c r="B428" s="1" t="str">
        <f t="shared" si="28"/>
        <v>427</v>
      </c>
      <c r="C428" s="1" t="str">
        <f>IFERROR(VLOOKUP(D428,'Planilha de Cadastro - Previsão'!$A$2:$N$1000,14,FALSE()),"")</f>
        <v/>
      </c>
      <c r="D428" s="1">
        <v>427</v>
      </c>
      <c r="F428" s="40" t="str">
        <f t="shared" si="27"/>
        <v/>
      </c>
      <c r="G428" s="40" t="str">
        <f>IF(F428="","",'Prosposta Inicial'!$O$2)</f>
        <v/>
      </c>
      <c r="H428" s="40" t="str">
        <f t="shared" si="30"/>
        <v xml:space="preserve"> </v>
      </c>
      <c r="I428" s="41" t="str">
        <f>IFERROR((VLOOKUP(F428,'Planilha de Cadastro - Previsão'!$A$2:$N$1100,2,FALSE()))," ")</f>
        <v xml:space="preserve"> </v>
      </c>
      <c r="J428" s="40" t="str">
        <f>IFERROR((VLOOKUP(F428,'Planilha de Cadastro - Previsão'!$A$2:$N$1100,3,FALSE()))," ")</f>
        <v xml:space="preserve"> </v>
      </c>
      <c r="K428" s="40"/>
      <c r="L428" s="42" t="str">
        <f>IFERROR((VLOOKUP(F428,'Planilha de Cadastro - Previsão'!$A$2:$N$1100,11,FALSE()))," ")</f>
        <v xml:space="preserve"> </v>
      </c>
      <c r="M428" s="41" t="str">
        <f>IFERROR((IF(VLOOKUP(F428,'Planilha de Cadastro - Previsão'!$A$2:$N$1100,10,FALSE())="","",VLOOKUP(F428,'Planilha de Cadastro - Previsão'!$A$2:$N$1100,10,FALSE()))),"")</f>
        <v/>
      </c>
      <c r="N428" s="41"/>
      <c r="O428" s="41"/>
      <c r="P428" s="41" t="str">
        <f>IFERROR((IF(VLOOKUP(F428,'Acompanhamento da Licitação'!$F$2:$O$1000,10,FALSE())="","",VLOOKUP(F428,'Acompanhamento da Licitação'!$F$2:$O$1000,10,FALSE()))),"")</f>
        <v/>
      </c>
      <c r="R428" s="61" t="str">
        <f>IFERROR(IF(F428&gt;0,(Final[[#This Row],[Valor da Venda Real]]-Final[[#This Row],[Valor de Compra Previsto]]-4%*Final[[#This Row],[Valor da Venda Real]])/Final[[#This Row],[Valor da Venda Real]],""),"")</f>
        <v/>
      </c>
      <c r="S428" s="61" t="str">
        <f t="shared" si="29"/>
        <v/>
      </c>
      <c r="T428" s="23" t="str">
        <f>IFERROR((R428*Final[[#This Row],[Valor da Venda Real]]*Final[[#This Row],[Quantidade ]]*S428),"")</f>
        <v/>
      </c>
    </row>
    <row r="429" spans="1:20" ht="15.75" x14ac:dyDescent="0.2">
      <c r="A429">
        <f>COUNTIF($C$2:C429,C429)</f>
        <v>428</v>
      </c>
      <c r="B429" s="1" t="str">
        <f t="shared" si="28"/>
        <v>428</v>
      </c>
      <c r="C429" s="1" t="str">
        <f>IFERROR(VLOOKUP(D429,'Planilha de Cadastro - Previsão'!$A$2:$N$1000,14,FALSE()),"")</f>
        <v/>
      </c>
      <c r="D429" s="1">
        <v>428</v>
      </c>
      <c r="F429" s="40" t="str">
        <f t="shared" si="27"/>
        <v/>
      </c>
      <c r="G429" s="40" t="str">
        <f>IF(F429="","",'Prosposta Inicial'!$O$2)</f>
        <v/>
      </c>
      <c r="H429" s="40" t="str">
        <f t="shared" si="30"/>
        <v xml:space="preserve"> </v>
      </c>
      <c r="I429" s="41" t="str">
        <f>IFERROR((VLOOKUP(F429,'Planilha de Cadastro - Previsão'!$A$2:$N$1100,2,FALSE()))," ")</f>
        <v xml:space="preserve"> </v>
      </c>
      <c r="J429" s="40" t="str">
        <f>IFERROR((VLOOKUP(F429,'Planilha de Cadastro - Previsão'!$A$2:$N$1100,3,FALSE()))," ")</f>
        <v xml:space="preserve"> </v>
      </c>
      <c r="K429" s="40"/>
      <c r="L429" s="42" t="str">
        <f>IFERROR((VLOOKUP(F429,'Planilha de Cadastro - Previsão'!$A$2:$N$1100,11,FALSE()))," ")</f>
        <v xml:space="preserve"> </v>
      </c>
      <c r="M429" s="41" t="str">
        <f>IFERROR((IF(VLOOKUP(F429,'Planilha de Cadastro - Previsão'!$A$2:$N$1100,10,FALSE())="","",VLOOKUP(F429,'Planilha de Cadastro - Previsão'!$A$2:$N$1100,10,FALSE()))),"")</f>
        <v/>
      </c>
      <c r="N429" s="41"/>
      <c r="O429" s="41"/>
      <c r="P429" s="41" t="str">
        <f>IFERROR((IF(VLOOKUP(F429,'Acompanhamento da Licitação'!$F$2:$O$1000,10,FALSE())="","",VLOOKUP(F429,'Acompanhamento da Licitação'!$F$2:$O$1000,10,FALSE()))),"")</f>
        <v/>
      </c>
      <c r="R429" s="61" t="str">
        <f>IFERROR(IF(F429&gt;0,(Final[[#This Row],[Valor da Venda Real]]-Final[[#This Row],[Valor de Compra Previsto]]-4%*Final[[#This Row],[Valor da Venda Real]])/Final[[#This Row],[Valor da Venda Real]],""),"")</f>
        <v/>
      </c>
      <c r="S429" s="61" t="str">
        <f t="shared" si="29"/>
        <v/>
      </c>
      <c r="T429" s="23" t="str">
        <f>IFERROR((R429*Final[[#This Row],[Valor da Venda Real]]*Final[[#This Row],[Quantidade ]]*S429),"")</f>
        <v/>
      </c>
    </row>
    <row r="430" spans="1:20" ht="15.75" x14ac:dyDescent="0.2">
      <c r="A430">
        <f>COUNTIF($C$2:C430,C430)</f>
        <v>429</v>
      </c>
      <c r="B430" s="1" t="str">
        <f t="shared" si="28"/>
        <v>429</v>
      </c>
      <c r="C430" s="1" t="str">
        <f>IFERROR(VLOOKUP(D430,'Planilha de Cadastro - Previsão'!$A$2:$N$1000,14,FALSE()),"")</f>
        <v/>
      </c>
      <c r="D430" s="1">
        <v>429</v>
      </c>
      <c r="F430" s="40" t="str">
        <f t="shared" si="27"/>
        <v/>
      </c>
      <c r="G430" s="40" t="str">
        <f>IF(F430="","",'Prosposta Inicial'!$O$2)</f>
        <v/>
      </c>
      <c r="H430" s="40" t="str">
        <f t="shared" si="30"/>
        <v xml:space="preserve"> </v>
      </c>
      <c r="I430" s="41" t="str">
        <f>IFERROR((VLOOKUP(F430,'Planilha de Cadastro - Previsão'!$A$2:$N$1100,2,FALSE()))," ")</f>
        <v xml:space="preserve"> </v>
      </c>
      <c r="J430" s="40" t="str">
        <f>IFERROR((VLOOKUP(F430,'Planilha de Cadastro - Previsão'!$A$2:$N$1100,3,FALSE()))," ")</f>
        <v xml:space="preserve"> </v>
      </c>
      <c r="K430" s="40"/>
      <c r="L430" s="42" t="str">
        <f>IFERROR((VLOOKUP(F430,'Planilha de Cadastro - Previsão'!$A$2:$N$1100,11,FALSE()))," ")</f>
        <v xml:space="preserve"> </v>
      </c>
      <c r="M430" s="41" t="str">
        <f>IFERROR((IF(VLOOKUP(F430,'Planilha de Cadastro - Previsão'!$A$2:$N$1100,10,FALSE())="","",VLOOKUP(F430,'Planilha de Cadastro - Previsão'!$A$2:$N$1100,10,FALSE()))),"")</f>
        <v/>
      </c>
      <c r="N430" s="41"/>
      <c r="O430" s="41"/>
      <c r="P430" s="41" t="str">
        <f>IFERROR((IF(VLOOKUP(F430,'Acompanhamento da Licitação'!$F$2:$O$1000,10,FALSE())="","",VLOOKUP(F430,'Acompanhamento da Licitação'!$F$2:$O$1000,10,FALSE()))),"")</f>
        <v/>
      </c>
      <c r="R430" s="61" t="str">
        <f>IFERROR(IF(F430&gt;0,(Final[[#This Row],[Valor da Venda Real]]-Final[[#This Row],[Valor de Compra Previsto]]-4%*Final[[#This Row],[Valor da Venda Real]])/Final[[#This Row],[Valor da Venda Real]],""),"")</f>
        <v/>
      </c>
      <c r="S430" s="61" t="str">
        <f t="shared" si="29"/>
        <v/>
      </c>
      <c r="T430" s="23" t="str">
        <f>IFERROR((R430*Final[[#This Row],[Valor da Venda Real]]*Final[[#This Row],[Quantidade ]]*S430),"")</f>
        <v/>
      </c>
    </row>
    <row r="431" spans="1:20" ht="15.75" x14ac:dyDescent="0.2">
      <c r="A431">
        <f>COUNTIF($C$2:C431,C431)</f>
        <v>430</v>
      </c>
      <c r="B431" s="1" t="str">
        <f t="shared" si="28"/>
        <v>430</v>
      </c>
      <c r="C431" s="1" t="str">
        <f>IFERROR(VLOOKUP(D431,'Planilha de Cadastro - Previsão'!$A$2:$N$1000,14,FALSE()),"")</f>
        <v/>
      </c>
      <c r="D431" s="1">
        <v>430</v>
      </c>
      <c r="F431" s="40" t="str">
        <f t="shared" si="27"/>
        <v/>
      </c>
      <c r="G431" s="40" t="str">
        <f>IF(F431="","",'Prosposta Inicial'!$O$2)</f>
        <v/>
      </c>
      <c r="H431" s="40" t="str">
        <f t="shared" si="30"/>
        <v xml:space="preserve"> </v>
      </c>
      <c r="I431" s="41" t="str">
        <f>IFERROR((VLOOKUP(F431,'Planilha de Cadastro - Previsão'!$A$2:$N$1100,2,FALSE()))," ")</f>
        <v xml:space="preserve"> </v>
      </c>
      <c r="J431" s="40" t="str">
        <f>IFERROR((VLOOKUP(F431,'Planilha de Cadastro - Previsão'!$A$2:$N$1100,3,FALSE()))," ")</f>
        <v xml:space="preserve"> </v>
      </c>
      <c r="K431" s="40"/>
      <c r="L431" s="42" t="str">
        <f>IFERROR((VLOOKUP(F431,'Planilha de Cadastro - Previsão'!$A$2:$N$1100,11,FALSE()))," ")</f>
        <v xml:space="preserve"> </v>
      </c>
      <c r="M431" s="41" t="str">
        <f>IFERROR((IF(VLOOKUP(F431,'Planilha de Cadastro - Previsão'!$A$2:$N$1100,10,FALSE())="","",VLOOKUP(F431,'Planilha de Cadastro - Previsão'!$A$2:$N$1100,10,FALSE()))),"")</f>
        <v/>
      </c>
      <c r="N431" s="41"/>
      <c r="O431" s="41"/>
      <c r="P431" s="41" t="str">
        <f>IFERROR((IF(VLOOKUP(F431,'Acompanhamento da Licitação'!$F$2:$O$1000,10,FALSE())="","",VLOOKUP(F431,'Acompanhamento da Licitação'!$F$2:$O$1000,10,FALSE()))),"")</f>
        <v/>
      </c>
      <c r="R431" s="61" t="str">
        <f>IFERROR(IF(F431&gt;0,(Final[[#This Row],[Valor da Venda Real]]-Final[[#This Row],[Valor de Compra Previsto]]-4%*Final[[#This Row],[Valor da Venda Real]])/Final[[#This Row],[Valor da Venda Real]],""),"")</f>
        <v/>
      </c>
      <c r="S431" s="61" t="str">
        <f t="shared" si="29"/>
        <v/>
      </c>
      <c r="T431" s="23" t="str">
        <f>IFERROR((R431*Final[[#This Row],[Valor da Venda Real]]*Final[[#This Row],[Quantidade ]]*S431),"")</f>
        <v/>
      </c>
    </row>
    <row r="432" spans="1:20" ht="15.75" x14ac:dyDescent="0.2">
      <c r="A432">
        <f>COUNTIF($C$2:C432,C432)</f>
        <v>431</v>
      </c>
      <c r="B432" s="1" t="str">
        <f t="shared" si="28"/>
        <v>431</v>
      </c>
      <c r="C432" s="1" t="str">
        <f>IFERROR(VLOOKUP(D432,'Planilha de Cadastro - Previsão'!$A$2:$N$1000,14,FALSE()),"")</f>
        <v/>
      </c>
      <c r="D432" s="1">
        <v>431</v>
      </c>
      <c r="F432" s="40" t="str">
        <f t="shared" si="27"/>
        <v/>
      </c>
      <c r="G432" s="40" t="str">
        <f>IF(F432="","",'Prosposta Inicial'!$O$2)</f>
        <v/>
      </c>
      <c r="H432" s="40" t="str">
        <f t="shared" si="30"/>
        <v xml:space="preserve"> </v>
      </c>
      <c r="I432" s="41" t="str">
        <f>IFERROR((VLOOKUP(F432,'Planilha de Cadastro - Previsão'!$A$2:$N$1100,2,FALSE()))," ")</f>
        <v xml:space="preserve"> </v>
      </c>
      <c r="J432" s="40" t="str">
        <f>IFERROR((VLOOKUP(F432,'Planilha de Cadastro - Previsão'!$A$2:$N$1100,3,FALSE()))," ")</f>
        <v xml:space="preserve"> </v>
      </c>
      <c r="K432" s="40"/>
      <c r="L432" s="42" t="str">
        <f>IFERROR((VLOOKUP(F432,'Planilha de Cadastro - Previsão'!$A$2:$N$1100,11,FALSE()))," ")</f>
        <v xml:space="preserve"> </v>
      </c>
      <c r="M432" s="41" t="str">
        <f>IFERROR((IF(VLOOKUP(F432,'Planilha de Cadastro - Previsão'!$A$2:$N$1100,10,FALSE())="","",VLOOKUP(F432,'Planilha de Cadastro - Previsão'!$A$2:$N$1100,10,FALSE()))),"")</f>
        <v/>
      </c>
      <c r="N432" s="41"/>
      <c r="O432" s="41"/>
      <c r="P432" s="41" t="str">
        <f>IFERROR((IF(VLOOKUP(F432,'Acompanhamento da Licitação'!$F$2:$O$1000,10,FALSE())="","",VLOOKUP(F432,'Acompanhamento da Licitação'!$F$2:$O$1000,10,FALSE()))),"")</f>
        <v/>
      </c>
      <c r="R432" s="61" t="str">
        <f>IFERROR(IF(F432&gt;0,(Final[[#This Row],[Valor da Venda Real]]-Final[[#This Row],[Valor de Compra Previsto]]-4%*Final[[#This Row],[Valor da Venda Real]])/Final[[#This Row],[Valor da Venda Real]],""),"")</f>
        <v/>
      </c>
      <c r="S432" s="61" t="str">
        <f t="shared" si="29"/>
        <v/>
      </c>
      <c r="T432" s="23" t="str">
        <f>IFERROR((R432*Final[[#This Row],[Valor da Venda Real]]*Final[[#This Row],[Quantidade ]]*S432),"")</f>
        <v/>
      </c>
    </row>
    <row r="433" spans="1:20" ht="15.75" x14ac:dyDescent="0.2">
      <c r="A433">
        <f>COUNTIF($C$2:C433,C433)</f>
        <v>432</v>
      </c>
      <c r="B433" s="1" t="str">
        <f t="shared" si="28"/>
        <v>432</v>
      </c>
      <c r="C433" s="1" t="str">
        <f>IFERROR(VLOOKUP(D433,'Planilha de Cadastro - Previsão'!$A$2:$N$1000,14,FALSE()),"")</f>
        <v/>
      </c>
      <c r="D433" s="1">
        <v>432</v>
      </c>
      <c r="F433" s="40" t="str">
        <f t="shared" si="27"/>
        <v/>
      </c>
      <c r="G433" s="40" t="str">
        <f>IF(F433="","",'Prosposta Inicial'!$O$2)</f>
        <v/>
      </c>
      <c r="H433" s="40" t="str">
        <f t="shared" si="30"/>
        <v xml:space="preserve"> </v>
      </c>
      <c r="I433" s="41" t="str">
        <f>IFERROR((VLOOKUP(F433,'Planilha de Cadastro - Previsão'!$A$2:$N$1100,2,FALSE()))," ")</f>
        <v xml:space="preserve"> </v>
      </c>
      <c r="J433" s="40" t="str">
        <f>IFERROR((VLOOKUP(F433,'Planilha de Cadastro - Previsão'!$A$2:$N$1100,3,FALSE()))," ")</f>
        <v xml:space="preserve"> </v>
      </c>
      <c r="K433" s="40"/>
      <c r="L433" s="42" t="str">
        <f>IFERROR((VLOOKUP(F433,'Planilha de Cadastro - Previsão'!$A$2:$N$1100,11,FALSE()))," ")</f>
        <v xml:space="preserve"> </v>
      </c>
      <c r="M433" s="41" t="str">
        <f>IFERROR((IF(VLOOKUP(F433,'Planilha de Cadastro - Previsão'!$A$2:$N$1100,10,FALSE())="","",VLOOKUP(F433,'Planilha de Cadastro - Previsão'!$A$2:$N$1100,10,FALSE()))),"")</f>
        <v/>
      </c>
      <c r="N433" s="41"/>
      <c r="O433" s="41"/>
      <c r="P433" s="41" t="str">
        <f>IFERROR((IF(VLOOKUP(F433,'Acompanhamento da Licitação'!$F$2:$O$1000,10,FALSE())="","",VLOOKUP(F433,'Acompanhamento da Licitação'!$F$2:$O$1000,10,FALSE()))),"")</f>
        <v/>
      </c>
      <c r="R433" s="61" t="str">
        <f>IFERROR(IF(F433&gt;0,(Final[[#This Row],[Valor da Venda Real]]-Final[[#This Row],[Valor de Compra Previsto]]-4%*Final[[#This Row],[Valor da Venda Real]])/Final[[#This Row],[Valor da Venda Real]],""),"")</f>
        <v/>
      </c>
      <c r="S433" s="61" t="str">
        <f t="shared" si="29"/>
        <v/>
      </c>
      <c r="T433" s="23" t="str">
        <f>IFERROR((R433*Final[[#This Row],[Valor da Venda Real]]*Final[[#This Row],[Quantidade ]]*S433),"")</f>
        <v/>
      </c>
    </row>
    <row r="434" spans="1:20" ht="15.75" x14ac:dyDescent="0.2">
      <c r="A434">
        <f>COUNTIF($C$2:C434,C434)</f>
        <v>433</v>
      </c>
      <c r="B434" s="1" t="str">
        <f t="shared" si="28"/>
        <v>433</v>
      </c>
      <c r="C434" s="1" t="str">
        <f>IFERROR(VLOOKUP(D434,'Planilha de Cadastro - Previsão'!$A$2:$N$1000,14,FALSE()),"")</f>
        <v/>
      </c>
      <c r="D434" s="1">
        <v>433</v>
      </c>
      <c r="F434" s="40" t="str">
        <f t="shared" si="27"/>
        <v/>
      </c>
      <c r="G434" s="40" t="str">
        <f>IF(F434="","",'Prosposta Inicial'!$O$2)</f>
        <v/>
      </c>
      <c r="H434" s="40" t="str">
        <f t="shared" si="30"/>
        <v xml:space="preserve"> </v>
      </c>
      <c r="I434" s="41" t="str">
        <f>IFERROR((VLOOKUP(F434,'Planilha de Cadastro - Previsão'!$A$2:$N$1100,2,FALSE()))," ")</f>
        <v xml:space="preserve"> </v>
      </c>
      <c r="J434" s="40" t="str">
        <f>IFERROR((VLOOKUP(F434,'Planilha de Cadastro - Previsão'!$A$2:$N$1100,3,FALSE()))," ")</f>
        <v xml:space="preserve"> </v>
      </c>
      <c r="K434" s="40"/>
      <c r="L434" s="42" t="str">
        <f>IFERROR((VLOOKUP(F434,'Planilha de Cadastro - Previsão'!$A$2:$N$1100,11,FALSE()))," ")</f>
        <v xml:space="preserve"> </v>
      </c>
      <c r="M434" s="41" t="str">
        <f>IFERROR((IF(VLOOKUP(F434,'Planilha de Cadastro - Previsão'!$A$2:$N$1100,10,FALSE())="","",VLOOKUP(F434,'Planilha de Cadastro - Previsão'!$A$2:$N$1100,10,FALSE()))),"")</f>
        <v/>
      </c>
      <c r="N434" s="41"/>
      <c r="O434" s="41"/>
      <c r="P434" s="41" t="str">
        <f>IFERROR((IF(VLOOKUP(F434,'Acompanhamento da Licitação'!$F$2:$O$1000,10,FALSE())="","",VLOOKUP(F434,'Acompanhamento da Licitação'!$F$2:$O$1000,10,FALSE()))),"")</f>
        <v/>
      </c>
      <c r="R434" s="61" t="str">
        <f>IFERROR(IF(F434&gt;0,(Final[[#This Row],[Valor da Venda Real]]-Final[[#This Row],[Valor de Compra Previsto]]-4%*Final[[#This Row],[Valor da Venda Real]])/Final[[#This Row],[Valor da Venda Real]],""),"")</f>
        <v/>
      </c>
      <c r="S434" s="61" t="str">
        <f t="shared" si="29"/>
        <v/>
      </c>
      <c r="T434" s="23" t="str">
        <f>IFERROR((R434*Final[[#This Row],[Valor da Venda Real]]*Final[[#This Row],[Quantidade ]]*S434),"")</f>
        <v/>
      </c>
    </row>
    <row r="435" spans="1:20" ht="15.75" x14ac:dyDescent="0.2">
      <c r="A435">
        <f>COUNTIF($C$2:C435,C435)</f>
        <v>434</v>
      </c>
      <c r="B435" s="1" t="str">
        <f t="shared" si="28"/>
        <v>434</v>
      </c>
      <c r="C435" s="1" t="str">
        <f>IFERROR(VLOOKUP(D435,'Planilha de Cadastro - Previsão'!$A$2:$N$1000,14,FALSE()),"")</f>
        <v/>
      </c>
      <c r="D435" s="1">
        <v>434</v>
      </c>
      <c r="F435" s="40" t="str">
        <f t="shared" si="27"/>
        <v/>
      </c>
      <c r="G435" s="40" t="str">
        <f>IF(F435="","",'Prosposta Inicial'!$O$2)</f>
        <v/>
      </c>
      <c r="H435" s="40" t="str">
        <f t="shared" si="30"/>
        <v xml:space="preserve"> </v>
      </c>
      <c r="I435" s="41" t="str">
        <f>IFERROR((VLOOKUP(F435,'Planilha de Cadastro - Previsão'!$A$2:$N$1100,2,FALSE()))," ")</f>
        <v xml:space="preserve"> </v>
      </c>
      <c r="J435" s="40" t="str">
        <f>IFERROR((VLOOKUP(F435,'Planilha de Cadastro - Previsão'!$A$2:$N$1100,3,FALSE()))," ")</f>
        <v xml:space="preserve"> </v>
      </c>
      <c r="K435" s="40"/>
      <c r="L435" s="42" t="str">
        <f>IFERROR((VLOOKUP(F435,'Planilha de Cadastro - Previsão'!$A$2:$N$1100,11,FALSE()))," ")</f>
        <v xml:space="preserve"> </v>
      </c>
      <c r="M435" s="41" t="str">
        <f>IFERROR((IF(VLOOKUP(F435,'Planilha de Cadastro - Previsão'!$A$2:$N$1100,10,FALSE())="","",VLOOKUP(F435,'Planilha de Cadastro - Previsão'!$A$2:$N$1100,10,FALSE()))),"")</f>
        <v/>
      </c>
      <c r="N435" s="41"/>
      <c r="O435" s="41"/>
      <c r="P435" s="41" t="str">
        <f>IFERROR((IF(VLOOKUP(F435,'Acompanhamento da Licitação'!$F$2:$O$1000,10,FALSE())="","",VLOOKUP(F435,'Acompanhamento da Licitação'!$F$2:$O$1000,10,FALSE()))),"")</f>
        <v/>
      </c>
      <c r="R435" s="61" t="str">
        <f>IFERROR(IF(F435&gt;0,(Final[[#This Row],[Valor da Venda Real]]-Final[[#This Row],[Valor de Compra Previsto]]-4%*Final[[#This Row],[Valor da Venda Real]])/Final[[#This Row],[Valor da Venda Real]],""),"")</f>
        <v/>
      </c>
      <c r="S435" s="61" t="str">
        <f t="shared" si="29"/>
        <v/>
      </c>
      <c r="T435" s="23" t="str">
        <f>IFERROR((R435*Final[[#This Row],[Valor da Venda Real]]*Final[[#This Row],[Quantidade ]]*S435),"")</f>
        <v/>
      </c>
    </row>
    <row r="436" spans="1:20" ht="15.75" x14ac:dyDescent="0.2">
      <c r="A436">
        <f>COUNTIF($C$2:C436,C436)</f>
        <v>435</v>
      </c>
      <c r="B436" s="1" t="str">
        <f t="shared" si="28"/>
        <v>435</v>
      </c>
      <c r="C436" s="1" t="str">
        <f>IFERROR(VLOOKUP(D436,'Planilha de Cadastro - Previsão'!$A$2:$N$1000,14,FALSE()),"")</f>
        <v/>
      </c>
      <c r="D436" s="1">
        <v>435</v>
      </c>
      <c r="F436" s="40" t="str">
        <f t="shared" si="27"/>
        <v/>
      </c>
      <c r="G436" s="40" t="str">
        <f>IF(F436="","",'Prosposta Inicial'!$O$2)</f>
        <v/>
      </c>
      <c r="H436" s="40" t="str">
        <f t="shared" si="30"/>
        <v xml:space="preserve"> </v>
      </c>
      <c r="I436" s="41" t="str">
        <f>IFERROR((VLOOKUP(F436,'Planilha de Cadastro - Previsão'!$A$2:$N$1100,2,FALSE()))," ")</f>
        <v xml:space="preserve"> </v>
      </c>
      <c r="J436" s="40" t="str">
        <f>IFERROR((VLOOKUP(F436,'Planilha de Cadastro - Previsão'!$A$2:$N$1100,3,FALSE()))," ")</f>
        <v xml:space="preserve"> </v>
      </c>
      <c r="K436" s="40"/>
      <c r="L436" s="42" t="str">
        <f>IFERROR((VLOOKUP(F436,'Planilha de Cadastro - Previsão'!$A$2:$N$1100,11,FALSE()))," ")</f>
        <v xml:space="preserve"> </v>
      </c>
      <c r="M436" s="41" t="str">
        <f>IFERROR((IF(VLOOKUP(F436,'Planilha de Cadastro - Previsão'!$A$2:$N$1100,10,FALSE())="","",VLOOKUP(F436,'Planilha de Cadastro - Previsão'!$A$2:$N$1100,10,FALSE()))),"")</f>
        <v/>
      </c>
      <c r="N436" s="41"/>
      <c r="O436" s="41"/>
      <c r="P436" s="41" t="str">
        <f>IFERROR((IF(VLOOKUP(F436,'Acompanhamento da Licitação'!$F$2:$O$1000,10,FALSE())="","",VLOOKUP(F436,'Acompanhamento da Licitação'!$F$2:$O$1000,10,FALSE()))),"")</f>
        <v/>
      </c>
      <c r="R436" s="61" t="str">
        <f>IFERROR(IF(F436&gt;0,(Final[[#This Row],[Valor da Venda Real]]-Final[[#This Row],[Valor de Compra Previsto]]-4%*Final[[#This Row],[Valor da Venda Real]])/Final[[#This Row],[Valor da Venda Real]],""),"")</f>
        <v/>
      </c>
      <c r="S436" s="61" t="str">
        <f t="shared" si="29"/>
        <v/>
      </c>
      <c r="T436" s="23" t="str">
        <f>IFERROR((R436*Final[[#This Row],[Valor da Venda Real]]*Final[[#This Row],[Quantidade ]]*S436),"")</f>
        <v/>
      </c>
    </row>
    <row r="437" spans="1:20" ht="15.75" x14ac:dyDescent="0.2">
      <c r="A437">
        <f>COUNTIF($C$2:C437,C437)</f>
        <v>436</v>
      </c>
      <c r="B437" s="1" t="str">
        <f t="shared" si="28"/>
        <v>436</v>
      </c>
      <c r="C437" s="1" t="str">
        <f>IFERROR(VLOOKUP(D437,'Planilha de Cadastro - Previsão'!$A$2:$N$1000,14,FALSE()),"")</f>
        <v/>
      </c>
      <c r="D437" s="1">
        <v>436</v>
      </c>
      <c r="F437" s="40" t="str">
        <f t="shared" si="27"/>
        <v/>
      </c>
      <c r="G437" s="40" t="str">
        <f>IF(F437="","",'Prosposta Inicial'!$O$2)</f>
        <v/>
      </c>
      <c r="H437" s="40" t="str">
        <f t="shared" si="30"/>
        <v xml:space="preserve"> </v>
      </c>
      <c r="I437" s="41" t="str">
        <f>IFERROR((VLOOKUP(F437,'Planilha de Cadastro - Previsão'!$A$2:$N$1100,2,FALSE()))," ")</f>
        <v xml:space="preserve"> </v>
      </c>
      <c r="J437" s="40" t="str">
        <f>IFERROR((VLOOKUP(F437,'Planilha de Cadastro - Previsão'!$A$2:$N$1100,3,FALSE()))," ")</f>
        <v xml:space="preserve"> </v>
      </c>
      <c r="K437" s="40"/>
      <c r="L437" s="42" t="str">
        <f>IFERROR((VLOOKUP(F437,'Planilha de Cadastro - Previsão'!$A$2:$N$1100,11,FALSE()))," ")</f>
        <v xml:space="preserve"> </v>
      </c>
      <c r="M437" s="41" t="str">
        <f>IFERROR((IF(VLOOKUP(F437,'Planilha de Cadastro - Previsão'!$A$2:$N$1100,10,FALSE())="","",VLOOKUP(F437,'Planilha de Cadastro - Previsão'!$A$2:$N$1100,10,FALSE()))),"")</f>
        <v/>
      </c>
      <c r="N437" s="41"/>
      <c r="O437" s="41"/>
      <c r="P437" s="41" t="str">
        <f>IFERROR((IF(VLOOKUP(F437,'Acompanhamento da Licitação'!$F$2:$O$1000,10,FALSE())="","",VLOOKUP(F437,'Acompanhamento da Licitação'!$F$2:$O$1000,10,FALSE()))),"")</f>
        <v/>
      </c>
      <c r="R437" s="61" t="str">
        <f>IFERROR(IF(F437&gt;0,(Final[[#This Row],[Valor da Venda Real]]-Final[[#This Row],[Valor de Compra Previsto]]-4%*Final[[#This Row],[Valor da Venda Real]])/Final[[#This Row],[Valor da Venda Real]],""),"")</f>
        <v/>
      </c>
      <c r="S437" s="61" t="str">
        <f t="shared" si="29"/>
        <v/>
      </c>
      <c r="T437" s="23" t="str">
        <f>IFERROR((R437*Final[[#This Row],[Valor da Venda Real]]*Final[[#This Row],[Quantidade ]]*S437),"")</f>
        <v/>
      </c>
    </row>
    <row r="438" spans="1:20" ht="15.75" x14ac:dyDescent="0.2">
      <c r="A438">
        <f>COUNTIF($C$2:C438,C438)</f>
        <v>437</v>
      </c>
      <c r="B438" s="1" t="str">
        <f t="shared" si="28"/>
        <v>437</v>
      </c>
      <c r="C438" s="1" t="str">
        <f>IFERROR(VLOOKUP(D438,'Planilha de Cadastro - Previsão'!$A$2:$N$1000,14,FALSE()),"")</f>
        <v/>
      </c>
      <c r="D438" s="1">
        <v>437</v>
      </c>
      <c r="F438" s="40" t="str">
        <f t="shared" si="27"/>
        <v/>
      </c>
      <c r="G438" s="40" t="str">
        <f>IF(F438="","",'Prosposta Inicial'!$O$2)</f>
        <v/>
      </c>
      <c r="H438" s="40" t="str">
        <f t="shared" si="30"/>
        <v xml:space="preserve"> </v>
      </c>
      <c r="I438" s="41" t="str">
        <f>IFERROR((VLOOKUP(F438,'Planilha de Cadastro - Previsão'!$A$2:$N$1100,2,FALSE()))," ")</f>
        <v xml:space="preserve"> </v>
      </c>
      <c r="J438" s="40" t="str">
        <f>IFERROR((VLOOKUP(F438,'Planilha de Cadastro - Previsão'!$A$2:$N$1100,3,FALSE()))," ")</f>
        <v xml:space="preserve"> </v>
      </c>
      <c r="K438" s="40"/>
      <c r="L438" s="42" t="str">
        <f>IFERROR((VLOOKUP(F438,'Planilha de Cadastro - Previsão'!$A$2:$N$1100,11,FALSE()))," ")</f>
        <v xml:space="preserve"> </v>
      </c>
      <c r="M438" s="41" t="str">
        <f>IFERROR((IF(VLOOKUP(F438,'Planilha de Cadastro - Previsão'!$A$2:$N$1100,10,FALSE())="","",VLOOKUP(F438,'Planilha de Cadastro - Previsão'!$A$2:$N$1100,10,FALSE()))),"")</f>
        <v/>
      </c>
      <c r="N438" s="41"/>
      <c r="O438" s="41"/>
      <c r="P438" s="41" t="str">
        <f>IFERROR((IF(VLOOKUP(F438,'Acompanhamento da Licitação'!$F$2:$O$1000,10,FALSE())="","",VLOOKUP(F438,'Acompanhamento da Licitação'!$F$2:$O$1000,10,FALSE()))),"")</f>
        <v/>
      </c>
      <c r="R438" s="61" t="str">
        <f>IFERROR(IF(F438&gt;0,(Final[[#This Row],[Valor da Venda Real]]-Final[[#This Row],[Valor de Compra Previsto]]-4%*Final[[#This Row],[Valor da Venda Real]])/Final[[#This Row],[Valor da Venda Real]],""),"")</f>
        <v/>
      </c>
      <c r="S438" s="61" t="str">
        <f t="shared" si="29"/>
        <v/>
      </c>
      <c r="T438" s="23" t="str">
        <f>IFERROR((R438*Final[[#This Row],[Valor da Venda Real]]*Final[[#This Row],[Quantidade ]]*S438),"")</f>
        <v/>
      </c>
    </row>
    <row r="439" spans="1:20" ht="15.75" x14ac:dyDescent="0.2">
      <c r="A439">
        <f>COUNTIF($C$2:C439,C439)</f>
        <v>438</v>
      </c>
      <c r="B439" s="1" t="str">
        <f t="shared" si="28"/>
        <v>438</v>
      </c>
      <c r="C439" s="1" t="str">
        <f>IFERROR(VLOOKUP(D439,'Planilha de Cadastro - Previsão'!$A$2:$N$1000,14,FALSE()),"")</f>
        <v/>
      </c>
      <c r="D439" s="1">
        <v>438</v>
      </c>
      <c r="F439" s="40" t="str">
        <f t="shared" si="27"/>
        <v/>
      </c>
      <c r="G439" s="40" t="str">
        <f>IF(F439="","",'Prosposta Inicial'!$O$2)</f>
        <v/>
      </c>
      <c r="H439" s="40" t="str">
        <f t="shared" si="30"/>
        <v xml:space="preserve"> </v>
      </c>
      <c r="I439" s="41" t="str">
        <f>IFERROR((VLOOKUP(F439,'Planilha de Cadastro - Previsão'!$A$2:$N$1100,2,FALSE()))," ")</f>
        <v xml:space="preserve"> </v>
      </c>
      <c r="J439" s="40" t="str">
        <f>IFERROR((VLOOKUP(F439,'Planilha de Cadastro - Previsão'!$A$2:$N$1100,3,FALSE()))," ")</f>
        <v xml:space="preserve"> </v>
      </c>
      <c r="K439" s="40"/>
      <c r="L439" s="42" t="str">
        <f>IFERROR((VLOOKUP(F439,'Planilha de Cadastro - Previsão'!$A$2:$N$1100,11,FALSE()))," ")</f>
        <v xml:space="preserve"> </v>
      </c>
      <c r="M439" s="41" t="str">
        <f>IFERROR((IF(VLOOKUP(F439,'Planilha de Cadastro - Previsão'!$A$2:$N$1100,10,FALSE())="","",VLOOKUP(F439,'Planilha de Cadastro - Previsão'!$A$2:$N$1100,10,FALSE()))),"")</f>
        <v/>
      </c>
      <c r="N439" s="41"/>
      <c r="O439" s="41"/>
      <c r="P439" s="41" t="str">
        <f>IFERROR((IF(VLOOKUP(F439,'Acompanhamento da Licitação'!$F$2:$O$1000,10,FALSE())="","",VLOOKUP(F439,'Acompanhamento da Licitação'!$F$2:$O$1000,10,FALSE()))),"")</f>
        <v/>
      </c>
      <c r="R439" s="61" t="str">
        <f>IFERROR(IF(F439&gt;0,(Final[[#This Row],[Valor da Venda Real]]-Final[[#This Row],[Valor de Compra Previsto]]-4%*Final[[#This Row],[Valor da Venda Real]])/Final[[#This Row],[Valor da Venda Real]],""),"")</f>
        <v/>
      </c>
      <c r="S439" s="61" t="str">
        <f t="shared" si="29"/>
        <v/>
      </c>
      <c r="T439" s="23" t="str">
        <f>IFERROR((R439*Final[[#This Row],[Valor da Venda Real]]*Final[[#This Row],[Quantidade ]]*S439),"")</f>
        <v/>
      </c>
    </row>
    <row r="440" spans="1:20" ht="15.75" x14ac:dyDescent="0.2">
      <c r="A440">
        <f>COUNTIF($C$2:C440,C440)</f>
        <v>439</v>
      </c>
      <c r="B440" s="1" t="str">
        <f t="shared" si="28"/>
        <v>439</v>
      </c>
      <c r="C440" s="1" t="str">
        <f>IFERROR(VLOOKUP(D440,'Planilha de Cadastro - Previsão'!$A$2:$N$1000,14,FALSE()),"")</f>
        <v/>
      </c>
      <c r="D440" s="1">
        <v>439</v>
      </c>
      <c r="F440" s="40" t="str">
        <f t="shared" si="27"/>
        <v/>
      </c>
      <c r="G440" s="40" t="str">
        <f>IF(F440="","",'Prosposta Inicial'!$O$2)</f>
        <v/>
      </c>
      <c r="H440" s="40" t="str">
        <f t="shared" si="30"/>
        <v xml:space="preserve"> </v>
      </c>
      <c r="I440" s="41" t="str">
        <f>IFERROR((VLOOKUP(F440,'Planilha de Cadastro - Previsão'!$A$2:$N$1100,2,FALSE()))," ")</f>
        <v xml:space="preserve"> </v>
      </c>
      <c r="J440" s="40" t="str">
        <f>IFERROR((VLOOKUP(F440,'Planilha de Cadastro - Previsão'!$A$2:$N$1100,3,FALSE()))," ")</f>
        <v xml:space="preserve"> </v>
      </c>
      <c r="K440" s="40"/>
      <c r="L440" s="42" t="str">
        <f>IFERROR((VLOOKUP(F440,'Planilha de Cadastro - Previsão'!$A$2:$N$1100,11,FALSE()))," ")</f>
        <v xml:space="preserve"> </v>
      </c>
      <c r="M440" s="41" t="str">
        <f>IFERROR((IF(VLOOKUP(F440,'Planilha de Cadastro - Previsão'!$A$2:$N$1100,10,FALSE())="","",VLOOKUP(F440,'Planilha de Cadastro - Previsão'!$A$2:$N$1100,10,FALSE()))),"")</f>
        <v/>
      </c>
      <c r="N440" s="41"/>
      <c r="O440" s="41"/>
      <c r="P440" s="41" t="str">
        <f>IFERROR((IF(VLOOKUP(F440,'Acompanhamento da Licitação'!$F$2:$O$1000,10,FALSE())="","",VLOOKUP(F440,'Acompanhamento da Licitação'!$F$2:$O$1000,10,FALSE()))),"")</f>
        <v/>
      </c>
      <c r="R440" s="61" t="str">
        <f>IFERROR(IF(F440&gt;0,(Final[[#This Row],[Valor da Venda Real]]-Final[[#This Row],[Valor de Compra Previsto]]-4%*Final[[#This Row],[Valor da Venda Real]])/Final[[#This Row],[Valor da Venda Real]],""),"")</f>
        <v/>
      </c>
      <c r="S440" s="61" t="str">
        <f t="shared" si="29"/>
        <v/>
      </c>
      <c r="T440" s="23" t="str">
        <f>IFERROR((R440*Final[[#This Row],[Valor da Venda Real]]*Final[[#This Row],[Quantidade ]]*S440),"")</f>
        <v/>
      </c>
    </row>
    <row r="441" spans="1:20" ht="15.75" x14ac:dyDescent="0.2">
      <c r="A441">
        <f>COUNTIF($C$2:C441,C441)</f>
        <v>440</v>
      </c>
      <c r="B441" s="1" t="str">
        <f t="shared" si="28"/>
        <v>440</v>
      </c>
      <c r="C441" s="1" t="str">
        <f>IFERROR(VLOOKUP(D441,'Planilha de Cadastro - Previsão'!$A$2:$N$1000,14,FALSE()),"")</f>
        <v/>
      </c>
      <c r="D441" s="1">
        <v>440</v>
      </c>
      <c r="F441" s="40" t="str">
        <f t="shared" si="27"/>
        <v/>
      </c>
      <c r="G441" s="40" t="str">
        <f>IF(F441="","",'Prosposta Inicial'!$O$2)</f>
        <v/>
      </c>
      <c r="H441" s="40" t="str">
        <f t="shared" si="30"/>
        <v xml:space="preserve"> </v>
      </c>
      <c r="I441" s="41" t="str">
        <f>IFERROR((VLOOKUP(F441,'Planilha de Cadastro - Previsão'!$A$2:$N$1100,2,FALSE()))," ")</f>
        <v xml:space="preserve"> </v>
      </c>
      <c r="J441" s="40" t="str">
        <f>IFERROR((VLOOKUP(F441,'Planilha de Cadastro - Previsão'!$A$2:$N$1100,3,FALSE()))," ")</f>
        <v xml:space="preserve"> </v>
      </c>
      <c r="K441" s="40"/>
      <c r="L441" s="42" t="str">
        <f>IFERROR((VLOOKUP(F441,'Planilha de Cadastro - Previsão'!$A$2:$N$1100,11,FALSE()))," ")</f>
        <v xml:space="preserve"> </v>
      </c>
      <c r="M441" s="41" t="str">
        <f>IFERROR((IF(VLOOKUP(F441,'Planilha de Cadastro - Previsão'!$A$2:$N$1100,10,FALSE())="","",VLOOKUP(F441,'Planilha de Cadastro - Previsão'!$A$2:$N$1100,10,FALSE()))),"")</f>
        <v/>
      </c>
      <c r="N441" s="41"/>
      <c r="O441" s="41"/>
      <c r="P441" s="41" t="str">
        <f>IFERROR((IF(VLOOKUP(F441,'Acompanhamento da Licitação'!$F$2:$O$1000,10,FALSE())="","",VLOOKUP(F441,'Acompanhamento da Licitação'!$F$2:$O$1000,10,FALSE()))),"")</f>
        <v/>
      </c>
      <c r="R441" s="61" t="str">
        <f>IFERROR(IF(F441&gt;0,(Final[[#This Row],[Valor da Venda Real]]-Final[[#This Row],[Valor de Compra Previsto]]-4%*Final[[#This Row],[Valor da Venda Real]])/Final[[#This Row],[Valor da Venda Real]],""),"")</f>
        <v/>
      </c>
      <c r="S441" s="61" t="str">
        <f t="shared" si="29"/>
        <v/>
      </c>
      <c r="T441" s="23" t="str">
        <f>IFERROR((R441*Final[[#This Row],[Valor da Venda Real]]*Final[[#This Row],[Quantidade ]]*S441),"")</f>
        <v/>
      </c>
    </row>
    <row r="442" spans="1:20" ht="15.75" x14ac:dyDescent="0.2">
      <c r="A442">
        <f>COUNTIF($C$2:C442,C442)</f>
        <v>441</v>
      </c>
      <c r="B442" s="1" t="str">
        <f t="shared" si="28"/>
        <v>441</v>
      </c>
      <c r="C442" s="1" t="str">
        <f>IFERROR(VLOOKUP(D442,'Planilha de Cadastro - Previsão'!$A$2:$N$1000,14,FALSE()),"")</f>
        <v/>
      </c>
      <c r="D442" s="1">
        <v>441</v>
      </c>
      <c r="F442" s="40" t="str">
        <f t="shared" si="27"/>
        <v/>
      </c>
      <c r="G442" s="40" t="str">
        <f>IF(F442="","",'Prosposta Inicial'!$O$2)</f>
        <v/>
      </c>
      <c r="H442" s="40" t="str">
        <f t="shared" si="30"/>
        <v xml:space="preserve"> </v>
      </c>
      <c r="I442" s="41" t="str">
        <f>IFERROR((VLOOKUP(F442,'Planilha de Cadastro - Previsão'!$A$2:$N$1100,2,FALSE()))," ")</f>
        <v xml:space="preserve"> </v>
      </c>
      <c r="J442" s="40" t="str">
        <f>IFERROR((VLOOKUP(F442,'Planilha de Cadastro - Previsão'!$A$2:$N$1100,3,FALSE()))," ")</f>
        <v xml:space="preserve"> </v>
      </c>
      <c r="K442" s="40"/>
      <c r="L442" s="42" t="str">
        <f>IFERROR((VLOOKUP(F442,'Planilha de Cadastro - Previsão'!$A$2:$N$1100,11,FALSE()))," ")</f>
        <v xml:space="preserve"> </v>
      </c>
      <c r="M442" s="41" t="str">
        <f>IFERROR((IF(VLOOKUP(F442,'Planilha de Cadastro - Previsão'!$A$2:$N$1100,10,FALSE())="","",VLOOKUP(F442,'Planilha de Cadastro - Previsão'!$A$2:$N$1100,10,FALSE()))),"")</f>
        <v/>
      </c>
      <c r="N442" s="41"/>
      <c r="O442" s="41"/>
      <c r="P442" s="41" t="str">
        <f>IFERROR((IF(VLOOKUP(F442,'Acompanhamento da Licitação'!$F$2:$O$1000,10,FALSE())="","",VLOOKUP(F442,'Acompanhamento da Licitação'!$F$2:$O$1000,10,FALSE()))),"")</f>
        <v/>
      </c>
      <c r="R442" s="61" t="str">
        <f>IFERROR(IF(F442&gt;0,(Final[[#This Row],[Valor da Venda Real]]-Final[[#This Row],[Valor de Compra Previsto]]-4%*Final[[#This Row],[Valor da Venda Real]])/Final[[#This Row],[Valor da Venda Real]],""),"")</f>
        <v/>
      </c>
      <c r="S442" s="61" t="str">
        <f t="shared" si="29"/>
        <v/>
      </c>
      <c r="T442" s="23" t="str">
        <f>IFERROR((R442*Final[[#This Row],[Valor da Venda Real]]*Final[[#This Row],[Quantidade ]]*S442),"")</f>
        <v/>
      </c>
    </row>
    <row r="443" spans="1:20" ht="15.75" x14ac:dyDescent="0.2">
      <c r="A443">
        <f>COUNTIF($C$2:C443,C443)</f>
        <v>442</v>
      </c>
      <c r="B443" s="1" t="str">
        <f t="shared" si="28"/>
        <v>442</v>
      </c>
      <c r="C443" s="1" t="str">
        <f>IFERROR(VLOOKUP(D443,'Planilha de Cadastro - Previsão'!$A$2:$N$1000,14,FALSE()),"")</f>
        <v/>
      </c>
      <c r="D443" s="1">
        <v>442</v>
      </c>
      <c r="F443" s="40" t="str">
        <f t="shared" si="27"/>
        <v/>
      </c>
      <c r="G443" s="40" t="str">
        <f>IF(F443="","",'Prosposta Inicial'!$O$2)</f>
        <v/>
      </c>
      <c r="H443" s="40" t="str">
        <f t="shared" si="30"/>
        <v xml:space="preserve"> </v>
      </c>
      <c r="I443" s="41" t="str">
        <f>IFERROR((VLOOKUP(F443,'Planilha de Cadastro - Previsão'!$A$2:$N$1100,2,FALSE()))," ")</f>
        <v xml:space="preserve"> </v>
      </c>
      <c r="J443" s="40" t="str">
        <f>IFERROR((VLOOKUP(F443,'Planilha de Cadastro - Previsão'!$A$2:$N$1100,3,FALSE()))," ")</f>
        <v xml:space="preserve"> </v>
      </c>
      <c r="K443" s="40"/>
      <c r="L443" s="42" t="str">
        <f>IFERROR((VLOOKUP(F443,'Planilha de Cadastro - Previsão'!$A$2:$N$1100,11,FALSE()))," ")</f>
        <v xml:space="preserve"> </v>
      </c>
      <c r="M443" s="41" t="str">
        <f>IFERROR((IF(VLOOKUP(F443,'Planilha de Cadastro - Previsão'!$A$2:$N$1100,10,FALSE())="","",VLOOKUP(F443,'Planilha de Cadastro - Previsão'!$A$2:$N$1100,10,FALSE()))),"")</f>
        <v/>
      </c>
      <c r="N443" s="41"/>
      <c r="O443" s="41"/>
      <c r="P443" s="41" t="str">
        <f>IFERROR((IF(VLOOKUP(F443,'Acompanhamento da Licitação'!$F$2:$O$1000,10,FALSE())="","",VLOOKUP(F443,'Acompanhamento da Licitação'!$F$2:$O$1000,10,FALSE()))),"")</f>
        <v/>
      </c>
      <c r="R443" s="61" t="str">
        <f>IFERROR(IF(F443&gt;0,(Final[[#This Row],[Valor da Venda Real]]-Final[[#This Row],[Valor de Compra Previsto]]-4%*Final[[#This Row],[Valor da Venda Real]])/Final[[#This Row],[Valor da Venda Real]],""),"")</f>
        <v/>
      </c>
      <c r="S443" s="61" t="str">
        <f t="shared" si="29"/>
        <v/>
      </c>
      <c r="T443" s="23" t="str">
        <f>IFERROR((R443*Final[[#This Row],[Valor da Venda Real]]*Final[[#This Row],[Quantidade ]]*S443),"")</f>
        <v/>
      </c>
    </row>
    <row r="444" spans="1:20" ht="15.75" x14ac:dyDescent="0.2">
      <c r="A444">
        <f>COUNTIF($C$2:C444,C444)</f>
        <v>443</v>
      </c>
      <c r="B444" s="1" t="str">
        <f t="shared" si="28"/>
        <v>443</v>
      </c>
      <c r="C444" s="1" t="str">
        <f>IFERROR(VLOOKUP(D444,'Planilha de Cadastro - Previsão'!$A$2:$N$1000,14,FALSE()),"")</f>
        <v/>
      </c>
      <c r="D444" s="1">
        <v>443</v>
      </c>
      <c r="F444" s="40" t="str">
        <f t="shared" si="27"/>
        <v/>
      </c>
      <c r="G444" s="40" t="str">
        <f>IF(F444="","",'Prosposta Inicial'!$O$2)</f>
        <v/>
      </c>
      <c r="H444" s="40" t="str">
        <f t="shared" si="30"/>
        <v xml:space="preserve"> </v>
      </c>
      <c r="I444" s="41" t="str">
        <f>IFERROR((VLOOKUP(F444,'Planilha de Cadastro - Previsão'!$A$2:$N$1100,2,FALSE()))," ")</f>
        <v xml:space="preserve"> </v>
      </c>
      <c r="J444" s="40" t="str">
        <f>IFERROR((VLOOKUP(F444,'Planilha de Cadastro - Previsão'!$A$2:$N$1100,3,FALSE()))," ")</f>
        <v xml:space="preserve"> </v>
      </c>
      <c r="K444" s="40"/>
      <c r="L444" s="42" t="str">
        <f>IFERROR((VLOOKUP(F444,'Planilha de Cadastro - Previsão'!$A$2:$N$1100,11,FALSE()))," ")</f>
        <v xml:space="preserve"> </v>
      </c>
      <c r="M444" s="41" t="str">
        <f>IFERROR((IF(VLOOKUP(F444,'Planilha de Cadastro - Previsão'!$A$2:$N$1100,10,FALSE())="","",VLOOKUP(F444,'Planilha de Cadastro - Previsão'!$A$2:$N$1100,10,FALSE()))),"")</f>
        <v/>
      </c>
      <c r="N444" s="41"/>
      <c r="O444" s="41"/>
      <c r="P444" s="41" t="str">
        <f>IFERROR((IF(VLOOKUP(F444,'Acompanhamento da Licitação'!$F$2:$O$1000,10,FALSE())="","",VLOOKUP(F444,'Acompanhamento da Licitação'!$F$2:$O$1000,10,FALSE()))),"")</f>
        <v/>
      </c>
      <c r="R444" s="61" t="str">
        <f>IFERROR(IF(F444&gt;0,(Final[[#This Row],[Valor da Venda Real]]-Final[[#This Row],[Valor de Compra Previsto]]-4%*Final[[#This Row],[Valor da Venda Real]])/Final[[#This Row],[Valor da Venda Real]],""),"")</f>
        <v/>
      </c>
      <c r="S444" s="61" t="str">
        <f t="shared" si="29"/>
        <v/>
      </c>
      <c r="T444" s="23" t="str">
        <f>IFERROR((R444*Final[[#This Row],[Valor da Venda Real]]*Final[[#This Row],[Quantidade ]]*S444),"")</f>
        <v/>
      </c>
    </row>
    <row r="445" spans="1:20" ht="15.75" x14ac:dyDescent="0.2">
      <c r="A445">
        <f>COUNTIF($C$2:C445,C445)</f>
        <v>444</v>
      </c>
      <c r="B445" s="1" t="str">
        <f t="shared" si="28"/>
        <v>444</v>
      </c>
      <c r="C445" s="1" t="str">
        <f>IFERROR(VLOOKUP(D445,'Planilha de Cadastro - Previsão'!$A$2:$N$1000,14,FALSE()),"")</f>
        <v/>
      </c>
      <c r="D445" s="1">
        <v>444</v>
      </c>
      <c r="F445" s="40" t="str">
        <f t="shared" si="27"/>
        <v/>
      </c>
      <c r="G445" s="40" t="str">
        <f>IF(F445="","",'Prosposta Inicial'!$O$2)</f>
        <v/>
      </c>
      <c r="H445" s="40" t="str">
        <f t="shared" si="30"/>
        <v xml:space="preserve"> </v>
      </c>
      <c r="I445" s="41" t="str">
        <f>IFERROR((VLOOKUP(F445,'Planilha de Cadastro - Previsão'!$A$2:$N$1100,2,FALSE()))," ")</f>
        <v xml:space="preserve"> </v>
      </c>
      <c r="J445" s="40" t="str">
        <f>IFERROR((VLOOKUP(F445,'Planilha de Cadastro - Previsão'!$A$2:$N$1100,3,FALSE()))," ")</f>
        <v xml:space="preserve"> </v>
      </c>
      <c r="K445" s="40"/>
      <c r="L445" s="42" t="str">
        <f>IFERROR((VLOOKUP(F445,'Planilha de Cadastro - Previsão'!$A$2:$N$1100,11,FALSE()))," ")</f>
        <v xml:space="preserve"> </v>
      </c>
      <c r="M445" s="41" t="str">
        <f>IFERROR((IF(VLOOKUP(F445,'Planilha de Cadastro - Previsão'!$A$2:$N$1100,10,FALSE())="","",VLOOKUP(F445,'Planilha de Cadastro - Previsão'!$A$2:$N$1100,10,FALSE()))),"")</f>
        <v/>
      </c>
      <c r="N445" s="41"/>
      <c r="O445" s="41"/>
      <c r="P445" s="41" t="str">
        <f>IFERROR((IF(VLOOKUP(F445,'Acompanhamento da Licitação'!$F$2:$O$1000,10,FALSE())="","",VLOOKUP(F445,'Acompanhamento da Licitação'!$F$2:$O$1000,10,FALSE()))),"")</f>
        <v/>
      </c>
      <c r="R445" s="61" t="str">
        <f>IFERROR(IF(F445&gt;0,(Final[[#This Row],[Valor da Venda Real]]-Final[[#This Row],[Valor de Compra Previsto]]-4%*Final[[#This Row],[Valor da Venda Real]])/Final[[#This Row],[Valor da Venda Real]],""),"")</f>
        <v/>
      </c>
      <c r="S445" s="61" t="str">
        <f t="shared" si="29"/>
        <v/>
      </c>
      <c r="T445" s="23" t="str">
        <f>IFERROR((R445*Final[[#This Row],[Valor da Venda Real]]*Final[[#This Row],[Quantidade ]]*S445),"")</f>
        <v/>
      </c>
    </row>
    <row r="446" spans="1:20" ht="15.75" x14ac:dyDescent="0.2">
      <c r="A446">
        <f>COUNTIF($C$2:C446,C446)</f>
        <v>445</v>
      </c>
      <c r="B446" s="1" t="str">
        <f t="shared" si="28"/>
        <v>445</v>
      </c>
      <c r="C446" s="1" t="str">
        <f>IFERROR(VLOOKUP(D446,'Planilha de Cadastro - Previsão'!$A$2:$N$1000,14,FALSE()),"")</f>
        <v/>
      </c>
      <c r="D446" s="1">
        <v>445</v>
      </c>
      <c r="F446" s="40" t="str">
        <f t="shared" si="27"/>
        <v/>
      </c>
      <c r="G446" s="40" t="str">
        <f>IF(F446="","",'Prosposta Inicial'!$O$2)</f>
        <v/>
      </c>
      <c r="H446" s="40" t="str">
        <f t="shared" si="30"/>
        <v xml:space="preserve"> </v>
      </c>
      <c r="I446" s="41" t="str">
        <f>IFERROR((VLOOKUP(F446,'Planilha de Cadastro - Previsão'!$A$2:$N$1100,2,FALSE()))," ")</f>
        <v xml:space="preserve"> </v>
      </c>
      <c r="J446" s="40" t="str">
        <f>IFERROR((VLOOKUP(F446,'Planilha de Cadastro - Previsão'!$A$2:$N$1100,3,FALSE()))," ")</f>
        <v xml:space="preserve"> </v>
      </c>
      <c r="K446" s="40"/>
      <c r="L446" s="42" t="str">
        <f>IFERROR((VLOOKUP(F446,'Planilha de Cadastro - Previsão'!$A$2:$N$1100,11,FALSE()))," ")</f>
        <v xml:space="preserve"> </v>
      </c>
      <c r="M446" s="41" t="str">
        <f>IFERROR((IF(VLOOKUP(F446,'Planilha de Cadastro - Previsão'!$A$2:$N$1100,10,FALSE())="","",VLOOKUP(F446,'Planilha de Cadastro - Previsão'!$A$2:$N$1100,10,FALSE()))),"")</f>
        <v/>
      </c>
      <c r="N446" s="41"/>
      <c r="O446" s="41"/>
      <c r="P446" s="41" t="str">
        <f>IFERROR((IF(VLOOKUP(F446,'Acompanhamento da Licitação'!$F$2:$O$1000,10,FALSE())="","",VLOOKUP(F446,'Acompanhamento da Licitação'!$F$2:$O$1000,10,FALSE()))),"")</f>
        <v/>
      </c>
      <c r="R446" s="61" t="str">
        <f>IFERROR(IF(F446&gt;0,(Final[[#This Row],[Valor da Venda Real]]-Final[[#This Row],[Valor de Compra Previsto]]-4%*Final[[#This Row],[Valor da Venda Real]])/Final[[#This Row],[Valor da Venda Real]],""),"")</f>
        <v/>
      </c>
      <c r="S446" s="61" t="str">
        <f t="shared" si="29"/>
        <v/>
      </c>
      <c r="T446" s="23" t="str">
        <f>IFERROR((R446*Final[[#This Row],[Valor da Venda Real]]*Final[[#This Row],[Quantidade ]]*S446),"")</f>
        <v/>
      </c>
    </row>
    <row r="447" spans="1:20" ht="15.75" x14ac:dyDescent="0.2">
      <c r="A447">
        <f>COUNTIF($C$2:C447,C447)</f>
        <v>446</v>
      </c>
      <c r="B447" s="1" t="str">
        <f t="shared" si="28"/>
        <v>446</v>
      </c>
      <c r="C447" s="1" t="str">
        <f>IFERROR(VLOOKUP(D447,'Planilha de Cadastro - Previsão'!$A$2:$N$1000,14,FALSE()),"")</f>
        <v/>
      </c>
      <c r="D447" s="1">
        <v>446</v>
      </c>
      <c r="F447" s="40" t="str">
        <f t="shared" si="27"/>
        <v/>
      </c>
      <c r="G447" s="40" t="str">
        <f>IF(F447="","",'Prosposta Inicial'!$O$2)</f>
        <v/>
      </c>
      <c r="H447" s="40" t="str">
        <f t="shared" si="30"/>
        <v xml:space="preserve"> </v>
      </c>
      <c r="I447" s="41" t="str">
        <f>IFERROR((VLOOKUP(F447,'Planilha de Cadastro - Previsão'!$A$2:$N$1100,2,FALSE()))," ")</f>
        <v xml:space="preserve"> </v>
      </c>
      <c r="J447" s="40" t="str">
        <f>IFERROR((VLOOKUP(F447,'Planilha de Cadastro - Previsão'!$A$2:$N$1100,3,FALSE()))," ")</f>
        <v xml:space="preserve"> </v>
      </c>
      <c r="K447" s="40"/>
      <c r="L447" s="42" t="str">
        <f>IFERROR((VLOOKUP(F447,'Planilha de Cadastro - Previsão'!$A$2:$N$1100,11,FALSE()))," ")</f>
        <v xml:space="preserve"> </v>
      </c>
      <c r="M447" s="41" t="str">
        <f>IFERROR((IF(VLOOKUP(F447,'Planilha de Cadastro - Previsão'!$A$2:$N$1100,10,FALSE())="","",VLOOKUP(F447,'Planilha de Cadastro - Previsão'!$A$2:$N$1100,10,FALSE()))),"")</f>
        <v/>
      </c>
      <c r="N447" s="41"/>
      <c r="O447" s="41"/>
      <c r="P447" s="41" t="str">
        <f>IFERROR((IF(VLOOKUP(F447,'Acompanhamento da Licitação'!$F$2:$O$1000,10,FALSE())="","",VLOOKUP(F447,'Acompanhamento da Licitação'!$F$2:$O$1000,10,FALSE()))),"")</f>
        <v/>
      </c>
      <c r="R447" s="61" t="str">
        <f>IFERROR(IF(F447&gt;0,(Final[[#This Row],[Valor da Venda Real]]-Final[[#This Row],[Valor de Compra Previsto]]-4%*Final[[#This Row],[Valor da Venda Real]])/Final[[#This Row],[Valor da Venda Real]],""),"")</f>
        <v/>
      </c>
      <c r="S447" s="61" t="str">
        <f t="shared" si="29"/>
        <v/>
      </c>
      <c r="T447" s="23" t="str">
        <f>IFERROR((R447*Final[[#This Row],[Valor da Venda Real]]*Final[[#This Row],[Quantidade ]]*S447),"")</f>
        <v/>
      </c>
    </row>
    <row r="448" spans="1:20" ht="15.75" x14ac:dyDescent="0.2">
      <c r="A448">
        <f>COUNTIF($C$2:C448,C448)</f>
        <v>447</v>
      </c>
      <c r="B448" s="1" t="str">
        <f t="shared" si="28"/>
        <v>447</v>
      </c>
      <c r="C448" s="1" t="str">
        <f>IFERROR(VLOOKUP(D448,'Planilha de Cadastro - Previsão'!$A$2:$N$1000,14,FALSE()),"")</f>
        <v/>
      </c>
      <c r="D448" s="1">
        <v>447</v>
      </c>
      <c r="F448" s="40" t="str">
        <f t="shared" si="27"/>
        <v/>
      </c>
      <c r="G448" s="40" t="str">
        <f>IF(F448="","",'Prosposta Inicial'!$O$2)</f>
        <v/>
      </c>
      <c r="H448" s="40" t="str">
        <f t="shared" si="30"/>
        <v xml:space="preserve"> </v>
      </c>
      <c r="I448" s="41" t="str">
        <f>IFERROR((VLOOKUP(F448,'Planilha de Cadastro - Previsão'!$A$2:$N$1100,2,FALSE()))," ")</f>
        <v xml:space="preserve"> </v>
      </c>
      <c r="J448" s="40" t="str">
        <f>IFERROR((VLOOKUP(F448,'Planilha de Cadastro - Previsão'!$A$2:$N$1100,3,FALSE()))," ")</f>
        <v xml:space="preserve"> </v>
      </c>
      <c r="K448" s="40"/>
      <c r="L448" s="42" t="str">
        <f>IFERROR((VLOOKUP(F448,'Planilha de Cadastro - Previsão'!$A$2:$N$1100,11,FALSE()))," ")</f>
        <v xml:space="preserve"> </v>
      </c>
      <c r="M448" s="41" t="str">
        <f>IFERROR((IF(VLOOKUP(F448,'Planilha de Cadastro - Previsão'!$A$2:$N$1100,10,FALSE())="","",VLOOKUP(F448,'Planilha de Cadastro - Previsão'!$A$2:$N$1100,10,FALSE()))),"")</f>
        <v/>
      </c>
      <c r="N448" s="41"/>
      <c r="O448" s="41"/>
      <c r="P448" s="41" t="str">
        <f>IFERROR((IF(VLOOKUP(F448,'Acompanhamento da Licitação'!$F$2:$O$1000,10,FALSE())="","",VLOOKUP(F448,'Acompanhamento da Licitação'!$F$2:$O$1000,10,FALSE()))),"")</f>
        <v/>
      </c>
      <c r="R448" s="61" t="str">
        <f>IFERROR(IF(F448&gt;0,(Final[[#This Row],[Valor da Venda Real]]-Final[[#This Row],[Valor de Compra Previsto]]-4%*Final[[#This Row],[Valor da Venda Real]])/Final[[#This Row],[Valor da Venda Real]],""),"")</f>
        <v/>
      </c>
      <c r="S448" s="61" t="str">
        <f t="shared" si="29"/>
        <v/>
      </c>
      <c r="T448" s="23" t="str">
        <f>IFERROR((R448*Final[[#This Row],[Valor da Venda Real]]*Final[[#This Row],[Quantidade ]]*S448),"")</f>
        <v/>
      </c>
    </row>
    <row r="449" spans="1:20" ht="15.75" x14ac:dyDescent="0.2">
      <c r="A449">
        <f>COUNTIF($C$2:C449,C449)</f>
        <v>448</v>
      </c>
      <c r="B449" s="1" t="str">
        <f t="shared" si="28"/>
        <v>448</v>
      </c>
      <c r="C449" s="1" t="str">
        <f>IFERROR(VLOOKUP(D449,'Planilha de Cadastro - Previsão'!$A$2:$N$1000,14,FALSE()),"")</f>
        <v/>
      </c>
      <c r="D449" s="1">
        <v>448</v>
      </c>
      <c r="F449" s="40" t="str">
        <f t="shared" si="27"/>
        <v/>
      </c>
      <c r="G449" s="40" t="str">
        <f>IF(F449="","",'Prosposta Inicial'!$O$2)</f>
        <v/>
      </c>
      <c r="H449" s="40" t="str">
        <f t="shared" si="30"/>
        <v xml:space="preserve"> </v>
      </c>
      <c r="I449" s="41" t="str">
        <f>IFERROR((VLOOKUP(F449,'Planilha de Cadastro - Previsão'!$A$2:$N$1100,2,FALSE()))," ")</f>
        <v xml:space="preserve"> </v>
      </c>
      <c r="J449" s="40" t="str">
        <f>IFERROR((VLOOKUP(F449,'Planilha de Cadastro - Previsão'!$A$2:$N$1100,3,FALSE()))," ")</f>
        <v xml:space="preserve"> </v>
      </c>
      <c r="K449" s="40"/>
      <c r="L449" s="42" t="str">
        <f>IFERROR((VLOOKUP(F449,'Planilha de Cadastro - Previsão'!$A$2:$N$1100,11,FALSE()))," ")</f>
        <v xml:space="preserve"> </v>
      </c>
      <c r="M449" s="41" t="str">
        <f>IFERROR((IF(VLOOKUP(F449,'Planilha de Cadastro - Previsão'!$A$2:$N$1100,10,FALSE())="","",VLOOKUP(F449,'Planilha de Cadastro - Previsão'!$A$2:$N$1100,10,FALSE()))),"")</f>
        <v/>
      </c>
      <c r="N449" s="41"/>
      <c r="O449" s="41"/>
      <c r="P449" s="41" t="str">
        <f>IFERROR((IF(VLOOKUP(F449,'Acompanhamento da Licitação'!$F$2:$O$1000,10,FALSE())="","",VLOOKUP(F449,'Acompanhamento da Licitação'!$F$2:$O$1000,10,FALSE()))),"")</f>
        <v/>
      </c>
      <c r="R449" s="61" t="str">
        <f>IFERROR(IF(F449&gt;0,(Final[[#This Row],[Valor da Venda Real]]-Final[[#This Row],[Valor de Compra Previsto]]-4%*Final[[#This Row],[Valor da Venda Real]])/Final[[#This Row],[Valor da Venda Real]],""),"")</f>
        <v/>
      </c>
      <c r="S449" s="61" t="str">
        <f t="shared" si="29"/>
        <v/>
      </c>
      <c r="T449" s="23" t="str">
        <f>IFERROR((R449*Final[[#This Row],[Valor da Venda Real]]*Final[[#This Row],[Quantidade ]]*S449),"")</f>
        <v/>
      </c>
    </row>
    <row r="450" spans="1:20" ht="15.75" x14ac:dyDescent="0.2">
      <c r="A450">
        <f>COUNTIF($C$2:C450,C450)</f>
        <v>449</v>
      </c>
      <c r="B450" s="1" t="str">
        <f t="shared" si="28"/>
        <v>449</v>
      </c>
      <c r="C450" s="1" t="str">
        <f>IFERROR(VLOOKUP(D450,'Planilha de Cadastro - Previsão'!$A$2:$N$1000,14,FALSE()),"")</f>
        <v/>
      </c>
      <c r="D450" s="1">
        <v>449</v>
      </c>
      <c r="F450" s="40" t="str">
        <f t="shared" ref="F450:F513" si="31">IFERROR((VLOOKUP(CONCATENATE("Sim",D450),$B$2:$D$1000,3,FALSE())),"")</f>
        <v/>
      </c>
      <c r="G450" s="40" t="str">
        <f>IF(F450="","",'Prosposta Inicial'!$O$2)</f>
        <v/>
      </c>
      <c r="H450" s="40" t="str">
        <f t="shared" si="30"/>
        <v xml:space="preserve"> </v>
      </c>
      <c r="I450" s="41" t="str">
        <f>IFERROR((VLOOKUP(F450,'Planilha de Cadastro - Previsão'!$A$2:$N$1100,2,FALSE()))," ")</f>
        <v xml:space="preserve"> </v>
      </c>
      <c r="J450" s="40" t="str">
        <f>IFERROR((VLOOKUP(F450,'Planilha de Cadastro - Previsão'!$A$2:$N$1100,3,FALSE()))," ")</f>
        <v xml:space="preserve"> </v>
      </c>
      <c r="K450" s="40"/>
      <c r="L450" s="42" t="str">
        <f>IFERROR((VLOOKUP(F450,'Planilha de Cadastro - Previsão'!$A$2:$N$1100,11,FALSE()))," ")</f>
        <v xml:space="preserve"> </v>
      </c>
      <c r="M450" s="41" t="str">
        <f>IFERROR((IF(VLOOKUP(F450,'Planilha de Cadastro - Previsão'!$A$2:$N$1100,10,FALSE())="","",VLOOKUP(F450,'Planilha de Cadastro - Previsão'!$A$2:$N$1100,10,FALSE()))),"")</f>
        <v/>
      </c>
      <c r="N450" s="41"/>
      <c r="O450" s="41"/>
      <c r="P450" s="41" t="str">
        <f>IFERROR((IF(VLOOKUP(F450,'Acompanhamento da Licitação'!$F$2:$O$1000,10,FALSE())="","",VLOOKUP(F450,'Acompanhamento da Licitação'!$F$2:$O$1000,10,FALSE()))),"")</f>
        <v/>
      </c>
      <c r="R450" s="61" t="str">
        <f>IFERROR(IF(F450&gt;0,(Final[[#This Row],[Valor da Venda Real]]-Final[[#This Row],[Valor de Compra Previsto]]-4%*Final[[#This Row],[Valor da Venda Real]])/Final[[#This Row],[Valor da Venda Real]],""),"")</f>
        <v/>
      </c>
      <c r="S450" s="61" t="str">
        <f t="shared" si="29"/>
        <v/>
      </c>
      <c r="T450" s="23" t="str">
        <f>IFERROR((R450*Final[[#This Row],[Valor da Venda Real]]*Final[[#This Row],[Quantidade ]]*S450),"")</f>
        <v/>
      </c>
    </row>
    <row r="451" spans="1:20" ht="15.75" x14ac:dyDescent="0.2">
      <c r="A451">
        <f>COUNTIF($C$2:C451,C451)</f>
        <v>450</v>
      </c>
      <c r="B451" s="1" t="str">
        <f t="shared" ref="B451:B514" si="32">IFERROR(CONCATENATE(C451,A451),"")</f>
        <v>450</v>
      </c>
      <c r="C451" s="1" t="str">
        <f>IFERROR(VLOOKUP(D451,'Planilha de Cadastro - Previsão'!$A$2:$N$1000,14,FALSE()),"")</f>
        <v/>
      </c>
      <c r="D451" s="1">
        <v>450</v>
      </c>
      <c r="F451" s="40" t="str">
        <f t="shared" si="31"/>
        <v/>
      </c>
      <c r="G451" s="40" t="str">
        <f>IF(F451="","",'Prosposta Inicial'!$O$2)</f>
        <v/>
      </c>
      <c r="H451" s="40" t="str">
        <f t="shared" si="30"/>
        <v xml:space="preserve"> </v>
      </c>
      <c r="I451" s="41" t="str">
        <f>IFERROR((VLOOKUP(F451,'Planilha de Cadastro - Previsão'!$A$2:$N$1100,2,FALSE()))," ")</f>
        <v xml:space="preserve"> </v>
      </c>
      <c r="J451" s="40" t="str">
        <f>IFERROR((VLOOKUP(F451,'Planilha de Cadastro - Previsão'!$A$2:$N$1100,3,FALSE()))," ")</f>
        <v xml:space="preserve"> </v>
      </c>
      <c r="K451" s="40"/>
      <c r="L451" s="42" t="str">
        <f>IFERROR((VLOOKUP(F451,'Planilha de Cadastro - Previsão'!$A$2:$N$1100,11,FALSE()))," ")</f>
        <v xml:space="preserve"> </v>
      </c>
      <c r="M451" s="41" t="str">
        <f>IFERROR((IF(VLOOKUP(F451,'Planilha de Cadastro - Previsão'!$A$2:$N$1100,10,FALSE())="","",VLOOKUP(F451,'Planilha de Cadastro - Previsão'!$A$2:$N$1100,10,FALSE()))),"")</f>
        <v/>
      </c>
      <c r="N451" s="41"/>
      <c r="O451" s="41"/>
      <c r="P451" s="41" t="str">
        <f>IFERROR((IF(VLOOKUP(F451,'Acompanhamento da Licitação'!$F$2:$O$1000,10,FALSE())="","",VLOOKUP(F451,'Acompanhamento da Licitação'!$F$2:$O$1000,10,FALSE()))),"")</f>
        <v/>
      </c>
      <c r="R451" s="61" t="str">
        <f>IFERROR(IF(F451&gt;0,(Final[[#This Row],[Valor da Venda Real]]-Final[[#This Row],[Valor de Compra Previsto]]-4%*Final[[#This Row],[Valor da Venda Real]])/Final[[#This Row],[Valor da Venda Real]],""),"")</f>
        <v/>
      </c>
      <c r="S451" s="61" t="str">
        <f t="shared" ref="S451:S514" si="33">IF(R451="","",IF(R451&lt;0.2,0.05,IF(R451&lt;0.25,0.1,IF(R451&lt;0.3,0.15,IF(R451&lt;0.35,0.2,IF(R451&lt;0.45,0.25,IF(R451&lt;0.5,0.3,IF(R451&lt;0.6,0.35,0.4))))))))</f>
        <v/>
      </c>
      <c r="T451" s="23" t="str">
        <f>IFERROR((R451*Final[[#This Row],[Valor da Venda Real]]*Final[[#This Row],[Quantidade ]]*S451),"")</f>
        <v/>
      </c>
    </row>
    <row r="452" spans="1:20" ht="15.75" x14ac:dyDescent="0.2">
      <c r="A452">
        <f>COUNTIF($C$2:C452,C452)</f>
        <v>451</v>
      </c>
      <c r="B452" s="1" t="str">
        <f t="shared" si="32"/>
        <v>451</v>
      </c>
      <c r="C452" s="1" t="str">
        <f>IFERROR(VLOOKUP(D452,'Planilha de Cadastro - Previsão'!$A$2:$N$1000,14,FALSE()),"")</f>
        <v/>
      </c>
      <c r="D452" s="1">
        <v>451</v>
      </c>
      <c r="F452" s="40" t="str">
        <f t="shared" si="31"/>
        <v/>
      </c>
      <c r="G452" s="40" t="str">
        <f>IF(F452="","",'Prosposta Inicial'!$O$2)</f>
        <v/>
      </c>
      <c r="H452" s="40" t="str">
        <f t="shared" si="30"/>
        <v xml:space="preserve"> </v>
      </c>
      <c r="I452" s="41" t="str">
        <f>IFERROR((VLOOKUP(F452,'Planilha de Cadastro - Previsão'!$A$2:$N$1100,2,FALSE()))," ")</f>
        <v xml:space="preserve"> </v>
      </c>
      <c r="J452" s="40" t="str">
        <f>IFERROR((VLOOKUP(F452,'Planilha de Cadastro - Previsão'!$A$2:$N$1100,3,FALSE()))," ")</f>
        <v xml:space="preserve"> </v>
      </c>
      <c r="K452" s="40"/>
      <c r="L452" s="42" t="str">
        <f>IFERROR((VLOOKUP(F452,'Planilha de Cadastro - Previsão'!$A$2:$N$1100,11,FALSE()))," ")</f>
        <v xml:space="preserve"> </v>
      </c>
      <c r="M452" s="41" t="str">
        <f>IFERROR((IF(VLOOKUP(F452,'Planilha de Cadastro - Previsão'!$A$2:$N$1100,10,FALSE())="","",VLOOKUP(F452,'Planilha de Cadastro - Previsão'!$A$2:$N$1100,10,FALSE()))),"")</f>
        <v/>
      </c>
      <c r="N452" s="41"/>
      <c r="O452" s="41"/>
      <c r="P452" s="41" t="str">
        <f>IFERROR((IF(VLOOKUP(F452,'Acompanhamento da Licitação'!$F$2:$O$1000,10,FALSE())="","",VLOOKUP(F452,'Acompanhamento da Licitação'!$F$2:$O$1000,10,FALSE()))),"")</f>
        <v/>
      </c>
      <c r="R452" s="61" t="str">
        <f>IFERROR(IF(F452&gt;0,(Final[[#This Row],[Valor da Venda Real]]-Final[[#This Row],[Valor de Compra Previsto]]-4%*Final[[#This Row],[Valor da Venda Real]])/Final[[#This Row],[Valor da Venda Real]],""),"")</f>
        <v/>
      </c>
      <c r="S452" s="61" t="str">
        <f t="shared" si="33"/>
        <v/>
      </c>
      <c r="T452" s="23" t="str">
        <f>IFERROR((R452*Final[[#This Row],[Valor da Venda Real]]*Final[[#This Row],[Quantidade ]]*S452),"")</f>
        <v/>
      </c>
    </row>
    <row r="453" spans="1:20" ht="15.75" x14ac:dyDescent="0.2">
      <c r="A453">
        <f>COUNTIF($C$2:C453,C453)</f>
        <v>452</v>
      </c>
      <c r="B453" s="1" t="str">
        <f t="shared" si="32"/>
        <v>452</v>
      </c>
      <c r="C453" s="1" t="str">
        <f>IFERROR(VLOOKUP(D453,'Planilha de Cadastro - Previsão'!$A$2:$N$1000,14,FALSE()),"")</f>
        <v/>
      </c>
      <c r="D453" s="1">
        <v>452</v>
      </c>
      <c r="F453" s="40" t="str">
        <f t="shared" si="31"/>
        <v/>
      </c>
      <c r="G453" s="40" t="str">
        <f>IF(F453="","",'Prosposta Inicial'!$O$2)</f>
        <v/>
      </c>
      <c r="H453" s="40" t="str">
        <f t="shared" si="30"/>
        <v xml:space="preserve"> </v>
      </c>
      <c r="I453" s="41" t="str">
        <f>IFERROR((VLOOKUP(F453,'Planilha de Cadastro - Previsão'!$A$2:$N$1100,2,FALSE()))," ")</f>
        <v xml:space="preserve"> </v>
      </c>
      <c r="J453" s="40" t="str">
        <f>IFERROR((VLOOKUP(F453,'Planilha de Cadastro - Previsão'!$A$2:$N$1100,3,FALSE()))," ")</f>
        <v xml:space="preserve"> </v>
      </c>
      <c r="K453" s="40"/>
      <c r="L453" s="42" t="str">
        <f>IFERROR((VLOOKUP(F453,'Planilha de Cadastro - Previsão'!$A$2:$N$1100,11,FALSE()))," ")</f>
        <v xml:space="preserve"> </v>
      </c>
      <c r="M453" s="41" t="str">
        <f>IFERROR((IF(VLOOKUP(F453,'Planilha de Cadastro - Previsão'!$A$2:$N$1100,10,FALSE())="","",VLOOKUP(F453,'Planilha de Cadastro - Previsão'!$A$2:$N$1100,10,FALSE()))),"")</f>
        <v/>
      </c>
      <c r="N453" s="41"/>
      <c r="O453" s="41"/>
      <c r="P453" s="41" t="str">
        <f>IFERROR((IF(VLOOKUP(F453,'Acompanhamento da Licitação'!$F$2:$O$1000,10,FALSE())="","",VLOOKUP(F453,'Acompanhamento da Licitação'!$F$2:$O$1000,10,FALSE()))),"")</f>
        <v/>
      </c>
      <c r="R453" s="61" t="str">
        <f>IFERROR(IF(F453&gt;0,(Final[[#This Row],[Valor da Venda Real]]-Final[[#This Row],[Valor de Compra Previsto]]-4%*Final[[#This Row],[Valor da Venda Real]])/Final[[#This Row],[Valor da Venda Real]],""),"")</f>
        <v/>
      </c>
      <c r="S453" s="61" t="str">
        <f t="shared" si="33"/>
        <v/>
      </c>
      <c r="T453" s="23" t="str">
        <f>IFERROR((R453*Final[[#This Row],[Valor da Venda Real]]*Final[[#This Row],[Quantidade ]]*S453),"")</f>
        <v/>
      </c>
    </row>
    <row r="454" spans="1:20" ht="15.75" x14ac:dyDescent="0.2">
      <c r="A454">
        <f>COUNTIF($C$2:C454,C454)</f>
        <v>453</v>
      </c>
      <c r="B454" s="1" t="str">
        <f t="shared" si="32"/>
        <v>453</v>
      </c>
      <c r="C454" s="1" t="str">
        <f>IFERROR(VLOOKUP(D454,'Planilha de Cadastro - Previsão'!$A$2:$N$1000,14,FALSE()),"")</f>
        <v/>
      </c>
      <c r="D454" s="1">
        <v>453</v>
      </c>
      <c r="F454" s="40" t="str">
        <f t="shared" si="31"/>
        <v/>
      </c>
      <c r="G454" s="40" t="str">
        <f>IF(F454="","",'Prosposta Inicial'!$O$2)</f>
        <v/>
      </c>
      <c r="H454" s="40" t="str">
        <f t="shared" si="30"/>
        <v xml:space="preserve"> </v>
      </c>
      <c r="I454" s="41" t="str">
        <f>IFERROR((VLOOKUP(F454,'Planilha de Cadastro - Previsão'!$A$2:$N$1100,2,FALSE()))," ")</f>
        <v xml:space="preserve"> </v>
      </c>
      <c r="J454" s="40" t="str">
        <f>IFERROR((VLOOKUP(F454,'Planilha de Cadastro - Previsão'!$A$2:$N$1100,3,FALSE()))," ")</f>
        <v xml:space="preserve"> </v>
      </c>
      <c r="K454" s="40"/>
      <c r="L454" s="42" t="str">
        <f>IFERROR((VLOOKUP(F454,'Planilha de Cadastro - Previsão'!$A$2:$N$1100,11,FALSE()))," ")</f>
        <v xml:space="preserve"> </v>
      </c>
      <c r="M454" s="41" t="str">
        <f>IFERROR((IF(VLOOKUP(F454,'Planilha de Cadastro - Previsão'!$A$2:$N$1100,10,FALSE())="","",VLOOKUP(F454,'Planilha de Cadastro - Previsão'!$A$2:$N$1100,10,FALSE()))),"")</f>
        <v/>
      </c>
      <c r="N454" s="41"/>
      <c r="O454" s="41"/>
      <c r="P454" s="41" t="str">
        <f>IFERROR((IF(VLOOKUP(F454,'Acompanhamento da Licitação'!$F$2:$O$1000,10,FALSE())="","",VLOOKUP(F454,'Acompanhamento da Licitação'!$F$2:$O$1000,10,FALSE()))),"")</f>
        <v/>
      </c>
      <c r="R454" s="61" t="str">
        <f>IFERROR(IF(F454&gt;0,(Final[[#This Row],[Valor da Venda Real]]-Final[[#This Row],[Valor de Compra Previsto]]-4%*Final[[#This Row],[Valor da Venda Real]])/Final[[#This Row],[Valor da Venda Real]],""),"")</f>
        <v/>
      </c>
      <c r="S454" s="61" t="str">
        <f t="shared" si="33"/>
        <v/>
      </c>
      <c r="T454" s="23" t="str">
        <f>IFERROR((R454*Final[[#This Row],[Valor da Venda Real]]*Final[[#This Row],[Quantidade ]]*S454),"")</f>
        <v/>
      </c>
    </row>
    <row r="455" spans="1:20" ht="15.75" x14ac:dyDescent="0.2">
      <c r="A455">
        <f>COUNTIF($C$2:C455,C455)</f>
        <v>454</v>
      </c>
      <c r="B455" s="1" t="str">
        <f t="shared" si="32"/>
        <v>454</v>
      </c>
      <c r="C455" s="1" t="str">
        <f>IFERROR(VLOOKUP(D455,'Planilha de Cadastro - Previsão'!$A$2:$N$1000,14,FALSE()),"")</f>
        <v/>
      </c>
      <c r="D455" s="1">
        <v>454</v>
      </c>
      <c r="F455" s="40" t="str">
        <f t="shared" si="31"/>
        <v/>
      </c>
      <c r="G455" s="40" t="str">
        <f>IF(F455="","",'Prosposta Inicial'!$O$2)</f>
        <v/>
      </c>
      <c r="H455" s="40" t="str">
        <f t="shared" si="30"/>
        <v xml:space="preserve"> </v>
      </c>
      <c r="I455" s="41" t="str">
        <f>IFERROR((VLOOKUP(F455,'Planilha de Cadastro - Previsão'!$A$2:$N$1100,2,FALSE()))," ")</f>
        <v xml:space="preserve"> </v>
      </c>
      <c r="J455" s="40" t="str">
        <f>IFERROR((VLOOKUP(F455,'Planilha de Cadastro - Previsão'!$A$2:$N$1100,3,FALSE()))," ")</f>
        <v xml:space="preserve"> </v>
      </c>
      <c r="K455" s="40"/>
      <c r="L455" s="42" t="str">
        <f>IFERROR((VLOOKUP(F455,'Planilha de Cadastro - Previsão'!$A$2:$N$1100,11,FALSE()))," ")</f>
        <v xml:space="preserve"> </v>
      </c>
      <c r="M455" s="41" t="str">
        <f>IFERROR((IF(VLOOKUP(F455,'Planilha de Cadastro - Previsão'!$A$2:$N$1100,10,FALSE())="","",VLOOKUP(F455,'Planilha de Cadastro - Previsão'!$A$2:$N$1100,10,FALSE()))),"")</f>
        <v/>
      </c>
      <c r="N455" s="41"/>
      <c r="O455" s="41"/>
      <c r="P455" s="41" t="str">
        <f>IFERROR((IF(VLOOKUP(F455,'Acompanhamento da Licitação'!$F$2:$O$1000,10,FALSE())="","",VLOOKUP(F455,'Acompanhamento da Licitação'!$F$2:$O$1000,10,FALSE()))),"")</f>
        <v/>
      </c>
      <c r="R455" s="61" t="str">
        <f>IFERROR(IF(F455&gt;0,(Final[[#This Row],[Valor da Venda Real]]-Final[[#This Row],[Valor de Compra Previsto]]-4%*Final[[#This Row],[Valor da Venda Real]])/Final[[#This Row],[Valor da Venda Real]],""),"")</f>
        <v/>
      </c>
      <c r="S455" s="61" t="str">
        <f t="shared" si="33"/>
        <v/>
      </c>
      <c r="T455" s="23" t="str">
        <f>IFERROR((R455*Final[[#This Row],[Valor da Venda Real]]*Final[[#This Row],[Quantidade ]]*S455),"")</f>
        <v/>
      </c>
    </row>
    <row r="456" spans="1:20" ht="15.75" x14ac:dyDescent="0.2">
      <c r="A456">
        <f>COUNTIF($C$2:C456,C456)</f>
        <v>455</v>
      </c>
      <c r="B456" s="1" t="str">
        <f t="shared" si="32"/>
        <v>455</v>
      </c>
      <c r="C456" s="1" t="str">
        <f>IFERROR(VLOOKUP(D456,'Planilha de Cadastro - Previsão'!$A$2:$N$1000,14,FALSE()),"")</f>
        <v/>
      </c>
      <c r="D456" s="1">
        <v>455</v>
      </c>
      <c r="F456" s="40" t="str">
        <f t="shared" si="31"/>
        <v/>
      </c>
      <c r="G456" s="40" t="str">
        <f>IF(F456="","",'Prosposta Inicial'!$O$2)</f>
        <v/>
      </c>
      <c r="H456" s="40" t="str">
        <f t="shared" si="30"/>
        <v xml:space="preserve"> </v>
      </c>
      <c r="I456" s="41" t="str">
        <f>IFERROR((VLOOKUP(F456,'Planilha de Cadastro - Previsão'!$A$2:$N$1100,2,FALSE()))," ")</f>
        <v xml:space="preserve"> </v>
      </c>
      <c r="J456" s="40" t="str">
        <f>IFERROR((VLOOKUP(F456,'Planilha de Cadastro - Previsão'!$A$2:$N$1100,3,FALSE()))," ")</f>
        <v xml:space="preserve"> </v>
      </c>
      <c r="K456" s="40"/>
      <c r="L456" s="42" t="str">
        <f>IFERROR((VLOOKUP(F456,'Planilha de Cadastro - Previsão'!$A$2:$N$1100,11,FALSE()))," ")</f>
        <v xml:space="preserve"> </v>
      </c>
      <c r="M456" s="41" t="str">
        <f>IFERROR((IF(VLOOKUP(F456,'Planilha de Cadastro - Previsão'!$A$2:$N$1100,10,FALSE())="","",VLOOKUP(F456,'Planilha de Cadastro - Previsão'!$A$2:$N$1100,10,FALSE()))),"")</f>
        <v/>
      </c>
      <c r="N456" s="41"/>
      <c r="O456" s="41"/>
      <c r="P456" s="41" t="str">
        <f>IFERROR((IF(VLOOKUP(F456,'Acompanhamento da Licitação'!$F$2:$O$1000,10,FALSE())="","",VLOOKUP(F456,'Acompanhamento da Licitação'!$F$2:$O$1000,10,FALSE()))),"")</f>
        <v/>
      </c>
      <c r="R456" s="61" t="str">
        <f>IFERROR(IF(F456&gt;0,(Final[[#This Row],[Valor da Venda Real]]-Final[[#This Row],[Valor de Compra Previsto]]-4%*Final[[#This Row],[Valor da Venda Real]])/Final[[#This Row],[Valor da Venda Real]],""),"")</f>
        <v/>
      </c>
      <c r="S456" s="61" t="str">
        <f t="shared" si="33"/>
        <v/>
      </c>
      <c r="T456" s="23" t="str">
        <f>IFERROR((R456*Final[[#This Row],[Valor da Venda Real]]*Final[[#This Row],[Quantidade ]]*S456),"")</f>
        <v/>
      </c>
    </row>
    <row r="457" spans="1:20" ht="15.75" x14ac:dyDescent="0.2">
      <c r="A457">
        <f>COUNTIF($C$2:C457,C457)</f>
        <v>456</v>
      </c>
      <c r="B457" s="1" t="str">
        <f t="shared" si="32"/>
        <v>456</v>
      </c>
      <c r="C457" s="1" t="str">
        <f>IFERROR(VLOOKUP(D457,'Planilha de Cadastro - Previsão'!$A$2:$N$1000,14,FALSE()),"")</f>
        <v/>
      </c>
      <c r="D457" s="1">
        <v>456</v>
      </c>
      <c r="F457" s="40" t="str">
        <f t="shared" si="31"/>
        <v/>
      </c>
      <c r="G457" s="40" t="str">
        <f>IF(F457="","",'Prosposta Inicial'!$O$2)</f>
        <v/>
      </c>
      <c r="H457" s="40" t="str">
        <f t="shared" si="30"/>
        <v xml:space="preserve"> </v>
      </c>
      <c r="I457" s="41" t="str">
        <f>IFERROR((VLOOKUP(F457,'Planilha de Cadastro - Previsão'!$A$2:$N$1100,2,FALSE()))," ")</f>
        <v xml:space="preserve"> </v>
      </c>
      <c r="J457" s="40" t="str">
        <f>IFERROR((VLOOKUP(F457,'Planilha de Cadastro - Previsão'!$A$2:$N$1100,3,FALSE()))," ")</f>
        <v xml:space="preserve"> </v>
      </c>
      <c r="K457" s="40"/>
      <c r="L457" s="42" t="str">
        <f>IFERROR((VLOOKUP(F457,'Planilha de Cadastro - Previsão'!$A$2:$N$1100,11,FALSE()))," ")</f>
        <v xml:space="preserve"> </v>
      </c>
      <c r="M457" s="41" t="str">
        <f>IFERROR((IF(VLOOKUP(F457,'Planilha de Cadastro - Previsão'!$A$2:$N$1100,10,FALSE())="","",VLOOKUP(F457,'Planilha de Cadastro - Previsão'!$A$2:$N$1100,10,FALSE()))),"")</f>
        <v/>
      </c>
      <c r="N457" s="41"/>
      <c r="O457" s="41"/>
      <c r="P457" s="41" t="str">
        <f>IFERROR((IF(VLOOKUP(F457,'Acompanhamento da Licitação'!$F$2:$O$1000,10,FALSE())="","",VLOOKUP(F457,'Acompanhamento da Licitação'!$F$2:$O$1000,10,FALSE()))),"")</f>
        <v/>
      </c>
      <c r="R457" s="61" t="str">
        <f>IFERROR(IF(F457&gt;0,(Final[[#This Row],[Valor da Venda Real]]-Final[[#This Row],[Valor de Compra Previsto]]-4%*Final[[#This Row],[Valor da Venda Real]])/Final[[#This Row],[Valor da Venda Real]],""),"")</f>
        <v/>
      </c>
      <c r="S457" s="61" t="str">
        <f t="shared" si="33"/>
        <v/>
      </c>
      <c r="T457" s="23" t="str">
        <f>IFERROR((R457*Final[[#This Row],[Valor da Venda Real]]*Final[[#This Row],[Quantidade ]]*S457),"")</f>
        <v/>
      </c>
    </row>
    <row r="458" spans="1:20" ht="15.75" x14ac:dyDescent="0.2">
      <c r="A458">
        <f>COUNTIF($C$2:C458,C458)</f>
        <v>457</v>
      </c>
      <c r="B458" s="1" t="str">
        <f t="shared" si="32"/>
        <v>457</v>
      </c>
      <c r="C458" s="1" t="str">
        <f>IFERROR(VLOOKUP(D458,'Planilha de Cadastro - Previsão'!$A$2:$N$1000,14,FALSE()),"")</f>
        <v/>
      </c>
      <c r="D458" s="1">
        <v>457</v>
      </c>
      <c r="F458" s="40" t="str">
        <f t="shared" si="31"/>
        <v/>
      </c>
      <c r="G458" s="40" t="str">
        <f>IF(F458="","",'Prosposta Inicial'!$O$2)</f>
        <v/>
      </c>
      <c r="H458" s="40" t="str">
        <f t="shared" si="30"/>
        <v xml:space="preserve"> </v>
      </c>
      <c r="I458" s="41" t="str">
        <f>IFERROR((VLOOKUP(F458,'Planilha de Cadastro - Previsão'!$A$2:$N$1100,2,FALSE()))," ")</f>
        <v xml:space="preserve"> </v>
      </c>
      <c r="J458" s="40" t="str">
        <f>IFERROR((VLOOKUP(F458,'Planilha de Cadastro - Previsão'!$A$2:$N$1100,3,FALSE()))," ")</f>
        <v xml:space="preserve"> </v>
      </c>
      <c r="K458" s="40"/>
      <c r="L458" s="42" t="str">
        <f>IFERROR((VLOOKUP(F458,'Planilha de Cadastro - Previsão'!$A$2:$N$1100,11,FALSE()))," ")</f>
        <v xml:space="preserve"> </v>
      </c>
      <c r="M458" s="41" t="str">
        <f>IFERROR((IF(VLOOKUP(F458,'Planilha de Cadastro - Previsão'!$A$2:$N$1100,10,FALSE())="","",VLOOKUP(F458,'Planilha de Cadastro - Previsão'!$A$2:$N$1100,10,FALSE()))),"")</f>
        <v/>
      </c>
      <c r="N458" s="41"/>
      <c r="O458" s="41"/>
      <c r="P458" s="41" t="str">
        <f>IFERROR((IF(VLOOKUP(F458,'Acompanhamento da Licitação'!$F$2:$O$1000,10,FALSE())="","",VLOOKUP(F458,'Acompanhamento da Licitação'!$F$2:$O$1000,10,FALSE()))),"")</f>
        <v/>
      </c>
      <c r="R458" s="61" t="str">
        <f>IFERROR(IF(F458&gt;0,(Final[[#This Row],[Valor da Venda Real]]-Final[[#This Row],[Valor de Compra Previsto]]-4%*Final[[#This Row],[Valor da Venda Real]])/Final[[#This Row],[Valor da Venda Real]],""),"")</f>
        <v/>
      </c>
      <c r="S458" s="61" t="str">
        <f t="shared" si="33"/>
        <v/>
      </c>
      <c r="T458" s="23" t="str">
        <f>IFERROR((R458*Final[[#This Row],[Valor da Venda Real]]*Final[[#This Row],[Quantidade ]]*S458),"")</f>
        <v/>
      </c>
    </row>
    <row r="459" spans="1:20" ht="15.75" x14ac:dyDescent="0.2">
      <c r="A459">
        <f>COUNTIF($C$2:C459,C459)</f>
        <v>458</v>
      </c>
      <c r="B459" s="1" t="str">
        <f t="shared" si="32"/>
        <v>458</v>
      </c>
      <c r="C459" s="1" t="str">
        <f>IFERROR(VLOOKUP(D459,'Planilha de Cadastro - Previsão'!$A$2:$N$1000,14,FALSE()),"")</f>
        <v/>
      </c>
      <c r="D459" s="1">
        <v>458</v>
      </c>
      <c r="F459" s="40" t="str">
        <f t="shared" si="31"/>
        <v/>
      </c>
      <c r="G459" s="40" t="str">
        <f>IF(F459="","",'Prosposta Inicial'!$O$2)</f>
        <v/>
      </c>
      <c r="H459" s="40" t="str">
        <f t="shared" si="30"/>
        <v xml:space="preserve"> </v>
      </c>
      <c r="I459" s="41" t="str">
        <f>IFERROR((VLOOKUP(F459,'Planilha de Cadastro - Previsão'!$A$2:$N$1100,2,FALSE()))," ")</f>
        <v xml:space="preserve"> </v>
      </c>
      <c r="J459" s="40" t="str">
        <f>IFERROR((VLOOKUP(F459,'Planilha de Cadastro - Previsão'!$A$2:$N$1100,3,FALSE()))," ")</f>
        <v xml:space="preserve"> </v>
      </c>
      <c r="K459" s="40"/>
      <c r="L459" s="42" t="str">
        <f>IFERROR((VLOOKUP(F459,'Planilha de Cadastro - Previsão'!$A$2:$N$1100,11,FALSE()))," ")</f>
        <v xml:space="preserve"> </v>
      </c>
      <c r="M459" s="41" t="str">
        <f>IFERROR((IF(VLOOKUP(F459,'Planilha de Cadastro - Previsão'!$A$2:$N$1100,10,FALSE())="","",VLOOKUP(F459,'Planilha de Cadastro - Previsão'!$A$2:$N$1100,10,FALSE()))),"")</f>
        <v/>
      </c>
      <c r="N459" s="41"/>
      <c r="O459" s="41"/>
      <c r="P459" s="41" t="str">
        <f>IFERROR((IF(VLOOKUP(F459,'Acompanhamento da Licitação'!$F$2:$O$1000,10,FALSE())="","",VLOOKUP(F459,'Acompanhamento da Licitação'!$F$2:$O$1000,10,FALSE()))),"")</f>
        <v/>
      </c>
      <c r="R459" s="61" t="str">
        <f>IFERROR(IF(F459&gt;0,(Final[[#This Row],[Valor da Venda Real]]-Final[[#This Row],[Valor de Compra Previsto]]-4%*Final[[#This Row],[Valor da Venda Real]])/Final[[#This Row],[Valor da Venda Real]],""),"")</f>
        <v/>
      </c>
      <c r="S459" s="61" t="str">
        <f t="shared" si="33"/>
        <v/>
      </c>
      <c r="T459" s="23" t="str">
        <f>IFERROR((R459*Final[[#This Row],[Valor da Venda Real]]*Final[[#This Row],[Quantidade ]]*S459),"")</f>
        <v/>
      </c>
    </row>
    <row r="460" spans="1:20" ht="15.75" x14ac:dyDescent="0.2">
      <c r="A460">
        <f>COUNTIF($C$2:C460,C460)</f>
        <v>459</v>
      </c>
      <c r="B460" s="1" t="str">
        <f t="shared" si="32"/>
        <v>459</v>
      </c>
      <c r="C460" s="1" t="str">
        <f>IFERROR(VLOOKUP(D460,'Planilha de Cadastro - Previsão'!$A$2:$N$1000,14,FALSE()),"")</f>
        <v/>
      </c>
      <c r="D460" s="1">
        <v>459</v>
      </c>
      <c r="F460" s="40" t="str">
        <f t="shared" si="31"/>
        <v/>
      </c>
      <c r="G460" s="40" t="str">
        <f>IF(F460="","",'Prosposta Inicial'!$O$2)</f>
        <v/>
      </c>
      <c r="H460" s="40" t="str">
        <f t="shared" si="30"/>
        <v xml:space="preserve"> </v>
      </c>
      <c r="I460" s="41" t="str">
        <f>IFERROR((VLOOKUP(F460,'Planilha de Cadastro - Previsão'!$A$2:$N$1100,2,FALSE()))," ")</f>
        <v xml:space="preserve"> </v>
      </c>
      <c r="J460" s="40" t="str">
        <f>IFERROR((VLOOKUP(F460,'Planilha de Cadastro - Previsão'!$A$2:$N$1100,3,FALSE()))," ")</f>
        <v xml:space="preserve"> </v>
      </c>
      <c r="K460" s="40"/>
      <c r="L460" s="42" t="str">
        <f>IFERROR((VLOOKUP(F460,'Planilha de Cadastro - Previsão'!$A$2:$N$1100,11,FALSE()))," ")</f>
        <v xml:space="preserve"> </v>
      </c>
      <c r="M460" s="41" t="str">
        <f>IFERROR((IF(VLOOKUP(F460,'Planilha de Cadastro - Previsão'!$A$2:$N$1100,10,FALSE())="","",VLOOKUP(F460,'Planilha de Cadastro - Previsão'!$A$2:$N$1100,10,FALSE()))),"")</f>
        <v/>
      </c>
      <c r="N460" s="41"/>
      <c r="O460" s="41"/>
      <c r="P460" s="41" t="str">
        <f>IFERROR((IF(VLOOKUP(F460,'Acompanhamento da Licitação'!$F$2:$O$1000,10,FALSE())="","",VLOOKUP(F460,'Acompanhamento da Licitação'!$F$2:$O$1000,10,FALSE()))),"")</f>
        <v/>
      </c>
      <c r="R460" s="61" t="str">
        <f>IFERROR(IF(F460&gt;0,(Final[[#This Row],[Valor da Venda Real]]-Final[[#This Row],[Valor de Compra Previsto]]-4%*Final[[#This Row],[Valor da Venda Real]])/Final[[#This Row],[Valor da Venda Real]],""),"")</f>
        <v/>
      </c>
      <c r="S460" s="61" t="str">
        <f t="shared" si="33"/>
        <v/>
      </c>
      <c r="T460" s="23" t="str">
        <f>IFERROR((R460*Final[[#This Row],[Valor da Venda Real]]*Final[[#This Row],[Quantidade ]]*S460),"")</f>
        <v/>
      </c>
    </row>
    <row r="461" spans="1:20" ht="15.75" x14ac:dyDescent="0.2">
      <c r="A461">
        <f>COUNTIF($C$2:C461,C461)</f>
        <v>460</v>
      </c>
      <c r="B461" s="1" t="str">
        <f t="shared" si="32"/>
        <v>460</v>
      </c>
      <c r="C461" s="1" t="str">
        <f>IFERROR(VLOOKUP(D461,'Planilha de Cadastro - Previsão'!$A$2:$N$1000,14,FALSE()),"")</f>
        <v/>
      </c>
      <c r="D461" s="1">
        <v>460</v>
      </c>
      <c r="F461" s="40" t="str">
        <f t="shared" si="31"/>
        <v/>
      </c>
      <c r="G461" s="40" t="str">
        <f>IF(F461="","",'Prosposta Inicial'!$O$2)</f>
        <v/>
      </c>
      <c r="H461" s="40" t="str">
        <f t="shared" si="30"/>
        <v xml:space="preserve"> </v>
      </c>
      <c r="I461" s="41" t="str">
        <f>IFERROR((VLOOKUP(F461,'Planilha de Cadastro - Previsão'!$A$2:$N$1100,2,FALSE()))," ")</f>
        <v xml:space="preserve"> </v>
      </c>
      <c r="J461" s="40" t="str">
        <f>IFERROR((VLOOKUP(F461,'Planilha de Cadastro - Previsão'!$A$2:$N$1100,3,FALSE()))," ")</f>
        <v xml:space="preserve"> </v>
      </c>
      <c r="K461" s="40"/>
      <c r="L461" s="42" t="str">
        <f>IFERROR((VLOOKUP(F461,'Planilha de Cadastro - Previsão'!$A$2:$N$1100,11,FALSE()))," ")</f>
        <v xml:space="preserve"> </v>
      </c>
      <c r="M461" s="41" t="str">
        <f>IFERROR((IF(VLOOKUP(F461,'Planilha de Cadastro - Previsão'!$A$2:$N$1100,10,FALSE())="","",VLOOKUP(F461,'Planilha de Cadastro - Previsão'!$A$2:$N$1100,10,FALSE()))),"")</f>
        <v/>
      </c>
      <c r="N461" s="41"/>
      <c r="O461" s="41"/>
      <c r="P461" s="41" t="str">
        <f>IFERROR((IF(VLOOKUP(F461,'Acompanhamento da Licitação'!$F$2:$O$1000,10,FALSE())="","",VLOOKUP(F461,'Acompanhamento da Licitação'!$F$2:$O$1000,10,FALSE()))),"")</f>
        <v/>
      </c>
      <c r="R461" s="61" t="str">
        <f>IFERROR(IF(F461&gt;0,(Final[[#This Row],[Valor da Venda Real]]-Final[[#This Row],[Valor de Compra Previsto]]-4%*Final[[#This Row],[Valor da Venda Real]])/Final[[#This Row],[Valor da Venda Real]],""),"")</f>
        <v/>
      </c>
      <c r="S461" s="61" t="str">
        <f t="shared" si="33"/>
        <v/>
      </c>
      <c r="T461" s="23" t="str">
        <f>IFERROR((R461*Final[[#This Row],[Valor da Venda Real]]*Final[[#This Row],[Quantidade ]]*S461),"")</f>
        <v/>
      </c>
    </row>
    <row r="462" spans="1:20" ht="15.75" x14ac:dyDescent="0.2">
      <c r="A462">
        <f>COUNTIF($C$2:C462,C462)</f>
        <v>461</v>
      </c>
      <c r="B462" s="1" t="str">
        <f t="shared" si="32"/>
        <v>461</v>
      </c>
      <c r="C462" s="1" t="str">
        <f>IFERROR(VLOOKUP(D462,'Planilha de Cadastro - Previsão'!$A$2:$N$1000,14,FALSE()),"")</f>
        <v/>
      </c>
      <c r="D462" s="1">
        <v>461</v>
      </c>
      <c r="F462" s="40" t="str">
        <f t="shared" si="31"/>
        <v/>
      </c>
      <c r="G462" s="40" t="str">
        <f>IF(F462="","",'Prosposta Inicial'!$O$2)</f>
        <v/>
      </c>
      <c r="H462" s="40" t="str">
        <f t="shared" si="30"/>
        <v xml:space="preserve"> </v>
      </c>
      <c r="I462" s="41" t="str">
        <f>IFERROR((VLOOKUP(F462,'Planilha de Cadastro - Previsão'!$A$2:$N$1100,2,FALSE()))," ")</f>
        <v xml:space="preserve"> </v>
      </c>
      <c r="J462" s="40" t="str">
        <f>IFERROR((VLOOKUP(F462,'Planilha de Cadastro - Previsão'!$A$2:$N$1100,3,FALSE()))," ")</f>
        <v xml:space="preserve"> </v>
      </c>
      <c r="K462" s="40"/>
      <c r="L462" s="42" t="str">
        <f>IFERROR((VLOOKUP(F462,'Planilha de Cadastro - Previsão'!$A$2:$N$1100,11,FALSE()))," ")</f>
        <v xml:space="preserve"> </v>
      </c>
      <c r="M462" s="41" t="str">
        <f>IFERROR((IF(VLOOKUP(F462,'Planilha de Cadastro - Previsão'!$A$2:$N$1100,10,FALSE())="","",VLOOKUP(F462,'Planilha de Cadastro - Previsão'!$A$2:$N$1100,10,FALSE()))),"")</f>
        <v/>
      </c>
      <c r="N462" s="41"/>
      <c r="O462" s="41"/>
      <c r="P462" s="41" t="str">
        <f>IFERROR((IF(VLOOKUP(F462,'Acompanhamento da Licitação'!$F$2:$O$1000,10,FALSE())="","",VLOOKUP(F462,'Acompanhamento da Licitação'!$F$2:$O$1000,10,FALSE()))),"")</f>
        <v/>
      </c>
      <c r="R462" s="61" t="str">
        <f>IFERROR(IF(F462&gt;0,(Final[[#This Row],[Valor da Venda Real]]-Final[[#This Row],[Valor de Compra Previsto]]-4%*Final[[#This Row],[Valor da Venda Real]])/Final[[#This Row],[Valor da Venda Real]],""),"")</f>
        <v/>
      </c>
      <c r="S462" s="61" t="str">
        <f t="shared" si="33"/>
        <v/>
      </c>
      <c r="T462" s="23" t="str">
        <f>IFERROR((R462*Final[[#This Row],[Valor da Venda Real]]*Final[[#This Row],[Quantidade ]]*S462),"")</f>
        <v/>
      </c>
    </row>
    <row r="463" spans="1:20" ht="15.75" x14ac:dyDescent="0.2">
      <c r="A463">
        <f>COUNTIF($C$2:C463,C463)</f>
        <v>462</v>
      </c>
      <c r="B463" s="1" t="str">
        <f t="shared" si="32"/>
        <v>462</v>
      </c>
      <c r="C463" s="1" t="str">
        <f>IFERROR(VLOOKUP(D463,'Planilha de Cadastro - Previsão'!$A$2:$N$1000,14,FALSE()),"")</f>
        <v/>
      </c>
      <c r="D463" s="1">
        <v>462</v>
      </c>
      <c r="F463" s="40" t="str">
        <f t="shared" si="31"/>
        <v/>
      </c>
      <c r="G463" s="40" t="str">
        <f>IF(F463="","",'Prosposta Inicial'!$O$2)</f>
        <v/>
      </c>
      <c r="H463" s="40" t="str">
        <f t="shared" si="30"/>
        <v xml:space="preserve"> </v>
      </c>
      <c r="I463" s="41" t="str">
        <f>IFERROR((VLOOKUP(F463,'Planilha de Cadastro - Previsão'!$A$2:$N$1100,2,FALSE()))," ")</f>
        <v xml:space="preserve"> </v>
      </c>
      <c r="J463" s="40" t="str">
        <f>IFERROR((VLOOKUP(F463,'Planilha de Cadastro - Previsão'!$A$2:$N$1100,3,FALSE()))," ")</f>
        <v xml:space="preserve"> </v>
      </c>
      <c r="K463" s="40"/>
      <c r="L463" s="42" t="str">
        <f>IFERROR((VLOOKUP(F463,'Planilha de Cadastro - Previsão'!$A$2:$N$1100,11,FALSE()))," ")</f>
        <v xml:space="preserve"> </v>
      </c>
      <c r="M463" s="41" t="str">
        <f>IFERROR((IF(VLOOKUP(F463,'Planilha de Cadastro - Previsão'!$A$2:$N$1100,10,FALSE())="","",VLOOKUP(F463,'Planilha de Cadastro - Previsão'!$A$2:$N$1100,10,FALSE()))),"")</f>
        <v/>
      </c>
      <c r="N463" s="41"/>
      <c r="O463" s="41"/>
      <c r="P463" s="41" t="str">
        <f>IFERROR((IF(VLOOKUP(F463,'Acompanhamento da Licitação'!$F$2:$O$1000,10,FALSE())="","",VLOOKUP(F463,'Acompanhamento da Licitação'!$F$2:$O$1000,10,FALSE()))),"")</f>
        <v/>
      </c>
      <c r="R463" s="61" t="str">
        <f>IFERROR(IF(F463&gt;0,(Final[[#This Row],[Valor da Venda Real]]-Final[[#This Row],[Valor de Compra Previsto]]-4%*Final[[#This Row],[Valor da Venda Real]])/Final[[#This Row],[Valor da Venda Real]],""),"")</f>
        <v/>
      </c>
      <c r="S463" s="61" t="str">
        <f t="shared" si="33"/>
        <v/>
      </c>
      <c r="T463" s="23" t="str">
        <f>IFERROR((R463*Final[[#This Row],[Valor da Venda Real]]*Final[[#This Row],[Quantidade ]]*S463),"")</f>
        <v/>
      </c>
    </row>
    <row r="464" spans="1:20" ht="15.75" x14ac:dyDescent="0.2">
      <c r="A464">
        <f>COUNTIF($C$2:C464,C464)</f>
        <v>463</v>
      </c>
      <c r="B464" s="1" t="str">
        <f t="shared" si="32"/>
        <v>463</v>
      </c>
      <c r="C464" s="1" t="str">
        <f>IFERROR(VLOOKUP(D464,'Planilha de Cadastro - Previsão'!$A$2:$N$1000,14,FALSE()),"")</f>
        <v/>
      </c>
      <c r="D464" s="1">
        <v>463</v>
      </c>
      <c r="F464" s="40" t="str">
        <f t="shared" si="31"/>
        <v/>
      </c>
      <c r="G464" s="40" t="str">
        <f>IF(F464="","",'Prosposta Inicial'!$O$2)</f>
        <v/>
      </c>
      <c r="H464" s="40" t="str">
        <f t="shared" si="30"/>
        <v xml:space="preserve"> </v>
      </c>
      <c r="I464" s="41" t="str">
        <f>IFERROR((VLOOKUP(F464,'Planilha de Cadastro - Previsão'!$A$2:$N$1100,2,FALSE()))," ")</f>
        <v xml:space="preserve"> </v>
      </c>
      <c r="J464" s="40" t="str">
        <f>IFERROR((VLOOKUP(F464,'Planilha de Cadastro - Previsão'!$A$2:$N$1100,3,FALSE()))," ")</f>
        <v xml:space="preserve"> </v>
      </c>
      <c r="K464" s="40"/>
      <c r="L464" s="42" t="str">
        <f>IFERROR((VLOOKUP(F464,'Planilha de Cadastro - Previsão'!$A$2:$N$1100,11,FALSE()))," ")</f>
        <v xml:space="preserve"> </v>
      </c>
      <c r="M464" s="41" t="str">
        <f>IFERROR((IF(VLOOKUP(F464,'Planilha de Cadastro - Previsão'!$A$2:$N$1100,10,FALSE())="","",VLOOKUP(F464,'Planilha de Cadastro - Previsão'!$A$2:$N$1100,10,FALSE()))),"")</f>
        <v/>
      </c>
      <c r="N464" s="41"/>
      <c r="O464" s="41"/>
      <c r="P464" s="41" t="str">
        <f>IFERROR((IF(VLOOKUP(F464,'Acompanhamento da Licitação'!$F$2:$O$1000,10,FALSE())="","",VLOOKUP(F464,'Acompanhamento da Licitação'!$F$2:$O$1000,10,FALSE()))),"")</f>
        <v/>
      </c>
      <c r="R464" s="61" t="str">
        <f>IFERROR(IF(F464&gt;0,(Final[[#This Row],[Valor da Venda Real]]-Final[[#This Row],[Valor de Compra Previsto]]-4%*Final[[#This Row],[Valor da Venda Real]])/Final[[#This Row],[Valor da Venda Real]],""),"")</f>
        <v/>
      </c>
      <c r="S464" s="61" t="str">
        <f t="shared" si="33"/>
        <v/>
      </c>
      <c r="T464" s="23" t="str">
        <f>IFERROR((R464*Final[[#This Row],[Valor da Venda Real]]*Final[[#This Row],[Quantidade ]]*S464),"")</f>
        <v/>
      </c>
    </row>
    <row r="465" spans="1:20" ht="15.75" x14ac:dyDescent="0.2">
      <c r="A465">
        <f>COUNTIF($C$2:C465,C465)</f>
        <v>464</v>
      </c>
      <c r="B465" s="1" t="str">
        <f t="shared" si="32"/>
        <v>464</v>
      </c>
      <c r="C465" s="1" t="str">
        <f>IFERROR(VLOOKUP(D465,'Planilha de Cadastro - Previsão'!$A$2:$N$1000,14,FALSE()),"")</f>
        <v/>
      </c>
      <c r="D465" s="1">
        <v>464</v>
      </c>
      <c r="F465" s="40" t="str">
        <f t="shared" si="31"/>
        <v/>
      </c>
      <c r="G465" s="40" t="str">
        <f>IF(F465="","",'Prosposta Inicial'!$O$2)</f>
        <v/>
      </c>
      <c r="H465" s="40" t="str">
        <f t="shared" si="30"/>
        <v xml:space="preserve"> </v>
      </c>
      <c r="I465" s="41" t="str">
        <f>IFERROR((VLOOKUP(F465,'Planilha de Cadastro - Previsão'!$A$2:$N$1100,2,FALSE()))," ")</f>
        <v xml:space="preserve"> </v>
      </c>
      <c r="J465" s="40" t="str">
        <f>IFERROR((VLOOKUP(F465,'Planilha de Cadastro - Previsão'!$A$2:$N$1100,3,FALSE()))," ")</f>
        <v xml:space="preserve"> </v>
      </c>
      <c r="K465" s="40"/>
      <c r="L465" s="42" t="str">
        <f>IFERROR((VLOOKUP(F465,'Planilha de Cadastro - Previsão'!$A$2:$N$1100,11,FALSE()))," ")</f>
        <v xml:space="preserve"> </v>
      </c>
      <c r="M465" s="41" t="str">
        <f>IFERROR((IF(VLOOKUP(F465,'Planilha de Cadastro - Previsão'!$A$2:$N$1100,10,FALSE())="","",VLOOKUP(F465,'Planilha de Cadastro - Previsão'!$A$2:$N$1100,10,FALSE()))),"")</f>
        <v/>
      </c>
      <c r="N465" s="41"/>
      <c r="O465" s="41"/>
      <c r="P465" s="41" t="str">
        <f>IFERROR((IF(VLOOKUP(F465,'Acompanhamento da Licitação'!$F$2:$O$1000,10,FALSE())="","",VLOOKUP(F465,'Acompanhamento da Licitação'!$F$2:$O$1000,10,FALSE()))),"")</f>
        <v/>
      </c>
      <c r="R465" s="61" t="str">
        <f>IFERROR(IF(F465&gt;0,(Final[[#This Row],[Valor da Venda Real]]-Final[[#This Row],[Valor de Compra Previsto]]-4%*Final[[#This Row],[Valor da Venda Real]])/Final[[#This Row],[Valor da Venda Real]],""),"")</f>
        <v/>
      </c>
      <c r="S465" s="61" t="str">
        <f t="shared" si="33"/>
        <v/>
      </c>
      <c r="T465" s="23" t="str">
        <f>IFERROR((R465*Final[[#This Row],[Valor da Venda Real]]*Final[[#This Row],[Quantidade ]]*S465),"")</f>
        <v/>
      </c>
    </row>
    <row r="466" spans="1:20" ht="15.75" x14ac:dyDescent="0.2">
      <c r="A466">
        <f>COUNTIF($C$2:C466,C466)</f>
        <v>465</v>
      </c>
      <c r="B466" s="1" t="str">
        <f t="shared" si="32"/>
        <v>465</v>
      </c>
      <c r="C466" s="1" t="str">
        <f>IFERROR(VLOOKUP(D466,'Planilha de Cadastro - Previsão'!$A$2:$N$1000,14,FALSE()),"")</f>
        <v/>
      </c>
      <c r="D466" s="1">
        <v>465</v>
      </c>
      <c r="F466" s="40" t="str">
        <f t="shared" si="31"/>
        <v/>
      </c>
      <c r="G466" s="40" t="str">
        <f>IF(F466="","",'Prosposta Inicial'!$O$2)</f>
        <v/>
      </c>
      <c r="H466" s="40" t="str">
        <f t="shared" si="30"/>
        <v xml:space="preserve"> </v>
      </c>
      <c r="I466" s="41" t="str">
        <f>IFERROR((VLOOKUP(F466,'Planilha de Cadastro - Previsão'!$A$2:$N$1100,2,FALSE()))," ")</f>
        <v xml:space="preserve"> </v>
      </c>
      <c r="J466" s="40" t="str">
        <f>IFERROR((VLOOKUP(F466,'Planilha de Cadastro - Previsão'!$A$2:$N$1100,3,FALSE()))," ")</f>
        <v xml:space="preserve"> </v>
      </c>
      <c r="K466" s="40"/>
      <c r="L466" s="42" t="str">
        <f>IFERROR((VLOOKUP(F466,'Planilha de Cadastro - Previsão'!$A$2:$N$1100,11,FALSE()))," ")</f>
        <v xml:space="preserve"> </v>
      </c>
      <c r="M466" s="41" t="str">
        <f>IFERROR((IF(VLOOKUP(F466,'Planilha de Cadastro - Previsão'!$A$2:$N$1100,10,FALSE())="","",VLOOKUP(F466,'Planilha de Cadastro - Previsão'!$A$2:$N$1100,10,FALSE()))),"")</f>
        <v/>
      </c>
      <c r="N466" s="41"/>
      <c r="O466" s="41"/>
      <c r="P466" s="41" t="str">
        <f>IFERROR((IF(VLOOKUP(F466,'Acompanhamento da Licitação'!$F$2:$O$1000,10,FALSE())="","",VLOOKUP(F466,'Acompanhamento da Licitação'!$F$2:$O$1000,10,FALSE()))),"")</f>
        <v/>
      </c>
      <c r="R466" s="61" t="str">
        <f>IFERROR(IF(F466&gt;0,(Final[[#This Row],[Valor da Venda Real]]-Final[[#This Row],[Valor de Compra Previsto]]-4%*Final[[#This Row],[Valor da Venda Real]])/Final[[#This Row],[Valor da Venda Real]],""),"")</f>
        <v/>
      </c>
      <c r="S466" s="61" t="str">
        <f t="shared" si="33"/>
        <v/>
      </c>
      <c r="T466" s="23" t="str">
        <f>IFERROR((R466*Final[[#This Row],[Valor da Venda Real]]*Final[[#This Row],[Quantidade ]]*S466),"")</f>
        <v/>
      </c>
    </row>
    <row r="467" spans="1:20" ht="15.75" x14ac:dyDescent="0.2">
      <c r="A467">
        <f>COUNTIF($C$2:C467,C467)</f>
        <v>466</v>
      </c>
      <c r="B467" s="1" t="str">
        <f t="shared" si="32"/>
        <v>466</v>
      </c>
      <c r="C467" s="1" t="str">
        <f>IFERROR(VLOOKUP(D467,'Planilha de Cadastro - Previsão'!$A$2:$N$1000,14,FALSE()),"")</f>
        <v/>
      </c>
      <c r="D467" s="1">
        <v>466</v>
      </c>
      <c r="F467" s="40" t="str">
        <f t="shared" si="31"/>
        <v/>
      </c>
      <c r="G467" s="40" t="str">
        <f>IF(F467="","",'Prosposta Inicial'!$O$2)</f>
        <v/>
      </c>
      <c r="H467" s="40" t="str">
        <f t="shared" si="30"/>
        <v xml:space="preserve"> </v>
      </c>
      <c r="I467" s="41" t="str">
        <f>IFERROR((VLOOKUP(F467,'Planilha de Cadastro - Previsão'!$A$2:$N$1100,2,FALSE()))," ")</f>
        <v xml:space="preserve"> </v>
      </c>
      <c r="J467" s="40" t="str">
        <f>IFERROR((VLOOKUP(F467,'Planilha de Cadastro - Previsão'!$A$2:$N$1100,3,FALSE()))," ")</f>
        <v xml:space="preserve"> </v>
      </c>
      <c r="K467" s="40"/>
      <c r="L467" s="42" t="str">
        <f>IFERROR((VLOOKUP(F467,'Planilha de Cadastro - Previsão'!$A$2:$N$1100,11,FALSE()))," ")</f>
        <v xml:space="preserve"> </v>
      </c>
      <c r="M467" s="41" t="str">
        <f>IFERROR((IF(VLOOKUP(F467,'Planilha de Cadastro - Previsão'!$A$2:$N$1100,10,FALSE())="","",VLOOKUP(F467,'Planilha de Cadastro - Previsão'!$A$2:$N$1100,10,FALSE()))),"")</f>
        <v/>
      </c>
      <c r="N467" s="41"/>
      <c r="O467" s="41"/>
      <c r="P467" s="41" t="str">
        <f>IFERROR((IF(VLOOKUP(F467,'Acompanhamento da Licitação'!$F$2:$O$1000,10,FALSE())="","",VLOOKUP(F467,'Acompanhamento da Licitação'!$F$2:$O$1000,10,FALSE()))),"")</f>
        <v/>
      </c>
      <c r="R467" s="61" t="str">
        <f>IFERROR(IF(F467&gt;0,(Final[[#This Row],[Valor da Venda Real]]-Final[[#This Row],[Valor de Compra Previsto]]-4%*Final[[#This Row],[Valor da Venda Real]])/Final[[#This Row],[Valor da Venda Real]],""),"")</f>
        <v/>
      </c>
      <c r="S467" s="61" t="str">
        <f t="shared" si="33"/>
        <v/>
      </c>
      <c r="T467" s="23" t="str">
        <f>IFERROR((R467*Final[[#This Row],[Valor da Venda Real]]*Final[[#This Row],[Quantidade ]]*S467),"")</f>
        <v/>
      </c>
    </row>
    <row r="468" spans="1:20" ht="15.75" x14ac:dyDescent="0.2">
      <c r="A468">
        <f>COUNTIF($C$2:C468,C468)</f>
        <v>467</v>
      </c>
      <c r="B468" s="1" t="str">
        <f t="shared" si="32"/>
        <v>467</v>
      </c>
      <c r="C468" s="1" t="str">
        <f>IFERROR(VLOOKUP(D468,'Planilha de Cadastro - Previsão'!$A$2:$N$1000,14,FALSE()),"")</f>
        <v/>
      </c>
      <c r="D468" s="1">
        <v>467</v>
      </c>
      <c r="F468" s="40" t="str">
        <f t="shared" si="31"/>
        <v/>
      </c>
      <c r="G468" s="40" t="str">
        <f>IF(F468="","",'Prosposta Inicial'!$O$2)</f>
        <v/>
      </c>
      <c r="H468" s="40" t="str">
        <f t="shared" si="30"/>
        <v xml:space="preserve"> </v>
      </c>
      <c r="I468" s="41" t="str">
        <f>IFERROR((VLOOKUP(F468,'Planilha de Cadastro - Previsão'!$A$2:$N$1100,2,FALSE()))," ")</f>
        <v xml:space="preserve"> </v>
      </c>
      <c r="J468" s="40" t="str">
        <f>IFERROR((VLOOKUP(F468,'Planilha de Cadastro - Previsão'!$A$2:$N$1100,3,FALSE()))," ")</f>
        <v xml:space="preserve"> </v>
      </c>
      <c r="K468" s="40"/>
      <c r="L468" s="42" t="str">
        <f>IFERROR((VLOOKUP(F468,'Planilha de Cadastro - Previsão'!$A$2:$N$1100,11,FALSE()))," ")</f>
        <v xml:space="preserve"> </v>
      </c>
      <c r="M468" s="41" t="str">
        <f>IFERROR((IF(VLOOKUP(F468,'Planilha de Cadastro - Previsão'!$A$2:$N$1100,10,FALSE())="","",VLOOKUP(F468,'Planilha de Cadastro - Previsão'!$A$2:$N$1100,10,FALSE()))),"")</f>
        <v/>
      </c>
      <c r="N468" s="41"/>
      <c r="O468" s="41"/>
      <c r="P468" s="41" t="str">
        <f>IFERROR((IF(VLOOKUP(F468,'Acompanhamento da Licitação'!$F$2:$O$1000,10,FALSE())="","",VLOOKUP(F468,'Acompanhamento da Licitação'!$F$2:$O$1000,10,FALSE()))),"")</f>
        <v/>
      </c>
      <c r="R468" s="61" t="str">
        <f>IFERROR(IF(F468&gt;0,(Final[[#This Row],[Valor da Venda Real]]-Final[[#This Row],[Valor de Compra Previsto]]-4%*Final[[#This Row],[Valor da Venda Real]])/Final[[#This Row],[Valor da Venda Real]],""),"")</f>
        <v/>
      </c>
      <c r="S468" s="61" t="str">
        <f t="shared" si="33"/>
        <v/>
      </c>
      <c r="T468" s="23" t="str">
        <f>IFERROR((R468*Final[[#This Row],[Valor da Venda Real]]*Final[[#This Row],[Quantidade ]]*S468),"")</f>
        <v/>
      </c>
    </row>
    <row r="469" spans="1:20" ht="15.75" x14ac:dyDescent="0.2">
      <c r="A469">
        <f>COUNTIF($C$2:C469,C469)</f>
        <v>468</v>
      </c>
      <c r="B469" s="1" t="str">
        <f t="shared" si="32"/>
        <v>468</v>
      </c>
      <c r="C469" s="1" t="str">
        <f>IFERROR(VLOOKUP(D469,'Planilha de Cadastro - Previsão'!$A$2:$N$1000,14,FALSE()),"")</f>
        <v/>
      </c>
      <c r="D469" s="1">
        <v>468</v>
      </c>
      <c r="F469" s="40" t="str">
        <f t="shared" si="31"/>
        <v/>
      </c>
      <c r="G469" s="40" t="str">
        <f>IF(F469="","",'Prosposta Inicial'!$O$2)</f>
        <v/>
      </c>
      <c r="H469" s="40" t="str">
        <f t="shared" si="30"/>
        <v xml:space="preserve"> </v>
      </c>
      <c r="I469" s="41" t="str">
        <f>IFERROR((VLOOKUP(F469,'Planilha de Cadastro - Previsão'!$A$2:$N$1100,2,FALSE()))," ")</f>
        <v xml:space="preserve"> </v>
      </c>
      <c r="J469" s="40" t="str">
        <f>IFERROR((VLOOKUP(F469,'Planilha de Cadastro - Previsão'!$A$2:$N$1100,3,FALSE()))," ")</f>
        <v xml:space="preserve"> </v>
      </c>
      <c r="K469" s="40"/>
      <c r="L469" s="42" t="str">
        <f>IFERROR((VLOOKUP(F469,'Planilha de Cadastro - Previsão'!$A$2:$N$1100,11,FALSE()))," ")</f>
        <v xml:space="preserve"> </v>
      </c>
      <c r="M469" s="41" t="str">
        <f>IFERROR((IF(VLOOKUP(F469,'Planilha de Cadastro - Previsão'!$A$2:$N$1100,10,FALSE())="","",VLOOKUP(F469,'Planilha de Cadastro - Previsão'!$A$2:$N$1100,10,FALSE()))),"")</f>
        <v/>
      </c>
      <c r="N469" s="41"/>
      <c r="O469" s="41"/>
      <c r="P469" s="41" t="str">
        <f>IFERROR((IF(VLOOKUP(F469,'Acompanhamento da Licitação'!$F$2:$O$1000,10,FALSE())="","",VLOOKUP(F469,'Acompanhamento da Licitação'!$F$2:$O$1000,10,FALSE()))),"")</f>
        <v/>
      </c>
      <c r="R469" s="61" t="str">
        <f>IFERROR(IF(F469&gt;0,(Final[[#This Row],[Valor da Venda Real]]-Final[[#This Row],[Valor de Compra Previsto]]-4%*Final[[#This Row],[Valor da Venda Real]])/Final[[#This Row],[Valor da Venda Real]],""),"")</f>
        <v/>
      </c>
      <c r="S469" s="61" t="str">
        <f t="shared" si="33"/>
        <v/>
      </c>
      <c r="T469" s="23" t="str">
        <f>IFERROR((R469*Final[[#This Row],[Valor da Venda Real]]*Final[[#This Row],[Quantidade ]]*S469),"")</f>
        <v/>
      </c>
    </row>
    <row r="470" spans="1:20" ht="15.75" x14ac:dyDescent="0.2">
      <c r="A470">
        <f>COUNTIF($C$2:C470,C470)</f>
        <v>469</v>
      </c>
      <c r="B470" s="1" t="str">
        <f t="shared" si="32"/>
        <v>469</v>
      </c>
      <c r="C470" s="1" t="str">
        <f>IFERROR(VLOOKUP(D470,'Planilha de Cadastro - Previsão'!$A$2:$N$1000,14,FALSE()),"")</f>
        <v/>
      </c>
      <c r="D470" s="1">
        <v>469</v>
      </c>
      <c r="F470" s="40" t="str">
        <f t="shared" si="31"/>
        <v/>
      </c>
      <c r="G470" s="40" t="str">
        <f>IF(F470="","",'Prosposta Inicial'!$O$2)</f>
        <v/>
      </c>
      <c r="H470" s="40" t="str">
        <f t="shared" si="30"/>
        <v xml:space="preserve"> </v>
      </c>
      <c r="I470" s="41" t="str">
        <f>IFERROR((VLOOKUP(F470,'Planilha de Cadastro - Previsão'!$A$2:$N$1100,2,FALSE()))," ")</f>
        <v xml:space="preserve"> </v>
      </c>
      <c r="J470" s="40" t="str">
        <f>IFERROR((VLOOKUP(F470,'Planilha de Cadastro - Previsão'!$A$2:$N$1100,3,FALSE()))," ")</f>
        <v xml:space="preserve"> </v>
      </c>
      <c r="K470" s="40"/>
      <c r="L470" s="42" t="str">
        <f>IFERROR((VLOOKUP(F470,'Planilha de Cadastro - Previsão'!$A$2:$N$1100,11,FALSE()))," ")</f>
        <v xml:space="preserve"> </v>
      </c>
      <c r="M470" s="41" t="str">
        <f>IFERROR((IF(VLOOKUP(F470,'Planilha de Cadastro - Previsão'!$A$2:$N$1100,10,FALSE())="","",VLOOKUP(F470,'Planilha de Cadastro - Previsão'!$A$2:$N$1100,10,FALSE()))),"")</f>
        <v/>
      </c>
      <c r="N470" s="41"/>
      <c r="O470" s="41"/>
      <c r="P470" s="41" t="str">
        <f>IFERROR((IF(VLOOKUP(F470,'Acompanhamento da Licitação'!$F$2:$O$1000,10,FALSE())="","",VLOOKUP(F470,'Acompanhamento da Licitação'!$F$2:$O$1000,10,FALSE()))),"")</f>
        <v/>
      </c>
      <c r="R470" s="61" t="str">
        <f>IFERROR(IF(F470&gt;0,(Final[[#This Row],[Valor da Venda Real]]-Final[[#This Row],[Valor de Compra Previsto]]-4%*Final[[#This Row],[Valor da Venda Real]])/Final[[#This Row],[Valor da Venda Real]],""),"")</f>
        <v/>
      </c>
      <c r="S470" s="61" t="str">
        <f t="shared" si="33"/>
        <v/>
      </c>
      <c r="T470" s="23" t="str">
        <f>IFERROR((R470*Final[[#This Row],[Valor da Venda Real]]*Final[[#This Row],[Quantidade ]]*S470),"")</f>
        <v/>
      </c>
    </row>
    <row r="471" spans="1:20" ht="15.75" x14ac:dyDescent="0.2">
      <c r="A471">
        <f>COUNTIF($C$2:C471,C471)</f>
        <v>470</v>
      </c>
      <c r="B471" s="1" t="str">
        <f t="shared" si="32"/>
        <v>470</v>
      </c>
      <c r="C471" s="1" t="str">
        <f>IFERROR(VLOOKUP(D471,'Planilha de Cadastro - Previsão'!$A$2:$N$1000,14,FALSE()),"")</f>
        <v/>
      </c>
      <c r="D471" s="1">
        <v>470</v>
      </c>
      <c r="F471" s="40" t="str">
        <f t="shared" si="31"/>
        <v/>
      </c>
      <c r="G471" s="40" t="str">
        <f>IF(F471="","",'Prosposta Inicial'!$O$2)</f>
        <v/>
      </c>
      <c r="H471" s="40" t="str">
        <f t="shared" si="30"/>
        <v xml:space="preserve"> </v>
      </c>
      <c r="I471" s="41" t="str">
        <f>IFERROR((VLOOKUP(F471,'Planilha de Cadastro - Previsão'!$A$2:$N$1100,2,FALSE()))," ")</f>
        <v xml:space="preserve"> </v>
      </c>
      <c r="J471" s="40" t="str">
        <f>IFERROR((VLOOKUP(F471,'Planilha de Cadastro - Previsão'!$A$2:$N$1100,3,FALSE()))," ")</f>
        <v xml:space="preserve"> </v>
      </c>
      <c r="K471" s="40"/>
      <c r="L471" s="42" t="str">
        <f>IFERROR((VLOOKUP(F471,'Planilha de Cadastro - Previsão'!$A$2:$N$1100,11,FALSE()))," ")</f>
        <v xml:space="preserve"> </v>
      </c>
      <c r="M471" s="41" t="str">
        <f>IFERROR((IF(VLOOKUP(F471,'Planilha de Cadastro - Previsão'!$A$2:$N$1100,10,FALSE())="","",VLOOKUP(F471,'Planilha de Cadastro - Previsão'!$A$2:$N$1100,10,FALSE()))),"")</f>
        <v/>
      </c>
      <c r="N471" s="41"/>
      <c r="O471" s="41"/>
      <c r="P471" s="41" t="str">
        <f>IFERROR((IF(VLOOKUP(F471,'Acompanhamento da Licitação'!$F$2:$O$1000,10,FALSE())="","",VLOOKUP(F471,'Acompanhamento da Licitação'!$F$2:$O$1000,10,FALSE()))),"")</f>
        <v/>
      </c>
      <c r="R471" s="61" t="str">
        <f>IFERROR(IF(F471&gt;0,(Final[[#This Row],[Valor da Venda Real]]-Final[[#This Row],[Valor de Compra Previsto]]-4%*Final[[#This Row],[Valor da Venda Real]])/Final[[#This Row],[Valor da Venda Real]],""),"")</f>
        <v/>
      </c>
      <c r="S471" s="61" t="str">
        <f t="shared" si="33"/>
        <v/>
      </c>
      <c r="T471" s="23" t="str">
        <f>IFERROR((R471*Final[[#This Row],[Valor da Venda Real]]*Final[[#This Row],[Quantidade ]]*S471),"")</f>
        <v/>
      </c>
    </row>
    <row r="472" spans="1:20" ht="15.75" x14ac:dyDescent="0.2">
      <c r="A472">
        <f>COUNTIF($C$2:C472,C472)</f>
        <v>471</v>
      </c>
      <c r="B472" s="1" t="str">
        <f t="shared" si="32"/>
        <v>471</v>
      </c>
      <c r="C472" s="1" t="str">
        <f>IFERROR(VLOOKUP(D472,'Planilha de Cadastro - Previsão'!$A$2:$N$1000,14,FALSE()),"")</f>
        <v/>
      </c>
      <c r="D472" s="1">
        <v>471</v>
      </c>
      <c r="F472" s="40" t="str">
        <f t="shared" si="31"/>
        <v/>
      </c>
      <c r="G472" s="40" t="str">
        <f>IF(F472="","",'Prosposta Inicial'!$O$2)</f>
        <v/>
      </c>
      <c r="H472" s="40" t="str">
        <f t="shared" si="30"/>
        <v xml:space="preserve"> </v>
      </c>
      <c r="I472" s="41" t="str">
        <f>IFERROR((VLOOKUP(F472,'Planilha de Cadastro - Previsão'!$A$2:$N$1100,2,FALSE()))," ")</f>
        <v xml:space="preserve"> </v>
      </c>
      <c r="J472" s="40" t="str">
        <f>IFERROR((VLOOKUP(F472,'Planilha de Cadastro - Previsão'!$A$2:$N$1100,3,FALSE()))," ")</f>
        <v xml:space="preserve"> </v>
      </c>
      <c r="K472" s="40"/>
      <c r="L472" s="42" t="str">
        <f>IFERROR((VLOOKUP(F472,'Planilha de Cadastro - Previsão'!$A$2:$N$1100,11,FALSE()))," ")</f>
        <v xml:space="preserve"> </v>
      </c>
      <c r="M472" s="41" t="str">
        <f>IFERROR((IF(VLOOKUP(F472,'Planilha de Cadastro - Previsão'!$A$2:$N$1100,10,FALSE())="","",VLOOKUP(F472,'Planilha de Cadastro - Previsão'!$A$2:$N$1100,10,FALSE()))),"")</f>
        <v/>
      </c>
      <c r="N472" s="41"/>
      <c r="O472" s="41"/>
      <c r="P472" s="41" t="str">
        <f>IFERROR((IF(VLOOKUP(F472,'Acompanhamento da Licitação'!$F$2:$O$1000,10,FALSE())="","",VLOOKUP(F472,'Acompanhamento da Licitação'!$F$2:$O$1000,10,FALSE()))),"")</f>
        <v/>
      </c>
      <c r="R472" s="61" t="str">
        <f>IFERROR(IF(F472&gt;0,(Final[[#This Row],[Valor da Venda Real]]-Final[[#This Row],[Valor de Compra Previsto]]-4%*Final[[#This Row],[Valor da Venda Real]])/Final[[#This Row],[Valor da Venda Real]],""),"")</f>
        <v/>
      </c>
      <c r="S472" s="61" t="str">
        <f t="shared" si="33"/>
        <v/>
      </c>
      <c r="T472" s="23" t="str">
        <f>IFERROR((R472*Final[[#This Row],[Valor da Venda Real]]*Final[[#This Row],[Quantidade ]]*S472),"")</f>
        <v/>
      </c>
    </row>
    <row r="473" spans="1:20" ht="15.75" x14ac:dyDescent="0.2">
      <c r="A473">
        <f>COUNTIF($C$2:C473,C473)</f>
        <v>472</v>
      </c>
      <c r="B473" s="1" t="str">
        <f t="shared" si="32"/>
        <v>472</v>
      </c>
      <c r="C473" s="1" t="str">
        <f>IFERROR(VLOOKUP(D473,'Planilha de Cadastro - Previsão'!$A$2:$N$1000,14,FALSE()),"")</f>
        <v/>
      </c>
      <c r="D473" s="1">
        <v>472</v>
      </c>
      <c r="F473" s="40" t="str">
        <f t="shared" si="31"/>
        <v/>
      </c>
      <c r="G473" s="40" t="str">
        <f>IF(F473="","",'Prosposta Inicial'!$O$2)</f>
        <v/>
      </c>
      <c r="H473" s="40" t="str">
        <f t="shared" si="30"/>
        <v xml:space="preserve"> </v>
      </c>
      <c r="I473" s="41" t="str">
        <f>IFERROR((VLOOKUP(F473,'Planilha de Cadastro - Previsão'!$A$2:$N$1100,2,FALSE()))," ")</f>
        <v xml:space="preserve"> </v>
      </c>
      <c r="J473" s="40" t="str">
        <f>IFERROR((VLOOKUP(F473,'Planilha de Cadastro - Previsão'!$A$2:$N$1100,3,FALSE()))," ")</f>
        <v xml:space="preserve"> </v>
      </c>
      <c r="K473" s="40"/>
      <c r="L473" s="42" t="str">
        <f>IFERROR((VLOOKUP(F473,'Planilha de Cadastro - Previsão'!$A$2:$N$1100,11,FALSE()))," ")</f>
        <v xml:space="preserve"> </v>
      </c>
      <c r="M473" s="41" t="str">
        <f>IFERROR((IF(VLOOKUP(F473,'Planilha de Cadastro - Previsão'!$A$2:$N$1100,10,FALSE())="","",VLOOKUP(F473,'Planilha de Cadastro - Previsão'!$A$2:$N$1100,10,FALSE()))),"")</f>
        <v/>
      </c>
      <c r="N473" s="41"/>
      <c r="O473" s="41"/>
      <c r="P473" s="41" t="str">
        <f>IFERROR((IF(VLOOKUP(F473,'Acompanhamento da Licitação'!$F$2:$O$1000,10,FALSE())="","",VLOOKUP(F473,'Acompanhamento da Licitação'!$F$2:$O$1000,10,FALSE()))),"")</f>
        <v/>
      </c>
      <c r="R473" s="61" t="str">
        <f>IFERROR(IF(F473&gt;0,(Final[[#This Row],[Valor da Venda Real]]-Final[[#This Row],[Valor de Compra Previsto]]-4%*Final[[#This Row],[Valor da Venda Real]])/Final[[#This Row],[Valor da Venda Real]],""),"")</f>
        <v/>
      </c>
      <c r="S473" s="61" t="str">
        <f t="shared" si="33"/>
        <v/>
      </c>
      <c r="T473" s="23" t="str">
        <f>IFERROR((R473*Final[[#This Row],[Valor da Venda Real]]*Final[[#This Row],[Quantidade ]]*S473),"")</f>
        <v/>
      </c>
    </row>
    <row r="474" spans="1:20" ht="15.75" x14ac:dyDescent="0.2">
      <c r="A474">
        <f>COUNTIF($C$2:C474,C474)</f>
        <v>473</v>
      </c>
      <c r="B474" s="1" t="str">
        <f t="shared" si="32"/>
        <v>473</v>
      </c>
      <c r="C474" s="1" t="str">
        <f>IFERROR(VLOOKUP(D474,'Planilha de Cadastro - Previsão'!$A$2:$N$1000,14,FALSE()),"")</f>
        <v/>
      </c>
      <c r="D474" s="1">
        <v>473</v>
      </c>
      <c r="F474" s="40" t="str">
        <f t="shared" si="31"/>
        <v/>
      </c>
      <c r="G474" s="40" t="str">
        <f>IF(F474="","",'Prosposta Inicial'!$O$2)</f>
        <v/>
      </c>
      <c r="H474" s="40" t="str">
        <f t="shared" si="30"/>
        <v xml:space="preserve"> </v>
      </c>
      <c r="I474" s="41" t="str">
        <f>IFERROR((VLOOKUP(F474,'Planilha de Cadastro - Previsão'!$A$2:$N$1100,2,FALSE()))," ")</f>
        <v xml:space="preserve"> </v>
      </c>
      <c r="J474" s="40" t="str">
        <f>IFERROR((VLOOKUP(F474,'Planilha de Cadastro - Previsão'!$A$2:$N$1100,3,FALSE()))," ")</f>
        <v xml:space="preserve"> </v>
      </c>
      <c r="K474" s="40"/>
      <c r="L474" s="42" t="str">
        <f>IFERROR((VLOOKUP(F474,'Planilha de Cadastro - Previsão'!$A$2:$N$1100,11,FALSE()))," ")</f>
        <v xml:space="preserve"> </v>
      </c>
      <c r="M474" s="41" t="str">
        <f>IFERROR((IF(VLOOKUP(F474,'Planilha de Cadastro - Previsão'!$A$2:$N$1100,10,FALSE())="","",VLOOKUP(F474,'Planilha de Cadastro - Previsão'!$A$2:$N$1100,10,FALSE()))),"")</f>
        <v/>
      </c>
      <c r="N474" s="41"/>
      <c r="O474" s="41"/>
      <c r="P474" s="41" t="str">
        <f>IFERROR((IF(VLOOKUP(F474,'Acompanhamento da Licitação'!$F$2:$O$1000,10,FALSE())="","",VLOOKUP(F474,'Acompanhamento da Licitação'!$F$2:$O$1000,10,FALSE()))),"")</f>
        <v/>
      </c>
      <c r="R474" s="61" t="str">
        <f>IFERROR(IF(F474&gt;0,(Final[[#This Row],[Valor da Venda Real]]-Final[[#This Row],[Valor de Compra Previsto]]-4%*Final[[#This Row],[Valor da Venda Real]])/Final[[#This Row],[Valor da Venda Real]],""),"")</f>
        <v/>
      </c>
      <c r="S474" s="61" t="str">
        <f t="shared" si="33"/>
        <v/>
      </c>
      <c r="T474" s="23" t="str">
        <f>IFERROR((R474*Final[[#This Row],[Valor da Venda Real]]*Final[[#This Row],[Quantidade ]]*S474),"")</f>
        <v/>
      </c>
    </row>
    <row r="475" spans="1:20" ht="15.75" x14ac:dyDescent="0.2">
      <c r="A475">
        <f>COUNTIF($C$2:C475,C475)</f>
        <v>474</v>
      </c>
      <c r="B475" s="1" t="str">
        <f t="shared" si="32"/>
        <v>474</v>
      </c>
      <c r="C475" s="1" t="str">
        <f>IFERROR(VLOOKUP(D475,'Planilha de Cadastro - Previsão'!$A$2:$N$1000,14,FALSE()),"")</f>
        <v/>
      </c>
      <c r="D475" s="1">
        <v>474</v>
      </c>
      <c r="F475" s="40" t="str">
        <f t="shared" si="31"/>
        <v/>
      </c>
      <c r="G475" s="40" t="str">
        <f>IF(F475="","",'Prosposta Inicial'!$O$2)</f>
        <v/>
      </c>
      <c r="H475" s="40" t="str">
        <f t="shared" si="30"/>
        <v xml:space="preserve"> </v>
      </c>
      <c r="I475" s="41" t="str">
        <f>IFERROR((VLOOKUP(F475,'Planilha de Cadastro - Previsão'!$A$2:$N$1100,2,FALSE()))," ")</f>
        <v xml:space="preserve"> </v>
      </c>
      <c r="J475" s="40" t="str">
        <f>IFERROR((VLOOKUP(F475,'Planilha de Cadastro - Previsão'!$A$2:$N$1100,3,FALSE()))," ")</f>
        <v xml:space="preserve"> </v>
      </c>
      <c r="K475" s="40"/>
      <c r="L475" s="42" t="str">
        <f>IFERROR((VLOOKUP(F475,'Planilha de Cadastro - Previsão'!$A$2:$N$1100,11,FALSE()))," ")</f>
        <v xml:space="preserve"> </v>
      </c>
      <c r="M475" s="41" t="str">
        <f>IFERROR((IF(VLOOKUP(F475,'Planilha de Cadastro - Previsão'!$A$2:$N$1100,10,FALSE())="","",VLOOKUP(F475,'Planilha de Cadastro - Previsão'!$A$2:$N$1100,10,FALSE()))),"")</f>
        <v/>
      </c>
      <c r="N475" s="41"/>
      <c r="O475" s="41"/>
      <c r="P475" s="41" t="str">
        <f>IFERROR((IF(VLOOKUP(F475,'Acompanhamento da Licitação'!$F$2:$O$1000,10,FALSE())="","",VLOOKUP(F475,'Acompanhamento da Licitação'!$F$2:$O$1000,10,FALSE()))),"")</f>
        <v/>
      </c>
      <c r="R475" s="61" t="str">
        <f>IFERROR(IF(F475&gt;0,(Final[[#This Row],[Valor da Venda Real]]-Final[[#This Row],[Valor de Compra Previsto]]-4%*Final[[#This Row],[Valor da Venda Real]])/Final[[#This Row],[Valor da Venda Real]],""),"")</f>
        <v/>
      </c>
      <c r="S475" s="61" t="str">
        <f t="shared" si="33"/>
        <v/>
      </c>
      <c r="T475" s="23" t="str">
        <f>IFERROR((R475*Final[[#This Row],[Valor da Venda Real]]*Final[[#This Row],[Quantidade ]]*S475),"")</f>
        <v/>
      </c>
    </row>
    <row r="476" spans="1:20" ht="15.75" x14ac:dyDescent="0.2">
      <c r="A476">
        <f>COUNTIF($C$2:C476,C476)</f>
        <v>475</v>
      </c>
      <c r="B476" s="1" t="str">
        <f t="shared" si="32"/>
        <v>475</v>
      </c>
      <c r="C476" s="1" t="str">
        <f>IFERROR(VLOOKUP(D476,'Planilha de Cadastro - Previsão'!$A$2:$N$1000,14,FALSE()),"")</f>
        <v/>
      </c>
      <c r="D476" s="1">
        <v>475</v>
      </c>
      <c r="F476" s="40" t="str">
        <f t="shared" si="31"/>
        <v/>
      </c>
      <c r="G476" s="40" t="str">
        <f>IF(F476="","",'Prosposta Inicial'!$O$2)</f>
        <v/>
      </c>
      <c r="H476" s="40" t="str">
        <f t="shared" si="30"/>
        <v xml:space="preserve"> </v>
      </c>
      <c r="I476" s="41" t="str">
        <f>IFERROR((VLOOKUP(F476,'Planilha de Cadastro - Previsão'!$A$2:$N$1100,2,FALSE()))," ")</f>
        <v xml:space="preserve"> </v>
      </c>
      <c r="J476" s="40" t="str">
        <f>IFERROR((VLOOKUP(F476,'Planilha de Cadastro - Previsão'!$A$2:$N$1100,3,FALSE()))," ")</f>
        <v xml:space="preserve"> </v>
      </c>
      <c r="K476" s="40"/>
      <c r="L476" s="42" t="str">
        <f>IFERROR((VLOOKUP(F476,'Planilha de Cadastro - Previsão'!$A$2:$N$1100,11,FALSE()))," ")</f>
        <v xml:space="preserve"> </v>
      </c>
      <c r="M476" s="41" t="str">
        <f>IFERROR((IF(VLOOKUP(F476,'Planilha de Cadastro - Previsão'!$A$2:$N$1100,10,FALSE())="","",VLOOKUP(F476,'Planilha de Cadastro - Previsão'!$A$2:$N$1100,10,FALSE()))),"")</f>
        <v/>
      </c>
      <c r="N476" s="41"/>
      <c r="O476" s="41"/>
      <c r="P476" s="41" t="str">
        <f>IFERROR((IF(VLOOKUP(F476,'Acompanhamento da Licitação'!$F$2:$O$1000,10,FALSE())="","",VLOOKUP(F476,'Acompanhamento da Licitação'!$F$2:$O$1000,10,FALSE()))),"")</f>
        <v/>
      </c>
      <c r="R476" s="61" t="str">
        <f>IFERROR(IF(F476&gt;0,(Final[[#This Row],[Valor da Venda Real]]-Final[[#This Row],[Valor de Compra Previsto]]-4%*Final[[#This Row],[Valor da Venda Real]])/Final[[#This Row],[Valor da Venda Real]],""),"")</f>
        <v/>
      </c>
      <c r="S476" s="61" t="str">
        <f t="shared" si="33"/>
        <v/>
      </c>
      <c r="T476" s="23" t="str">
        <f>IFERROR((R476*Final[[#This Row],[Valor da Venda Real]]*Final[[#This Row],[Quantidade ]]*S476),"")</f>
        <v/>
      </c>
    </row>
    <row r="477" spans="1:20" ht="15.75" x14ac:dyDescent="0.2">
      <c r="A477">
        <f>COUNTIF($C$2:C477,C477)</f>
        <v>476</v>
      </c>
      <c r="B477" s="1" t="str">
        <f t="shared" si="32"/>
        <v>476</v>
      </c>
      <c r="C477" s="1" t="str">
        <f>IFERROR(VLOOKUP(D477,'Planilha de Cadastro - Previsão'!$A$2:$N$1000,14,FALSE()),"")</f>
        <v/>
      </c>
      <c r="D477" s="1">
        <v>476</v>
      </c>
      <c r="F477" s="40" t="str">
        <f t="shared" si="31"/>
        <v/>
      </c>
      <c r="G477" s="40" t="str">
        <f>IF(F477="","",'Prosposta Inicial'!$O$2)</f>
        <v/>
      </c>
      <c r="H477" s="40" t="str">
        <f t="shared" si="30"/>
        <v xml:space="preserve"> </v>
      </c>
      <c r="I477" s="41" t="str">
        <f>IFERROR((VLOOKUP(F477,'Planilha de Cadastro - Previsão'!$A$2:$N$1100,2,FALSE()))," ")</f>
        <v xml:space="preserve"> </v>
      </c>
      <c r="J477" s="40" t="str">
        <f>IFERROR((VLOOKUP(F477,'Planilha de Cadastro - Previsão'!$A$2:$N$1100,3,FALSE()))," ")</f>
        <v xml:space="preserve"> </v>
      </c>
      <c r="K477" s="40"/>
      <c r="L477" s="42" t="str">
        <f>IFERROR((VLOOKUP(F477,'Planilha de Cadastro - Previsão'!$A$2:$N$1100,11,FALSE()))," ")</f>
        <v xml:space="preserve"> </v>
      </c>
      <c r="M477" s="41" t="str">
        <f>IFERROR((IF(VLOOKUP(F477,'Planilha de Cadastro - Previsão'!$A$2:$N$1100,10,FALSE())="","",VLOOKUP(F477,'Planilha de Cadastro - Previsão'!$A$2:$N$1100,10,FALSE()))),"")</f>
        <v/>
      </c>
      <c r="N477" s="41"/>
      <c r="O477" s="41"/>
      <c r="P477" s="41" t="str">
        <f>IFERROR((IF(VLOOKUP(F477,'Acompanhamento da Licitação'!$F$2:$O$1000,10,FALSE())="","",VLOOKUP(F477,'Acompanhamento da Licitação'!$F$2:$O$1000,10,FALSE()))),"")</f>
        <v/>
      </c>
      <c r="R477" s="61" t="str">
        <f>IFERROR(IF(F477&gt;0,(Final[[#This Row],[Valor da Venda Real]]-Final[[#This Row],[Valor de Compra Previsto]]-4%*Final[[#This Row],[Valor da Venda Real]])/Final[[#This Row],[Valor da Venda Real]],""),"")</f>
        <v/>
      </c>
      <c r="S477" s="61" t="str">
        <f t="shared" si="33"/>
        <v/>
      </c>
      <c r="T477" s="23" t="str">
        <f>IFERROR((R477*Final[[#This Row],[Valor da Venda Real]]*Final[[#This Row],[Quantidade ]]*S477),"")</f>
        <v/>
      </c>
    </row>
    <row r="478" spans="1:20" ht="15.75" x14ac:dyDescent="0.2">
      <c r="A478">
        <f>COUNTIF($C$2:C478,C478)</f>
        <v>477</v>
      </c>
      <c r="B478" s="1" t="str">
        <f t="shared" si="32"/>
        <v>477</v>
      </c>
      <c r="C478" s="1" t="str">
        <f>IFERROR(VLOOKUP(D478,'Planilha de Cadastro - Previsão'!$A$2:$N$1000,14,FALSE()),"")</f>
        <v/>
      </c>
      <c r="D478" s="1">
        <v>477</v>
      </c>
      <c r="F478" s="40" t="str">
        <f t="shared" si="31"/>
        <v/>
      </c>
      <c r="G478" s="40" t="str">
        <f>IF(F478="","",'Prosposta Inicial'!$O$2)</f>
        <v/>
      </c>
      <c r="H478" s="40" t="str">
        <f t="shared" si="30"/>
        <v xml:space="preserve"> </v>
      </c>
      <c r="I478" s="41" t="str">
        <f>IFERROR((VLOOKUP(F478,'Planilha de Cadastro - Previsão'!$A$2:$N$1100,2,FALSE()))," ")</f>
        <v xml:space="preserve"> </v>
      </c>
      <c r="J478" s="40" t="str">
        <f>IFERROR((VLOOKUP(F478,'Planilha de Cadastro - Previsão'!$A$2:$N$1100,3,FALSE()))," ")</f>
        <v xml:space="preserve"> </v>
      </c>
      <c r="K478" s="40"/>
      <c r="L478" s="42" t="str">
        <f>IFERROR((VLOOKUP(F478,'Planilha de Cadastro - Previsão'!$A$2:$N$1100,11,FALSE()))," ")</f>
        <v xml:space="preserve"> </v>
      </c>
      <c r="M478" s="41" t="str">
        <f>IFERROR((IF(VLOOKUP(F478,'Planilha de Cadastro - Previsão'!$A$2:$N$1100,10,FALSE())="","",VLOOKUP(F478,'Planilha de Cadastro - Previsão'!$A$2:$N$1100,10,FALSE()))),"")</f>
        <v/>
      </c>
      <c r="N478" s="41"/>
      <c r="O478" s="41"/>
      <c r="P478" s="41" t="str">
        <f>IFERROR((IF(VLOOKUP(F478,'Acompanhamento da Licitação'!$F$2:$O$1000,10,FALSE())="","",VLOOKUP(F478,'Acompanhamento da Licitação'!$F$2:$O$1000,10,FALSE()))),"")</f>
        <v/>
      </c>
      <c r="R478" s="61" t="str">
        <f>IFERROR(IF(F478&gt;0,(Final[[#This Row],[Valor da Venda Real]]-Final[[#This Row],[Valor de Compra Previsto]]-4%*Final[[#This Row],[Valor da Venda Real]])/Final[[#This Row],[Valor da Venda Real]],""),"")</f>
        <v/>
      </c>
      <c r="S478" s="61" t="str">
        <f t="shared" si="33"/>
        <v/>
      </c>
      <c r="T478" s="23" t="str">
        <f>IFERROR((R478*Final[[#This Row],[Valor da Venda Real]]*Final[[#This Row],[Quantidade ]]*S478),"")</f>
        <v/>
      </c>
    </row>
    <row r="479" spans="1:20" ht="15.75" x14ac:dyDescent="0.2">
      <c r="A479">
        <f>COUNTIF($C$2:C479,C479)</f>
        <v>478</v>
      </c>
      <c r="B479" s="1" t="str">
        <f t="shared" si="32"/>
        <v>478</v>
      </c>
      <c r="C479" s="1" t="str">
        <f>IFERROR(VLOOKUP(D479,'Planilha de Cadastro - Previsão'!$A$2:$N$1000,14,FALSE()),"")</f>
        <v/>
      </c>
      <c r="D479" s="1">
        <v>478</v>
      </c>
      <c r="F479" s="40" t="str">
        <f t="shared" si="31"/>
        <v/>
      </c>
      <c r="G479" s="40" t="str">
        <f>IF(F479="","",'Prosposta Inicial'!$O$2)</f>
        <v/>
      </c>
      <c r="H479" s="40" t="str">
        <f t="shared" si="30"/>
        <v xml:space="preserve"> </v>
      </c>
      <c r="I479" s="41" t="str">
        <f>IFERROR((VLOOKUP(F479,'Planilha de Cadastro - Previsão'!$A$2:$N$1100,2,FALSE()))," ")</f>
        <v xml:space="preserve"> </v>
      </c>
      <c r="J479" s="40" t="str">
        <f>IFERROR((VLOOKUP(F479,'Planilha de Cadastro - Previsão'!$A$2:$N$1100,3,FALSE()))," ")</f>
        <v xml:space="preserve"> </v>
      </c>
      <c r="K479" s="40"/>
      <c r="L479" s="42" t="str">
        <f>IFERROR((VLOOKUP(F479,'Planilha de Cadastro - Previsão'!$A$2:$N$1100,11,FALSE()))," ")</f>
        <v xml:space="preserve"> </v>
      </c>
      <c r="M479" s="41" t="str">
        <f>IFERROR((IF(VLOOKUP(F479,'Planilha de Cadastro - Previsão'!$A$2:$N$1100,10,FALSE())="","",VLOOKUP(F479,'Planilha de Cadastro - Previsão'!$A$2:$N$1100,10,FALSE()))),"")</f>
        <v/>
      </c>
      <c r="N479" s="41"/>
      <c r="O479" s="41"/>
      <c r="P479" s="41" t="str">
        <f>IFERROR((IF(VLOOKUP(F479,'Acompanhamento da Licitação'!$F$2:$O$1000,10,FALSE())="","",VLOOKUP(F479,'Acompanhamento da Licitação'!$F$2:$O$1000,10,FALSE()))),"")</f>
        <v/>
      </c>
      <c r="R479" s="61" t="str">
        <f>IFERROR(IF(F479&gt;0,(Final[[#This Row],[Valor da Venda Real]]-Final[[#This Row],[Valor de Compra Previsto]]-4%*Final[[#This Row],[Valor da Venda Real]])/Final[[#This Row],[Valor da Venda Real]],""),"")</f>
        <v/>
      </c>
      <c r="S479" s="61" t="str">
        <f t="shared" si="33"/>
        <v/>
      </c>
      <c r="T479" s="23" t="str">
        <f>IFERROR((R479*Final[[#This Row],[Valor da Venda Real]]*Final[[#This Row],[Quantidade ]]*S479),"")</f>
        <v/>
      </c>
    </row>
    <row r="480" spans="1:20" ht="15.75" x14ac:dyDescent="0.2">
      <c r="A480">
        <f>COUNTIF($C$2:C480,C480)</f>
        <v>479</v>
      </c>
      <c r="B480" s="1" t="str">
        <f t="shared" si="32"/>
        <v>479</v>
      </c>
      <c r="C480" s="1" t="str">
        <f>IFERROR(VLOOKUP(D480,'Planilha de Cadastro - Previsão'!$A$2:$N$1000,14,FALSE()),"")</f>
        <v/>
      </c>
      <c r="D480" s="1">
        <v>479</v>
      </c>
      <c r="F480" s="40" t="str">
        <f t="shared" si="31"/>
        <v/>
      </c>
      <c r="G480" s="40" t="str">
        <f>IF(F480="","",'Prosposta Inicial'!$O$2)</f>
        <v/>
      </c>
      <c r="H480" s="40" t="str">
        <f t="shared" si="30"/>
        <v xml:space="preserve"> </v>
      </c>
      <c r="I480" s="41" t="str">
        <f>IFERROR((VLOOKUP(F480,'Planilha de Cadastro - Previsão'!$A$2:$N$1100,2,FALSE()))," ")</f>
        <v xml:space="preserve"> </v>
      </c>
      <c r="J480" s="40" t="str">
        <f>IFERROR((VLOOKUP(F480,'Planilha de Cadastro - Previsão'!$A$2:$N$1100,3,FALSE()))," ")</f>
        <v xml:space="preserve"> </v>
      </c>
      <c r="K480" s="40"/>
      <c r="L480" s="42" t="str">
        <f>IFERROR((VLOOKUP(F480,'Planilha de Cadastro - Previsão'!$A$2:$N$1100,11,FALSE()))," ")</f>
        <v xml:space="preserve"> </v>
      </c>
      <c r="M480" s="41" t="str">
        <f>IFERROR((IF(VLOOKUP(F480,'Planilha de Cadastro - Previsão'!$A$2:$N$1100,10,FALSE())="","",VLOOKUP(F480,'Planilha de Cadastro - Previsão'!$A$2:$N$1100,10,FALSE()))),"")</f>
        <v/>
      </c>
      <c r="N480" s="41"/>
      <c r="O480" s="41"/>
      <c r="P480" s="41" t="str">
        <f>IFERROR((IF(VLOOKUP(F480,'Acompanhamento da Licitação'!$F$2:$O$1000,10,FALSE())="","",VLOOKUP(F480,'Acompanhamento da Licitação'!$F$2:$O$1000,10,FALSE()))),"")</f>
        <v/>
      </c>
      <c r="R480" s="61" t="str">
        <f>IFERROR(IF(F480&gt;0,(Final[[#This Row],[Valor da Venda Real]]-Final[[#This Row],[Valor de Compra Previsto]]-4%*Final[[#This Row],[Valor da Venda Real]])/Final[[#This Row],[Valor da Venda Real]],""),"")</f>
        <v/>
      </c>
      <c r="S480" s="61" t="str">
        <f t="shared" si="33"/>
        <v/>
      </c>
      <c r="T480" s="23" t="str">
        <f>IFERROR((R480*Final[[#This Row],[Valor da Venda Real]]*Final[[#This Row],[Quantidade ]]*S480),"")</f>
        <v/>
      </c>
    </row>
    <row r="481" spans="1:20" ht="15.75" x14ac:dyDescent="0.2">
      <c r="A481">
        <f>COUNTIF($C$2:C481,C481)</f>
        <v>480</v>
      </c>
      <c r="B481" s="1" t="str">
        <f t="shared" si="32"/>
        <v>480</v>
      </c>
      <c r="C481" s="1" t="str">
        <f>IFERROR(VLOOKUP(D481,'Planilha de Cadastro - Previsão'!$A$2:$N$1000,14,FALSE()),"")</f>
        <v/>
      </c>
      <c r="D481" s="1">
        <v>480</v>
      </c>
      <c r="F481" s="40" t="str">
        <f t="shared" si="31"/>
        <v/>
      </c>
      <c r="G481" s="40" t="str">
        <f>IF(F481="","",'Prosposta Inicial'!$O$2)</f>
        <v/>
      </c>
      <c r="H481" s="40" t="str">
        <f t="shared" si="30"/>
        <v xml:space="preserve"> </v>
      </c>
      <c r="I481" s="41" t="str">
        <f>IFERROR((VLOOKUP(F481,'Planilha de Cadastro - Previsão'!$A$2:$N$1100,2,FALSE()))," ")</f>
        <v xml:space="preserve"> </v>
      </c>
      <c r="J481" s="40" t="str">
        <f>IFERROR((VLOOKUP(F481,'Planilha de Cadastro - Previsão'!$A$2:$N$1100,3,FALSE()))," ")</f>
        <v xml:space="preserve"> </v>
      </c>
      <c r="K481" s="40"/>
      <c r="L481" s="42" t="str">
        <f>IFERROR((VLOOKUP(F481,'Planilha de Cadastro - Previsão'!$A$2:$N$1100,11,FALSE()))," ")</f>
        <v xml:space="preserve"> </v>
      </c>
      <c r="M481" s="41" t="str">
        <f>IFERROR((IF(VLOOKUP(F481,'Planilha de Cadastro - Previsão'!$A$2:$N$1100,10,FALSE())="","",VLOOKUP(F481,'Planilha de Cadastro - Previsão'!$A$2:$N$1100,10,FALSE()))),"")</f>
        <v/>
      </c>
      <c r="N481" s="41"/>
      <c r="O481" s="41"/>
      <c r="P481" s="41" t="str">
        <f>IFERROR((IF(VLOOKUP(F481,'Acompanhamento da Licitação'!$F$2:$O$1000,10,FALSE())="","",VLOOKUP(F481,'Acompanhamento da Licitação'!$F$2:$O$1000,10,FALSE()))),"")</f>
        <v/>
      </c>
      <c r="R481" s="61" t="str">
        <f>IFERROR(IF(F481&gt;0,(Final[[#This Row],[Valor da Venda Real]]-Final[[#This Row],[Valor de Compra Previsto]]-4%*Final[[#This Row],[Valor da Venda Real]])/Final[[#This Row],[Valor da Venda Real]],""),"")</f>
        <v/>
      </c>
      <c r="S481" s="61" t="str">
        <f t="shared" si="33"/>
        <v/>
      </c>
      <c r="T481" s="23" t="str">
        <f>IFERROR((R481*Final[[#This Row],[Valor da Venda Real]]*Final[[#This Row],[Quantidade ]]*S481),"")</f>
        <v/>
      </c>
    </row>
    <row r="482" spans="1:20" ht="15.75" x14ac:dyDescent="0.2">
      <c r="A482">
        <f>COUNTIF($C$2:C482,C482)</f>
        <v>481</v>
      </c>
      <c r="B482" s="1" t="str">
        <f t="shared" si="32"/>
        <v>481</v>
      </c>
      <c r="C482" s="1" t="str">
        <f>IFERROR(VLOOKUP(D482,'Planilha de Cadastro - Previsão'!$A$2:$N$1000,14,FALSE()),"")</f>
        <v/>
      </c>
      <c r="D482" s="1">
        <v>481</v>
      </c>
      <c r="F482" s="40" t="str">
        <f t="shared" si="31"/>
        <v/>
      </c>
      <c r="G482" s="40" t="str">
        <f>IF(F482="","",'Prosposta Inicial'!$O$2)</f>
        <v/>
      </c>
      <c r="H482" s="40" t="str">
        <f t="shared" si="30"/>
        <v xml:space="preserve"> </v>
      </c>
      <c r="I482" s="41" t="str">
        <f>IFERROR((VLOOKUP(F482,'Planilha de Cadastro - Previsão'!$A$2:$N$1100,2,FALSE()))," ")</f>
        <v xml:space="preserve"> </v>
      </c>
      <c r="J482" s="40" t="str">
        <f>IFERROR((VLOOKUP(F482,'Planilha de Cadastro - Previsão'!$A$2:$N$1100,3,FALSE()))," ")</f>
        <v xml:space="preserve"> </v>
      </c>
      <c r="K482" s="40"/>
      <c r="L482" s="42" t="str">
        <f>IFERROR((VLOOKUP(F482,'Planilha de Cadastro - Previsão'!$A$2:$N$1100,11,FALSE()))," ")</f>
        <v xml:space="preserve"> </v>
      </c>
      <c r="M482" s="41" t="str">
        <f>IFERROR((IF(VLOOKUP(F482,'Planilha de Cadastro - Previsão'!$A$2:$N$1100,10,FALSE())="","",VLOOKUP(F482,'Planilha de Cadastro - Previsão'!$A$2:$N$1100,10,FALSE()))),"")</f>
        <v/>
      </c>
      <c r="N482" s="41"/>
      <c r="O482" s="41"/>
      <c r="P482" s="41" t="str">
        <f>IFERROR((IF(VLOOKUP(F482,'Acompanhamento da Licitação'!$F$2:$O$1000,10,FALSE())="","",VLOOKUP(F482,'Acompanhamento da Licitação'!$F$2:$O$1000,10,FALSE()))),"")</f>
        <v/>
      </c>
      <c r="R482" s="61" t="str">
        <f>IFERROR(IF(F482&gt;0,(Final[[#This Row],[Valor da Venda Real]]-Final[[#This Row],[Valor de Compra Previsto]]-4%*Final[[#This Row],[Valor da Venda Real]])/Final[[#This Row],[Valor da Venda Real]],""),"")</f>
        <v/>
      </c>
      <c r="S482" s="61" t="str">
        <f t="shared" si="33"/>
        <v/>
      </c>
      <c r="T482" s="23" t="str">
        <f>IFERROR((R482*Final[[#This Row],[Valor da Venda Real]]*Final[[#This Row],[Quantidade ]]*S482),"")</f>
        <v/>
      </c>
    </row>
    <row r="483" spans="1:20" ht="15.75" x14ac:dyDescent="0.2">
      <c r="A483">
        <f>COUNTIF($C$2:C483,C483)</f>
        <v>482</v>
      </c>
      <c r="B483" s="1" t="str">
        <f t="shared" si="32"/>
        <v>482</v>
      </c>
      <c r="C483" s="1" t="str">
        <f>IFERROR(VLOOKUP(D483,'Planilha de Cadastro - Previsão'!$A$2:$N$1000,14,FALSE()),"")</f>
        <v/>
      </c>
      <c r="D483" s="1">
        <v>482</v>
      </c>
      <c r="F483" s="40" t="str">
        <f t="shared" si="31"/>
        <v/>
      </c>
      <c r="G483" s="40" t="str">
        <f>IF(F483="","",'Prosposta Inicial'!$O$2)</f>
        <v/>
      </c>
      <c r="H483" s="40" t="str">
        <f t="shared" si="30"/>
        <v xml:space="preserve"> </v>
      </c>
      <c r="I483" s="41" t="str">
        <f>IFERROR((VLOOKUP(F483,'Planilha de Cadastro - Previsão'!$A$2:$N$1100,2,FALSE()))," ")</f>
        <v xml:space="preserve"> </v>
      </c>
      <c r="J483" s="40" t="str">
        <f>IFERROR((VLOOKUP(F483,'Planilha de Cadastro - Previsão'!$A$2:$N$1100,3,FALSE()))," ")</f>
        <v xml:space="preserve"> </v>
      </c>
      <c r="K483" s="40"/>
      <c r="L483" s="42" t="str">
        <f>IFERROR((VLOOKUP(F483,'Planilha de Cadastro - Previsão'!$A$2:$N$1100,11,FALSE()))," ")</f>
        <v xml:space="preserve"> </v>
      </c>
      <c r="M483" s="41" t="str">
        <f>IFERROR((IF(VLOOKUP(F483,'Planilha de Cadastro - Previsão'!$A$2:$N$1100,10,FALSE())="","",VLOOKUP(F483,'Planilha de Cadastro - Previsão'!$A$2:$N$1100,10,FALSE()))),"")</f>
        <v/>
      </c>
      <c r="N483" s="41"/>
      <c r="O483" s="41"/>
      <c r="P483" s="41" t="str">
        <f>IFERROR((IF(VLOOKUP(F483,'Acompanhamento da Licitação'!$F$2:$O$1000,10,FALSE())="","",VLOOKUP(F483,'Acompanhamento da Licitação'!$F$2:$O$1000,10,FALSE()))),"")</f>
        <v/>
      </c>
      <c r="R483" s="61" t="str">
        <f>IFERROR(IF(F483&gt;0,(Final[[#This Row],[Valor da Venda Real]]-Final[[#This Row],[Valor de Compra Previsto]]-4%*Final[[#This Row],[Valor da Venda Real]])/Final[[#This Row],[Valor da Venda Real]],""),"")</f>
        <v/>
      </c>
      <c r="S483" s="61" t="str">
        <f t="shared" si="33"/>
        <v/>
      </c>
      <c r="T483" s="23" t="str">
        <f>IFERROR((R483*Final[[#This Row],[Valor da Venda Real]]*Final[[#This Row],[Quantidade ]]*S483),"")</f>
        <v/>
      </c>
    </row>
    <row r="484" spans="1:20" ht="15.75" x14ac:dyDescent="0.2">
      <c r="A484">
        <f>COUNTIF($C$2:C484,C484)</f>
        <v>483</v>
      </c>
      <c r="B484" s="1" t="str">
        <f t="shared" si="32"/>
        <v>483</v>
      </c>
      <c r="C484" s="1" t="str">
        <f>IFERROR(VLOOKUP(D484,'Planilha de Cadastro - Previsão'!$A$2:$N$1000,14,FALSE()),"")</f>
        <v/>
      </c>
      <c r="D484" s="1">
        <v>483</v>
      </c>
      <c r="F484" s="40" t="str">
        <f t="shared" si="31"/>
        <v/>
      </c>
      <c r="G484" s="40" t="str">
        <f>IF(F484="","",'Prosposta Inicial'!$O$2)</f>
        <v/>
      </c>
      <c r="H484" s="40" t="str">
        <f t="shared" si="30"/>
        <v xml:space="preserve"> </v>
      </c>
      <c r="I484" s="41" t="str">
        <f>IFERROR((VLOOKUP(F484,'Planilha de Cadastro - Previsão'!$A$2:$N$1100,2,FALSE()))," ")</f>
        <v xml:space="preserve"> </v>
      </c>
      <c r="J484" s="40" t="str">
        <f>IFERROR((VLOOKUP(F484,'Planilha de Cadastro - Previsão'!$A$2:$N$1100,3,FALSE()))," ")</f>
        <v xml:space="preserve"> </v>
      </c>
      <c r="K484" s="40"/>
      <c r="L484" s="42" t="str">
        <f>IFERROR((VLOOKUP(F484,'Planilha de Cadastro - Previsão'!$A$2:$N$1100,11,FALSE()))," ")</f>
        <v xml:space="preserve"> </v>
      </c>
      <c r="M484" s="41" t="str">
        <f>IFERROR((IF(VLOOKUP(F484,'Planilha de Cadastro - Previsão'!$A$2:$N$1100,10,FALSE())="","",VLOOKUP(F484,'Planilha de Cadastro - Previsão'!$A$2:$N$1100,10,FALSE()))),"")</f>
        <v/>
      </c>
      <c r="N484" s="41"/>
      <c r="O484" s="41"/>
      <c r="P484" s="41" t="str">
        <f>IFERROR((IF(VLOOKUP(F484,'Acompanhamento da Licitação'!$F$2:$O$1000,10,FALSE())="","",VLOOKUP(F484,'Acompanhamento da Licitação'!$F$2:$O$1000,10,FALSE()))),"")</f>
        <v/>
      </c>
      <c r="R484" s="61" t="str">
        <f>IFERROR(IF(F484&gt;0,(Final[[#This Row],[Valor da Venda Real]]-Final[[#This Row],[Valor de Compra Previsto]]-4%*Final[[#This Row],[Valor da Venda Real]])/Final[[#This Row],[Valor da Venda Real]],""),"")</f>
        <v/>
      </c>
      <c r="S484" s="61" t="str">
        <f t="shared" si="33"/>
        <v/>
      </c>
      <c r="T484" s="23" t="str">
        <f>IFERROR((R484*Final[[#This Row],[Valor da Venda Real]]*Final[[#This Row],[Quantidade ]]*S484),"")</f>
        <v/>
      </c>
    </row>
    <row r="485" spans="1:20" ht="15.75" x14ac:dyDescent="0.2">
      <c r="A485">
        <f>COUNTIF($C$2:C485,C485)</f>
        <v>484</v>
      </c>
      <c r="B485" s="1" t="str">
        <f t="shared" si="32"/>
        <v>484</v>
      </c>
      <c r="C485" s="1" t="str">
        <f>IFERROR(VLOOKUP(D485,'Planilha de Cadastro - Previsão'!$A$2:$N$1000,14,FALSE()),"")</f>
        <v/>
      </c>
      <c r="D485" s="1">
        <v>484</v>
      </c>
      <c r="F485" s="40" t="str">
        <f t="shared" si="31"/>
        <v/>
      </c>
      <c r="G485" s="40" t="str">
        <f>IF(F485="","",'Prosposta Inicial'!$O$2)</f>
        <v/>
      </c>
      <c r="H485" s="40" t="str">
        <f t="shared" ref="H485:H548" si="34">CONCATENATE(F485,G485,I485)</f>
        <v xml:space="preserve"> </v>
      </c>
      <c r="I485" s="41" t="str">
        <f>IFERROR((VLOOKUP(F485,'Planilha de Cadastro - Previsão'!$A$2:$N$1100,2,FALSE()))," ")</f>
        <v xml:space="preserve"> </v>
      </c>
      <c r="J485" s="40" t="str">
        <f>IFERROR((VLOOKUP(F485,'Planilha de Cadastro - Previsão'!$A$2:$N$1100,3,FALSE()))," ")</f>
        <v xml:space="preserve"> </v>
      </c>
      <c r="K485" s="40"/>
      <c r="L485" s="42" t="str">
        <f>IFERROR((VLOOKUP(F485,'Planilha de Cadastro - Previsão'!$A$2:$N$1100,11,FALSE()))," ")</f>
        <v xml:space="preserve"> </v>
      </c>
      <c r="M485" s="41" t="str">
        <f>IFERROR((IF(VLOOKUP(F485,'Planilha de Cadastro - Previsão'!$A$2:$N$1100,10,FALSE())="","",VLOOKUP(F485,'Planilha de Cadastro - Previsão'!$A$2:$N$1100,10,FALSE()))),"")</f>
        <v/>
      </c>
      <c r="N485" s="41"/>
      <c r="O485" s="41"/>
      <c r="P485" s="41" t="str">
        <f>IFERROR((IF(VLOOKUP(F485,'Acompanhamento da Licitação'!$F$2:$O$1000,10,FALSE())="","",VLOOKUP(F485,'Acompanhamento da Licitação'!$F$2:$O$1000,10,FALSE()))),"")</f>
        <v/>
      </c>
      <c r="R485" s="61" t="str">
        <f>IFERROR(IF(F485&gt;0,(Final[[#This Row],[Valor da Venda Real]]-Final[[#This Row],[Valor de Compra Previsto]]-4%*Final[[#This Row],[Valor da Venda Real]])/Final[[#This Row],[Valor da Venda Real]],""),"")</f>
        <v/>
      </c>
      <c r="S485" s="61" t="str">
        <f t="shared" si="33"/>
        <v/>
      </c>
      <c r="T485" s="23" t="str">
        <f>IFERROR((R485*Final[[#This Row],[Valor da Venda Real]]*Final[[#This Row],[Quantidade ]]*S485),"")</f>
        <v/>
      </c>
    </row>
    <row r="486" spans="1:20" ht="15.75" x14ac:dyDescent="0.2">
      <c r="A486">
        <f>COUNTIF($C$2:C486,C486)</f>
        <v>485</v>
      </c>
      <c r="B486" s="1" t="str">
        <f t="shared" si="32"/>
        <v>485</v>
      </c>
      <c r="C486" s="1" t="str">
        <f>IFERROR(VLOOKUP(D486,'Planilha de Cadastro - Previsão'!$A$2:$N$1000,14,FALSE()),"")</f>
        <v/>
      </c>
      <c r="D486" s="1">
        <v>485</v>
      </c>
      <c r="F486" s="40" t="str">
        <f t="shared" si="31"/>
        <v/>
      </c>
      <c r="G486" s="40" t="str">
        <f>IF(F486="","",'Prosposta Inicial'!$O$2)</f>
        <v/>
      </c>
      <c r="H486" s="40" t="str">
        <f t="shared" si="34"/>
        <v xml:space="preserve"> </v>
      </c>
      <c r="I486" s="41" t="str">
        <f>IFERROR((VLOOKUP(F486,'Planilha de Cadastro - Previsão'!$A$2:$N$1100,2,FALSE()))," ")</f>
        <v xml:space="preserve"> </v>
      </c>
      <c r="J486" s="40" t="str">
        <f>IFERROR((VLOOKUP(F486,'Planilha de Cadastro - Previsão'!$A$2:$N$1100,3,FALSE()))," ")</f>
        <v xml:space="preserve"> </v>
      </c>
      <c r="K486" s="40"/>
      <c r="L486" s="42" t="str">
        <f>IFERROR((VLOOKUP(F486,'Planilha de Cadastro - Previsão'!$A$2:$N$1100,11,FALSE()))," ")</f>
        <v xml:space="preserve"> </v>
      </c>
      <c r="M486" s="41" t="str">
        <f>IFERROR((IF(VLOOKUP(F486,'Planilha de Cadastro - Previsão'!$A$2:$N$1100,10,FALSE())="","",VLOOKUP(F486,'Planilha de Cadastro - Previsão'!$A$2:$N$1100,10,FALSE()))),"")</f>
        <v/>
      </c>
      <c r="N486" s="41"/>
      <c r="O486" s="41"/>
      <c r="P486" s="41" t="str">
        <f>IFERROR((IF(VLOOKUP(F486,'Acompanhamento da Licitação'!$F$2:$O$1000,10,FALSE())="","",VLOOKUP(F486,'Acompanhamento da Licitação'!$F$2:$O$1000,10,FALSE()))),"")</f>
        <v/>
      </c>
      <c r="R486" s="61" t="str">
        <f>IFERROR(IF(F486&gt;0,(Final[[#This Row],[Valor da Venda Real]]-Final[[#This Row],[Valor de Compra Previsto]]-4%*Final[[#This Row],[Valor da Venda Real]])/Final[[#This Row],[Valor da Venda Real]],""),"")</f>
        <v/>
      </c>
      <c r="S486" s="61" t="str">
        <f t="shared" si="33"/>
        <v/>
      </c>
      <c r="T486" s="23" t="str">
        <f>IFERROR((R486*Final[[#This Row],[Valor da Venda Real]]*Final[[#This Row],[Quantidade ]]*S486),"")</f>
        <v/>
      </c>
    </row>
    <row r="487" spans="1:20" ht="15.75" x14ac:dyDescent="0.2">
      <c r="A487">
        <f>COUNTIF($C$2:C487,C487)</f>
        <v>486</v>
      </c>
      <c r="B487" s="1" t="str">
        <f t="shared" si="32"/>
        <v>486</v>
      </c>
      <c r="C487" s="1" t="str">
        <f>IFERROR(VLOOKUP(D487,'Planilha de Cadastro - Previsão'!$A$2:$N$1000,14,FALSE()),"")</f>
        <v/>
      </c>
      <c r="D487" s="1">
        <v>486</v>
      </c>
      <c r="F487" s="40" t="str">
        <f t="shared" si="31"/>
        <v/>
      </c>
      <c r="G487" s="40" t="str">
        <f>IF(F487="","",'Prosposta Inicial'!$O$2)</f>
        <v/>
      </c>
      <c r="H487" s="40" t="str">
        <f t="shared" si="34"/>
        <v xml:space="preserve"> </v>
      </c>
      <c r="I487" s="41" t="str">
        <f>IFERROR((VLOOKUP(F487,'Planilha de Cadastro - Previsão'!$A$2:$N$1100,2,FALSE()))," ")</f>
        <v xml:space="preserve"> </v>
      </c>
      <c r="J487" s="40" t="str">
        <f>IFERROR((VLOOKUP(F487,'Planilha de Cadastro - Previsão'!$A$2:$N$1100,3,FALSE()))," ")</f>
        <v xml:space="preserve"> </v>
      </c>
      <c r="K487" s="40"/>
      <c r="L487" s="42" t="str">
        <f>IFERROR((VLOOKUP(F487,'Planilha de Cadastro - Previsão'!$A$2:$N$1100,11,FALSE()))," ")</f>
        <v xml:space="preserve"> </v>
      </c>
      <c r="M487" s="41" t="str">
        <f>IFERROR((IF(VLOOKUP(F487,'Planilha de Cadastro - Previsão'!$A$2:$N$1100,10,FALSE())="","",VLOOKUP(F487,'Planilha de Cadastro - Previsão'!$A$2:$N$1100,10,FALSE()))),"")</f>
        <v/>
      </c>
      <c r="N487" s="41"/>
      <c r="O487" s="41"/>
      <c r="P487" s="41" t="str">
        <f>IFERROR((IF(VLOOKUP(F487,'Acompanhamento da Licitação'!$F$2:$O$1000,10,FALSE())="","",VLOOKUP(F487,'Acompanhamento da Licitação'!$F$2:$O$1000,10,FALSE()))),"")</f>
        <v/>
      </c>
      <c r="R487" s="61" t="str">
        <f>IFERROR(IF(F487&gt;0,(Final[[#This Row],[Valor da Venda Real]]-Final[[#This Row],[Valor de Compra Previsto]]-4%*Final[[#This Row],[Valor da Venda Real]])/Final[[#This Row],[Valor da Venda Real]],""),"")</f>
        <v/>
      </c>
      <c r="S487" s="61" t="str">
        <f t="shared" si="33"/>
        <v/>
      </c>
      <c r="T487" s="23" t="str">
        <f>IFERROR((R487*Final[[#This Row],[Valor da Venda Real]]*Final[[#This Row],[Quantidade ]]*S487),"")</f>
        <v/>
      </c>
    </row>
    <row r="488" spans="1:20" ht="15.75" x14ac:dyDescent="0.2">
      <c r="A488">
        <f>COUNTIF($C$2:C488,C488)</f>
        <v>487</v>
      </c>
      <c r="B488" s="1" t="str">
        <f t="shared" si="32"/>
        <v>487</v>
      </c>
      <c r="C488" s="1" t="str">
        <f>IFERROR(VLOOKUP(D488,'Planilha de Cadastro - Previsão'!$A$2:$N$1000,14,FALSE()),"")</f>
        <v/>
      </c>
      <c r="D488" s="1">
        <v>487</v>
      </c>
      <c r="F488" s="40" t="str">
        <f t="shared" si="31"/>
        <v/>
      </c>
      <c r="G488" s="40" t="str">
        <f>IF(F488="","",'Prosposta Inicial'!$O$2)</f>
        <v/>
      </c>
      <c r="H488" s="40" t="str">
        <f t="shared" si="34"/>
        <v xml:space="preserve"> </v>
      </c>
      <c r="I488" s="41" t="str">
        <f>IFERROR((VLOOKUP(F488,'Planilha de Cadastro - Previsão'!$A$2:$N$1100,2,FALSE()))," ")</f>
        <v xml:space="preserve"> </v>
      </c>
      <c r="J488" s="40" t="str">
        <f>IFERROR((VLOOKUP(F488,'Planilha de Cadastro - Previsão'!$A$2:$N$1100,3,FALSE()))," ")</f>
        <v xml:space="preserve"> </v>
      </c>
      <c r="K488" s="40"/>
      <c r="L488" s="42" t="str">
        <f>IFERROR((VLOOKUP(F488,'Planilha de Cadastro - Previsão'!$A$2:$N$1100,11,FALSE()))," ")</f>
        <v xml:space="preserve"> </v>
      </c>
      <c r="M488" s="41" t="str">
        <f>IFERROR((IF(VLOOKUP(F488,'Planilha de Cadastro - Previsão'!$A$2:$N$1100,10,FALSE())="","",VLOOKUP(F488,'Planilha de Cadastro - Previsão'!$A$2:$N$1100,10,FALSE()))),"")</f>
        <v/>
      </c>
      <c r="N488" s="41"/>
      <c r="O488" s="41"/>
      <c r="P488" s="41" t="str">
        <f>IFERROR((IF(VLOOKUP(F488,'Acompanhamento da Licitação'!$F$2:$O$1000,10,FALSE())="","",VLOOKUP(F488,'Acompanhamento da Licitação'!$F$2:$O$1000,10,FALSE()))),"")</f>
        <v/>
      </c>
      <c r="R488" s="61" t="str">
        <f>IFERROR(IF(F488&gt;0,(Final[[#This Row],[Valor da Venda Real]]-Final[[#This Row],[Valor de Compra Previsto]]-4%*Final[[#This Row],[Valor da Venda Real]])/Final[[#This Row],[Valor da Venda Real]],""),"")</f>
        <v/>
      </c>
      <c r="S488" s="61" t="str">
        <f t="shared" si="33"/>
        <v/>
      </c>
      <c r="T488" s="23" t="str">
        <f>IFERROR((R488*Final[[#This Row],[Valor da Venda Real]]*Final[[#This Row],[Quantidade ]]*S488),"")</f>
        <v/>
      </c>
    </row>
    <row r="489" spans="1:20" ht="15.75" x14ac:dyDescent="0.2">
      <c r="A489">
        <f>COUNTIF($C$2:C489,C489)</f>
        <v>488</v>
      </c>
      <c r="B489" s="1" t="str">
        <f t="shared" si="32"/>
        <v>488</v>
      </c>
      <c r="C489" s="1" t="str">
        <f>IFERROR(VLOOKUP(D489,'Planilha de Cadastro - Previsão'!$A$2:$N$1000,14,FALSE()),"")</f>
        <v/>
      </c>
      <c r="D489" s="1">
        <v>488</v>
      </c>
      <c r="F489" s="40" t="str">
        <f t="shared" si="31"/>
        <v/>
      </c>
      <c r="G489" s="40" t="str">
        <f>IF(F489="","",'Prosposta Inicial'!$O$2)</f>
        <v/>
      </c>
      <c r="H489" s="40" t="str">
        <f t="shared" si="34"/>
        <v xml:space="preserve"> </v>
      </c>
      <c r="I489" s="41" t="str">
        <f>IFERROR((VLOOKUP(F489,'Planilha de Cadastro - Previsão'!$A$2:$N$1100,2,FALSE()))," ")</f>
        <v xml:space="preserve"> </v>
      </c>
      <c r="J489" s="40" t="str">
        <f>IFERROR((VLOOKUP(F489,'Planilha de Cadastro - Previsão'!$A$2:$N$1100,3,FALSE()))," ")</f>
        <v xml:space="preserve"> </v>
      </c>
      <c r="K489" s="40"/>
      <c r="L489" s="42" t="str">
        <f>IFERROR((VLOOKUP(F489,'Planilha de Cadastro - Previsão'!$A$2:$N$1100,11,FALSE()))," ")</f>
        <v xml:space="preserve"> </v>
      </c>
      <c r="M489" s="41" t="str">
        <f>IFERROR((IF(VLOOKUP(F489,'Planilha de Cadastro - Previsão'!$A$2:$N$1100,10,FALSE())="","",VLOOKUP(F489,'Planilha de Cadastro - Previsão'!$A$2:$N$1100,10,FALSE()))),"")</f>
        <v/>
      </c>
      <c r="N489" s="41"/>
      <c r="O489" s="41"/>
      <c r="P489" s="41" t="str">
        <f>IFERROR((IF(VLOOKUP(F489,'Acompanhamento da Licitação'!$F$2:$O$1000,10,FALSE())="","",VLOOKUP(F489,'Acompanhamento da Licitação'!$F$2:$O$1000,10,FALSE()))),"")</f>
        <v/>
      </c>
      <c r="R489" s="61" t="str">
        <f>IFERROR(IF(F489&gt;0,(Final[[#This Row],[Valor da Venda Real]]-Final[[#This Row],[Valor de Compra Previsto]]-4%*Final[[#This Row],[Valor da Venda Real]])/Final[[#This Row],[Valor da Venda Real]],""),"")</f>
        <v/>
      </c>
      <c r="S489" s="61" t="str">
        <f t="shared" si="33"/>
        <v/>
      </c>
      <c r="T489" s="23" t="str">
        <f>IFERROR((R489*Final[[#This Row],[Valor da Venda Real]]*Final[[#This Row],[Quantidade ]]*S489),"")</f>
        <v/>
      </c>
    </row>
    <row r="490" spans="1:20" ht="15.75" x14ac:dyDescent="0.2">
      <c r="A490">
        <f>COUNTIF($C$2:C490,C490)</f>
        <v>489</v>
      </c>
      <c r="B490" s="1" t="str">
        <f t="shared" si="32"/>
        <v>489</v>
      </c>
      <c r="C490" s="1" t="str">
        <f>IFERROR(VLOOKUP(D490,'Planilha de Cadastro - Previsão'!$A$2:$N$1000,14,FALSE()),"")</f>
        <v/>
      </c>
      <c r="D490" s="1">
        <v>489</v>
      </c>
      <c r="F490" s="40" t="str">
        <f t="shared" si="31"/>
        <v/>
      </c>
      <c r="G490" s="40" t="str">
        <f>IF(F490="","",'Prosposta Inicial'!$O$2)</f>
        <v/>
      </c>
      <c r="H490" s="40" t="str">
        <f t="shared" si="34"/>
        <v xml:space="preserve"> </v>
      </c>
      <c r="I490" s="41" t="str">
        <f>IFERROR((VLOOKUP(F490,'Planilha de Cadastro - Previsão'!$A$2:$N$1100,2,FALSE()))," ")</f>
        <v xml:space="preserve"> </v>
      </c>
      <c r="J490" s="40" t="str">
        <f>IFERROR((VLOOKUP(F490,'Planilha de Cadastro - Previsão'!$A$2:$N$1100,3,FALSE()))," ")</f>
        <v xml:space="preserve"> </v>
      </c>
      <c r="K490" s="40"/>
      <c r="L490" s="42" t="str">
        <f>IFERROR((VLOOKUP(F490,'Planilha de Cadastro - Previsão'!$A$2:$N$1100,11,FALSE()))," ")</f>
        <v xml:space="preserve"> </v>
      </c>
      <c r="M490" s="41" t="str">
        <f>IFERROR((IF(VLOOKUP(F490,'Planilha de Cadastro - Previsão'!$A$2:$N$1100,10,FALSE())="","",VLOOKUP(F490,'Planilha de Cadastro - Previsão'!$A$2:$N$1100,10,FALSE()))),"")</f>
        <v/>
      </c>
      <c r="N490" s="41"/>
      <c r="O490" s="41"/>
      <c r="P490" s="41" t="str">
        <f>IFERROR((IF(VLOOKUP(F490,'Acompanhamento da Licitação'!$F$2:$O$1000,10,FALSE())="","",VLOOKUP(F490,'Acompanhamento da Licitação'!$F$2:$O$1000,10,FALSE()))),"")</f>
        <v/>
      </c>
      <c r="R490" s="61" t="str">
        <f>IFERROR(IF(F490&gt;0,(Final[[#This Row],[Valor da Venda Real]]-Final[[#This Row],[Valor de Compra Previsto]]-4%*Final[[#This Row],[Valor da Venda Real]])/Final[[#This Row],[Valor da Venda Real]],""),"")</f>
        <v/>
      </c>
      <c r="S490" s="61" t="str">
        <f t="shared" si="33"/>
        <v/>
      </c>
      <c r="T490" s="23" t="str">
        <f>IFERROR((R490*Final[[#This Row],[Valor da Venda Real]]*Final[[#This Row],[Quantidade ]]*S490),"")</f>
        <v/>
      </c>
    </row>
    <row r="491" spans="1:20" ht="15.75" x14ac:dyDescent="0.2">
      <c r="A491">
        <f>COUNTIF($C$2:C491,C491)</f>
        <v>490</v>
      </c>
      <c r="B491" s="1" t="str">
        <f t="shared" si="32"/>
        <v>490</v>
      </c>
      <c r="C491" s="1" t="str">
        <f>IFERROR(VLOOKUP(D491,'Planilha de Cadastro - Previsão'!$A$2:$N$1000,14,FALSE()),"")</f>
        <v/>
      </c>
      <c r="D491" s="1">
        <v>490</v>
      </c>
      <c r="F491" s="40" t="str">
        <f t="shared" si="31"/>
        <v/>
      </c>
      <c r="G491" s="40" t="str">
        <f>IF(F491="","",'Prosposta Inicial'!$O$2)</f>
        <v/>
      </c>
      <c r="H491" s="40" t="str">
        <f t="shared" si="34"/>
        <v xml:space="preserve"> </v>
      </c>
      <c r="I491" s="41" t="str">
        <f>IFERROR((VLOOKUP(F491,'Planilha de Cadastro - Previsão'!$A$2:$N$1100,2,FALSE()))," ")</f>
        <v xml:space="preserve"> </v>
      </c>
      <c r="J491" s="40" t="str">
        <f>IFERROR((VLOOKUP(F491,'Planilha de Cadastro - Previsão'!$A$2:$N$1100,3,FALSE()))," ")</f>
        <v xml:space="preserve"> </v>
      </c>
      <c r="K491" s="40"/>
      <c r="L491" s="42" t="str">
        <f>IFERROR((VLOOKUP(F491,'Planilha de Cadastro - Previsão'!$A$2:$N$1100,11,FALSE()))," ")</f>
        <v xml:space="preserve"> </v>
      </c>
      <c r="M491" s="41" t="str">
        <f>IFERROR((IF(VLOOKUP(F491,'Planilha de Cadastro - Previsão'!$A$2:$N$1100,10,FALSE())="","",VLOOKUP(F491,'Planilha de Cadastro - Previsão'!$A$2:$N$1100,10,FALSE()))),"")</f>
        <v/>
      </c>
      <c r="N491" s="41"/>
      <c r="O491" s="41"/>
      <c r="P491" s="41" t="str">
        <f>IFERROR((IF(VLOOKUP(F491,'Acompanhamento da Licitação'!$F$2:$O$1000,10,FALSE())="","",VLOOKUP(F491,'Acompanhamento da Licitação'!$F$2:$O$1000,10,FALSE()))),"")</f>
        <v/>
      </c>
      <c r="R491" s="61" t="str">
        <f>IFERROR(IF(F491&gt;0,(Final[[#This Row],[Valor da Venda Real]]-Final[[#This Row],[Valor de Compra Previsto]]-4%*Final[[#This Row],[Valor da Venda Real]])/Final[[#This Row],[Valor da Venda Real]],""),"")</f>
        <v/>
      </c>
      <c r="S491" s="61" t="str">
        <f t="shared" si="33"/>
        <v/>
      </c>
      <c r="T491" s="23" t="str">
        <f>IFERROR((R491*Final[[#This Row],[Valor da Venda Real]]*Final[[#This Row],[Quantidade ]]*S491),"")</f>
        <v/>
      </c>
    </row>
    <row r="492" spans="1:20" ht="15.75" x14ac:dyDescent="0.2">
      <c r="A492">
        <f>COUNTIF($C$2:C492,C492)</f>
        <v>491</v>
      </c>
      <c r="B492" s="1" t="str">
        <f t="shared" si="32"/>
        <v>491</v>
      </c>
      <c r="C492" s="1" t="str">
        <f>IFERROR(VLOOKUP(D492,'Planilha de Cadastro - Previsão'!$A$2:$N$1000,14,FALSE()),"")</f>
        <v/>
      </c>
      <c r="D492" s="1">
        <v>491</v>
      </c>
      <c r="F492" s="40" t="str">
        <f t="shared" si="31"/>
        <v/>
      </c>
      <c r="G492" s="40" t="str">
        <f>IF(F492="","",'Prosposta Inicial'!$O$2)</f>
        <v/>
      </c>
      <c r="H492" s="40" t="str">
        <f t="shared" si="34"/>
        <v xml:space="preserve"> </v>
      </c>
      <c r="I492" s="41" t="str">
        <f>IFERROR((VLOOKUP(F492,'Planilha de Cadastro - Previsão'!$A$2:$N$1100,2,FALSE()))," ")</f>
        <v xml:space="preserve"> </v>
      </c>
      <c r="J492" s="40" t="str">
        <f>IFERROR((VLOOKUP(F492,'Planilha de Cadastro - Previsão'!$A$2:$N$1100,3,FALSE()))," ")</f>
        <v xml:space="preserve"> </v>
      </c>
      <c r="K492" s="40"/>
      <c r="L492" s="42" t="str">
        <f>IFERROR((VLOOKUP(F492,'Planilha de Cadastro - Previsão'!$A$2:$N$1100,11,FALSE()))," ")</f>
        <v xml:space="preserve"> </v>
      </c>
      <c r="M492" s="41" t="str">
        <f>IFERROR((IF(VLOOKUP(F492,'Planilha de Cadastro - Previsão'!$A$2:$N$1100,10,FALSE())="","",VLOOKUP(F492,'Planilha de Cadastro - Previsão'!$A$2:$N$1100,10,FALSE()))),"")</f>
        <v/>
      </c>
      <c r="N492" s="41"/>
      <c r="O492" s="41"/>
      <c r="P492" s="41" t="str">
        <f>IFERROR((IF(VLOOKUP(F492,'Acompanhamento da Licitação'!$F$2:$O$1000,10,FALSE())="","",VLOOKUP(F492,'Acompanhamento da Licitação'!$F$2:$O$1000,10,FALSE()))),"")</f>
        <v/>
      </c>
      <c r="R492" s="61" t="str">
        <f>IFERROR(IF(F492&gt;0,(Final[[#This Row],[Valor da Venda Real]]-Final[[#This Row],[Valor de Compra Previsto]]-4%*Final[[#This Row],[Valor da Venda Real]])/Final[[#This Row],[Valor da Venda Real]],""),"")</f>
        <v/>
      </c>
      <c r="S492" s="61" t="str">
        <f t="shared" si="33"/>
        <v/>
      </c>
      <c r="T492" s="23" t="str">
        <f>IFERROR((R492*Final[[#This Row],[Valor da Venda Real]]*Final[[#This Row],[Quantidade ]]*S492),"")</f>
        <v/>
      </c>
    </row>
    <row r="493" spans="1:20" ht="15.75" x14ac:dyDescent="0.2">
      <c r="A493">
        <f>COUNTIF($C$2:C493,C493)</f>
        <v>492</v>
      </c>
      <c r="B493" s="1" t="str">
        <f t="shared" si="32"/>
        <v>492</v>
      </c>
      <c r="C493" s="1" t="str">
        <f>IFERROR(VLOOKUP(D493,'Planilha de Cadastro - Previsão'!$A$2:$N$1000,14,FALSE()),"")</f>
        <v/>
      </c>
      <c r="D493" s="1">
        <v>492</v>
      </c>
      <c r="F493" s="40" t="str">
        <f t="shared" si="31"/>
        <v/>
      </c>
      <c r="G493" s="40" t="str">
        <f>IF(F493="","",'Prosposta Inicial'!$O$2)</f>
        <v/>
      </c>
      <c r="H493" s="40" t="str">
        <f t="shared" si="34"/>
        <v xml:space="preserve"> </v>
      </c>
      <c r="I493" s="41" t="str">
        <f>IFERROR((VLOOKUP(F493,'Planilha de Cadastro - Previsão'!$A$2:$N$1100,2,FALSE()))," ")</f>
        <v xml:space="preserve"> </v>
      </c>
      <c r="J493" s="40" t="str">
        <f>IFERROR((VLOOKUP(F493,'Planilha de Cadastro - Previsão'!$A$2:$N$1100,3,FALSE()))," ")</f>
        <v xml:space="preserve"> </v>
      </c>
      <c r="K493" s="40"/>
      <c r="L493" s="42" t="str">
        <f>IFERROR((VLOOKUP(F493,'Planilha de Cadastro - Previsão'!$A$2:$N$1100,11,FALSE()))," ")</f>
        <v xml:space="preserve"> </v>
      </c>
      <c r="M493" s="41" t="str">
        <f>IFERROR((IF(VLOOKUP(F493,'Planilha de Cadastro - Previsão'!$A$2:$N$1100,10,FALSE())="","",VLOOKUP(F493,'Planilha de Cadastro - Previsão'!$A$2:$N$1100,10,FALSE()))),"")</f>
        <v/>
      </c>
      <c r="N493" s="41"/>
      <c r="O493" s="41"/>
      <c r="P493" s="41" t="str">
        <f>IFERROR((IF(VLOOKUP(F493,'Acompanhamento da Licitação'!$F$2:$O$1000,10,FALSE())="","",VLOOKUP(F493,'Acompanhamento da Licitação'!$F$2:$O$1000,10,FALSE()))),"")</f>
        <v/>
      </c>
      <c r="R493" s="61" t="str">
        <f>IFERROR(IF(F493&gt;0,(Final[[#This Row],[Valor da Venda Real]]-Final[[#This Row],[Valor de Compra Previsto]]-4%*Final[[#This Row],[Valor da Venda Real]])/Final[[#This Row],[Valor da Venda Real]],""),"")</f>
        <v/>
      </c>
      <c r="S493" s="61" t="str">
        <f t="shared" si="33"/>
        <v/>
      </c>
      <c r="T493" s="23" t="str">
        <f>IFERROR((R493*Final[[#This Row],[Valor da Venda Real]]*Final[[#This Row],[Quantidade ]]*S493),"")</f>
        <v/>
      </c>
    </row>
    <row r="494" spans="1:20" ht="15.75" x14ac:dyDescent="0.2">
      <c r="A494">
        <f>COUNTIF($C$2:C494,C494)</f>
        <v>493</v>
      </c>
      <c r="B494" s="1" t="str">
        <f t="shared" si="32"/>
        <v>493</v>
      </c>
      <c r="C494" s="1" t="str">
        <f>IFERROR(VLOOKUP(D494,'Planilha de Cadastro - Previsão'!$A$2:$N$1000,14,FALSE()),"")</f>
        <v/>
      </c>
      <c r="D494" s="1">
        <v>493</v>
      </c>
      <c r="F494" s="40" t="str">
        <f t="shared" si="31"/>
        <v/>
      </c>
      <c r="G494" s="40" t="str">
        <f>IF(F494="","",'Prosposta Inicial'!$O$2)</f>
        <v/>
      </c>
      <c r="H494" s="40" t="str">
        <f t="shared" si="34"/>
        <v xml:space="preserve"> </v>
      </c>
      <c r="I494" s="41" t="str">
        <f>IFERROR((VLOOKUP(F494,'Planilha de Cadastro - Previsão'!$A$2:$N$1100,2,FALSE()))," ")</f>
        <v xml:space="preserve"> </v>
      </c>
      <c r="J494" s="40" t="str">
        <f>IFERROR((VLOOKUP(F494,'Planilha de Cadastro - Previsão'!$A$2:$N$1100,3,FALSE()))," ")</f>
        <v xml:space="preserve"> </v>
      </c>
      <c r="K494" s="40"/>
      <c r="L494" s="42" t="str">
        <f>IFERROR((VLOOKUP(F494,'Planilha de Cadastro - Previsão'!$A$2:$N$1100,11,FALSE()))," ")</f>
        <v xml:space="preserve"> </v>
      </c>
      <c r="M494" s="41" t="str">
        <f>IFERROR((IF(VLOOKUP(F494,'Planilha de Cadastro - Previsão'!$A$2:$N$1100,10,FALSE())="","",VLOOKUP(F494,'Planilha de Cadastro - Previsão'!$A$2:$N$1100,10,FALSE()))),"")</f>
        <v/>
      </c>
      <c r="N494" s="41"/>
      <c r="O494" s="41"/>
      <c r="P494" s="41" t="str">
        <f>IFERROR((IF(VLOOKUP(F494,'Acompanhamento da Licitação'!$F$2:$O$1000,10,FALSE())="","",VLOOKUP(F494,'Acompanhamento da Licitação'!$F$2:$O$1000,10,FALSE()))),"")</f>
        <v/>
      </c>
      <c r="R494" s="61" t="str">
        <f>IFERROR(IF(F494&gt;0,(Final[[#This Row],[Valor da Venda Real]]-Final[[#This Row],[Valor de Compra Previsto]]-4%*Final[[#This Row],[Valor da Venda Real]])/Final[[#This Row],[Valor da Venda Real]],""),"")</f>
        <v/>
      </c>
      <c r="S494" s="61" t="str">
        <f t="shared" si="33"/>
        <v/>
      </c>
      <c r="T494" s="23" t="str">
        <f>IFERROR((R494*Final[[#This Row],[Valor da Venda Real]]*Final[[#This Row],[Quantidade ]]*S494),"")</f>
        <v/>
      </c>
    </row>
    <row r="495" spans="1:20" ht="15.75" x14ac:dyDescent="0.2">
      <c r="A495">
        <f>COUNTIF($C$2:C495,C495)</f>
        <v>494</v>
      </c>
      <c r="B495" s="1" t="str">
        <f t="shared" si="32"/>
        <v>494</v>
      </c>
      <c r="C495" s="1" t="str">
        <f>IFERROR(VLOOKUP(D495,'Planilha de Cadastro - Previsão'!$A$2:$N$1000,14,FALSE()),"")</f>
        <v/>
      </c>
      <c r="D495" s="1">
        <v>494</v>
      </c>
      <c r="F495" s="40" t="str">
        <f t="shared" si="31"/>
        <v/>
      </c>
      <c r="G495" s="40" t="str">
        <f>IF(F495="","",'Prosposta Inicial'!$O$2)</f>
        <v/>
      </c>
      <c r="H495" s="40" t="str">
        <f t="shared" si="34"/>
        <v xml:space="preserve"> </v>
      </c>
      <c r="I495" s="41" t="str">
        <f>IFERROR((VLOOKUP(F495,'Planilha de Cadastro - Previsão'!$A$2:$N$1100,2,FALSE()))," ")</f>
        <v xml:space="preserve"> </v>
      </c>
      <c r="J495" s="40" t="str">
        <f>IFERROR((VLOOKUP(F495,'Planilha de Cadastro - Previsão'!$A$2:$N$1100,3,FALSE()))," ")</f>
        <v xml:space="preserve"> </v>
      </c>
      <c r="K495" s="40"/>
      <c r="L495" s="42" t="str">
        <f>IFERROR((VLOOKUP(F495,'Planilha de Cadastro - Previsão'!$A$2:$N$1100,11,FALSE()))," ")</f>
        <v xml:space="preserve"> </v>
      </c>
      <c r="M495" s="41" t="str">
        <f>IFERROR((IF(VLOOKUP(F495,'Planilha de Cadastro - Previsão'!$A$2:$N$1100,10,FALSE())="","",VLOOKUP(F495,'Planilha de Cadastro - Previsão'!$A$2:$N$1100,10,FALSE()))),"")</f>
        <v/>
      </c>
      <c r="N495" s="41"/>
      <c r="O495" s="41"/>
      <c r="P495" s="41" t="str">
        <f>IFERROR((IF(VLOOKUP(F495,'Acompanhamento da Licitação'!$F$2:$O$1000,10,FALSE())="","",VLOOKUP(F495,'Acompanhamento da Licitação'!$F$2:$O$1000,10,FALSE()))),"")</f>
        <v/>
      </c>
      <c r="R495" s="61" t="str">
        <f>IFERROR(IF(F495&gt;0,(Final[[#This Row],[Valor da Venda Real]]-Final[[#This Row],[Valor de Compra Previsto]]-4%*Final[[#This Row],[Valor da Venda Real]])/Final[[#This Row],[Valor da Venda Real]],""),"")</f>
        <v/>
      </c>
      <c r="S495" s="61" t="str">
        <f t="shared" si="33"/>
        <v/>
      </c>
      <c r="T495" s="23" t="str">
        <f>IFERROR((R495*Final[[#This Row],[Valor da Venda Real]]*Final[[#This Row],[Quantidade ]]*S495),"")</f>
        <v/>
      </c>
    </row>
    <row r="496" spans="1:20" ht="15.75" x14ac:dyDescent="0.2">
      <c r="A496">
        <f>COUNTIF($C$2:C496,C496)</f>
        <v>495</v>
      </c>
      <c r="B496" s="1" t="str">
        <f t="shared" si="32"/>
        <v>495</v>
      </c>
      <c r="C496" s="1" t="str">
        <f>IFERROR(VLOOKUP(D496,'Planilha de Cadastro - Previsão'!$A$2:$N$1000,14,FALSE()),"")</f>
        <v/>
      </c>
      <c r="D496" s="1">
        <v>495</v>
      </c>
      <c r="F496" s="40" t="str">
        <f t="shared" si="31"/>
        <v/>
      </c>
      <c r="G496" s="40" t="str">
        <f>IF(F496="","",'Prosposta Inicial'!$O$2)</f>
        <v/>
      </c>
      <c r="H496" s="40" t="str">
        <f t="shared" si="34"/>
        <v xml:space="preserve"> </v>
      </c>
      <c r="I496" s="41" t="str">
        <f>IFERROR((VLOOKUP(F496,'Planilha de Cadastro - Previsão'!$A$2:$N$1100,2,FALSE()))," ")</f>
        <v xml:space="preserve"> </v>
      </c>
      <c r="J496" s="40" t="str">
        <f>IFERROR((VLOOKUP(F496,'Planilha de Cadastro - Previsão'!$A$2:$N$1100,3,FALSE()))," ")</f>
        <v xml:space="preserve"> </v>
      </c>
      <c r="K496" s="40"/>
      <c r="L496" s="42" t="str">
        <f>IFERROR((VLOOKUP(F496,'Planilha de Cadastro - Previsão'!$A$2:$N$1100,11,FALSE()))," ")</f>
        <v xml:space="preserve"> </v>
      </c>
      <c r="M496" s="41" t="str">
        <f>IFERROR((IF(VLOOKUP(F496,'Planilha de Cadastro - Previsão'!$A$2:$N$1100,10,FALSE())="","",VLOOKUP(F496,'Planilha de Cadastro - Previsão'!$A$2:$N$1100,10,FALSE()))),"")</f>
        <v/>
      </c>
      <c r="N496" s="41"/>
      <c r="O496" s="41"/>
      <c r="P496" s="41" t="str">
        <f>IFERROR((IF(VLOOKUP(F496,'Acompanhamento da Licitação'!$F$2:$O$1000,10,FALSE())="","",VLOOKUP(F496,'Acompanhamento da Licitação'!$F$2:$O$1000,10,FALSE()))),"")</f>
        <v/>
      </c>
      <c r="R496" s="61" t="str">
        <f>IFERROR(IF(F496&gt;0,(Final[[#This Row],[Valor da Venda Real]]-Final[[#This Row],[Valor de Compra Previsto]]-4%*Final[[#This Row],[Valor da Venda Real]])/Final[[#This Row],[Valor da Venda Real]],""),"")</f>
        <v/>
      </c>
      <c r="S496" s="61" t="str">
        <f t="shared" si="33"/>
        <v/>
      </c>
      <c r="T496" s="23" t="str">
        <f>IFERROR((R496*Final[[#This Row],[Valor da Venda Real]]*Final[[#This Row],[Quantidade ]]*S496),"")</f>
        <v/>
      </c>
    </row>
    <row r="497" spans="1:20" ht="15.75" x14ac:dyDescent="0.2">
      <c r="A497">
        <f>COUNTIF($C$2:C497,C497)</f>
        <v>496</v>
      </c>
      <c r="B497" s="1" t="str">
        <f t="shared" si="32"/>
        <v>496</v>
      </c>
      <c r="C497" s="1" t="str">
        <f>IFERROR(VLOOKUP(D497,'Planilha de Cadastro - Previsão'!$A$2:$N$1000,14,FALSE()),"")</f>
        <v/>
      </c>
      <c r="D497" s="1">
        <v>496</v>
      </c>
      <c r="F497" s="40" t="str">
        <f t="shared" si="31"/>
        <v/>
      </c>
      <c r="G497" s="40" t="str">
        <f>IF(F497="","",'Prosposta Inicial'!$O$2)</f>
        <v/>
      </c>
      <c r="H497" s="40" t="str">
        <f t="shared" si="34"/>
        <v xml:space="preserve"> </v>
      </c>
      <c r="I497" s="41" t="str">
        <f>IFERROR((VLOOKUP(F497,'Planilha de Cadastro - Previsão'!$A$2:$N$1100,2,FALSE()))," ")</f>
        <v xml:space="preserve"> </v>
      </c>
      <c r="J497" s="40" t="str">
        <f>IFERROR((VLOOKUP(F497,'Planilha de Cadastro - Previsão'!$A$2:$N$1100,3,FALSE()))," ")</f>
        <v xml:space="preserve"> </v>
      </c>
      <c r="K497" s="40"/>
      <c r="L497" s="42" t="str">
        <f>IFERROR((VLOOKUP(F497,'Planilha de Cadastro - Previsão'!$A$2:$N$1100,11,FALSE()))," ")</f>
        <v xml:space="preserve"> </v>
      </c>
      <c r="M497" s="41" t="str">
        <f>IFERROR((IF(VLOOKUP(F497,'Planilha de Cadastro - Previsão'!$A$2:$N$1100,10,FALSE())="","",VLOOKUP(F497,'Planilha de Cadastro - Previsão'!$A$2:$N$1100,10,FALSE()))),"")</f>
        <v/>
      </c>
      <c r="N497" s="41"/>
      <c r="O497" s="41"/>
      <c r="P497" s="41" t="str">
        <f>IFERROR((IF(VLOOKUP(F497,'Acompanhamento da Licitação'!$F$2:$O$1000,10,FALSE())="","",VLOOKUP(F497,'Acompanhamento da Licitação'!$F$2:$O$1000,10,FALSE()))),"")</f>
        <v/>
      </c>
      <c r="R497" s="61" t="str">
        <f>IFERROR(IF(F497&gt;0,(Final[[#This Row],[Valor da Venda Real]]-Final[[#This Row],[Valor de Compra Previsto]]-4%*Final[[#This Row],[Valor da Venda Real]])/Final[[#This Row],[Valor da Venda Real]],""),"")</f>
        <v/>
      </c>
      <c r="S497" s="61" t="str">
        <f t="shared" si="33"/>
        <v/>
      </c>
      <c r="T497" s="23" t="str">
        <f>IFERROR((R497*Final[[#This Row],[Valor da Venda Real]]*Final[[#This Row],[Quantidade ]]*S497),"")</f>
        <v/>
      </c>
    </row>
    <row r="498" spans="1:20" ht="15.75" x14ac:dyDescent="0.2">
      <c r="A498">
        <f>COUNTIF($C$2:C498,C498)</f>
        <v>497</v>
      </c>
      <c r="B498" s="1" t="str">
        <f t="shared" si="32"/>
        <v>497</v>
      </c>
      <c r="C498" s="1" t="str">
        <f>IFERROR(VLOOKUP(D498,'Planilha de Cadastro - Previsão'!$A$2:$N$1000,14,FALSE()),"")</f>
        <v/>
      </c>
      <c r="D498" s="1">
        <v>497</v>
      </c>
      <c r="F498" s="40" t="str">
        <f t="shared" si="31"/>
        <v/>
      </c>
      <c r="G498" s="40" t="str">
        <f>IF(F498="","",'Prosposta Inicial'!$O$2)</f>
        <v/>
      </c>
      <c r="H498" s="40" t="str">
        <f t="shared" si="34"/>
        <v xml:space="preserve"> </v>
      </c>
      <c r="I498" s="41" t="str">
        <f>IFERROR((VLOOKUP(F498,'Planilha de Cadastro - Previsão'!$A$2:$N$1100,2,FALSE()))," ")</f>
        <v xml:space="preserve"> </v>
      </c>
      <c r="J498" s="40" t="str">
        <f>IFERROR((VLOOKUP(F498,'Planilha de Cadastro - Previsão'!$A$2:$N$1100,3,FALSE()))," ")</f>
        <v xml:space="preserve"> </v>
      </c>
      <c r="K498" s="40"/>
      <c r="L498" s="42" t="str">
        <f>IFERROR((VLOOKUP(F498,'Planilha de Cadastro - Previsão'!$A$2:$N$1100,11,FALSE()))," ")</f>
        <v xml:space="preserve"> </v>
      </c>
      <c r="M498" s="41" t="str">
        <f>IFERROR((IF(VLOOKUP(F498,'Planilha de Cadastro - Previsão'!$A$2:$N$1100,10,FALSE())="","",VLOOKUP(F498,'Planilha de Cadastro - Previsão'!$A$2:$N$1100,10,FALSE()))),"")</f>
        <v/>
      </c>
      <c r="N498" s="41"/>
      <c r="O498" s="41"/>
      <c r="P498" s="41" t="str">
        <f>IFERROR((IF(VLOOKUP(F498,'Acompanhamento da Licitação'!$F$2:$O$1000,10,FALSE())="","",VLOOKUP(F498,'Acompanhamento da Licitação'!$F$2:$O$1000,10,FALSE()))),"")</f>
        <v/>
      </c>
      <c r="R498" s="61" t="str">
        <f>IFERROR(IF(F498&gt;0,(Final[[#This Row],[Valor da Venda Real]]-Final[[#This Row],[Valor de Compra Previsto]]-4%*Final[[#This Row],[Valor da Venda Real]])/Final[[#This Row],[Valor da Venda Real]],""),"")</f>
        <v/>
      </c>
      <c r="S498" s="61" t="str">
        <f t="shared" si="33"/>
        <v/>
      </c>
      <c r="T498" s="23" t="str">
        <f>IFERROR((R498*Final[[#This Row],[Valor da Venda Real]]*Final[[#This Row],[Quantidade ]]*S498),"")</f>
        <v/>
      </c>
    </row>
    <row r="499" spans="1:20" ht="15.75" x14ac:dyDescent="0.2">
      <c r="A499">
        <f>COUNTIF($C$2:C499,C499)</f>
        <v>498</v>
      </c>
      <c r="B499" s="1" t="str">
        <f t="shared" si="32"/>
        <v>498</v>
      </c>
      <c r="C499" s="1" t="str">
        <f>IFERROR(VLOOKUP(D499,'Planilha de Cadastro - Previsão'!$A$2:$N$1000,14,FALSE()),"")</f>
        <v/>
      </c>
      <c r="D499" s="1">
        <v>498</v>
      </c>
      <c r="F499" s="40" t="str">
        <f t="shared" si="31"/>
        <v/>
      </c>
      <c r="G499" s="40" t="str">
        <f>IF(F499="","",'Prosposta Inicial'!$O$2)</f>
        <v/>
      </c>
      <c r="H499" s="40" t="str">
        <f t="shared" si="34"/>
        <v xml:space="preserve"> </v>
      </c>
      <c r="I499" s="41" t="str">
        <f>IFERROR((VLOOKUP(F499,'Planilha de Cadastro - Previsão'!$A$2:$N$1100,2,FALSE()))," ")</f>
        <v xml:space="preserve"> </v>
      </c>
      <c r="J499" s="40" t="str">
        <f>IFERROR((VLOOKUP(F499,'Planilha de Cadastro - Previsão'!$A$2:$N$1100,3,FALSE()))," ")</f>
        <v xml:space="preserve"> </v>
      </c>
      <c r="K499" s="40"/>
      <c r="L499" s="42" t="str">
        <f>IFERROR((VLOOKUP(F499,'Planilha de Cadastro - Previsão'!$A$2:$N$1100,11,FALSE()))," ")</f>
        <v xml:space="preserve"> </v>
      </c>
      <c r="M499" s="41" t="str">
        <f>IFERROR((IF(VLOOKUP(F499,'Planilha de Cadastro - Previsão'!$A$2:$N$1100,10,FALSE())="","",VLOOKUP(F499,'Planilha de Cadastro - Previsão'!$A$2:$N$1100,10,FALSE()))),"")</f>
        <v/>
      </c>
      <c r="N499" s="41"/>
      <c r="O499" s="41"/>
      <c r="P499" s="41" t="str">
        <f>IFERROR((IF(VLOOKUP(F499,'Acompanhamento da Licitação'!$F$2:$O$1000,10,FALSE())="","",VLOOKUP(F499,'Acompanhamento da Licitação'!$F$2:$O$1000,10,FALSE()))),"")</f>
        <v/>
      </c>
      <c r="R499" s="61" t="str">
        <f>IFERROR(IF(F499&gt;0,(Final[[#This Row],[Valor da Venda Real]]-Final[[#This Row],[Valor de Compra Previsto]]-4%*Final[[#This Row],[Valor da Venda Real]])/Final[[#This Row],[Valor da Venda Real]],""),"")</f>
        <v/>
      </c>
      <c r="S499" s="61" t="str">
        <f t="shared" si="33"/>
        <v/>
      </c>
      <c r="T499" s="23" t="str">
        <f>IFERROR((R499*Final[[#This Row],[Valor da Venda Real]]*Final[[#This Row],[Quantidade ]]*S499),"")</f>
        <v/>
      </c>
    </row>
    <row r="500" spans="1:20" ht="15.75" x14ac:dyDescent="0.2">
      <c r="A500">
        <f>COUNTIF($C$2:C500,C500)</f>
        <v>499</v>
      </c>
      <c r="B500" s="1" t="str">
        <f t="shared" si="32"/>
        <v>499</v>
      </c>
      <c r="C500" s="1" t="str">
        <f>IFERROR(VLOOKUP(D500,'Planilha de Cadastro - Previsão'!$A$2:$N$1000,14,FALSE()),"")</f>
        <v/>
      </c>
      <c r="D500" s="1">
        <v>499</v>
      </c>
      <c r="F500" s="40" t="str">
        <f t="shared" si="31"/>
        <v/>
      </c>
      <c r="G500" s="40" t="str">
        <f>IF(F500="","",'Prosposta Inicial'!$O$2)</f>
        <v/>
      </c>
      <c r="H500" s="40" t="str">
        <f t="shared" si="34"/>
        <v xml:space="preserve"> </v>
      </c>
      <c r="I500" s="41" t="str">
        <f>IFERROR((VLOOKUP(F500,'Planilha de Cadastro - Previsão'!$A$2:$N$1100,2,FALSE()))," ")</f>
        <v xml:space="preserve"> </v>
      </c>
      <c r="J500" s="40" t="str">
        <f>IFERROR((VLOOKUP(F500,'Planilha de Cadastro - Previsão'!$A$2:$N$1100,3,FALSE()))," ")</f>
        <v xml:space="preserve"> </v>
      </c>
      <c r="K500" s="40"/>
      <c r="L500" s="42" t="str">
        <f>IFERROR((VLOOKUP(F500,'Planilha de Cadastro - Previsão'!$A$2:$N$1100,11,FALSE()))," ")</f>
        <v xml:space="preserve"> </v>
      </c>
      <c r="M500" s="41" t="str">
        <f>IFERROR((IF(VLOOKUP(F500,'Planilha de Cadastro - Previsão'!$A$2:$N$1100,10,FALSE())="","",VLOOKUP(F500,'Planilha de Cadastro - Previsão'!$A$2:$N$1100,10,FALSE()))),"")</f>
        <v/>
      </c>
      <c r="N500" s="41"/>
      <c r="O500" s="41"/>
      <c r="P500" s="41" t="str">
        <f>IFERROR((IF(VLOOKUP(F500,'Acompanhamento da Licitação'!$F$2:$O$1000,10,FALSE())="","",VLOOKUP(F500,'Acompanhamento da Licitação'!$F$2:$O$1000,10,FALSE()))),"")</f>
        <v/>
      </c>
      <c r="R500" s="61" t="str">
        <f>IFERROR(IF(F500&gt;0,(Final[[#This Row],[Valor da Venda Real]]-Final[[#This Row],[Valor de Compra Previsto]]-4%*Final[[#This Row],[Valor da Venda Real]])/Final[[#This Row],[Valor da Venda Real]],""),"")</f>
        <v/>
      </c>
      <c r="S500" s="61" t="str">
        <f t="shared" si="33"/>
        <v/>
      </c>
      <c r="T500" s="23" t="str">
        <f>IFERROR((R500*Final[[#This Row],[Valor da Venda Real]]*Final[[#This Row],[Quantidade ]]*S500),"")</f>
        <v/>
      </c>
    </row>
    <row r="501" spans="1:20" ht="15.75" x14ac:dyDescent="0.2">
      <c r="A501">
        <f>COUNTIF($C$2:C501,C501)</f>
        <v>500</v>
      </c>
      <c r="B501" s="1" t="str">
        <f t="shared" si="32"/>
        <v>500</v>
      </c>
      <c r="C501" s="1" t="str">
        <f>IFERROR(VLOOKUP(D501,'Planilha de Cadastro - Previsão'!$A$2:$N$1000,14,FALSE()),"")</f>
        <v/>
      </c>
      <c r="D501" s="1">
        <v>500</v>
      </c>
      <c r="F501" s="40" t="str">
        <f t="shared" si="31"/>
        <v/>
      </c>
      <c r="G501" s="40" t="str">
        <f>IF(F501="","",'Prosposta Inicial'!$O$2)</f>
        <v/>
      </c>
      <c r="H501" s="40" t="str">
        <f t="shared" si="34"/>
        <v xml:space="preserve"> </v>
      </c>
      <c r="I501" s="41" t="str">
        <f>IFERROR((VLOOKUP(F501,'Planilha de Cadastro - Previsão'!$A$2:$N$1100,2,FALSE()))," ")</f>
        <v xml:space="preserve"> </v>
      </c>
      <c r="J501" s="40" t="str">
        <f>IFERROR((VLOOKUP(F501,'Planilha de Cadastro - Previsão'!$A$2:$N$1100,3,FALSE()))," ")</f>
        <v xml:space="preserve"> </v>
      </c>
      <c r="K501" s="40"/>
      <c r="L501" s="42" t="str">
        <f>IFERROR((VLOOKUP(F501,'Planilha de Cadastro - Previsão'!$A$2:$N$1100,11,FALSE()))," ")</f>
        <v xml:space="preserve"> </v>
      </c>
      <c r="M501" s="41" t="str">
        <f>IFERROR((IF(VLOOKUP(F501,'Planilha de Cadastro - Previsão'!$A$2:$N$1100,10,FALSE())="","",VLOOKUP(F501,'Planilha de Cadastro - Previsão'!$A$2:$N$1100,10,FALSE()))),"")</f>
        <v/>
      </c>
      <c r="N501" s="41"/>
      <c r="O501" s="41"/>
      <c r="P501" s="41" t="str">
        <f>IFERROR((IF(VLOOKUP(F501,'Acompanhamento da Licitação'!$F$2:$O$1000,10,FALSE())="","",VLOOKUP(F501,'Acompanhamento da Licitação'!$F$2:$O$1000,10,FALSE()))),"")</f>
        <v/>
      </c>
      <c r="R501" s="61" t="str">
        <f>IFERROR(IF(F501&gt;0,(Final[[#This Row],[Valor da Venda Real]]-Final[[#This Row],[Valor de Compra Previsto]]-4%*Final[[#This Row],[Valor da Venda Real]])/Final[[#This Row],[Valor da Venda Real]],""),"")</f>
        <v/>
      </c>
      <c r="S501" s="61" t="str">
        <f t="shared" si="33"/>
        <v/>
      </c>
      <c r="T501" s="23" t="str">
        <f>IFERROR((R501*Final[[#This Row],[Valor da Venda Real]]*Final[[#This Row],[Quantidade ]]*S501),"")</f>
        <v/>
      </c>
    </row>
    <row r="502" spans="1:20" ht="15.75" x14ac:dyDescent="0.2">
      <c r="A502">
        <f>COUNTIF($C$2:C502,C502)</f>
        <v>501</v>
      </c>
      <c r="B502" s="1" t="str">
        <f t="shared" si="32"/>
        <v>501</v>
      </c>
      <c r="C502" s="1" t="str">
        <f>IFERROR(VLOOKUP(D502,'Planilha de Cadastro - Previsão'!$A$2:$N$1000,14,FALSE()),"")</f>
        <v/>
      </c>
      <c r="D502" s="1">
        <v>501</v>
      </c>
      <c r="F502" s="40" t="str">
        <f t="shared" si="31"/>
        <v/>
      </c>
      <c r="G502" s="40" t="str">
        <f>IF(F502="","",'Prosposta Inicial'!$O$2)</f>
        <v/>
      </c>
      <c r="H502" s="40" t="str">
        <f t="shared" si="34"/>
        <v xml:space="preserve"> </v>
      </c>
      <c r="I502" s="41" t="str">
        <f>IFERROR((VLOOKUP(F502,'Planilha de Cadastro - Previsão'!$A$2:$N$1100,2,FALSE()))," ")</f>
        <v xml:space="preserve"> </v>
      </c>
      <c r="J502" s="40" t="str">
        <f>IFERROR((VLOOKUP(F502,'Planilha de Cadastro - Previsão'!$A$2:$N$1100,3,FALSE()))," ")</f>
        <v xml:space="preserve"> </v>
      </c>
      <c r="K502" s="40"/>
      <c r="L502" s="42" t="str">
        <f>IFERROR((VLOOKUP(F502,'Planilha de Cadastro - Previsão'!$A$2:$N$1100,11,FALSE()))," ")</f>
        <v xml:space="preserve"> </v>
      </c>
      <c r="M502" s="41" t="str">
        <f>IFERROR((IF(VLOOKUP(F502,'Planilha de Cadastro - Previsão'!$A$2:$N$1100,10,FALSE())="","",VLOOKUP(F502,'Planilha de Cadastro - Previsão'!$A$2:$N$1100,10,FALSE()))),"")</f>
        <v/>
      </c>
      <c r="N502" s="41"/>
      <c r="O502" s="41"/>
      <c r="P502" s="41" t="str">
        <f>IFERROR((IF(VLOOKUP(F502,'Acompanhamento da Licitação'!$F$2:$O$1000,10,FALSE())="","",VLOOKUP(F502,'Acompanhamento da Licitação'!$F$2:$O$1000,10,FALSE()))),"")</f>
        <v/>
      </c>
      <c r="R502" s="61" t="str">
        <f>IFERROR(IF(F502&gt;0,(Final[[#This Row],[Valor da Venda Real]]-Final[[#This Row],[Valor de Compra Previsto]]-4%*Final[[#This Row],[Valor da Venda Real]])/Final[[#This Row],[Valor da Venda Real]],""),"")</f>
        <v/>
      </c>
      <c r="S502" s="61" t="str">
        <f t="shared" si="33"/>
        <v/>
      </c>
      <c r="T502" s="23" t="str">
        <f>IFERROR((R502*Final[[#This Row],[Valor da Venda Real]]*Final[[#This Row],[Quantidade ]]*S502),"")</f>
        <v/>
      </c>
    </row>
    <row r="503" spans="1:20" ht="15.75" x14ac:dyDescent="0.2">
      <c r="A503">
        <f>COUNTIF($C$2:C503,C503)</f>
        <v>502</v>
      </c>
      <c r="B503" s="1" t="str">
        <f t="shared" si="32"/>
        <v>502</v>
      </c>
      <c r="C503" s="1" t="str">
        <f>IFERROR(VLOOKUP(D503,'Planilha de Cadastro - Previsão'!$A$2:$N$1000,14,FALSE()),"")</f>
        <v/>
      </c>
      <c r="D503" s="1">
        <v>502</v>
      </c>
      <c r="F503" s="40" t="str">
        <f t="shared" si="31"/>
        <v/>
      </c>
      <c r="G503" s="40" t="str">
        <f>IF(F503="","",'Prosposta Inicial'!$O$2)</f>
        <v/>
      </c>
      <c r="H503" s="40" t="str">
        <f t="shared" si="34"/>
        <v xml:space="preserve"> </v>
      </c>
      <c r="I503" s="41" t="str">
        <f>IFERROR((VLOOKUP(F503,'Planilha de Cadastro - Previsão'!$A$2:$N$1100,2,FALSE()))," ")</f>
        <v xml:space="preserve"> </v>
      </c>
      <c r="J503" s="40" t="str">
        <f>IFERROR((VLOOKUP(F503,'Planilha de Cadastro - Previsão'!$A$2:$N$1100,3,FALSE()))," ")</f>
        <v xml:space="preserve"> </v>
      </c>
      <c r="K503" s="40"/>
      <c r="L503" s="42" t="str">
        <f>IFERROR((VLOOKUP(F503,'Planilha de Cadastro - Previsão'!$A$2:$N$1100,11,FALSE()))," ")</f>
        <v xml:space="preserve"> </v>
      </c>
      <c r="M503" s="41" t="str">
        <f>IFERROR((IF(VLOOKUP(F503,'Planilha de Cadastro - Previsão'!$A$2:$N$1100,10,FALSE())="","",VLOOKUP(F503,'Planilha de Cadastro - Previsão'!$A$2:$N$1100,10,FALSE()))),"")</f>
        <v/>
      </c>
      <c r="N503" s="41"/>
      <c r="O503" s="41"/>
      <c r="P503" s="41" t="str">
        <f>IFERROR((IF(VLOOKUP(F503,'Acompanhamento da Licitação'!$F$2:$O$1000,10,FALSE())="","",VLOOKUP(F503,'Acompanhamento da Licitação'!$F$2:$O$1000,10,FALSE()))),"")</f>
        <v/>
      </c>
      <c r="R503" s="61" t="str">
        <f>IFERROR(IF(F503&gt;0,(Final[[#This Row],[Valor da Venda Real]]-Final[[#This Row],[Valor de Compra Previsto]]-4%*Final[[#This Row],[Valor da Venda Real]])/Final[[#This Row],[Valor da Venda Real]],""),"")</f>
        <v/>
      </c>
      <c r="S503" s="61" t="str">
        <f t="shared" si="33"/>
        <v/>
      </c>
      <c r="T503" s="23" t="str">
        <f>IFERROR((R503*Final[[#This Row],[Valor da Venda Real]]*Final[[#This Row],[Quantidade ]]*S503),"")</f>
        <v/>
      </c>
    </row>
    <row r="504" spans="1:20" ht="15.75" x14ac:dyDescent="0.2">
      <c r="A504">
        <f>COUNTIF($C$2:C504,C504)</f>
        <v>503</v>
      </c>
      <c r="B504" s="1" t="str">
        <f t="shared" si="32"/>
        <v>503</v>
      </c>
      <c r="C504" s="1" t="str">
        <f>IFERROR(VLOOKUP(D504,'Planilha de Cadastro - Previsão'!$A$2:$N$1000,14,FALSE()),"")</f>
        <v/>
      </c>
      <c r="D504" s="1">
        <v>503</v>
      </c>
      <c r="F504" s="40" t="str">
        <f t="shared" si="31"/>
        <v/>
      </c>
      <c r="G504" s="40" t="str">
        <f>IF(F504="","",'Prosposta Inicial'!$O$2)</f>
        <v/>
      </c>
      <c r="H504" s="40" t="str">
        <f t="shared" si="34"/>
        <v xml:space="preserve"> </v>
      </c>
      <c r="I504" s="41" t="str">
        <f>IFERROR((VLOOKUP(F504,'Planilha de Cadastro - Previsão'!$A$2:$N$1100,2,FALSE()))," ")</f>
        <v xml:space="preserve"> </v>
      </c>
      <c r="J504" s="40" t="str">
        <f>IFERROR((VLOOKUP(F504,'Planilha de Cadastro - Previsão'!$A$2:$N$1100,3,FALSE()))," ")</f>
        <v xml:space="preserve"> </v>
      </c>
      <c r="K504" s="40"/>
      <c r="L504" s="42" t="str">
        <f>IFERROR((VLOOKUP(F504,'Planilha de Cadastro - Previsão'!$A$2:$N$1100,11,FALSE()))," ")</f>
        <v xml:space="preserve"> </v>
      </c>
      <c r="M504" s="41" t="str">
        <f>IFERROR((IF(VLOOKUP(F504,'Planilha de Cadastro - Previsão'!$A$2:$N$1100,10,FALSE())="","",VLOOKUP(F504,'Planilha de Cadastro - Previsão'!$A$2:$N$1100,10,FALSE()))),"")</f>
        <v/>
      </c>
      <c r="N504" s="41"/>
      <c r="O504" s="41"/>
      <c r="P504" s="41" t="str">
        <f>IFERROR((IF(VLOOKUP(F504,'Acompanhamento da Licitação'!$F$2:$O$1000,10,FALSE())="","",VLOOKUP(F504,'Acompanhamento da Licitação'!$F$2:$O$1000,10,FALSE()))),"")</f>
        <v/>
      </c>
      <c r="R504" s="61" t="str">
        <f>IFERROR(IF(F504&gt;0,(Final[[#This Row],[Valor da Venda Real]]-Final[[#This Row],[Valor de Compra Previsto]]-4%*Final[[#This Row],[Valor da Venda Real]])/Final[[#This Row],[Valor da Venda Real]],""),"")</f>
        <v/>
      </c>
      <c r="S504" s="61" t="str">
        <f t="shared" si="33"/>
        <v/>
      </c>
      <c r="T504" s="23" t="str">
        <f>IFERROR((R504*Final[[#This Row],[Valor da Venda Real]]*Final[[#This Row],[Quantidade ]]*S504),"")</f>
        <v/>
      </c>
    </row>
    <row r="505" spans="1:20" ht="15.75" x14ac:dyDescent="0.2">
      <c r="A505">
        <f>COUNTIF($C$2:C505,C505)</f>
        <v>504</v>
      </c>
      <c r="B505" s="1" t="str">
        <f t="shared" si="32"/>
        <v>504</v>
      </c>
      <c r="C505" s="1" t="str">
        <f>IFERROR(VLOOKUP(D505,'Planilha de Cadastro - Previsão'!$A$2:$N$1000,14,FALSE()),"")</f>
        <v/>
      </c>
      <c r="D505" s="1">
        <v>504</v>
      </c>
      <c r="F505" s="40" t="str">
        <f t="shared" si="31"/>
        <v/>
      </c>
      <c r="G505" s="40" t="str">
        <f>IF(F505="","",'Prosposta Inicial'!$O$2)</f>
        <v/>
      </c>
      <c r="H505" s="40" t="str">
        <f t="shared" si="34"/>
        <v xml:space="preserve"> </v>
      </c>
      <c r="I505" s="41" t="str">
        <f>IFERROR((VLOOKUP(F505,'Planilha de Cadastro - Previsão'!$A$2:$N$1100,2,FALSE()))," ")</f>
        <v xml:space="preserve"> </v>
      </c>
      <c r="J505" s="40" t="str">
        <f>IFERROR((VLOOKUP(F505,'Planilha de Cadastro - Previsão'!$A$2:$N$1100,3,FALSE()))," ")</f>
        <v xml:space="preserve"> </v>
      </c>
      <c r="K505" s="40"/>
      <c r="L505" s="42" t="str">
        <f>IFERROR((VLOOKUP(F505,'Planilha de Cadastro - Previsão'!$A$2:$N$1100,11,FALSE()))," ")</f>
        <v xml:space="preserve"> </v>
      </c>
      <c r="M505" s="41" t="str">
        <f>IFERROR((IF(VLOOKUP(F505,'Planilha de Cadastro - Previsão'!$A$2:$N$1100,10,FALSE())="","",VLOOKUP(F505,'Planilha de Cadastro - Previsão'!$A$2:$N$1100,10,FALSE()))),"")</f>
        <v/>
      </c>
      <c r="N505" s="41"/>
      <c r="O505" s="41"/>
      <c r="P505" s="41" t="str">
        <f>IFERROR((IF(VLOOKUP(F505,'Acompanhamento da Licitação'!$F$2:$O$1000,10,FALSE())="","",VLOOKUP(F505,'Acompanhamento da Licitação'!$F$2:$O$1000,10,FALSE()))),"")</f>
        <v/>
      </c>
      <c r="R505" s="61" t="str">
        <f>IFERROR(IF(F505&gt;0,(Final[[#This Row],[Valor da Venda Real]]-Final[[#This Row],[Valor de Compra Previsto]]-4%*Final[[#This Row],[Valor da Venda Real]])/Final[[#This Row],[Valor da Venda Real]],""),"")</f>
        <v/>
      </c>
      <c r="S505" s="61" t="str">
        <f t="shared" si="33"/>
        <v/>
      </c>
      <c r="T505" s="23" t="str">
        <f>IFERROR((R505*Final[[#This Row],[Valor da Venda Real]]*Final[[#This Row],[Quantidade ]]*S505),"")</f>
        <v/>
      </c>
    </row>
    <row r="506" spans="1:20" ht="15.75" x14ac:dyDescent="0.2">
      <c r="A506">
        <f>COUNTIF($C$2:C506,C506)</f>
        <v>505</v>
      </c>
      <c r="B506" s="1" t="str">
        <f t="shared" si="32"/>
        <v>505</v>
      </c>
      <c r="C506" s="1" t="str">
        <f>IFERROR(VLOOKUP(D506,'Planilha de Cadastro - Previsão'!$A$2:$N$1000,14,FALSE()),"")</f>
        <v/>
      </c>
      <c r="D506" s="1">
        <v>505</v>
      </c>
      <c r="F506" s="40" t="str">
        <f t="shared" si="31"/>
        <v/>
      </c>
      <c r="G506" s="40" t="str">
        <f>IF(F506="","",'Prosposta Inicial'!$O$2)</f>
        <v/>
      </c>
      <c r="H506" s="40" t="str">
        <f t="shared" si="34"/>
        <v xml:space="preserve"> </v>
      </c>
      <c r="I506" s="41" t="str">
        <f>IFERROR((VLOOKUP(F506,'Planilha de Cadastro - Previsão'!$A$2:$N$1100,2,FALSE()))," ")</f>
        <v xml:space="preserve"> </v>
      </c>
      <c r="J506" s="40" t="str">
        <f>IFERROR((VLOOKUP(F506,'Planilha de Cadastro - Previsão'!$A$2:$N$1100,3,FALSE()))," ")</f>
        <v xml:space="preserve"> </v>
      </c>
      <c r="K506" s="40"/>
      <c r="L506" s="42" t="str">
        <f>IFERROR((VLOOKUP(F506,'Planilha de Cadastro - Previsão'!$A$2:$N$1100,11,FALSE()))," ")</f>
        <v xml:space="preserve"> </v>
      </c>
      <c r="M506" s="41" t="str">
        <f>IFERROR((IF(VLOOKUP(F506,'Planilha de Cadastro - Previsão'!$A$2:$N$1100,10,FALSE())="","",VLOOKUP(F506,'Planilha de Cadastro - Previsão'!$A$2:$N$1100,10,FALSE()))),"")</f>
        <v/>
      </c>
      <c r="N506" s="41"/>
      <c r="O506" s="41"/>
      <c r="P506" s="41" t="str">
        <f>IFERROR((IF(VLOOKUP(F506,'Acompanhamento da Licitação'!$F$2:$O$1000,10,FALSE())="","",VLOOKUP(F506,'Acompanhamento da Licitação'!$F$2:$O$1000,10,FALSE()))),"")</f>
        <v/>
      </c>
      <c r="R506" s="61" t="str">
        <f>IFERROR(IF(F506&gt;0,(Final[[#This Row],[Valor da Venda Real]]-Final[[#This Row],[Valor de Compra Previsto]]-4%*Final[[#This Row],[Valor da Venda Real]])/Final[[#This Row],[Valor da Venda Real]],""),"")</f>
        <v/>
      </c>
      <c r="S506" s="61" t="str">
        <f t="shared" si="33"/>
        <v/>
      </c>
      <c r="T506" s="23" t="str">
        <f>IFERROR((R506*Final[[#This Row],[Valor da Venda Real]]*Final[[#This Row],[Quantidade ]]*S506),"")</f>
        <v/>
      </c>
    </row>
    <row r="507" spans="1:20" ht="15.75" x14ac:dyDescent="0.2">
      <c r="A507">
        <f>COUNTIF($C$2:C507,C507)</f>
        <v>506</v>
      </c>
      <c r="B507" s="1" t="str">
        <f t="shared" si="32"/>
        <v>506</v>
      </c>
      <c r="C507" s="1" t="str">
        <f>IFERROR(VLOOKUP(D507,'Planilha de Cadastro - Previsão'!$A$2:$N$1000,14,FALSE()),"")</f>
        <v/>
      </c>
      <c r="D507" s="1">
        <v>506</v>
      </c>
      <c r="F507" s="40" t="str">
        <f t="shared" si="31"/>
        <v/>
      </c>
      <c r="G507" s="40" t="str">
        <f>IF(F507="","",'Prosposta Inicial'!$O$2)</f>
        <v/>
      </c>
      <c r="H507" s="40" t="str">
        <f t="shared" si="34"/>
        <v xml:space="preserve"> </v>
      </c>
      <c r="I507" s="41" t="str">
        <f>IFERROR((VLOOKUP(F507,'Planilha de Cadastro - Previsão'!$A$2:$N$1100,2,FALSE()))," ")</f>
        <v xml:space="preserve"> </v>
      </c>
      <c r="J507" s="40" t="str">
        <f>IFERROR((VLOOKUP(F507,'Planilha de Cadastro - Previsão'!$A$2:$N$1100,3,FALSE()))," ")</f>
        <v xml:space="preserve"> </v>
      </c>
      <c r="K507" s="40"/>
      <c r="L507" s="42" t="str">
        <f>IFERROR((VLOOKUP(F507,'Planilha de Cadastro - Previsão'!$A$2:$N$1100,11,FALSE()))," ")</f>
        <v xml:space="preserve"> </v>
      </c>
      <c r="M507" s="41" t="str">
        <f>IFERROR((IF(VLOOKUP(F507,'Planilha de Cadastro - Previsão'!$A$2:$N$1100,10,FALSE())="","",VLOOKUP(F507,'Planilha de Cadastro - Previsão'!$A$2:$N$1100,10,FALSE()))),"")</f>
        <v/>
      </c>
      <c r="N507" s="41"/>
      <c r="O507" s="41"/>
      <c r="P507" s="41" t="str">
        <f>IFERROR((IF(VLOOKUP(F507,'Acompanhamento da Licitação'!$F$2:$O$1000,10,FALSE())="","",VLOOKUP(F507,'Acompanhamento da Licitação'!$F$2:$O$1000,10,FALSE()))),"")</f>
        <v/>
      </c>
      <c r="R507" s="61" t="str">
        <f>IFERROR(IF(F507&gt;0,(Final[[#This Row],[Valor da Venda Real]]-Final[[#This Row],[Valor de Compra Previsto]]-4%*Final[[#This Row],[Valor da Venda Real]])/Final[[#This Row],[Valor da Venda Real]],""),"")</f>
        <v/>
      </c>
      <c r="S507" s="61" t="str">
        <f t="shared" si="33"/>
        <v/>
      </c>
      <c r="T507" s="23" t="str">
        <f>IFERROR((R507*Final[[#This Row],[Valor da Venda Real]]*Final[[#This Row],[Quantidade ]]*S507),"")</f>
        <v/>
      </c>
    </row>
    <row r="508" spans="1:20" ht="15.75" x14ac:dyDescent="0.2">
      <c r="A508">
        <f>COUNTIF($C$2:C508,C508)</f>
        <v>507</v>
      </c>
      <c r="B508" s="1" t="str">
        <f t="shared" si="32"/>
        <v>507</v>
      </c>
      <c r="C508" s="1" t="str">
        <f>IFERROR(VLOOKUP(D508,'Planilha de Cadastro - Previsão'!$A$2:$N$1000,14,FALSE()),"")</f>
        <v/>
      </c>
      <c r="D508" s="1">
        <v>507</v>
      </c>
      <c r="F508" s="40" t="str">
        <f t="shared" si="31"/>
        <v/>
      </c>
      <c r="G508" s="40" t="str">
        <f>IF(F508="","",'Prosposta Inicial'!$O$2)</f>
        <v/>
      </c>
      <c r="H508" s="40" t="str">
        <f t="shared" si="34"/>
        <v xml:space="preserve"> </v>
      </c>
      <c r="I508" s="41" t="str">
        <f>IFERROR((VLOOKUP(F508,'Planilha de Cadastro - Previsão'!$A$2:$N$1100,2,FALSE()))," ")</f>
        <v xml:space="preserve"> </v>
      </c>
      <c r="J508" s="40" t="str">
        <f>IFERROR((VLOOKUP(F508,'Planilha de Cadastro - Previsão'!$A$2:$N$1100,3,FALSE()))," ")</f>
        <v xml:space="preserve"> </v>
      </c>
      <c r="K508" s="40"/>
      <c r="L508" s="42" t="str">
        <f>IFERROR((VLOOKUP(F508,'Planilha de Cadastro - Previsão'!$A$2:$N$1100,11,FALSE()))," ")</f>
        <v xml:space="preserve"> </v>
      </c>
      <c r="M508" s="41" t="str">
        <f>IFERROR((IF(VLOOKUP(F508,'Planilha de Cadastro - Previsão'!$A$2:$N$1100,10,FALSE())="","",VLOOKUP(F508,'Planilha de Cadastro - Previsão'!$A$2:$N$1100,10,FALSE()))),"")</f>
        <v/>
      </c>
      <c r="N508" s="41"/>
      <c r="O508" s="41"/>
      <c r="P508" s="41" t="str">
        <f>IFERROR((IF(VLOOKUP(F508,'Acompanhamento da Licitação'!$F$2:$O$1000,10,FALSE())="","",VLOOKUP(F508,'Acompanhamento da Licitação'!$F$2:$O$1000,10,FALSE()))),"")</f>
        <v/>
      </c>
      <c r="R508" s="61" t="str">
        <f>IFERROR(IF(F508&gt;0,(Final[[#This Row],[Valor da Venda Real]]-Final[[#This Row],[Valor de Compra Previsto]]-4%*Final[[#This Row],[Valor da Venda Real]])/Final[[#This Row],[Valor da Venda Real]],""),"")</f>
        <v/>
      </c>
      <c r="S508" s="61" t="str">
        <f t="shared" si="33"/>
        <v/>
      </c>
      <c r="T508" s="23" t="str">
        <f>IFERROR((R508*Final[[#This Row],[Valor da Venda Real]]*Final[[#This Row],[Quantidade ]]*S508),"")</f>
        <v/>
      </c>
    </row>
    <row r="509" spans="1:20" ht="15.75" x14ac:dyDescent="0.2">
      <c r="A509">
        <f>COUNTIF($C$2:C509,C509)</f>
        <v>508</v>
      </c>
      <c r="B509" s="1" t="str">
        <f t="shared" si="32"/>
        <v>508</v>
      </c>
      <c r="C509" s="1" t="str">
        <f>IFERROR(VLOOKUP(D509,'Planilha de Cadastro - Previsão'!$A$2:$N$1000,14,FALSE()),"")</f>
        <v/>
      </c>
      <c r="D509" s="1">
        <v>508</v>
      </c>
      <c r="F509" s="40" t="str">
        <f t="shared" si="31"/>
        <v/>
      </c>
      <c r="G509" s="40" t="str">
        <f>IF(F509="","",'Prosposta Inicial'!$O$2)</f>
        <v/>
      </c>
      <c r="H509" s="40" t="str">
        <f t="shared" si="34"/>
        <v xml:space="preserve"> </v>
      </c>
      <c r="I509" s="41" t="str">
        <f>IFERROR((VLOOKUP(F509,'Planilha de Cadastro - Previsão'!$A$2:$N$1100,2,FALSE()))," ")</f>
        <v xml:space="preserve"> </v>
      </c>
      <c r="J509" s="40" t="str">
        <f>IFERROR((VLOOKUP(F509,'Planilha de Cadastro - Previsão'!$A$2:$N$1100,3,FALSE()))," ")</f>
        <v xml:space="preserve"> </v>
      </c>
      <c r="K509" s="40"/>
      <c r="L509" s="42" t="str">
        <f>IFERROR((VLOOKUP(F509,'Planilha de Cadastro - Previsão'!$A$2:$N$1100,11,FALSE()))," ")</f>
        <v xml:space="preserve"> </v>
      </c>
      <c r="M509" s="41" t="str">
        <f>IFERROR((IF(VLOOKUP(F509,'Planilha de Cadastro - Previsão'!$A$2:$N$1100,10,FALSE())="","",VLOOKUP(F509,'Planilha de Cadastro - Previsão'!$A$2:$N$1100,10,FALSE()))),"")</f>
        <v/>
      </c>
      <c r="N509" s="41"/>
      <c r="O509" s="41"/>
      <c r="P509" s="41" t="str">
        <f>IFERROR((IF(VLOOKUP(F509,'Acompanhamento da Licitação'!$F$2:$O$1000,10,FALSE())="","",VLOOKUP(F509,'Acompanhamento da Licitação'!$F$2:$O$1000,10,FALSE()))),"")</f>
        <v/>
      </c>
      <c r="R509" s="61" t="str">
        <f>IFERROR(IF(F509&gt;0,(Final[[#This Row],[Valor da Venda Real]]-Final[[#This Row],[Valor de Compra Previsto]]-4%*Final[[#This Row],[Valor da Venda Real]])/Final[[#This Row],[Valor da Venda Real]],""),"")</f>
        <v/>
      </c>
      <c r="S509" s="61" t="str">
        <f t="shared" si="33"/>
        <v/>
      </c>
      <c r="T509" s="23" t="str">
        <f>IFERROR((R509*Final[[#This Row],[Valor da Venda Real]]*Final[[#This Row],[Quantidade ]]*S509),"")</f>
        <v/>
      </c>
    </row>
    <row r="510" spans="1:20" ht="15.75" x14ac:dyDescent="0.2">
      <c r="A510">
        <f>COUNTIF($C$2:C510,C510)</f>
        <v>509</v>
      </c>
      <c r="B510" s="1" t="str">
        <f t="shared" si="32"/>
        <v>509</v>
      </c>
      <c r="C510" s="1" t="str">
        <f>IFERROR(VLOOKUP(D510,'Planilha de Cadastro - Previsão'!$A$2:$N$1000,14,FALSE()),"")</f>
        <v/>
      </c>
      <c r="D510" s="1">
        <v>509</v>
      </c>
      <c r="F510" s="40" t="str">
        <f t="shared" si="31"/>
        <v/>
      </c>
      <c r="G510" s="40" t="str">
        <f>IF(F510="","",'Prosposta Inicial'!$O$2)</f>
        <v/>
      </c>
      <c r="H510" s="40" t="str">
        <f t="shared" si="34"/>
        <v xml:space="preserve"> </v>
      </c>
      <c r="I510" s="41" t="str">
        <f>IFERROR((VLOOKUP(F510,'Planilha de Cadastro - Previsão'!$A$2:$N$1100,2,FALSE()))," ")</f>
        <v xml:space="preserve"> </v>
      </c>
      <c r="J510" s="40" t="str">
        <f>IFERROR((VLOOKUP(F510,'Planilha de Cadastro - Previsão'!$A$2:$N$1100,3,FALSE()))," ")</f>
        <v xml:space="preserve"> </v>
      </c>
      <c r="K510" s="40"/>
      <c r="L510" s="42" t="str">
        <f>IFERROR((VLOOKUP(F510,'Planilha de Cadastro - Previsão'!$A$2:$N$1100,11,FALSE()))," ")</f>
        <v xml:space="preserve"> </v>
      </c>
      <c r="M510" s="41" t="str">
        <f>IFERROR((IF(VLOOKUP(F510,'Planilha de Cadastro - Previsão'!$A$2:$N$1100,10,FALSE())="","",VLOOKUP(F510,'Planilha de Cadastro - Previsão'!$A$2:$N$1100,10,FALSE()))),"")</f>
        <v/>
      </c>
      <c r="N510" s="41"/>
      <c r="O510" s="41"/>
      <c r="P510" s="41" t="str">
        <f>IFERROR((IF(VLOOKUP(F510,'Acompanhamento da Licitação'!$F$2:$O$1000,10,FALSE())="","",VLOOKUP(F510,'Acompanhamento da Licitação'!$F$2:$O$1000,10,FALSE()))),"")</f>
        <v/>
      </c>
      <c r="R510" s="61" t="str">
        <f>IFERROR(IF(F510&gt;0,(Final[[#This Row],[Valor da Venda Real]]-Final[[#This Row],[Valor de Compra Previsto]]-4%*Final[[#This Row],[Valor da Venda Real]])/Final[[#This Row],[Valor da Venda Real]],""),"")</f>
        <v/>
      </c>
      <c r="S510" s="61" t="str">
        <f t="shared" si="33"/>
        <v/>
      </c>
      <c r="T510" s="23" t="str">
        <f>IFERROR((R510*Final[[#This Row],[Valor da Venda Real]]*Final[[#This Row],[Quantidade ]]*S510),"")</f>
        <v/>
      </c>
    </row>
    <row r="511" spans="1:20" ht="15.75" x14ac:dyDescent="0.2">
      <c r="A511">
        <f>COUNTIF($C$2:C511,C511)</f>
        <v>510</v>
      </c>
      <c r="B511" s="1" t="str">
        <f t="shared" si="32"/>
        <v>510</v>
      </c>
      <c r="C511" s="1" t="str">
        <f>IFERROR(VLOOKUP(D511,'Planilha de Cadastro - Previsão'!$A$2:$N$1000,14,FALSE()),"")</f>
        <v/>
      </c>
      <c r="D511" s="1">
        <v>510</v>
      </c>
      <c r="F511" s="40" t="str">
        <f t="shared" si="31"/>
        <v/>
      </c>
      <c r="G511" s="40" t="str">
        <f>IF(F511="","",'Prosposta Inicial'!$O$2)</f>
        <v/>
      </c>
      <c r="H511" s="40" t="str">
        <f t="shared" si="34"/>
        <v xml:space="preserve"> </v>
      </c>
      <c r="I511" s="41" t="str">
        <f>IFERROR((VLOOKUP(F511,'Planilha de Cadastro - Previsão'!$A$2:$N$1100,2,FALSE()))," ")</f>
        <v xml:space="preserve"> </v>
      </c>
      <c r="J511" s="40" t="str">
        <f>IFERROR((VLOOKUP(F511,'Planilha de Cadastro - Previsão'!$A$2:$N$1100,3,FALSE()))," ")</f>
        <v xml:space="preserve"> </v>
      </c>
      <c r="K511" s="40"/>
      <c r="L511" s="42" t="str">
        <f>IFERROR((VLOOKUP(F511,'Planilha de Cadastro - Previsão'!$A$2:$N$1100,11,FALSE()))," ")</f>
        <v xml:space="preserve"> </v>
      </c>
      <c r="M511" s="41" t="str">
        <f>IFERROR((IF(VLOOKUP(F511,'Planilha de Cadastro - Previsão'!$A$2:$N$1100,10,FALSE())="","",VLOOKUP(F511,'Planilha de Cadastro - Previsão'!$A$2:$N$1100,10,FALSE()))),"")</f>
        <v/>
      </c>
      <c r="N511" s="41"/>
      <c r="O511" s="41"/>
      <c r="P511" s="41" t="str">
        <f>IFERROR((IF(VLOOKUP(F511,'Acompanhamento da Licitação'!$F$2:$O$1000,10,FALSE())="","",VLOOKUP(F511,'Acompanhamento da Licitação'!$F$2:$O$1000,10,FALSE()))),"")</f>
        <v/>
      </c>
      <c r="R511" s="61" t="str">
        <f>IFERROR(IF(F511&gt;0,(Final[[#This Row],[Valor da Venda Real]]-Final[[#This Row],[Valor de Compra Previsto]]-4%*Final[[#This Row],[Valor da Venda Real]])/Final[[#This Row],[Valor da Venda Real]],""),"")</f>
        <v/>
      </c>
      <c r="S511" s="61" t="str">
        <f t="shared" si="33"/>
        <v/>
      </c>
      <c r="T511" s="23" t="str">
        <f>IFERROR((R511*Final[[#This Row],[Valor da Venda Real]]*Final[[#This Row],[Quantidade ]]*S511),"")</f>
        <v/>
      </c>
    </row>
    <row r="512" spans="1:20" ht="15.75" x14ac:dyDescent="0.2">
      <c r="A512">
        <f>COUNTIF($C$2:C512,C512)</f>
        <v>511</v>
      </c>
      <c r="B512" s="1" t="str">
        <f t="shared" si="32"/>
        <v>511</v>
      </c>
      <c r="C512" s="1" t="str">
        <f>IFERROR(VLOOKUP(D512,'Planilha de Cadastro - Previsão'!$A$2:$N$1000,14,FALSE()),"")</f>
        <v/>
      </c>
      <c r="D512" s="1">
        <v>511</v>
      </c>
      <c r="F512" s="40" t="str">
        <f t="shared" si="31"/>
        <v/>
      </c>
      <c r="G512" s="40" t="str">
        <f>IF(F512="","",'Prosposta Inicial'!$O$2)</f>
        <v/>
      </c>
      <c r="H512" s="40" t="str">
        <f t="shared" si="34"/>
        <v xml:space="preserve"> </v>
      </c>
      <c r="I512" s="41" t="str">
        <f>IFERROR((VLOOKUP(F512,'Planilha de Cadastro - Previsão'!$A$2:$N$1100,2,FALSE()))," ")</f>
        <v xml:space="preserve"> </v>
      </c>
      <c r="J512" s="40" t="str">
        <f>IFERROR((VLOOKUP(F512,'Planilha de Cadastro - Previsão'!$A$2:$N$1100,3,FALSE()))," ")</f>
        <v xml:space="preserve"> </v>
      </c>
      <c r="K512" s="40"/>
      <c r="L512" s="42" t="str">
        <f>IFERROR((VLOOKUP(F512,'Planilha de Cadastro - Previsão'!$A$2:$N$1100,11,FALSE()))," ")</f>
        <v xml:space="preserve"> </v>
      </c>
      <c r="M512" s="41" t="str">
        <f>IFERROR((IF(VLOOKUP(F512,'Planilha de Cadastro - Previsão'!$A$2:$N$1100,10,FALSE())="","",VLOOKUP(F512,'Planilha de Cadastro - Previsão'!$A$2:$N$1100,10,FALSE()))),"")</f>
        <v/>
      </c>
      <c r="N512" s="41"/>
      <c r="O512" s="41"/>
      <c r="P512" s="41" t="str">
        <f>IFERROR((IF(VLOOKUP(F512,'Acompanhamento da Licitação'!$F$2:$O$1000,10,FALSE())="","",VLOOKUP(F512,'Acompanhamento da Licitação'!$F$2:$O$1000,10,FALSE()))),"")</f>
        <v/>
      </c>
      <c r="R512" s="61" t="str">
        <f>IFERROR(IF(F512&gt;0,(Final[[#This Row],[Valor da Venda Real]]-Final[[#This Row],[Valor de Compra Previsto]]-4%*Final[[#This Row],[Valor da Venda Real]])/Final[[#This Row],[Valor da Venda Real]],""),"")</f>
        <v/>
      </c>
      <c r="S512" s="61" t="str">
        <f t="shared" si="33"/>
        <v/>
      </c>
      <c r="T512" s="23" t="str">
        <f>IFERROR((R512*Final[[#This Row],[Valor da Venda Real]]*Final[[#This Row],[Quantidade ]]*S512),"")</f>
        <v/>
      </c>
    </row>
    <row r="513" spans="1:20" ht="15.75" x14ac:dyDescent="0.2">
      <c r="A513">
        <f>COUNTIF($C$2:C513,C513)</f>
        <v>512</v>
      </c>
      <c r="B513" s="1" t="str">
        <f t="shared" si="32"/>
        <v>512</v>
      </c>
      <c r="C513" s="1" t="str">
        <f>IFERROR(VLOOKUP(D513,'Planilha de Cadastro - Previsão'!$A$2:$N$1000,14,FALSE()),"")</f>
        <v/>
      </c>
      <c r="D513" s="1">
        <v>512</v>
      </c>
      <c r="F513" s="40" t="str">
        <f t="shared" si="31"/>
        <v/>
      </c>
      <c r="G513" s="40" t="str">
        <f>IF(F513="","",'Prosposta Inicial'!$O$2)</f>
        <v/>
      </c>
      <c r="H513" s="40" t="str">
        <f t="shared" si="34"/>
        <v xml:space="preserve"> </v>
      </c>
      <c r="I513" s="41" t="str">
        <f>IFERROR((VLOOKUP(F513,'Planilha de Cadastro - Previsão'!$A$2:$N$1100,2,FALSE()))," ")</f>
        <v xml:space="preserve"> </v>
      </c>
      <c r="J513" s="40" t="str">
        <f>IFERROR((VLOOKUP(F513,'Planilha de Cadastro - Previsão'!$A$2:$N$1100,3,FALSE()))," ")</f>
        <v xml:space="preserve"> </v>
      </c>
      <c r="K513" s="40"/>
      <c r="L513" s="42" t="str">
        <f>IFERROR((VLOOKUP(F513,'Planilha de Cadastro - Previsão'!$A$2:$N$1100,11,FALSE()))," ")</f>
        <v xml:space="preserve"> </v>
      </c>
      <c r="M513" s="41" t="str">
        <f>IFERROR((IF(VLOOKUP(F513,'Planilha de Cadastro - Previsão'!$A$2:$N$1100,10,FALSE())="","",VLOOKUP(F513,'Planilha de Cadastro - Previsão'!$A$2:$N$1100,10,FALSE()))),"")</f>
        <v/>
      </c>
      <c r="N513" s="41"/>
      <c r="O513" s="41"/>
      <c r="P513" s="41" t="str">
        <f>IFERROR((IF(VLOOKUP(F513,'Acompanhamento da Licitação'!$F$2:$O$1000,10,FALSE())="","",VLOOKUP(F513,'Acompanhamento da Licitação'!$F$2:$O$1000,10,FALSE()))),"")</f>
        <v/>
      </c>
      <c r="R513" s="61" t="str">
        <f>IFERROR(IF(F513&gt;0,(Final[[#This Row],[Valor da Venda Real]]-Final[[#This Row],[Valor de Compra Previsto]]-4%*Final[[#This Row],[Valor da Venda Real]])/Final[[#This Row],[Valor da Venda Real]],""),"")</f>
        <v/>
      </c>
      <c r="S513" s="61" t="str">
        <f t="shared" si="33"/>
        <v/>
      </c>
      <c r="T513" s="23" t="str">
        <f>IFERROR((R513*Final[[#This Row],[Valor da Venda Real]]*Final[[#This Row],[Quantidade ]]*S513),"")</f>
        <v/>
      </c>
    </row>
    <row r="514" spans="1:20" ht="15.75" x14ac:dyDescent="0.2">
      <c r="A514">
        <f>COUNTIF($C$2:C514,C514)</f>
        <v>513</v>
      </c>
      <c r="B514" s="1" t="str">
        <f t="shared" si="32"/>
        <v>513</v>
      </c>
      <c r="C514" s="1" t="str">
        <f>IFERROR(VLOOKUP(D514,'Planilha de Cadastro - Previsão'!$A$2:$N$1000,14,FALSE()),"")</f>
        <v/>
      </c>
      <c r="D514" s="1">
        <v>513</v>
      </c>
      <c r="F514" s="40" t="str">
        <f t="shared" ref="F514:F577" si="35">IFERROR((VLOOKUP(CONCATENATE("Sim",D514),$B$2:$D$1000,3,FALSE())),"")</f>
        <v/>
      </c>
      <c r="G514" s="40" t="str">
        <f>IF(F514="","",'Prosposta Inicial'!$O$2)</f>
        <v/>
      </c>
      <c r="H514" s="40" t="str">
        <f t="shared" si="34"/>
        <v xml:space="preserve"> </v>
      </c>
      <c r="I514" s="41" t="str">
        <f>IFERROR((VLOOKUP(F514,'Planilha de Cadastro - Previsão'!$A$2:$N$1100,2,FALSE()))," ")</f>
        <v xml:space="preserve"> </v>
      </c>
      <c r="J514" s="40" t="str">
        <f>IFERROR((VLOOKUP(F514,'Planilha de Cadastro - Previsão'!$A$2:$N$1100,3,FALSE()))," ")</f>
        <v xml:space="preserve"> </v>
      </c>
      <c r="K514" s="40"/>
      <c r="L514" s="42" t="str">
        <f>IFERROR((VLOOKUP(F514,'Planilha de Cadastro - Previsão'!$A$2:$N$1100,11,FALSE()))," ")</f>
        <v xml:space="preserve"> </v>
      </c>
      <c r="M514" s="41" t="str">
        <f>IFERROR((IF(VLOOKUP(F514,'Planilha de Cadastro - Previsão'!$A$2:$N$1100,10,FALSE())="","",VLOOKUP(F514,'Planilha de Cadastro - Previsão'!$A$2:$N$1100,10,FALSE()))),"")</f>
        <v/>
      </c>
      <c r="N514" s="41"/>
      <c r="O514" s="41"/>
      <c r="P514" s="41" t="str">
        <f>IFERROR((IF(VLOOKUP(F514,'Acompanhamento da Licitação'!$F$2:$O$1000,10,FALSE())="","",VLOOKUP(F514,'Acompanhamento da Licitação'!$F$2:$O$1000,10,FALSE()))),"")</f>
        <v/>
      </c>
      <c r="R514" s="61" t="str">
        <f>IFERROR(IF(F514&gt;0,(Final[[#This Row],[Valor da Venda Real]]-Final[[#This Row],[Valor de Compra Previsto]]-4%*Final[[#This Row],[Valor da Venda Real]])/Final[[#This Row],[Valor da Venda Real]],""),"")</f>
        <v/>
      </c>
      <c r="S514" s="61" t="str">
        <f t="shared" si="33"/>
        <v/>
      </c>
      <c r="T514" s="23" t="str">
        <f>IFERROR((R514*Final[[#This Row],[Valor da Venda Real]]*Final[[#This Row],[Quantidade ]]*S514),"")</f>
        <v/>
      </c>
    </row>
    <row r="515" spans="1:20" ht="15.75" x14ac:dyDescent="0.2">
      <c r="A515">
        <f>COUNTIF($C$2:C515,C515)</f>
        <v>514</v>
      </c>
      <c r="B515" s="1" t="str">
        <f t="shared" ref="B515:B578" si="36">IFERROR(CONCATENATE(C515,A515),"")</f>
        <v>514</v>
      </c>
      <c r="C515" s="1" t="str">
        <f>IFERROR(VLOOKUP(D515,'Planilha de Cadastro - Previsão'!$A$2:$N$1000,14,FALSE()),"")</f>
        <v/>
      </c>
      <c r="D515" s="1">
        <v>514</v>
      </c>
      <c r="F515" s="40" t="str">
        <f t="shared" si="35"/>
        <v/>
      </c>
      <c r="G515" s="40" t="str">
        <f>IF(F515="","",'Prosposta Inicial'!$O$2)</f>
        <v/>
      </c>
      <c r="H515" s="40" t="str">
        <f t="shared" si="34"/>
        <v xml:space="preserve"> </v>
      </c>
      <c r="I515" s="41" t="str">
        <f>IFERROR((VLOOKUP(F515,'Planilha de Cadastro - Previsão'!$A$2:$N$1100,2,FALSE()))," ")</f>
        <v xml:space="preserve"> </v>
      </c>
      <c r="J515" s="40" t="str">
        <f>IFERROR((VLOOKUP(F515,'Planilha de Cadastro - Previsão'!$A$2:$N$1100,3,FALSE()))," ")</f>
        <v xml:space="preserve"> </v>
      </c>
      <c r="K515" s="40"/>
      <c r="L515" s="42" t="str">
        <f>IFERROR((VLOOKUP(F515,'Planilha de Cadastro - Previsão'!$A$2:$N$1100,11,FALSE()))," ")</f>
        <v xml:space="preserve"> </v>
      </c>
      <c r="M515" s="41" t="str">
        <f>IFERROR((IF(VLOOKUP(F515,'Planilha de Cadastro - Previsão'!$A$2:$N$1100,10,FALSE())="","",VLOOKUP(F515,'Planilha de Cadastro - Previsão'!$A$2:$N$1100,10,FALSE()))),"")</f>
        <v/>
      </c>
      <c r="N515" s="41"/>
      <c r="O515" s="41"/>
      <c r="P515" s="41" t="str">
        <f>IFERROR((IF(VLOOKUP(F515,'Acompanhamento da Licitação'!$F$2:$O$1000,10,FALSE())="","",VLOOKUP(F515,'Acompanhamento da Licitação'!$F$2:$O$1000,10,FALSE()))),"")</f>
        <v/>
      </c>
      <c r="R515" s="61" t="str">
        <f>IFERROR(IF(F515&gt;0,(Final[[#This Row],[Valor da Venda Real]]-Final[[#This Row],[Valor de Compra Previsto]]-4%*Final[[#This Row],[Valor da Venda Real]])/Final[[#This Row],[Valor da Venda Real]],""),"")</f>
        <v/>
      </c>
      <c r="S515" s="61" t="str">
        <f t="shared" ref="S515:S578" si="37">IF(R515="","",IF(R515&lt;0.2,0.05,IF(R515&lt;0.25,0.1,IF(R515&lt;0.3,0.15,IF(R515&lt;0.35,0.2,IF(R515&lt;0.45,0.25,IF(R515&lt;0.5,0.3,IF(R515&lt;0.6,0.35,0.4))))))))</f>
        <v/>
      </c>
      <c r="T515" s="23" t="str">
        <f>IFERROR((R515*Final[[#This Row],[Valor da Venda Real]]*Final[[#This Row],[Quantidade ]]*S515),"")</f>
        <v/>
      </c>
    </row>
    <row r="516" spans="1:20" ht="15.75" x14ac:dyDescent="0.2">
      <c r="A516">
        <f>COUNTIF($C$2:C516,C516)</f>
        <v>515</v>
      </c>
      <c r="B516" s="1" t="str">
        <f t="shared" si="36"/>
        <v>515</v>
      </c>
      <c r="C516" s="1" t="str">
        <f>IFERROR(VLOOKUP(D516,'Planilha de Cadastro - Previsão'!$A$2:$N$1000,14,FALSE()),"")</f>
        <v/>
      </c>
      <c r="D516" s="1">
        <v>515</v>
      </c>
      <c r="F516" s="40" t="str">
        <f t="shared" si="35"/>
        <v/>
      </c>
      <c r="G516" s="40" t="str">
        <f>IF(F516="","",'Prosposta Inicial'!$O$2)</f>
        <v/>
      </c>
      <c r="H516" s="40" t="str">
        <f t="shared" si="34"/>
        <v xml:space="preserve"> </v>
      </c>
      <c r="I516" s="41" t="str">
        <f>IFERROR((VLOOKUP(F516,'Planilha de Cadastro - Previsão'!$A$2:$N$1100,2,FALSE()))," ")</f>
        <v xml:space="preserve"> </v>
      </c>
      <c r="J516" s="40" t="str">
        <f>IFERROR((VLOOKUP(F516,'Planilha de Cadastro - Previsão'!$A$2:$N$1100,3,FALSE()))," ")</f>
        <v xml:space="preserve"> </v>
      </c>
      <c r="K516" s="40"/>
      <c r="L516" s="42" t="str">
        <f>IFERROR((VLOOKUP(F516,'Planilha de Cadastro - Previsão'!$A$2:$N$1100,11,FALSE()))," ")</f>
        <v xml:space="preserve"> </v>
      </c>
      <c r="M516" s="41" t="str">
        <f>IFERROR((IF(VLOOKUP(F516,'Planilha de Cadastro - Previsão'!$A$2:$N$1100,10,FALSE())="","",VLOOKUP(F516,'Planilha de Cadastro - Previsão'!$A$2:$N$1100,10,FALSE()))),"")</f>
        <v/>
      </c>
      <c r="N516" s="41"/>
      <c r="O516" s="41"/>
      <c r="P516" s="41" t="str">
        <f>IFERROR((IF(VLOOKUP(F516,'Acompanhamento da Licitação'!$F$2:$O$1000,10,FALSE())="","",VLOOKUP(F516,'Acompanhamento da Licitação'!$F$2:$O$1000,10,FALSE()))),"")</f>
        <v/>
      </c>
      <c r="R516" s="61" t="str">
        <f>IFERROR(IF(F516&gt;0,(Final[[#This Row],[Valor da Venda Real]]-Final[[#This Row],[Valor de Compra Previsto]]-4%*Final[[#This Row],[Valor da Venda Real]])/Final[[#This Row],[Valor da Venda Real]],""),"")</f>
        <v/>
      </c>
      <c r="S516" s="61" t="str">
        <f t="shared" si="37"/>
        <v/>
      </c>
      <c r="T516" s="23" t="str">
        <f>IFERROR((R516*Final[[#This Row],[Valor da Venda Real]]*Final[[#This Row],[Quantidade ]]*S516),"")</f>
        <v/>
      </c>
    </row>
    <row r="517" spans="1:20" ht="15.75" x14ac:dyDescent="0.2">
      <c r="A517">
        <f>COUNTIF($C$2:C517,C517)</f>
        <v>516</v>
      </c>
      <c r="B517" s="1" t="str">
        <f t="shared" si="36"/>
        <v>516</v>
      </c>
      <c r="C517" s="1" t="str">
        <f>IFERROR(VLOOKUP(D517,'Planilha de Cadastro - Previsão'!$A$2:$N$1000,14,FALSE()),"")</f>
        <v/>
      </c>
      <c r="D517" s="1">
        <v>516</v>
      </c>
      <c r="F517" s="40" t="str">
        <f t="shared" si="35"/>
        <v/>
      </c>
      <c r="G517" s="40" t="str">
        <f>IF(F517="","",'Prosposta Inicial'!$O$2)</f>
        <v/>
      </c>
      <c r="H517" s="40" t="str">
        <f t="shared" si="34"/>
        <v xml:space="preserve"> </v>
      </c>
      <c r="I517" s="41" t="str">
        <f>IFERROR((VLOOKUP(F517,'Planilha de Cadastro - Previsão'!$A$2:$N$1100,2,FALSE()))," ")</f>
        <v xml:space="preserve"> </v>
      </c>
      <c r="J517" s="40" t="str">
        <f>IFERROR((VLOOKUP(F517,'Planilha de Cadastro - Previsão'!$A$2:$N$1100,3,FALSE()))," ")</f>
        <v xml:space="preserve"> </v>
      </c>
      <c r="K517" s="40"/>
      <c r="L517" s="42" t="str">
        <f>IFERROR((VLOOKUP(F517,'Planilha de Cadastro - Previsão'!$A$2:$N$1100,11,FALSE()))," ")</f>
        <v xml:space="preserve"> </v>
      </c>
      <c r="M517" s="41" t="str">
        <f>IFERROR((IF(VLOOKUP(F517,'Planilha de Cadastro - Previsão'!$A$2:$N$1100,10,FALSE())="","",VLOOKUP(F517,'Planilha de Cadastro - Previsão'!$A$2:$N$1100,10,FALSE()))),"")</f>
        <v/>
      </c>
      <c r="N517" s="41"/>
      <c r="O517" s="41"/>
      <c r="P517" s="41" t="str">
        <f>IFERROR((IF(VLOOKUP(F517,'Acompanhamento da Licitação'!$F$2:$O$1000,10,FALSE())="","",VLOOKUP(F517,'Acompanhamento da Licitação'!$F$2:$O$1000,10,FALSE()))),"")</f>
        <v/>
      </c>
      <c r="R517" s="61" t="str">
        <f>IFERROR(IF(F517&gt;0,(Final[[#This Row],[Valor da Venda Real]]-Final[[#This Row],[Valor de Compra Previsto]]-4%*Final[[#This Row],[Valor da Venda Real]])/Final[[#This Row],[Valor da Venda Real]],""),"")</f>
        <v/>
      </c>
      <c r="S517" s="61" t="str">
        <f t="shared" si="37"/>
        <v/>
      </c>
      <c r="T517" s="23" t="str">
        <f>IFERROR((R517*Final[[#This Row],[Valor da Venda Real]]*Final[[#This Row],[Quantidade ]]*S517),"")</f>
        <v/>
      </c>
    </row>
    <row r="518" spans="1:20" ht="15.75" x14ac:dyDescent="0.2">
      <c r="A518">
        <f>COUNTIF($C$2:C518,C518)</f>
        <v>517</v>
      </c>
      <c r="B518" s="1" t="str">
        <f t="shared" si="36"/>
        <v>517</v>
      </c>
      <c r="C518" s="1" t="str">
        <f>IFERROR(VLOOKUP(D518,'Planilha de Cadastro - Previsão'!$A$2:$N$1000,14,FALSE()),"")</f>
        <v/>
      </c>
      <c r="D518" s="1">
        <v>517</v>
      </c>
      <c r="F518" s="40" t="str">
        <f t="shared" si="35"/>
        <v/>
      </c>
      <c r="G518" s="40" t="str">
        <f>IF(F518="","",'Prosposta Inicial'!$O$2)</f>
        <v/>
      </c>
      <c r="H518" s="40" t="str">
        <f t="shared" si="34"/>
        <v xml:space="preserve"> </v>
      </c>
      <c r="I518" s="41" t="str">
        <f>IFERROR((VLOOKUP(F518,'Planilha de Cadastro - Previsão'!$A$2:$N$1100,2,FALSE()))," ")</f>
        <v xml:space="preserve"> </v>
      </c>
      <c r="J518" s="40" t="str">
        <f>IFERROR((VLOOKUP(F518,'Planilha de Cadastro - Previsão'!$A$2:$N$1100,3,FALSE()))," ")</f>
        <v xml:space="preserve"> </v>
      </c>
      <c r="K518" s="40"/>
      <c r="L518" s="42" t="str">
        <f>IFERROR((VLOOKUP(F518,'Planilha de Cadastro - Previsão'!$A$2:$N$1100,11,FALSE()))," ")</f>
        <v xml:space="preserve"> </v>
      </c>
      <c r="M518" s="41" t="str">
        <f>IFERROR((IF(VLOOKUP(F518,'Planilha de Cadastro - Previsão'!$A$2:$N$1100,10,FALSE())="","",VLOOKUP(F518,'Planilha de Cadastro - Previsão'!$A$2:$N$1100,10,FALSE()))),"")</f>
        <v/>
      </c>
      <c r="N518" s="41"/>
      <c r="O518" s="41"/>
      <c r="P518" s="41" t="str">
        <f>IFERROR((IF(VLOOKUP(F518,'Acompanhamento da Licitação'!$F$2:$O$1000,10,FALSE())="","",VLOOKUP(F518,'Acompanhamento da Licitação'!$F$2:$O$1000,10,FALSE()))),"")</f>
        <v/>
      </c>
      <c r="R518" s="61" t="str">
        <f>IFERROR(IF(F518&gt;0,(Final[[#This Row],[Valor da Venda Real]]-Final[[#This Row],[Valor de Compra Previsto]]-4%*Final[[#This Row],[Valor da Venda Real]])/Final[[#This Row],[Valor da Venda Real]],""),"")</f>
        <v/>
      </c>
      <c r="S518" s="61" t="str">
        <f t="shared" si="37"/>
        <v/>
      </c>
      <c r="T518" s="23" t="str">
        <f>IFERROR((R518*Final[[#This Row],[Valor da Venda Real]]*Final[[#This Row],[Quantidade ]]*S518),"")</f>
        <v/>
      </c>
    </row>
    <row r="519" spans="1:20" ht="15.75" x14ac:dyDescent="0.2">
      <c r="A519">
        <f>COUNTIF($C$2:C519,C519)</f>
        <v>518</v>
      </c>
      <c r="B519" s="1" t="str">
        <f t="shared" si="36"/>
        <v>518</v>
      </c>
      <c r="C519" s="1" t="str">
        <f>IFERROR(VLOOKUP(D519,'Planilha de Cadastro - Previsão'!$A$2:$N$1000,14,FALSE()),"")</f>
        <v/>
      </c>
      <c r="D519" s="1">
        <v>518</v>
      </c>
      <c r="F519" s="40" t="str">
        <f t="shared" si="35"/>
        <v/>
      </c>
      <c r="G519" s="40" t="str">
        <f>IF(F519="","",'Prosposta Inicial'!$O$2)</f>
        <v/>
      </c>
      <c r="H519" s="40" t="str">
        <f t="shared" si="34"/>
        <v xml:space="preserve"> </v>
      </c>
      <c r="I519" s="41" t="str">
        <f>IFERROR((VLOOKUP(F519,'Planilha de Cadastro - Previsão'!$A$2:$N$1100,2,FALSE()))," ")</f>
        <v xml:space="preserve"> </v>
      </c>
      <c r="J519" s="40" t="str">
        <f>IFERROR((VLOOKUP(F519,'Planilha de Cadastro - Previsão'!$A$2:$N$1100,3,FALSE()))," ")</f>
        <v xml:space="preserve"> </v>
      </c>
      <c r="K519" s="40"/>
      <c r="L519" s="42" t="str">
        <f>IFERROR((VLOOKUP(F519,'Planilha de Cadastro - Previsão'!$A$2:$N$1100,11,FALSE()))," ")</f>
        <v xml:space="preserve"> </v>
      </c>
      <c r="M519" s="41" t="str">
        <f>IFERROR((IF(VLOOKUP(F519,'Planilha de Cadastro - Previsão'!$A$2:$N$1100,10,FALSE())="","",VLOOKUP(F519,'Planilha de Cadastro - Previsão'!$A$2:$N$1100,10,FALSE()))),"")</f>
        <v/>
      </c>
      <c r="N519" s="41"/>
      <c r="O519" s="41"/>
      <c r="P519" s="41" t="str">
        <f>IFERROR((IF(VLOOKUP(F519,'Acompanhamento da Licitação'!$F$2:$O$1000,10,FALSE())="","",VLOOKUP(F519,'Acompanhamento da Licitação'!$F$2:$O$1000,10,FALSE()))),"")</f>
        <v/>
      </c>
      <c r="R519" s="61" t="str">
        <f>IFERROR(IF(F519&gt;0,(Final[[#This Row],[Valor da Venda Real]]-Final[[#This Row],[Valor de Compra Previsto]]-4%*Final[[#This Row],[Valor da Venda Real]])/Final[[#This Row],[Valor da Venda Real]],""),"")</f>
        <v/>
      </c>
      <c r="S519" s="61" t="str">
        <f t="shared" si="37"/>
        <v/>
      </c>
      <c r="T519" s="23" t="str">
        <f>IFERROR((R519*Final[[#This Row],[Valor da Venda Real]]*Final[[#This Row],[Quantidade ]]*S519),"")</f>
        <v/>
      </c>
    </row>
    <row r="520" spans="1:20" ht="15.75" x14ac:dyDescent="0.2">
      <c r="A520">
        <f>COUNTIF($C$2:C520,C520)</f>
        <v>519</v>
      </c>
      <c r="B520" s="1" t="str">
        <f t="shared" si="36"/>
        <v>519</v>
      </c>
      <c r="C520" s="1" t="str">
        <f>IFERROR(VLOOKUP(D520,'Planilha de Cadastro - Previsão'!$A$2:$N$1000,14,FALSE()),"")</f>
        <v/>
      </c>
      <c r="D520" s="1">
        <v>519</v>
      </c>
      <c r="F520" s="40" t="str">
        <f t="shared" si="35"/>
        <v/>
      </c>
      <c r="G520" s="40" t="str">
        <f>IF(F520="","",'Prosposta Inicial'!$O$2)</f>
        <v/>
      </c>
      <c r="H520" s="40" t="str">
        <f t="shared" si="34"/>
        <v xml:space="preserve"> </v>
      </c>
      <c r="I520" s="41" t="str">
        <f>IFERROR((VLOOKUP(F520,'Planilha de Cadastro - Previsão'!$A$2:$N$1100,2,FALSE()))," ")</f>
        <v xml:space="preserve"> </v>
      </c>
      <c r="J520" s="40" t="str">
        <f>IFERROR((VLOOKUP(F520,'Planilha de Cadastro - Previsão'!$A$2:$N$1100,3,FALSE()))," ")</f>
        <v xml:space="preserve"> </v>
      </c>
      <c r="K520" s="40"/>
      <c r="L520" s="42" t="str">
        <f>IFERROR((VLOOKUP(F520,'Planilha de Cadastro - Previsão'!$A$2:$N$1100,11,FALSE()))," ")</f>
        <v xml:space="preserve"> </v>
      </c>
      <c r="M520" s="41" t="str">
        <f>IFERROR((IF(VLOOKUP(F520,'Planilha de Cadastro - Previsão'!$A$2:$N$1100,10,FALSE())="","",VLOOKUP(F520,'Planilha de Cadastro - Previsão'!$A$2:$N$1100,10,FALSE()))),"")</f>
        <v/>
      </c>
      <c r="N520" s="41"/>
      <c r="O520" s="41"/>
      <c r="P520" s="41" t="str">
        <f>IFERROR((IF(VLOOKUP(F520,'Acompanhamento da Licitação'!$F$2:$O$1000,10,FALSE())="","",VLOOKUP(F520,'Acompanhamento da Licitação'!$F$2:$O$1000,10,FALSE()))),"")</f>
        <v/>
      </c>
      <c r="R520" s="61" t="str">
        <f>IFERROR(IF(F520&gt;0,(Final[[#This Row],[Valor da Venda Real]]-Final[[#This Row],[Valor de Compra Previsto]]-4%*Final[[#This Row],[Valor da Venda Real]])/Final[[#This Row],[Valor da Venda Real]],""),"")</f>
        <v/>
      </c>
      <c r="S520" s="61" t="str">
        <f t="shared" si="37"/>
        <v/>
      </c>
      <c r="T520" s="23" t="str">
        <f>IFERROR((R520*Final[[#This Row],[Valor da Venda Real]]*Final[[#This Row],[Quantidade ]]*S520),"")</f>
        <v/>
      </c>
    </row>
    <row r="521" spans="1:20" ht="15.75" x14ac:dyDescent="0.2">
      <c r="A521">
        <f>COUNTIF($C$2:C521,C521)</f>
        <v>520</v>
      </c>
      <c r="B521" s="1" t="str">
        <f t="shared" si="36"/>
        <v>520</v>
      </c>
      <c r="C521" s="1" t="str">
        <f>IFERROR(VLOOKUP(D521,'Planilha de Cadastro - Previsão'!$A$2:$N$1000,14,FALSE()),"")</f>
        <v/>
      </c>
      <c r="D521" s="1">
        <v>520</v>
      </c>
      <c r="F521" s="40" t="str">
        <f t="shared" si="35"/>
        <v/>
      </c>
      <c r="G521" s="40" t="str">
        <f>IF(F521="","",'Prosposta Inicial'!$O$2)</f>
        <v/>
      </c>
      <c r="H521" s="40" t="str">
        <f t="shared" si="34"/>
        <v xml:space="preserve"> </v>
      </c>
      <c r="I521" s="41" t="str">
        <f>IFERROR((VLOOKUP(F521,'Planilha de Cadastro - Previsão'!$A$2:$N$1100,2,FALSE()))," ")</f>
        <v xml:space="preserve"> </v>
      </c>
      <c r="J521" s="40" t="str">
        <f>IFERROR((VLOOKUP(F521,'Planilha de Cadastro - Previsão'!$A$2:$N$1100,3,FALSE()))," ")</f>
        <v xml:space="preserve"> </v>
      </c>
      <c r="K521" s="40"/>
      <c r="L521" s="42" t="str">
        <f>IFERROR((VLOOKUP(F521,'Planilha de Cadastro - Previsão'!$A$2:$N$1100,11,FALSE()))," ")</f>
        <v xml:space="preserve"> </v>
      </c>
      <c r="M521" s="41" t="str">
        <f>IFERROR((IF(VLOOKUP(F521,'Planilha de Cadastro - Previsão'!$A$2:$N$1100,10,FALSE())="","",VLOOKUP(F521,'Planilha de Cadastro - Previsão'!$A$2:$N$1100,10,FALSE()))),"")</f>
        <v/>
      </c>
      <c r="N521" s="41"/>
      <c r="O521" s="41"/>
      <c r="P521" s="41" t="str">
        <f>IFERROR((IF(VLOOKUP(F521,'Acompanhamento da Licitação'!$F$2:$O$1000,10,FALSE())="","",VLOOKUP(F521,'Acompanhamento da Licitação'!$F$2:$O$1000,10,FALSE()))),"")</f>
        <v/>
      </c>
      <c r="R521" s="61" t="str">
        <f>IFERROR(IF(F521&gt;0,(Final[[#This Row],[Valor da Venda Real]]-Final[[#This Row],[Valor de Compra Previsto]]-4%*Final[[#This Row],[Valor da Venda Real]])/Final[[#This Row],[Valor da Venda Real]],""),"")</f>
        <v/>
      </c>
      <c r="S521" s="61" t="str">
        <f t="shared" si="37"/>
        <v/>
      </c>
      <c r="T521" s="23" t="str">
        <f>IFERROR((R521*Final[[#This Row],[Valor da Venda Real]]*Final[[#This Row],[Quantidade ]]*S521),"")</f>
        <v/>
      </c>
    </row>
    <row r="522" spans="1:20" ht="15.75" x14ac:dyDescent="0.2">
      <c r="A522">
        <f>COUNTIF($C$2:C522,C522)</f>
        <v>521</v>
      </c>
      <c r="B522" s="1" t="str">
        <f t="shared" si="36"/>
        <v>521</v>
      </c>
      <c r="C522" s="1" t="str">
        <f>IFERROR(VLOOKUP(D522,'Planilha de Cadastro - Previsão'!$A$2:$N$1000,14,FALSE()),"")</f>
        <v/>
      </c>
      <c r="D522" s="1">
        <v>521</v>
      </c>
      <c r="F522" s="40" t="str">
        <f t="shared" si="35"/>
        <v/>
      </c>
      <c r="G522" s="40" t="str">
        <f>IF(F522="","",'Prosposta Inicial'!$O$2)</f>
        <v/>
      </c>
      <c r="H522" s="40" t="str">
        <f t="shared" si="34"/>
        <v xml:space="preserve"> </v>
      </c>
      <c r="I522" s="41" t="str">
        <f>IFERROR((VLOOKUP(F522,'Planilha de Cadastro - Previsão'!$A$2:$N$1100,2,FALSE()))," ")</f>
        <v xml:space="preserve"> </v>
      </c>
      <c r="J522" s="40" t="str">
        <f>IFERROR((VLOOKUP(F522,'Planilha de Cadastro - Previsão'!$A$2:$N$1100,3,FALSE()))," ")</f>
        <v xml:space="preserve"> </v>
      </c>
      <c r="K522" s="40"/>
      <c r="L522" s="42" t="str">
        <f>IFERROR((VLOOKUP(F522,'Planilha de Cadastro - Previsão'!$A$2:$N$1100,11,FALSE()))," ")</f>
        <v xml:space="preserve"> </v>
      </c>
      <c r="M522" s="41" t="str">
        <f>IFERROR((IF(VLOOKUP(F522,'Planilha de Cadastro - Previsão'!$A$2:$N$1100,10,FALSE())="","",VLOOKUP(F522,'Planilha de Cadastro - Previsão'!$A$2:$N$1100,10,FALSE()))),"")</f>
        <v/>
      </c>
      <c r="N522" s="41"/>
      <c r="O522" s="41"/>
      <c r="P522" s="41" t="str">
        <f>IFERROR((IF(VLOOKUP(F522,'Acompanhamento da Licitação'!$F$2:$O$1000,10,FALSE())="","",VLOOKUP(F522,'Acompanhamento da Licitação'!$F$2:$O$1000,10,FALSE()))),"")</f>
        <v/>
      </c>
      <c r="R522" s="61" t="str">
        <f>IFERROR(IF(F522&gt;0,(Final[[#This Row],[Valor da Venda Real]]-Final[[#This Row],[Valor de Compra Previsto]]-4%*Final[[#This Row],[Valor da Venda Real]])/Final[[#This Row],[Valor da Venda Real]],""),"")</f>
        <v/>
      </c>
      <c r="S522" s="61" t="str">
        <f t="shared" si="37"/>
        <v/>
      </c>
      <c r="T522" s="23" t="str">
        <f>IFERROR((R522*Final[[#This Row],[Valor da Venda Real]]*Final[[#This Row],[Quantidade ]]*S522),"")</f>
        <v/>
      </c>
    </row>
    <row r="523" spans="1:20" ht="15.75" x14ac:dyDescent="0.2">
      <c r="A523">
        <f>COUNTIF($C$2:C523,C523)</f>
        <v>522</v>
      </c>
      <c r="B523" s="1" t="str">
        <f t="shared" si="36"/>
        <v>522</v>
      </c>
      <c r="C523" s="1" t="str">
        <f>IFERROR(VLOOKUP(D523,'Planilha de Cadastro - Previsão'!$A$2:$N$1000,14,FALSE()),"")</f>
        <v/>
      </c>
      <c r="D523" s="1">
        <v>522</v>
      </c>
      <c r="F523" s="40" t="str">
        <f t="shared" si="35"/>
        <v/>
      </c>
      <c r="G523" s="40" t="str">
        <f>IF(F523="","",'Prosposta Inicial'!$O$2)</f>
        <v/>
      </c>
      <c r="H523" s="40" t="str">
        <f t="shared" si="34"/>
        <v xml:space="preserve"> </v>
      </c>
      <c r="I523" s="41" t="str">
        <f>IFERROR((VLOOKUP(F523,'Planilha de Cadastro - Previsão'!$A$2:$N$1100,2,FALSE()))," ")</f>
        <v xml:space="preserve"> </v>
      </c>
      <c r="J523" s="40" t="str">
        <f>IFERROR((VLOOKUP(F523,'Planilha de Cadastro - Previsão'!$A$2:$N$1100,3,FALSE()))," ")</f>
        <v xml:space="preserve"> </v>
      </c>
      <c r="K523" s="40"/>
      <c r="L523" s="42" t="str">
        <f>IFERROR((VLOOKUP(F523,'Planilha de Cadastro - Previsão'!$A$2:$N$1100,11,FALSE()))," ")</f>
        <v xml:space="preserve"> </v>
      </c>
      <c r="M523" s="41" t="str">
        <f>IFERROR((IF(VLOOKUP(F523,'Planilha de Cadastro - Previsão'!$A$2:$N$1100,10,FALSE())="","",VLOOKUP(F523,'Planilha de Cadastro - Previsão'!$A$2:$N$1100,10,FALSE()))),"")</f>
        <v/>
      </c>
      <c r="N523" s="41"/>
      <c r="O523" s="41"/>
      <c r="P523" s="41" t="str">
        <f>IFERROR((IF(VLOOKUP(F523,'Acompanhamento da Licitação'!$F$2:$O$1000,10,FALSE())="","",VLOOKUP(F523,'Acompanhamento da Licitação'!$F$2:$O$1000,10,FALSE()))),"")</f>
        <v/>
      </c>
      <c r="R523" s="61" t="str">
        <f>IFERROR(IF(F523&gt;0,(Final[[#This Row],[Valor da Venda Real]]-Final[[#This Row],[Valor de Compra Previsto]]-4%*Final[[#This Row],[Valor da Venda Real]])/Final[[#This Row],[Valor da Venda Real]],""),"")</f>
        <v/>
      </c>
      <c r="S523" s="61" t="str">
        <f t="shared" si="37"/>
        <v/>
      </c>
      <c r="T523" s="23" t="str">
        <f>IFERROR((R523*Final[[#This Row],[Valor da Venda Real]]*Final[[#This Row],[Quantidade ]]*S523),"")</f>
        <v/>
      </c>
    </row>
    <row r="524" spans="1:20" ht="15.75" x14ac:dyDescent="0.2">
      <c r="A524">
        <f>COUNTIF($C$2:C524,C524)</f>
        <v>523</v>
      </c>
      <c r="B524" s="1" t="str">
        <f t="shared" si="36"/>
        <v>523</v>
      </c>
      <c r="C524" s="1" t="str">
        <f>IFERROR(VLOOKUP(D524,'Planilha de Cadastro - Previsão'!$A$2:$N$1000,14,FALSE()),"")</f>
        <v/>
      </c>
      <c r="D524" s="1">
        <v>523</v>
      </c>
      <c r="F524" s="40" t="str">
        <f t="shared" si="35"/>
        <v/>
      </c>
      <c r="G524" s="40" t="str">
        <f>IF(F524="","",'Prosposta Inicial'!$O$2)</f>
        <v/>
      </c>
      <c r="H524" s="40" t="str">
        <f t="shared" si="34"/>
        <v xml:space="preserve"> </v>
      </c>
      <c r="I524" s="41" t="str">
        <f>IFERROR((VLOOKUP(F524,'Planilha de Cadastro - Previsão'!$A$2:$N$1100,2,FALSE()))," ")</f>
        <v xml:space="preserve"> </v>
      </c>
      <c r="J524" s="40" t="str">
        <f>IFERROR((VLOOKUP(F524,'Planilha de Cadastro - Previsão'!$A$2:$N$1100,3,FALSE()))," ")</f>
        <v xml:space="preserve"> </v>
      </c>
      <c r="K524" s="40"/>
      <c r="L524" s="42" t="str">
        <f>IFERROR((VLOOKUP(F524,'Planilha de Cadastro - Previsão'!$A$2:$N$1100,11,FALSE()))," ")</f>
        <v xml:space="preserve"> </v>
      </c>
      <c r="M524" s="41" t="str">
        <f>IFERROR((IF(VLOOKUP(F524,'Planilha de Cadastro - Previsão'!$A$2:$N$1100,10,FALSE())="","",VLOOKUP(F524,'Planilha de Cadastro - Previsão'!$A$2:$N$1100,10,FALSE()))),"")</f>
        <v/>
      </c>
      <c r="N524" s="41"/>
      <c r="O524" s="41"/>
      <c r="P524" s="41" t="str">
        <f>IFERROR((IF(VLOOKUP(F524,'Acompanhamento da Licitação'!$F$2:$O$1000,10,FALSE())="","",VLOOKUP(F524,'Acompanhamento da Licitação'!$F$2:$O$1000,10,FALSE()))),"")</f>
        <v/>
      </c>
      <c r="R524" s="61" t="str">
        <f>IFERROR(IF(F524&gt;0,(Final[[#This Row],[Valor da Venda Real]]-Final[[#This Row],[Valor de Compra Previsto]]-4%*Final[[#This Row],[Valor da Venda Real]])/Final[[#This Row],[Valor da Venda Real]],""),"")</f>
        <v/>
      </c>
      <c r="S524" s="61" t="str">
        <f t="shared" si="37"/>
        <v/>
      </c>
      <c r="T524" s="23" t="str">
        <f>IFERROR((R524*Final[[#This Row],[Valor da Venda Real]]*Final[[#This Row],[Quantidade ]]*S524),"")</f>
        <v/>
      </c>
    </row>
    <row r="525" spans="1:20" ht="15.75" x14ac:dyDescent="0.2">
      <c r="A525">
        <f>COUNTIF($C$2:C525,C525)</f>
        <v>524</v>
      </c>
      <c r="B525" s="1" t="str">
        <f t="shared" si="36"/>
        <v>524</v>
      </c>
      <c r="C525" s="1" t="str">
        <f>IFERROR(VLOOKUP(D525,'Planilha de Cadastro - Previsão'!$A$2:$N$1000,14,FALSE()),"")</f>
        <v/>
      </c>
      <c r="D525" s="1">
        <v>524</v>
      </c>
      <c r="F525" s="40" t="str">
        <f t="shared" si="35"/>
        <v/>
      </c>
      <c r="G525" s="40" t="str">
        <f>IF(F525="","",'Prosposta Inicial'!$O$2)</f>
        <v/>
      </c>
      <c r="H525" s="40" t="str">
        <f t="shared" si="34"/>
        <v xml:space="preserve"> </v>
      </c>
      <c r="I525" s="41" t="str">
        <f>IFERROR((VLOOKUP(F525,'Planilha de Cadastro - Previsão'!$A$2:$N$1100,2,FALSE()))," ")</f>
        <v xml:space="preserve"> </v>
      </c>
      <c r="J525" s="40" t="str">
        <f>IFERROR((VLOOKUP(F525,'Planilha de Cadastro - Previsão'!$A$2:$N$1100,3,FALSE()))," ")</f>
        <v xml:space="preserve"> </v>
      </c>
      <c r="K525" s="40"/>
      <c r="L525" s="42" t="str">
        <f>IFERROR((VLOOKUP(F525,'Planilha de Cadastro - Previsão'!$A$2:$N$1100,11,FALSE()))," ")</f>
        <v xml:space="preserve"> </v>
      </c>
      <c r="M525" s="41" t="str">
        <f>IFERROR((IF(VLOOKUP(F525,'Planilha de Cadastro - Previsão'!$A$2:$N$1100,10,FALSE())="","",VLOOKUP(F525,'Planilha de Cadastro - Previsão'!$A$2:$N$1100,10,FALSE()))),"")</f>
        <v/>
      </c>
      <c r="N525" s="41"/>
      <c r="O525" s="41"/>
      <c r="P525" s="41" t="str">
        <f>IFERROR((IF(VLOOKUP(F525,'Acompanhamento da Licitação'!$F$2:$O$1000,10,FALSE())="","",VLOOKUP(F525,'Acompanhamento da Licitação'!$F$2:$O$1000,10,FALSE()))),"")</f>
        <v/>
      </c>
      <c r="R525" s="61" t="str">
        <f>IFERROR(IF(F525&gt;0,(Final[[#This Row],[Valor da Venda Real]]-Final[[#This Row],[Valor de Compra Previsto]]-4%*Final[[#This Row],[Valor da Venda Real]])/Final[[#This Row],[Valor da Venda Real]],""),"")</f>
        <v/>
      </c>
      <c r="S525" s="61" t="str">
        <f t="shared" si="37"/>
        <v/>
      </c>
      <c r="T525" s="23" t="str">
        <f>IFERROR((R525*Final[[#This Row],[Valor da Venda Real]]*Final[[#This Row],[Quantidade ]]*S525),"")</f>
        <v/>
      </c>
    </row>
    <row r="526" spans="1:20" ht="15.75" x14ac:dyDescent="0.2">
      <c r="A526">
        <f>COUNTIF($C$2:C526,C526)</f>
        <v>525</v>
      </c>
      <c r="B526" s="1" t="str">
        <f t="shared" si="36"/>
        <v>525</v>
      </c>
      <c r="C526" s="1" t="str">
        <f>IFERROR(VLOOKUP(D526,'Planilha de Cadastro - Previsão'!$A$2:$N$1000,14,FALSE()),"")</f>
        <v/>
      </c>
      <c r="D526" s="1">
        <v>525</v>
      </c>
      <c r="F526" s="40" t="str">
        <f t="shared" si="35"/>
        <v/>
      </c>
      <c r="G526" s="40" t="str">
        <f>IF(F526="","",'Prosposta Inicial'!$O$2)</f>
        <v/>
      </c>
      <c r="H526" s="40" t="str">
        <f t="shared" si="34"/>
        <v xml:space="preserve"> </v>
      </c>
      <c r="I526" s="41" t="str">
        <f>IFERROR((VLOOKUP(F526,'Planilha de Cadastro - Previsão'!$A$2:$N$1100,2,FALSE()))," ")</f>
        <v xml:space="preserve"> </v>
      </c>
      <c r="J526" s="40" t="str">
        <f>IFERROR((VLOOKUP(F526,'Planilha de Cadastro - Previsão'!$A$2:$N$1100,3,FALSE()))," ")</f>
        <v xml:space="preserve"> </v>
      </c>
      <c r="K526" s="40"/>
      <c r="L526" s="42" t="str">
        <f>IFERROR((VLOOKUP(F526,'Planilha de Cadastro - Previsão'!$A$2:$N$1100,11,FALSE()))," ")</f>
        <v xml:space="preserve"> </v>
      </c>
      <c r="M526" s="41" t="str">
        <f>IFERROR((IF(VLOOKUP(F526,'Planilha de Cadastro - Previsão'!$A$2:$N$1100,10,FALSE())="","",VLOOKUP(F526,'Planilha de Cadastro - Previsão'!$A$2:$N$1100,10,FALSE()))),"")</f>
        <v/>
      </c>
      <c r="N526" s="41"/>
      <c r="O526" s="41"/>
      <c r="P526" s="41" t="str">
        <f>IFERROR((IF(VLOOKUP(F526,'Acompanhamento da Licitação'!$F$2:$O$1000,10,FALSE())="","",VLOOKUP(F526,'Acompanhamento da Licitação'!$F$2:$O$1000,10,FALSE()))),"")</f>
        <v/>
      </c>
      <c r="R526" s="61" t="str">
        <f>IFERROR(IF(F526&gt;0,(Final[[#This Row],[Valor da Venda Real]]-Final[[#This Row],[Valor de Compra Previsto]]-4%*Final[[#This Row],[Valor da Venda Real]])/Final[[#This Row],[Valor da Venda Real]],""),"")</f>
        <v/>
      </c>
      <c r="S526" s="61" t="str">
        <f t="shared" si="37"/>
        <v/>
      </c>
      <c r="T526" s="23" t="str">
        <f>IFERROR((R526*Final[[#This Row],[Valor da Venda Real]]*Final[[#This Row],[Quantidade ]]*S526),"")</f>
        <v/>
      </c>
    </row>
    <row r="527" spans="1:20" ht="15.75" x14ac:dyDescent="0.2">
      <c r="A527">
        <f>COUNTIF($C$2:C527,C527)</f>
        <v>526</v>
      </c>
      <c r="B527" s="1" t="str">
        <f t="shared" si="36"/>
        <v>526</v>
      </c>
      <c r="C527" s="1" t="str">
        <f>IFERROR(VLOOKUP(D527,'Planilha de Cadastro - Previsão'!$A$2:$N$1000,14,FALSE()),"")</f>
        <v/>
      </c>
      <c r="D527" s="1">
        <v>526</v>
      </c>
      <c r="F527" s="40" t="str">
        <f t="shared" si="35"/>
        <v/>
      </c>
      <c r="G527" s="40" t="str">
        <f>IF(F527="","",'Prosposta Inicial'!$O$2)</f>
        <v/>
      </c>
      <c r="H527" s="40" t="str">
        <f t="shared" si="34"/>
        <v xml:space="preserve"> </v>
      </c>
      <c r="I527" s="41" t="str">
        <f>IFERROR((VLOOKUP(F527,'Planilha de Cadastro - Previsão'!$A$2:$N$1100,2,FALSE()))," ")</f>
        <v xml:space="preserve"> </v>
      </c>
      <c r="J527" s="40" t="str">
        <f>IFERROR((VLOOKUP(F527,'Planilha de Cadastro - Previsão'!$A$2:$N$1100,3,FALSE()))," ")</f>
        <v xml:space="preserve"> </v>
      </c>
      <c r="K527" s="40"/>
      <c r="L527" s="42" t="str">
        <f>IFERROR((VLOOKUP(F527,'Planilha de Cadastro - Previsão'!$A$2:$N$1100,11,FALSE()))," ")</f>
        <v xml:space="preserve"> </v>
      </c>
      <c r="M527" s="41" t="str">
        <f>IFERROR((IF(VLOOKUP(F527,'Planilha de Cadastro - Previsão'!$A$2:$N$1100,10,FALSE())="","",VLOOKUP(F527,'Planilha de Cadastro - Previsão'!$A$2:$N$1100,10,FALSE()))),"")</f>
        <v/>
      </c>
      <c r="N527" s="41"/>
      <c r="O527" s="41"/>
      <c r="P527" s="41" t="str">
        <f>IFERROR((IF(VLOOKUP(F527,'Acompanhamento da Licitação'!$F$2:$O$1000,10,FALSE())="","",VLOOKUP(F527,'Acompanhamento da Licitação'!$F$2:$O$1000,10,FALSE()))),"")</f>
        <v/>
      </c>
      <c r="R527" s="61" t="str">
        <f>IFERROR(IF(F527&gt;0,(Final[[#This Row],[Valor da Venda Real]]-Final[[#This Row],[Valor de Compra Previsto]]-4%*Final[[#This Row],[Valor da Venda Real]])/Final[[#This Row],[Valor da Venda Real]],""),"")</f>
        <v/>
      </c>
      <c r="S527" s="61" t="str">
        <f t="shared" si="37"/>
        <v/>
      </c>
      <c r="T527" s="23" t="str">
        <f>IFERROR((R527*Final[[#This Row],[Valor da Venda Real]]*Final[[#This Row],[Quantidade ]]*S527),"")</f>
        <v/>
      </c>
    </row>
    <row r="528" spans="1:20" ht="15.75" x14ac:dyDescent="0.2">
      <c r="A528">
        <f>COUNTIF($C$2:C528,C528)</f>
        <v>527</v>
      </c>
      <c r="B528" s="1" t="str">
        <f t="shared" si="36"/>
        <v>527</v>
      </c>
      <c r="C528" s="1" t="str">
        <f>IFERROR(VLOOKUP(D528,'Planilha de Cadastro - Previsão'!$A$2:$N$1000,14,FALSE()),"")</f>
        <v/>
      </c>
      <c r="D528" s="1">
        <v>527</v>
      </c>
      <c r="F528" s="40" t="str">
        <f t="shared" si="35"/>
        <v/>
      </c>
      <c r="G528" s="40" t="str">
        <f>IF(F528="","",'Prosposta Inicial'!$O$2)</f>
        <v/>
      </c>
      <c r="H528" s="40" t="str">
        <f t="shared" si="34"/>
        <v xml:space="preserve"> </v>
      </c>
      <c r="I528" s="41" t="str">
        <f>IFERROR((VLOOKUP(F528,'Planilha de Cadastro - Previsão'!$A$2:$N$1100,2,FALSE()))," ")</f>
        <v xml:space="preserve"> </v>
      </c>
      <c r="J528" s="40" t="str">
        <f>IFERROR((VLOOKUP(F528,'Planilha de Cadastro - Previsão'!$A$2:$N$1100,3,FALSE()))," ")</f>
        <v xml:space="preserve"> </v>
      </c>
      <c r="K528" s="40"/>
      <c r="L528" s="42" t="str">
        <f>IFERROR((VLOOKUP(F528,'Planilha de Cadastro - Previsão'!$A$2:$N$1100,11,FALSE()))," ")</f>
        <v xml:space="preserve"> </v>
      </c>
      <c r="M528" s="41" t="str">
        <f>IFERROR((IF(VLOOKUP(F528,'Planilha de Cadastro - Previsão'!$A$2:$N$1100,10,FALSE())="","",VLOOKUP(F528,'Planilha de Cadastro - Previsão'!$A$2:$N$1100,10,FALSE()))),"")</f>
        <v/>
      </c>
      <c r="N528" s="41"/>
      <c r="O528" s="41"/>
      <c r="P528" s="41" t="str">
        <f>IFERROR((IF(VLOOKUP(F528,'Acompanhamento da Licitação'!$F$2:$O$1000,10,FALSE())="","",VLOOKUP(F528,'Acompanhamento da Licitação'!$F$2:$O$1000,10,FALSE()))),"")</f>
        <v/>
      </c>
      <c r="R528" s="61" t="str">
        <f>IFERROR(IF(F528&gt;0,(Final[[#This Row],[Valor da Venda Real]]-Final[[#This Row],[Valor de Compra Previsto]]-4%*Final[[#This Row],[Valor da Venda Real]])/Final[[#This Row],[Valor da Venda Real]],""),"")</f>
        <v/>
      </c>
      <c r="S528" s="61" t="str">
        <f t="shared" si="37"/>
        <v/>
      </c>
      <c r="T528" s="23" t="str">
        <f>IFERROR((R528*Final[[#This Row],[Valor da Venda Real]]*Final[[#This Row],[Quantidade ]]*S528),"")</f>
        <v/>
      </c>
    </row>
    <row r="529" spans="1:20" ht="15.75" x14ac:dyDescent="0.2">
      <c r="A529">
        <f>COUNTIF($C$2:C529,C529)</f>
        <v>528</v>
      </c>
      <c r="B529" s="1" t="str">
        <f t="shared" si="36"/>
        <v>528</v>
      </c>
      <c r="C529" s="1" t="str">
        <f>IFERROR(VLOOKUP(D529,'Planilha de Cadastro - Previsão'!$A$2:$N$1000,14,FALSE()),"")</f>
        <v/>
      </c>
      <c r="D529" s="1">
        <v>528</v>
      </c>
      <c r="F529" s="40" t="str">
        <f t="shared" si="35"/>
        <v/>
      </c>
      <c r="G529" s="40" t="str">
        <f>IF(F529="","",'Prosposta Inicial'!$O$2)</f>
        <v/>
      </c>
      <c r="H529" s="40" t="str">
        <f t="shared" si="34"/>
        <v xml:space="preserve"> </v>
      </c>
      <c r="I529" s="41" t="str">
        <f>IFERROR((VLOOKUP(F529,'Planilha de Cadastro - Previsão'!$A$2:$N$1100,2,FALSE()))," ")</f>
        <v xml:space="preserve"> </v>
      </c>
      <c r="J529" s="40" t="str">
        <f>IFERROR((VLOOKUP(F529,'Planilha de Cadastro - Previsão'!$A$2:$N$1100,3,FALSE()))," ")</f>
        <v xml:space="preserve"> </v>
      </c>
      <c r="K529" s="40"/>
      <c r="L529" s="42" t="str">
        <f>IFERROR((VLOOKUP(F529,'Planilha de Cadastro - Previsão'!$A$2:$N$1100,11,FALSE()))," ")</f>
        <v xml:space="preserve"> </v>
      </c>
      <c r="M529" s="41" t="str">
        <f>IFERROR((IF(VLOOKUP(F529,'Planilha de Cadastro - Previsão'!$A$2:$N$1100,10,FALSE())="","",VLOOKUP(F529,'Planilha de Cadastro - Previsão'!$A$2:$N$1100,10,FALSE()))),"")</f>
        <v/>
      </c>
      <c r="N529" s="41"/>
      <c r="O529" s="41"/>
      <c r="P529" s="41" t="str">
        <f>IFERROR((IF(VLOOKUP(F529,'Acompanhamento da Licitação'!$F$2:$O$1000,10,FALSE())="","",VLOOKUP(F529,'Acompanhamento da Licitação'!$F$2:$O$1000,10,FALSE()))),"")</f>
        <v/>
      </c>
      <c r="R529" s="61" t="str">
        <f>IFERROR(IF(F529&gt;0,(Final[[#This Row],[Valor da Venda Real]]-Final[[#This Row],[Valor de Compra Previsto]]-4%*Final[[#This Row],[Valor da Venda Real]])/Final[[#This Row],[Valor da Venda Real]],""),"")</f>
        <v/>
      </c>
      <c r="S529" s="61" t="str">
        <f t="shared" si="37"/>
        <v/>
      </c>
      <c r="T529" s="23" t="str">
        <f>IFERROR((R529*Final[[#This Row],[Valor da Venda Real]]*Final[[#This Row],[Quantidade ]]*S529),"")</f>
        <v/>
      </c>
    </row>
    <row r="530" spans="1:20" ht="15.75" x14ac:dyDescent="0.2">
      <c r="A530">
        <f>COUNTIF($C$2:C530,C530)</f>
        <v>529</v>
      </c>
      <c r="B530" s="1" t="str">
        <f t="shared" si="36"/>
        <v>529</v>
      </c>
      <c r="C530" s="1" t="str">
        <f>IFERROR(VLOOKUP(D530,'Planilha de Cadastro - Previsão'!$A$2:$N$1000,14,FALSE()),"")</f>
        <v/>
      </c>
      <c r="D530" s="1">
        <v>529</v>
      </c>
      <c r="F530" s="40" t="str">
        <f t="shared" si="35"/>
        <v/>
      </c>
      <c r="G530" s="40" t="str">
        <f>IF(F530="","",'Prosposta Inicial'!$O$2)</f>
        <v/>
      </c>
      <c r="H530" s="40" t="str">
        <f t="shared" si="34"/>
        <v xml:space="preserve"> </v>
      </c>
      <c r="I530" s="41" t="str">
        <f>IFERROR((VLOOKUP(F530,'Planilha de Cadastro - Previsão'!$A$2:$N$1100,2,FALSE()))," ")</f>
        <v xml:space="preserve"> </v>
      </c>
      <c r="J530" s="40" t="str">
        <f>IFERROR((VLOOKUP(F530,'Planilha de Cadastro - Previsão'!$A$2:$N$1100,3,FALSE()))," ")</f>
        <v xml:space="preserve"> </v>
      </c>
      <c r="K530" s="40"/>
      <c r="L530" s="42" t="str">
        <f>IFERROR((VLOOKUP(F530,'Planilha de Cadastro - Previsão'!$A$2:$N$1100,11,FALSE()))," ")</f>
        <v xml:space="preserve"> </v>
      </c>
      <c r="M530" s="41" t="str">
        <f>IFERROR((IF(VLOOKUP(F530,'Planilha de Cadastro - Previsão'!$A$2:$N$1100,10,FALSE())="","",VLOOKUP(F530,'Planilha de Cadastro - Previsão'!$A$2:$N$1100,10,FALSE()))),"")</f>
        <v/>
      </c>
      <c r="N530" s="41"/>
      <c r="O530" s="41"/>
      <c r="P530" s="41" t="str">
        <f>IFERROR((IF(VLOOKUP(F530,'Acompanhamento da Licitação'!$F$2:$O$1000,10,FALSE())="","",VLOOKUP(F530,'Acompanhamento da Licitação'!$F$2:$O$1000,10,FALSE()))),"")</f>
        <v/>
      </c>
      <c r="R530" s="61" t="str">
        <f>IFERROR(IF(F530&gt;0,(Final[[#This Row],[Valor da Venda Real]]-Final[[#This Row],[Valor de Compra Previsto]]-4%*Final[[#This Row],[Valor da Venda Real]])/Final[[#This Row],[Valor da Venda Real]],""),"")</f>
        <v/>
      </c>
      <c r="S530" s="61" t="str">
        <f t="shared" si="37"/>
        <v/>
      </c>
      <c r="T530" s="23" t="str">
        <f>IFERROR((R530*Final[[#This Row],[Valor da Venda Real]]*Final[[#This Row],[Quantidade ]]*S530),"")</f>
        <v/>
      </c>
    </row>
    <row r="531" spans="1:20" ht="15.75" x14ac:dyDescent="0.2">
      <c r="A531">
        <f>COUNTIF($C$2:C531,C531)</f>
        <v>530</v>
      </c>
      <c r="B531" s="1" t="str">
        <f t="shared" si="36"/>
        <v>530</v>
      </c>
      <c r="C531" s="1" t="str">
        <f>IFERROR(VLOOKUP(D531,'Planilha de Cadastro - Previsão'!$A$2:$N$1000,14,FALSE()),"")</f>
        <v/>
      </c>
      <c r="D531" s="1">
        <v>530</v>
      </c>
      <c r="F531" s="40" t="str">
        <f t="shared" si="35"/>
        <v/>
      </c>
      <c r="G531" s="40" t="str">
        <f>IF(F531="","",'Prosposta Inicial'!$O$2)</f>
        <v/>
      </c>
      <c r="H531" s="40" t="str">
        <f t="shared" si="34"/>
        <v xml:space="preserve"> </v>
      </c>
      <c r="I531" s="41" t="str">
        <f>IFERROR((VLOOKUP(F531,'Planilha de Cadastro - Previsão'!$A$2:$N$1100,2,FALSE()))," ")</f>
        <v xml:space="preserve"> </v>
      </c>
      <c r="J531" s="40" t="str">
        <f>IFERROR((VLOOKUP(F531,'Planilha de Cadastro - Previsão'!$A$2:$N$1100,3,FALSE()))," ")</f>
        <v xml:space="preserve"> </v>
      </c>
      <c r="K531" s="40"/>
      <c r="L531" s="42" t="str">
        <f>IFERROR((VLOOKUP(F531,'Planilha de Cadastro - Previsão'!$A$2:$N$1100,11,FALSE()))," ")</f>
        <v xml:space="preserve"> </v>
      </c>
      <c r="M531" s="41" t="str">
        <f>IFERROR((IF(VLOOKUP(F531,'Planilha de Cadastro - Previsão'!$A$2:$N$1100,10,FALSE())="","",VLOOKUP(F531,'Planilha de Cadastro - Previsão'!$A$2:$N$1100,10,FALSE()))),"")</f>
        <v/>
      </c>
      <c r="N531" s="41"/>
      <c r="O531" s="41"/>
      <c r="P531" s="41" t="str">
        <f>IFERROR((IF(VLOOKUP(F531,'Acompanhamento da Licitação'!$F$2:$O$1000,10,FALSE())="","",VLOOKUP(F531,'Acompanhamento da Licitação'!$F$2:$O$1000,10,FALSE()))),"")</f>
        <v/>
      </c>
      <c r="R531" s="61" t="str">
        <f>IFERROR(IF(F531&gt;0,(Final[[#This Row],[Valor da Venda Real]]-Final[[#This Row],[Valor de Compra Previsto]]-4%*Final[[#This Row],[Valor da Venda Real]])/Final[[#This Row],[Valor da Venda Real]],""),"")</f>
        <v/>
      </c>
      <c r="S531" s="61" t="str">
        <f t="shared" si="37"/>
        <v/>
      </c>
      <c r="T531" s="23" t="str">
        <f>IFERROR((R531*Final[[#This Row],[Valor da Venda Real]]*Final[[#This Row],[Quantidade ]]*S531),"")</f>
        <v/>
      </c>
    </row>
    <row r="532" spans="1:20" ht="15.75" x14ac:dyDescent="0.2">
      <c r="A532">
        <f>COUNTIF($C$2:C532,C532)</f>
        <v>531</v>
      </c>
      <c r="B532" s="1" t="str">
        <f t="shared" si="36"/>
        <v>531</v>
      </c>
      <c r="C532" s="1" t="str">
        <f>IFERROR(VLOOKUP(D532,'Planilha de Cadastro - Previsão'!$A$2:$N$1000,14,FALSE()),"")</f>
        <v/>
      </c>
      <c r="D532" s="1">
        <v>531</v>
      </c>
      <c r="F532" s="40" t="str">
        <f t="shared" si="35"/>
        <v/>
      </c>
      <c r="G532" s="40" t="str">
        <f>IF(F532="","",'Prosposta Inicial'!$O$2)</f>
        <v/>
      </c>
      <c r="H532" s="40" t="str">
        <f t="shared" si="34"/>
        <v xml:space="preserve"> </v>
      </c>
      <c r="I532" s="41" t="str">
        <f>IFERROR((VLOOKUP(F532,'Planilha de Cadastro - Previsão'!$A$2:$N$1100,2,FALSE()))," ")</f>
        <v xml:space="preserve"> </v>
      </c>
      <c r="J532" s="40" t="str">
        <f>IFERROR((VLOOKUP(F532,'Planilha de Cadastro - Previsão'!$A$2:$N$1100,3,FALSE()))," ")</f>
        <v xml:space="preserve"> </v>
      </c>
      <c r="K532" s="40"/>
      <c r="L532" s="42" t="str">
        <f>IFERROR((VLOOKUP(F532,'Planilha de Cadastro - Previsão'!$A$2:$N$1100,11,FALSE()))," ")</f>
        <v xml:space="preserve"> </v>
      </c>
      <c r="M532" s="41" t="str">
        <f>IFERROR((IF(VLOOKUP(F532,'Planilha de Cadastro - Previsão'!$A$2:$N$1100,10,FALSE())="","",VLOOKUP(F532,'Planilha de Cadastro - Previsão'!$A$2:$N$1100,10,FALSE()))),"")</f>
        <v/>
      </c>
      <c r="N532" s="41"/>
      <c r="O532" s="41"/>
      <c r="P532" s="41" t="str">
        <f>IFERROR((IF(VLOOKUP(F532,'Acompanhamento da Licitação'!$F$2:$O$1000,10,FALSE())="","",VLOOKUP(F532,'Acompanhamento da Licitação'!$F$2:$O$1000,10,FALSE()))),"")</f>
        <v/>
      </c>
      <c r="R532" s="61" t="str">
        <f>IFERROR(IF(F532&gt;0,(Final[[#This Row],[Valor da Venda Real]]-Final[[#This Row],[Valor de Compra Previsto]]-4%*Final[[#This Row],[Valor da Venda Real]])/Final[[#This Row],[Valor da Venda Real]],""),"")</f>
        <v/>
      </c>
      <c r="S532" s="61" t="str">
        <f t="shared" si="37"/>
        <v/>
      </c>
      <c r="T532" s="23" t="str">
        <f>IFERROR((R532*Final[[#This Row],[Valor da Venda Real]]*Final[[#This Row],[Quantidade ]]*S532),"")</f>
        <v/>
      </c>
    </row>
    <row r="533" spans="1:20" ht="15.75" x14ac:dyDescent="0.2">
      <c r="A533">
        <f>COUNTIF($C$2:C533,C533)</f>
        <v>532</v>
      </c>
      <c r="B533" s="1" t="str">
        <f t="shared" si="36"/>
        <v>532</v>
      </c>
      <c r="C533" s="1" t="str">
        <f>IFERROR(VLOOKUP(D533,'Planilha de Cadastro - Previsão'!$A$2:$N$1000,14,FALSE()),"")</f>
        <v/>
      </c>
      <c r="D533" s="1">
        <v>532</v>
      </c>
      <c r="F533" s="40" t="str">
        <f t="shared" si="35"/>
        <v/>
      </c>
      <c r="G533" s="40" t="str">
        <f>IF(F533="","",'Prosposta Inicial'!$O$2)</f>
        <v/>
      </c>
      <c r="H533" s="40" t="str">
        <f t="shared" si="34"/>
        <v xml:space="preserve"> </v>
      </c>
      <c r="I533" s="41" t="str">
        <f>IFERROR((VLOOKUP(F533,'Planilha de Cadastro - Previsão'!$A$2:$N$1100,2,FALSE()))," ")</f>
        <v xml:space="preserve"> </v>
      </c>
      <c r="J533" s="40" t="str">
        <f>IFERROR((VLOOKUP(F533,'Planilha de Cadastro - Previsão'!$A$2:$N$1100,3,FALSE()))," ")</f>
        <v xml:space="preserve"> </v>
      </c>
      <c r="K533" s="40"/>
      <c r="L533" s="42" t="str">
        <f>IFERROR((VLOOKUP(F533,'Planilha de Cadastro - Previsão'!$A$2:$N$1100,11,FALSE()))," ")</f>
        <v xml:space="preserve"> </v>
      </c>
      <c r="M533" s="41" t="str">
        <f>IFERROR((IF(VLOOKUP(F533,'Planilha de Cadastro - Previsão'!$A$2:$N$1100,10,FALSE())="","",VLOOKUP(F533,'Planilha de Cadastro - Previsão'!$A$2:$N$1100,10,FALSE()))),"")</f>
        <v/>
      </c>
      <c r="N533" s="41"/>
      <c r="O533" s="41"/>
      <c r="P533" s="41" t="str">
        <f>IFERROR((IF(VLOOKUP(F533,'Acompanhamento da Licitação'!$F$2:$O$1000,10,FALSE())="","",VLOOKUP(F533,'Acompanhamento da Licitação'!$F$2:$O$1000,10,FALSE()))),"")</f>
        <v/>
      </c>
      <c r="R533" s="61" t="str">
        <f>IFERROR(IF(F533&gt;0,(Final[[#This Row],[Valor da Venda Real]]-Final[[#This Row],[Valor de Compra Previsto]]-4%*Final[[#This Row],[Valor da Venda Real]])/Final[[#This Row],[Valor da Venda Real]],""),"")</f>
        <v/>
      </c>
      <c r="S533" s="61" t="str">
        <f t="shared" si="37"/>
        <v/>
      </c>
      <c r="T533" s="23" t="str">
        <f>IFERROR((R533*Final[[#This Row],[Valor da Venda Real]]*Final[[#This Row],[Quantidade ]]*S533),"")</f>
        <v/>
      </c>
    </row>
    <row r="534" spans="1:20" ht="15.75" x14ac:dyDescent="0.2">
      <c r="A534">
        <f>COUNTIF($C$2:C534,C534)</f>
        <v>533</v>
      </c>
      <c r="B534" s="1" t="str">
        <f t="shared" si="36"/>
        <v>533</v>
      </c>
      <c r="C534" s="1" t="str">
        <f>IFERROR(VLOOKUP(D534,'Planilha de Cadastro - Previsão'!$A$2:$N$1000,14,FALSE()),"")</f>
        <v/>
      </c>
      <c r="D534" s="1">
        <v>533</v>
      </c>
      <c r="F534" s="40" t="str">
        <f t="shared" si="35"/>
        <v/>
      </c>
      <c r="G534" s="40" t="str">
        <f>IF(F534="","",'Prosposta Inicial'!$O$2)</f>
        <v/>
      </c>
      <c r="H534" s="40" t="str">
        <f t="shared" si="34"/>
        <v xml:space="preserve"> </v>
      </c>
      <c r="I534" s="41" t="str">
        <f>IFERROR((VLOOKUP(F534,'Planilha de Cadastro - Previsão'!$A$2:$N$1100,2,FALSE()))," ")</f>
        <v xml:space="preserve"> </v>
      </c>
      <c r="J534" s="40" t="str">
        <f>IFERROR((VLOOKUP(F534,'Planilha de Cadastro - Previsão'!$A$2:$N$1100,3,FALSE()))," ")</f>
        <v xml:space="preserve"> </v>
      </c>
      <c r="K534" s="40"/>
      <c r="L534" s="42" t="str">
        <f>IFERROR((VLOOKUP(F534,'Planilha de Cadastro - Previsão'!$A$2:$N$1100,11,FALSE()))," ")</f>
        <v xml:space="preserve"> </v>
      </c>
      <c r="M534" s="41" t="str">
        <f>IFERROR((IF(VLOOKUP(F534,'Planilha de Cadastro - Previsão'!$A$2:$N$1100,10,FALSE())="","",VLOOKUP(F534,'Planilha de Cadastro - Previsão'!$A$2:$N$1100,10,FALSE()))),"")</f>
        <v/>
      </c>
      <c r="N534" s="41"/>
      <c r="O534" s="41"/>
      <c r="P534" s="41" t="str">
        <f>IFERROR((IF(VLOOKUP(F534,'Acompanhamento da Licitação'!$F$2:$O$1000,10,FALSE())="","",VLOOKUP(F534,'Acompanhamento da Licitação'!$F$2:$O$1000,10,FALSE()))),"")</f>
        <v/>
      </c>
      <c r="R534" s="61" t="str">
        <f>IFERROR(IF(F534&gt;0,(Final[[#This Row],[Valor da Venda Real]]-Final[[#This Row],[Valor de Compra Previsto]]-4%*Final[[#This Row],[Valor da Venda Real]])/Final[[#This Row],[Valor da Venda Real]],""),"")</f>
        <v/>
      </c>
      <c r="S534" s="61" t="str">
        <f t="shared" si="37"/>
        <v/>
      </c>
      <c r="T534" s="23" t="str">
        <f>IFERROR((R534*Final[[#This Row],[Valor da Venda Real]]*Final[[#This Row],[Quantidade ]]*S534),"")</f>
        <v/>
      </c>
    </row>
    <row r="535" spans="1:20" ht="15.75" x14ac:dyDescent="0.2">
      <c r="A535">
        <f>COUNTIF($C$2:C535,C535)</f>
        <v>534</v>
      </c>
      <c r="B535" s="1" t="str">
        <f t="shared" si="36"/>
        <v>534</v>
      </c>
      <c r="C535" s="1" t="str">
        <f>IFERROR(VLOOKUP(D535,'Planilha de Cadastro - Previsão'!$A$2:$N$1000,14,FALSE()),"")</f>
        <v/>
      </c>
      <c r="D535" s="1">
        <v>534</v>
      </c>
      <c r="F535" s="40" t="str">
        <f t="shared" si="35"/>
        <v/>
      </c>
      <c r="G535" s="40" t="str">
        <f>IF(F535="","",'Prosposta Inicial'!$O$2)</f>
        <v/>
      </c>
      <c r="H535" s="40" t="str">
        <f t="shared" si="34"/>
        <v xml:space="preserve"> </v>
      </c>
      <c r="I535" s="41" t="str">
        <f>IFERROR((VLOOKUP(F535,'Planilha de Cadastro - Previsão'!$A$2:$N$1100,2,FALSE()))," ")</f>
        <v xml:space="preserve"> </v>
      </c>
      <c r="J535" s="40" t="str">
        <f>IFERROR((VLOOKUP(F535,'Planilha de Cadastro - Previsão'!$A$2:$N$1100,3,FALSE()))," ")</f>
        <v xml:space="preserve"> </v>
      </c>
      <c r="K535" s="40"/>
      <c r="L535" s="42" t="str">
        <f>IFERROR((VLOOKUP(F535,'Planilha de Cadastro - Previsão'!$A$2:$N$1100,11,FALSE()))," ")</f>
        <v xml:space="preserve"> </v>
      </c>
      <c r="M535" s="41" t="str">
        <f>IFERROR((IF(VLOOKUP(F535,'Planilha de Cadastro - Previsão'!$A$2:$N$1100,10,FALSE())="","",VLOOKUP(F535,'Planilha de Cadastro - Previsão'!$A$2:$N$1100,10,FALSE()))),"")</f>
        <v/>
      </c>
      <c r="N535" s="41"/>
      <c r="O535" s="41"/>
      <c r="P535" s="41" t="str">
        <f>IFERROR((IF(VLOOKUP(F535,'Acompanhamento da Licitação'!$F$2:$O$1000,10,FALSE())="","",VLOOKUP(F535,'Acompanhamento da Licitação'!$F$2:$O$1000,10,FALSE()))),"")</f>
        <v/>
      </c>
      <c r="R535" s="61" t="str">
        <f>IFERROR(IF(F535&gt;0,(Final[[#This Row],[Valor da Venda Real]]-Final[[#This Row],[Valor de Compra Previsto]]-4%*Final[[#This Row],[Valor da Venda Real]])/Final[[#This Row],[Valor da Venda Real]],""),"")</f>
        <v/>
      </c>
      <c r="S535" s="61" t="str">
        <f t="shared" si="37"/>
        <v/>
      </c>
      <c r="T535" s="23" t="str">
        <f>IFERROR((R535*Final[[#This Row],[Valor da Venda Real]]*Final[[#This Row],[Quantidade ]]*S535),"")</f>
        <v/>
      </c>
    </row>
    <row r="536" spans="1:20" ht="15.75" x14ac:dyDescent="0.2">
      <c r="A536">
        <f>COUNTIF($C$2:C536,C536)</f>
        <v>535</v>
      </c>
      <c r="B536" s="1" t="str">
        <f t="shared" si="36"/>
        <v>535</v>
      </c>
      <c r="C536" s="1" t="str">
        <f>IFERROR(VLOOKUP(D536,'Planilha de Cadastro - Previsão'!$A$2:$N$1000,14,FALSE()),"")</f>
        <v/>
      </c>
      <c r="D536" s="1">
        <v>535</v>
      </c>
      <c r="F536" s="40" t="str">
        <f t="shared" si="35"/>
        <v/>
      </c>
      <c r="G536" s="40" t="str">
        <f>IF(F536="","",'Prosposta Inicial'!$O$2)</f>
        <v/>
      </c>
      <c r="H536" s="40" t="str">
        <f t="shared" si="34"/>
        <v xml:space="preserve"> </v>
      </c>
      <c r="I536" s="41" t="str">
        <f>IFERROR((VLOOKUP(F536,'Planilha de Cadastro - Previsão'!$A$2:$N$1100,2,FALSE()))," ")</f>
        <v xml:space="preserve"> </v>
      </c>
      <c r="J536" s="40" t="str">
        <f>IFERROR((VLOOKUP(F536,'Planilha de Cadastro - Previsão'!$A$2:$N$1100,3,FALSE()))," ")</f>
        <v xml:space="preserve"> </v>
      </c>
      <c r="K536" s="40"/>
      <c r="L536" s="42" t="str">
        <f>IFERROR((VLOOKUP(F536,'Planilha de Cadastro - Previsão'!$A$2:$N$1100,11,FALSE()))," ")</f>
        <v xml:space="preserve"> </v>
      </c>
      <c r="M536" s="41" t="str">
        <f>IFERROR((IF(VLOOKUP(F536,'Planilha de Cadastro - Previsão'!$A$2:$N$1100,10,FALSE())="","",VLOOKUP(F536,'Planilha de Cadastro - Previsão'!$A$2:$N$1100,10,FALSE()))),"")</f>
        <v/>
      </c>
      <c r="N536" s="41"/>
      <c r="O536" s="41"/>
      <c r="P536" s="41" t="str">
        <f>IFERROR((IF(VLOOKUP(F536,'Acompanhamento da Licitação'!$F$2:$O$1000,10,FALSE())="","",VLOOKUP(F536,'Acompanhamento da Licitação'!$F$2:$O$1000,10,FALSE()))),"")</f>
        <v/>
      </c>
      <c r="R536" s="61" t="str">
        <f>IFERROR(IF(F536&gt;0,(Final[[#This Row],[Valor da Venda Real]]-Final[[#This Row],[Valor de Compra Previsto]]-4%*Final[[#This Row],[Valor da Venda Real]])/Final[[#This Row],[Valor da Venda Real]],""),"")</f>
        <v/>
      </c>
      <c r="S536" s="61" t="str">
        <f t="shared" si="37"/>
        <v/>
      </c>
      <c r="T536" s="23" t="str">
        <f>IFERROR((R536*Final[[#This Row],[Valor da Venda Real]]*Final[[#This Row],[Quantidade ]]*S536),"")</f>
        <v/>
      </c>
    </row>
    <row r="537" spans="1:20" ht="15.75" x14ac:dyDescent="0.2">
      <c r="A537">
        <f>COUNTIF($C$2:C537,C537)</f>
        <v>536</v>
      </c>
      <c r="B537" s="1" t="str">
        <f t="shared" si="36"/>
        <v>536</v>
      </c>
      <c r="C537" s="1" t="str">
        <f>IFERROR(VLOOKUP(D537,'Planilha de Cadastro - Previsão'!$A$2:$N$1000,14,FALSE()),"")</f>
        <v/>
      </c>
      <c r="D537" s="1">
        <v>536</v>
      </c>
      <c r="F537" s="40" t="str">
        <f t="shared" si="35"/>
        <v/>
      </c>
      <c r="G537" s="40" t="str">
        <f>IF(F537="","",'Prosposta Inicial'!$O$2)</f>
        <v/>
      </c>
      <c r="H537" s="40" t="str">
        <f t="shared" si="34"/>
        <v xml:space="preserve"> </v>
      </c>
      <c r="I537" s="41" t="str">
        <f>IFERROR((VLOOKUP(F537,'Planilha de Cadastro - Previsão'!$A$2:$N$1100,2,FALSE()))," ")</f>
        <v xml:space="preserve"> </v>
      </c>
      <c r="J537" s="40" t="str">
        <f>IFERROR((VLOOKUP(F537,'Planilha de Cadastro - Previsão'!$A$2:$N$1100,3,FALSE()))," ")</f>
        <v xml:space="preserve"> </v>
      </c>
      <c r="K537" s="40"/>
      <c r="L537" s="42" t="str">
        <f>IFERROR((VLOOKUP(F537,'Planilha de Cadastro - Previsão'!$A$2:$N$1100,11,FALSE()))," ")</f>
        <v xml:space="preserve"> </v>
      </c>
      <c r="M537" s="41" t="str">
        <f>IFERROR((IF(VLOOKUP(F537,'Planilha de Cadastro - Previsão'!$A$2:$N$1100,10,FALSE())="","",VLOOKUP(F537,'Planilha de Cadastro - Previsão'!$A$2:$N$1100,10,FALSE()))),"")</f>
        <v/>
      </c>
      <c r="N537" s="41"/>
      <c r="O537" s="41"/>
      <c r="P537" s="41" t="str">
        <f>IFERROR((IF(VLOOKUP(F537,'Acompanhamento da Licitação'!$F$2:$O$1000,10,FALSE())="","",VLOOKUP(F537,'Acompanhamento da Licitação'!$F$2:$O$1000,10,FALSE()))),"")</f>
        <v/>
      </c>
      <c r="R537" s="61" t="str">
        <f>IFERROR(IF(F537&gt;0,(Final[[#This Row],[Valor da Venda Real]]-Final[[#This Row],[Valor de Compra Previsto]]-4%*Final[[#This Row],[Valor da Venda Real]])/Final[[#This Row],[Valor da Venda Real]],""),"")</f>
        <v/>
      </c>
      <c r="S537" s="61" t="str">
        <f t="shared" si="37"/>
        <v/>
      </c>
      <c r="T537" s="23" t="str">
        <f>IFERROR((R537*Final[[#This Row],[Valor da Venda Real]]*Final[[#This Row],[Quantidade ]]*S537),"")</f>
        <v/>
      </c>
    </row>
    <row r="538" spans="1:20" ht="15.75" x14ac:dyDescent="0.2">
      <c r="A538">
        <f>COUNTIF($C$2:C538,C538)</f>
        <v>537</v>
      </c>
      <c r="B538" s="1" t="str">
        <f t="shared" si="36"/>
        <v>537</v>
      </c>
      <c r="C538" s="1" t="str">
        <f>IFERROR(VLOOKUP(D538,'Planilha de Cadastro - Previsão'!$A$2:$N$1000,14,FALSE()),"")</f>
        <v/>
      </c>
      <c r="D538" s="1">
        <v>537</v>
      </c>
      <c r="F538" s="40" t="str">
        <f t="shared" si="35"/>
        <v/>
      </c>
      <c r="G538" s="40" t="str">
        <f>IF(F538="","",'Prosposta Inicial'!$O$2)</f>
        <v/>
      </c>
      <c r="H538" s="40" t="str">
        <f t="shared" si="34"/>
        <v xml:space="preserve"> </v>
      </c>
      <c r="I538" s="41" t="str">
        <f>IFERROR((VLOOKUP(F538,'Planilha de Cadastro - Previsão'!$A$2:$N$1100,2,FALSE()))," ")</f>
        <v xml:space="preserve"> </v>
      </c>
      <c r="J538" s="40" t="str">
        <f>IFERROR((VLOOKUP(F538,'Planilha de Cadastro - Previsão'!$A$2:$N$1100,3,FALSE()))," ")</f>
        <v xml:space="preserve"> </v>
      </c>
      <c r="K538" s="40"/>
      <c r="L538" s="42" t="str">
        <f>IFERROR((VLOOKUP(F538,'Planilha de Cadastro - Previsão'!$A$2:$N$1100,11,FALSE()))," ")</f>
        <v xml:space="preserve"> </v>
      </c>
      <c r="M538" s="41" t="str">
        <f>IFERROR((IF(VLOOKUP(F538,'Planilha de Cadastro - Previsão'!$A$2:$N$1100,10,FALSE())="","",VLOOKUP(F538,'Planilha de Cadastro - Previsão'!$A$2:$N$1100,10,FALSE()))),"")</f>
        <v/>
      </c>
      <c r="N538" s="41"/>
      <c r="O538" s="41"/>
      <c r="P538" s="41" t="str">
        <f>IFERROR((IF(VLOOKUP(F538,'Acompanhamento da Licitação'!$F$2:$O$1000,10,FALSE())="","",VLOOKUP(F538,'Acompanhamento da Licitação'!$F$2:$O$1000,10,FALSE()))),"")</f>
        <v/>
      </c>
      <c r="R538" s="61" t="str">
        <f>IFERROR(IF(F538&gt;0,(Final[[#This Row],[Valor da Venda Real]]-Final[[#This Row],[Valor de Compra Previsto]]-4%*Final[[#This Row],[Valor da Venda Real]])/Final[[#This Row],[Valor da Venda Real]],""),"")</f>
        <v/>
      </c>
      <c r="S538" s="61" t="str">
        <f t="shared" si="37"/>
        <v/>
      </c>
      <c r="T538" s="23" t="str">
        <f>IFERROR((R538*Final[[#This Row],[Valor da Venda Real]]*Final[[#This Row],[Quantidade ]]*S538),"")</f>
        <v/>
      </c>
    </row>
    <row r="539" spans="1:20" ht="15.75" x14ac:dyDescent="0.2">
      <c r="A539">
        <f>COUNTIF($C$2:C539,C539)</f>
        <v>538</v>
      </c>
      <c r="B539" s="1" t="str">
        <f t="shared" si="36"/>
        <v>538</v>
      </c>
      <c r="C539" s="1" t="str">
        <f>IFERROR(VLOOKUP(D539,'Planilha de Cadastro - Previsão'!$A$2:$N$1000,14,FALSE()),"")</f>
        <v/>
      </c>
      <c r="D539" s="1">
        <v>538</v>
      </c>
      <c r="F539" s="40" t="str">
        <f t="shared" si="35"/>
        <v/>
      </c>
      <c r="G539" s="40" t="str">
        <f>IF(F539="","",'Prosposta Inicial'!$O$2)</f>
        <v/>
      </c>
      <c r="H539" s="40" t="str">
        <f t="shared" si="34"/>
        <v xml:space="preserve"> </v>
      </c>
      <c r="I539" s="41" t="str">
        <f>IFERROR((VLOOKUP(F539,'Planilha de Cadastro - Previsão'!$A$2:$N$1100,2,FALSE()))," ")</f>
        <v xml:space="preserve"> </v>
      </c>
      <c r="J539" s="40" t="str">
        <f>IFERROR((VLOOKUP(F539,'Planilha de Cadastro - Previsão'!$A$2:$N$1100,3,FALSE()))," ")</f>
        <v xml:space="preserve"> </v>
      </c>
      <c r="K539" s="40"/>
      <c r="L539" s="42" t="str">
        <f>IFERROR((VLOOKUP(F539,'Planilha de Cadastro - Previsão'!$A$2:$N$1100,11,FALSE()))," ")</f>
        <v xml:space="preserve"> </v>
      </c>
      <c r="M539" s="41" t="str">
        <f>IFERROR((IF(VLOOKUP(F539,'Planilha de Cadastro - Previsão'!$A$2:$N$1100,10,FALSE())="","",VLOOKUP(F539,'Planilha de Cadastro - Previsão'!$A$2:$N$1100,10,FALSE()))),"")</f>
        <v/>
      </c>
      <c r="N539" s="41"/>
      <c r="O539" s="41"/>
      <c r="P539" s="41" t="str">
        <f>IFERROR((IF(VLOOKUP(F539,'Acompanhamento da Licitação'!$F$2:$O$1000,10,FALSE())="","",VLOOKUP(F539,'Acompanhamento da Licitação'!$F$2:$O$1000,10,FALSE()))),"")</f>
        <v/>
      </c>
      <c r="R539" s="61" t="str">
        <f>IFERROR(IF(F539&gt;0,(Final[[#This Row],[Valor da Venda Real]]-Final[[#This Row],[Valor de Compra Previsto]]-4%*Final[[#This Row],[Valor da Venda Real]])/Final[[#This Row],[Valor da Venda Real]],""),"")</f>
        <v/>
      </c>
      <c r="S539" s="61" t="str">
        <f t="shared" si="37"/>
        <v/>
      </c>
      <c r="T539" s="23" t="str">
        <f>IFERROR((R539*Final[[#This Row],[Valor da Venda Real]]*Final[[#This Row],[Quantidade ]]*S539),"")</f>
        <v/>
      </c>
    </row>
    <row r="540" spans="1:20" ht="15.75" x14ac:dyDescent="0.2">
      <c r="A540">
        <f>COUNTIF($C$2:C540,C540)</f>
        <v>539</v>
      </c>
      <c r="B540" s="1" t="str">
        <f t="shared" si="36"/>
        <v>539</v>
      </c>
      <c r="C540" s="1" t="str">
        <f>IFERROR(VLOOKUP(D540,'Planilha de Cadastro - Previsão'!$A$2:$N$1000,14,FALSE()),"")</f>
        <v/>
      </c>
      <c r="D540" s="1">
        <v>539</v>
      </c>
      <c r="F540" s="40" t="str">
        <f t="shared" si="35"/>
        <v/>
      </c>
      <c r="G540" s="40" t="str">
        <f>IF(F540="","",'Prosposta Inicial'!$O$2)</f>
        <v/>
      </c>
      <c r="H540" s="40" t="str">
        <f t="shared" si="34"/>
        <v xml:space="preserve"> </v>
      </c>
      <c r="I540" s="41" t="str">
        <f>IFERROR((VLOOKUP(F540,'Planilha de Cadastro - Previsão'!$A$2:$N$1100,2,FALSE()))," ")</f>
        <v xml:space="preserve"> </v>
      </c>
      <c r="J540" s="40" t="str">
        <f>IFERROR((VLOOKUP(F540,'Planilha de Cadastro - Previsão'!$A$2:$N$1100,3,FALSE()))," ")</f>
        <v xml:space="preserve"> </v>
      </c>
      <c r="K540" s="40"/>
      <c r="L540" s="42" t="str">
        <f>IFERROR((VLOOKUP(F540,'Planilha de Cadastro - Previsão'!$A$2:$N$1100,11,FALSE()))," ")</f>
        <v xml:space="preserve"> </v>
      </c>
      <c r="M540" s="41" t="str">
        <f>IFERROR((IF(VLOOKUP(F540,'Planilha de Cadastro - Previsão'!$A$2:$N$1100,10,FALSE())="","",VLOOKUP(F540,'Planilha de Cadastro - Previsão'!$A$2:$N$1100,10,FALSE()))),"")</f>
        <v/>
      </c>
      <c r="N540" s="41"/>
      <c r="O540" s="41"/>
      <c r="P540" s="41" t="str">
        <f>IFERROR((IF(VLOOKUP(F540,'Acompanhamento da Licitação'!$F$2:$O$1000,10,FALSE())="","",VLOOKUP(F540,'Acompanhamento da Licitação'!$F$2:$O$1000,10,FALSE()))),"")</f>
        <v/>
      </c>
      <c r="R540" s="61" t="str">
        <f>IFERROR(IF(F540&gt;0,(Final[[#This Row],[Valor da Venda Real]]-Final[[#This Row],[Valor de Compra Previsto]]-4%*Final[[#This Row],[Valor da Venda Real]])/Final[[#This Row],[Valor da Venda Real]],""),"")</f>
        <v/>
      </c>
      <c r="S540" s="61" t="str">
        <f t="shared" si="37"/>
        <v/>
      </c>
      <c r="T540" s="23" t="str">
        <f>IFERROR((R540*Final[[#This Row],[Valor da Venda Real]]*Final[[#This Row],[Quantidade ]]*S540),"")</f>
        <v/>
      </c>
    </row>
    <row r="541" spans="1:20" ht="15.75" x14ac:dyDescent="0.2">
      <c r="A541">
        <f>COUNTIF($C$2:C541,C541)</f>
        <v>540</v>
      </c>
      <c r="B541" s="1" t="str">
        <f t="shared" si="36"/>
        <v>540</v>
      </c>
      <c r="C541" s="1" t="str">
        <f>IFERROR(VLOOKUP(D541,'Planilha de Cadastro - Previsão'!$A$2:$N$1000,14,FALSE()),"")</f>
        <v/>
      </c>
      <c r="D541" s="1">
        <v>540</v>
      </c>
      <c r="F541" s="40" t="str">
        <f t="shared" si="35"/>
        <v/>
      </c>
      <c r="G541" s="40" t="str">
        <f>IF(F541="","",'Prosposta Inicial'!$O$2)</f>
        <v/>
      </c>
      <c r="H541" s="40" t="str">
        <f t="shared" si="34"/>
        <v xml:space="preserve"> </v>
      </c>
      <c r="I541" s="41" t="str">
        <f>IFERROR((VLOOKUP(F541,'Planilha de Cadastro - Previsão'!$A$2:$N$1100,2,FALSE()))," ")</f>
        <v xml:space="preserve"> </v>
      </c>
      <c r="J541" s="40" t="str">
        <f>IFERROR((VLOOKUP(F541,'Planilha de Cadastro - Previsão'!$A$2:$N$1100,3,FALSE()))," ")</f>
        <v xml:space="preserve"> </v>
      </c>
      <c r="K541" s="40"/>
      <c r="L541" s="42" t="str">
        <f>IFERROR((VLOOKUP(F541,'Planilha de Cadastro - Previsão'!$A$2:$N$1100,11,FALSE()))," ")</f>
        <v xml:space="preserve"> </v>
      </c>
      <c r="M541" s="41" t="str">
        <f>IFERROR((IF(VLOOKUP(F541,'Planilha de Cadastro - Previsão'!$A$2:$N$1100,10,FALSE())="","",VLOOKUP(F541,'Planilha de Cadastro - Previsão'!$A$2:$N$1100,10,FALSE()))),"")</f>
        <v/>
      </c>
      <c r="N541" s="41"/>
      <c r="O541" s="41"/>
      <c r="P541" s="41" t="str">
        <f>IFERROR((IF(VLOOKUP(F541,'Acompanhamento da Licitação'!$F$2:$O$1000,10,FALSE())="","",VLOOKUP(F541,'Acompanhamento da Licitação'!$F$2:$O$1000,10,FALSE()))),"")</f>
        <v/>
      </c>
      <c r="R541" s="61" t="str">
        <f>IFERROR(IF(F541&gt;0,(Final[[#This Row],[Valor da Venda Real]]-Final[[#This Row],[Valor de Compra Previsto]]-4%*Final[[#This Row],[Valor da Venda Real]])/Final[[#This Row],[Valor da Venda Real]],""),"")</f>
        <v/>
      </c>
      <c r="S541" s="61" t="str">
        <f t="shared" si="37"/>
        <v/>
      </c>
      <c r="T541" s="23" t="str">
        <f>IFERROR((R541*Final[[#This Row],[Valor da Venda Real]]*Final[[#This Row],[Quantidade ]]*S541),"")</f>
        <v/>
      </c>
    </row>
    <row r="542" spans="1:20" ht="15.75" x14ac:dyDescent="0.2">
      <c r="A542">
        <f>COUNTIF($C$2:C542,C542)</f>
        <v>541</v>
      </c>
      <c r="B542" s="1" t="str">
        <f t="shared" si="36"/>
        <v>541</v>
      </c>
      <c r="C542" s="1" t="str">
        <f>IFERROR(VLOOKUP(D542,'Planilha de Cadastro - Previsão'!$A$2:$N$1000,14,FALSE()),"")</f>
        <v/>
      </c>
      <c r="D542" s="1">
        <v>541</v>
      </c>
      <c r="F542" s="40" t="str">
        <f t="shared" si="35"/>
        <v/>
      </c>
      <c r="G542" s="40" t="str">
        <f>IF(F542="","",'Prosposta Inicial'!$O$2)</f>
        <v/>
      </c>
      <c r="H542" s="40" t="str">
        <f t="shared" si="34"/>
        <v xml:space="preserve"> </v>
      </c>
      <c r="I542" s="41" t="str">
        <f>IFERROR((VLOOKUP(F542,'Planilha de Cadastro - Previsão'!$A$2:$N$1100,2,FALSE()))," ")</f>
        <v xml:space="preserve"> </v>
      </c>
      <c r="J542" s="40" t="str">
        <f>IFERROR((VLOOKUP(F542,'Planilha de Cadastro - Previsão'!$A$2:$N$1100,3,FALSE()))," ")</f>
        <v xml:space="preserve"> </v>
      </c>
      <c r="K542" s="40"/>
      <c r="L542" s="42" t="str">
        <f>IFERROR((VLOOKUP(F542,'Planilha de Cadastro - Previsão'!$A$2:$N$1100,11,FALSE()))," ")</f>
        <v xml:space="preserve"> </v>
      </c>
      <c r="M542" s="41" t="str">
        <f>IFERROR((IF(VLOOKUP(F542,'Planilha de Cadastro - Previsão'!$A$2:$N$1100,10,FALSE())="","",VLOOKUP(F542,'Planilha de Cadastro - Previsão'!$A$2:$N$1100,10,FALSE()))),"")</f>
        <v/>
      </c>
      <c r="N542" s="41"/>
      <c r="O542" s="41"/>
      <c r="P542" s="41" t="str">
        <f>IFERROR((IF(VLOOKUP(F542,'Acompanhamento da Licitação'!$F$2:$O$1000,10,FALSE())="","",VLOOKUP(F542,'Acompanhamento da Licitação'!$F$2:$O$1000,10,FALSE()))),"")</f>
        <v/>
      </c>
      <c r="R542" s="61" t="str">
        <f>IFERROR(IF(F542&gt;0,(Final[[#This Row],[Valor da Venda Real]]-Final[[#This Row],[Valor de Compra Previsto]]-4%*Final[[#This Row],[Valor da Venda Real]])/Final[[#This Row],[Valor da Venda Real]],""),"")</f>
        <v/>
      </c>
      <c r="S542" s="61" t="str">
        <f t="shared" si="37"/>
        <v/>
      </c>
      <c r="T542" s="23" t="str">
        <f>IFERROR((R542*Final[[#This Row],[Valor da Venda Real]]*Final[[#This Row],[Quantidade ]]*S542),"")</f>
        <v/>
      </c>
    </row>
    <row r="543" spans="1:20" ht="15.75" x14ac:dyDescent="0.2">
      <c r="A543">
        <f>COUNTIF($C$2:C543,C543)</f>
        <v>542</v>
      </c>
      <c r="B543" s="1" t="str">
        <f t="shared" si="36"/>
        <v>542</v>
      </c>
      <c r="C543" s="1" t="str">
        <f>IFERROR(VLOOKUP(D543,'Planilha de Cadastro - Previsão'!$A$2:$N$1000,14,FALSE()),"")</f>
        <v/>
      </c>
      <c r="D543" s="1">
        <v>542</v>
      </c>
      <c r="F543" s="40" t="str">
        <f t="shared" si="35"/>
        <v/>
      </c>
      <c r="G543" s="40" t="str">
        <f>IF(F543="","",'Prosposta Inicial'!$O$2)</f>
        <v/>
      </c>
      <c r="H543" s="40" t="str">
        <f t="shared" si="34"/>
        <v xml:space="preserve"> </v>
      </c>
      <c r="I543" s="41" t="str">
        <f>IFERROR((VLOOKUP(F543,'Planilha de Cadastro - Previsão'!$A$2:$N$1100,2,FALSE()))," ")</f>
        <v xml:space="preserve"> </v>
      </c>
      <c r="J543" s="40" t="str">
        <f>IFERROR((VLOOKUP(F543,'Planilha de Cadastro - Previsão'!$A$2:$N$1100,3,FALSE()))," ")</f>
        <v xml:space="preserve"> </v>
      </c>
      <c r="K543" s="40"/>
      <c r="L543" s="42" t="str">
        <f>IFERROR((VLOOKUP(F543,'Planilha de Cadastro - Previsão'!$A$2:$N$1100,11,FALSE()))," ")</f>
        <v xml:space="preserve"> </v>
      </c>
      <c r="M543" s="41" t="str">
        <f>IFERROR((IF(VLOOKUP(F543,'Planilha de Cadastro - Previsão'!$A$2:$N$1100,10,FALSE())="","",VLOOKUP(F543,'Planilha de Cadastro - Previsão'!$A$2:$N$1100,10,FALSE()))),"")</f>
        <v/>
      </c>
      <c r="N543" s="41"/>
      <c r="O543" s="41"/>
      <c r="P543" s="41" t="str">
        <f>IFERROR((IF(VLOOKUP(F543,'Acompanhamento da Licitação'!$F$2:$O$1000,10,FALSE())="","",VLOOKUP(F543,'Acompanhamento da Licitação'!$F$2:$O$1000,10,FALSE()))),"")</f>
        <v/>
      </c>
      <c r="R543" s="61" t="str">
        <f>IFERROR(IF(F543&gt;0,(Final[[#This Row],[Valor da Venda Real]]-Final[[#This Row],[Valor de Compra Previsto]]-4%*Final[[#This Row],[Valor da Venda Real]])/Final[[#This Row],[Valor da Venda Real]],""),"")</f>
        <v/>
      </c>
      <c r="S543" s="61" t="str">
        <f t="shared" si="37"/>
        <v/>
      </c>
      <c r="T543" s="23" t="str">
        <f>IFERROR((R543*Final[[#This Row],[Valor da Venda Real]]*Final[[#This Row],[Quantidade ]]*S543),"")</f>
        <v/>
      </c>
    </row>
    <row r="544" spans="1:20" ht="15.75" x14ac:dyDescent="0.2">
      <c r="A544">
        <f>COUNTIF($C$2:C544,C544)</f>
        <v>543</v>
      </c>
      <c r="B544" s="1" t="str">
        <f t="shared" si="36"/>
        <v>543</v>
      </c>
      <c r="C544" s="1" t="str">
        <f>IFERROR(VLOOKUP(D544,'Planilha de Cadastro - Previsão'!$A$2:$N$1000,14,FALSE()),"")</f>
        <v/>
      </c>
      <c r="D544" s="1">
        <v>543</v>
      </c>
      <c r="F544" s="40" t="str">
        <f t="shared" si="35"/>
        <v/>
      </c>
      <c r="G544" s="40" t="str">
        <f>IF(F544="","",'Prosposta Inicial'!$O$2)</f>
        <v/>
      </c>
      <c r="H544" s="40" t="str">
        <f t="shared" si="34"/>
        <v xml:space="preserve"> </v>
      </c>
      <c r="I544" s="41" t="str">
        <f>IFERROR((VLOOKUP(F544,'Planilha de Cadastro - Previsão'!$A$2:$N$1100,2,FALSE()))," ")</f>
        <v xml:space="preserve"> </v>
      </c>
      <c r="J544" s="40" t="str">
        <f>IFERROR((VLOOKUP(F544,'Planilha de Cadastro - Previsão'!$A$2:$N$1100,3,FALSE()))," ")</f>
        <v xml:space="preserve"> </v>
      </c>
      <c r="K544" s="40"/>
      <c r="L544" s="42" t="str">
        <f>IFERROR((VLOOKUP(F544,'Planilha de Cadastro - Previsão'!$A$2:$N$1100,11,FALSE()))," ")</f>
        <v xml:space="preserve"> </v>
      </c>
      <c r="M544" s="41" t="str">
        <f>IFERROR((IF(VLOOKUP(F544,'Planilha de Cadastro - Previsão'!$A$2:$N$1100,10,FALSE())="","",VLOOKUP(F544,'Planilha de Cadastro - Previsão'!$A$2:$N$1100,10,FALSE()))),"")</f>
        <v/>
      </c>
      <c r="N544" s="41"/>
      <c r="O544" s="41"/>
      <c r="P544" s="41" t="str">
        <f>IFERROR((IF(VLOOKUP(F544,'Acompanhamento da Licitação'!$F$2:$O$1000,10,FALSE())="","",VLOOKUP(F544,'Acompanhamento da Licitação'!$F$2:$O$1000,10,FALSE()))),"")</f>
        <v/>
      </c>
      <c r="R544" s="61" t="str">
        <f>IFERROR(IF(F544&gt;0,(Final[[#This Row],[Valor da Venda Real]]-Final[[#This Row],[Valor de Compra Previsto]]-4%*Final[[#This Row],[Valor da Venda Real]])/Final[[#This Row],[Valor da Venda Real]],""),"")</f>
        <v/>
      </c>
      <c r="S544" s="61" t="str">
        <f t="shared" si="37"/>
        <v/>
      </c>
      <c r="T544" s="23" t="str">
        <f>IFERROR((R544*Final[[#This Row],[Valor da Venda Real]]*Final[[#This Row],[Quantidade ]]*S544),"")</f>
        <v/>
      </c>
    </row>
    <row r="545" spans="1:20" ht="15.75" x14ac:dyDescent="0.2">
      <c r="A545">
        <f>COUNTIF($C$2:C545,C545)</f>
        <v>544</v>
      </c>
      <c r="B545" s="1" t="str">
        <f t="shared" si="36"/>
        <v>544</v>
      </c>
      <c r="C545" s="1" t="str">
        <f>IFERROR(VLOOKUP(D545,'Planilha de Cadastro - Previsão'!$A$2:$N$1000,14,FALSE()),"")</f>
        <v/>
      </c>
      <c r="D545" s="1">
        <v>544</v>
      </c>
      <c r="F545" s="40" t="str">
        <f t="shared" si="35"/>
        <v/>
      </c>
      <c r="G545" s="40" t="str">
        <f>IF(F545="","",'Prosposta Inicial'!$O$2)</f>
        <v/>
      </c>
      <c r="H545" s="40" t="str">
        <f t="shared" si="34"/>
        <v xml:space="preserve"> </v>
      </c>
      <c r="I545" s="41" t="str">
        <f>IFERROR((VLOOKUP(F545,'Planilha de Cadastro - Previsão'!$A$2:$N$1100,2,FALSE()))," ")</f>
        <v xml:space="preserve"> </v>
      </c>
      <c r="J545" s="40" t="str">
        <f>IFERROR((VLOOKUP(F545,'Planilha de Cadastro - Previsão'!$A$2:$N$1100,3,FALSE()))," ")</f>
        <v xml:space="preserve"> </v>
      </c>
      <c r="K545" s="40"/>
      <c r="L545" s="42" t="str">
        <f>IFERROR((VLOOKUP(F545,'Planilha de Cadastro - Previsão'!$A$2:$N$1100,11,FALSE()))," ")</f>
        <v xml:space="preserve"> </v>
      </c>
      <c r="M545" s="41" t="str">
        <f>IFERROR((IF(VLOOKUP(F545,'Planilha de Cadastro - Previsão'!$A$2:$N$1100,10,FALSE())="","",VLOOKUP(F545,'Planilha de Cadastro - Previsão'!$A$2:$N$1100,10,FALSE()))),"")</f>
        <v/>
      </c>
      <c r="N545" s="41"/>
      <c r="O545" s="41"/>
      <c r="P545" s="41" t="str">
        <f>IFERROR((IF(VLOOKUP(F545,'Acompanhamento da Licitação'!$F$2:$O$1000,10,FALSE())="","",VLOOKUP(F545,'Acompanhamento da Licitação'!$F$2:$O$1000,10,FALSE()))),"")</f>
        <v/>
      </c>
      <c r="R545" s="61" t="str">
        <f>IFERROR(IF(F545&gt;0,(Final[[#This Row],[Valor da Venda Real]]-Final[[#This Row],[Valor de Compra Previsto]]-4%*Final[[#This Row],[Valor da Venda Real]])/Final[[#This Row],[Valor da Venda Real]],""),"")</f>
        <v/>
      </c>
      <c r="S545" s="61" t="str">
        <f t="shared" si="37"/>
        <v/>
      </c>
      <c r="T545" s="23" t="str">
        <f>IFERROR((R545*Final[[#This Row],[Valor da Venda Real]]*Final[[#This Row],[Quantidade ]]*S545),"")</f>
        <v/>
      </c>
    </row>
    <row r="546" spans="1:20" ht="15.75" x14ac:dyDescent="0.2">
      <c r="A546">
        <f>COUNTIF($C$2:C546,C546)</f>
        <v>545</v>
      </c>
      <c r="B546" s="1" t="str">
        <f t="shared" si="36"/>
        <v>545</v>
      </c>
      <c r="C546" s="1" t="str">
        <f>IFERROR(VLOOKUP(D546,'Planilha de Cadastro - Previsão'!$A$2:$N$1000,14,FALSE()),"")</f>
        <v/>
      </c>
      <c r="D546" s="1">
        <v>545</v>
      </c>
      <c r="F546" s="40" t="str">
        <f t="shared" si="35"/>
        <v/>
      </c>
      <c r="G546" s="40" t="str">
        <f>IF(F546="","",'Prosposta Inicial'!$O$2)</f>
        <v/>
      </c>
      <c r="H546" s="40" t="str">
        <f t="shared" si="34"/>
        <v xml:space="preserve"> </v>
      </c>
      <c r="I546" s="41" t="str">
        <f>IFERROR((VLOOKUP(F546,'Planilha de Cadastro - Previsão'!$A$2:$N$1100,2,FALSE()))," ")</f>
        <v xml:space="preserve"> </v>
      </c>
      <c r="J546" s="40" t="str">
        <f>IFERROR((VLOOKUP(F546,'Planilha de Cadastro - Previsão'!$A$2:$N$1100,3,FALSE()))," ")</f>
        <v xml:space="preserve"> </v>
      </c>
      <c r="K546" s="40"/>
      <c r="L546" s="42" t="str">
        <f>IFERROR((VLOOKUP(F546,'Planilha de Cadastro - Previsão'!$A$2:$N$1100,11,FALSE()))," ")</f>
        <v xml:space="preserve"> </v>
      </c>
      <c r="M546" s="41" t="str">
        <f>IFERROR((IF(VLOOKUP(F546,'Planilha de Cadastro - Previsão'!$A$2:$N$1100,10,FALSE())="","",VLOOKUP(F546,'Planilha de Cadastro - Previsão'!$A$2:$N$1100,10,FALSE()))),"")</f>
        <v/>
      </c>
      <c r="N546" s="41"/>
      <c r="O546" s="41"/>
      <c r="P546" s="41" t="str">
        <f>IFERROR((IF(VLOOKUP(F546,'Acompanhamento da Licitação'!$F$2:$O$1000,10,FALSE())="","",VLOOKUP(F546,'Acompanhamento da Licitação'!$F$2:$O$1000,10,FALSE()))),"")</f>
        <v/>
      </c>
      <c r="R546" s="61" t="str">
        <f>IFERROR(IF(F546&gt;0,(Final[[#This Row],[Valor da Venda Real]]-Final[[#This Row],[Valor de Compra Previsto]]-4%*Final[[#This Row],[Valor da Venda Real]])/Final[[#This Row],[Valor da Venda Real]],""),"")</f>
        <v/>
      </c>
      <c r="S546" s="61" t="str">
        <f t="shared" si="37"/>
        <v/>
      </c>
      <c r="T546" s="23" t="str">
        <f>IFERROR((R546*Final[[#This Row],[Valor da Venda Real]]*Final[[#This Row],[Quantidade ]]*S546),"")</f>
        <v/>
      </c>
    </row>
    <row r="547" spans="1:20" ht="15.75" x14ac:dyDescent="0.2">
      <c r="A547">
        <f>COUNTIF($C$2:C547,C547)</f>
        <v>546</v>
      </c>
      <c r="B547" s="1" t="str">
        <f t="shared" si="36"/>
        <v>546</v>
      </c>
      <c r="C547" s="1" t="str">
        <f>IFERROR(VLOOKUP(D547,'Planilha de Cadastro - Previsão'!$A$2:$N$1000,14,FALSE()),"")</f>
        <v/>
      </c>
      <c r="D547" s="1">
        <v>546</v>
      </c>
      <c r="F547" s="40" t="str">
        <f t="shared" si="35"/>
        <v/>
      </c>
      <c r="G547" s="40" t="str">
        <f>IF(F547="","",'Prosposta Inicial'!$O$2)</f>
        <v/>
      </c>
      <c r="H547" s="40" t="str">
        <f t="shared" si="34"/>
        <v xml:space="preserve"> </v>
      </c>
      <c r="I547" s="41" t="str">
        <f>IFERROR((VLOOKUP(F547,'Planilha de Cadastro - Previsão'!$A$2:$N$1100,2,FALSE()))," ")</f>
        <v xml:space="preserve"> </v>
      </c>
      <c r="J547" s="40" t="str">
        <f>IFERROR((VLOOKUP(F547,'Planilha de Cadastro - Previsão'!$A$2:$N$1100,3,FALSE()))," ")</f>
        <v xml:space="preserve"> </v>
      </c>
      <c r="K547" s="40"/>
      <c r="L547" s="42" t="str">
        <f>IFERROR((VLOOKUP(F547,'Planilha de Cadastro - Previsão'!$A$2:$N$1100,11,FALSE()))," ")</f>
        <v xml:space="preserve"> </v>
      </c>
      <c r="M547" s="41" t="str">
        <f>IFERROR((IF(VLOOKUP(F547,'Planilha de Cadastro - Previsão'!$A$2:$N$1100,10,FALSE())="","",VLOOKUP(F547,'Planilha de Cadastro - Previsão'!$A$2:$N$1100,10,FALSE()))),"")</f>
        <v/>
      </c>
      <c r="N547" s="41"/>
      <c r="O547" s="41"/>
      <c r="P547" s="41" t="str">
        <f>IFERROR((IF(VLOOKUP(F547,'Acompanhamento da Licitação'!$F$2:$O$1000,10,FALSE())="","",VLOOKUP(F547,'Acompanhamento da Licitação'!$F$2:$O$1000,10,FALSE()))),"")</f>
        <v/>
      </c>
      <c r="R547" s="61" t="str">
        <f>IFERROR(IF(F547&gt;0,(Final[[#This Row],[Valor da Venda Real]]-Final[[#This Row],[Valor de Compra Previsto]]-4%*Final[[#This Row],[Valor da Venda Real]])/Final[[#This Row],[Valor da Venda Real]],""),"")</f>
        <v/>
      </c>
      <c r="S547" s="61" t="str">
        <f t="shared" si="37"/>
        <v/>
      </c>
      <c r="T547" s="23" t="str">
        <f>IFERROR((R547*Final[[#This Row],[Valor da Venda Real]]*Final[[#This Row],[Quantidade ]]*S547),"")</f>
        <v/>
      </c>
    </row>
    <row r="548" spans="1:20" ht="15.75" x14ac:dyDescent="0.2">
      <c r="A548">
        <f>COUNTIF($C$2:C548,C548)</f>
        <v>547</v>
      </c>
      <c r="B548" s="1" t="str">
        <f t="shared" si="36"/>
        <v>547</v>
      </c>
      <c r="C548" s="1" t="str">
        <f>IFERROR(VLOOKUP(D548,'Planilha de Cadastro - Previsão'!$A$2:$N$1000,14,FALSE()),"")</f>
        <v/>
      </c>
      <c r="D548" s="1">
        <v>547</v>
      </c>
      <c r="F548" s="40" t="str">
        <f t="shared" si="35"/>
        <v/>
      </c>
      <c r="G548" s="40" t="str">
        <f>IF(F548="","",'Prosposta Inicial'!$O$2)</f>
        <v/>
      </c>
      <c r="H548" s="40" t="str">
        <f t="shared" si="34"/>
        <v xml:space="preserve"> </v>
      </c>
      <c r="I548" s="41" t="str">
        <f>IFERROR((VLOOKUP(F548,'Planilha de Cadastro - Previsão'!$A$2:$N$1100,2,FALSE()))," ")</f>
        <v xml:space="preserve"> </v>
      </c>
      <c r="J548" s="40" t="str">
        <f>IFERROR((VLOOKUP(F548,'Planilha de Cadastro - Previsão'!$A$2:$N$1100,3,FALSE()))," ")</f>
        <v xml:space="preserve"> </v>
      </c>
      <c r="K548" s="40"/>
      <c r="L548" s="42" t="str">
        <f>IFERROR((VLOOKUP(F548,'Planilha de Cadastro - Previsão'!$A$2:$N$1100,11,FALSE()))," ")</f>
        <v xml:space="preserve"> </v>
      </c>
      <c r="M548" s="41" t="str">
        <f>IFERROR((IF(VLOOKUP(F548,'Planilha de Cadastro - Previsão'!$A$2:$N$1100,10,FALSE())="","",VLOOKUP(F548,'Planilha de Cadastro - Previsão'!$A$2:$N$1100,10,FALSE()))),"")</f>
        <v/>
      </c>
      <c r="N548" s="41"/>
      <c r="O548" s="41"/>
      <c r="P548" s="41" t="str">
        <f>IFERROR((IF(VLOOKUP(F548,'Acompanhamento da Licitação'!$F$2:$O$1000,10,FALSE())="","",VLOOKUP(F548,'Acompanhamento da Licitação'!$F$2:$O$1000,10,FALSE()))),"")</f>
        <v/>
      </c>
      <c r="R548" s="61" t="str">
        <f>IFERROR(IF(F548&gt;0,(Final[[#This Row],[Valor da Venda Real]]-Final[[#This Row],[Valor de Compra Previsto]]-4%*Final[[#This Row],[Valor da Venda Real]])/Final[[#This Row],[Valor da Venda Real]],""),"")</f>
        <v/>
      </c>
      <c r="S548" s="61" t="str">
        <f t="shared" si="37"/>
        <v/>
      </c>
      <c r="T548" s="23" t="str">
        <f>IFERROR((R548*Final[[#This Row],[Valor da Venda Real]]*Final[[#This Row],[Quantidade ]]*S548),"")</f>
        <v/>
      </c>
    </row>
    <row r="549" spans="1:20" ht="15.75" x14ac:dyDescent="0.2">
      <c r="A549">
        <f>COUNTIF($C$2:C549,C549)</f>
        <v>548</v>
      </c>
      <c r="B549" s="1" t="str">
        <f t="shared" si="36"/>
        <v>548</v>
      </c>
      <c r="C549" s="1" t="str">
        <f>IFERROR(VLOOKUP(D549,'Planilha de Cadastro - Previsão'!$A$2:$N$1000,14,FALSE()),"")</f>
        <v/>
      </c>
      <c r="D549" s="1">
        <v>548</v>
      </c>
      <c r="F549" s="40" t="str">
        <f t="shared" si="35"/>
        <v/>
      </c>
      <c r="G549" s="40" t="str">
        <f>IF(F549="","",'Prosposta Inicial'!$O$2)</f>
        <v/>
      </c>
      <c r="H549" s="40" t="str">
        <f t="shared" ref="H549:H612" si="38">CONCATENATE(F549,G549,I549)</f>
        <v xml:space="preserve"> </v>
      </c>
      <c r="I549" s="41" t="str">
        <f>IFERROR((VLOOKUP(F549,'Planilha de Cadastro - Previsão'!$A$2:$N$1100,2,FALSE()))," ")</f>
        <v xml:space="preserve"> </v>
      </c>
      <c r="J549" s="40" t="str">
        <f>IFERROR((VLOOKUP(F549,'Planilha de Cadastro - Previsão'!$A$2:$N$1100,3,FALSE()))," ")</f>
        <v xml:space="preserve"> </v>
      </c>
      <c r="K549" s="40"/>
      <c r="L549" s="42" t="str">
        <f>IFERROR((VLOOKUP(F549,'Planilha de Cadastro - Previsão'!$A$2:$N$1100,11,FALSE()))," ")</f>
        <v xml:space="preserve"> </v>
      </c>
      <c r="M549" s="41" t="str">
        <f>IFERROR((IF(VLOOKUP(F549,'Planilha de Cadastro - Previsão'!$A$2:$N$1100,10,FALSE())="","",VLOOKUP(F549,'Planilha de Cadastro - Previsão'!$A$2:$N$1100,10,FALSE()))),"")</f>
        <v/>
      </c>
      <c r="N549" s="41"/>
      <c r="O549" s="41"/>
      <c r="P549" s="41" t="str">
        <f>IFERROR((IF(VLOOKUP(F549,'Acompanhamento da Licitação'!$F$2:$O$1000,10,FALSE())="","",VLOOKUP(F549,'Acompanhamento da Licitação'!$F$2:$O$1000,10,FALSE()))),"")</f>
        <v/>
      </c>
      <c r="R549" s="61" t="str">
        <f>IFERROR(IF(F549&gt;0,(Final[[#This Row],[Valor da Venda Real]]-Final[[#This Row],[Valor de Compra Previsto]]-4%*Final[[#This Row],[Valor da Venda Real]])/Final[[#This Row],[Valor da Venda Real]],""),"")</f>
        <v/>
      </c>
      <c r="S549" s="61" t="str">
        <f t="shared" si="37"/>
        <v/>
      </c>
      <c r="T549" s="23" t="str">
        <f>IFERROR((R549*Final[[#This Row],[Valor da Venda Real]]*Final[[#This Row],[Quantidade ]]*S549),"")</f>
        <v/>
      </c>
    </row>
    <row r="550" spans="1:20" ht="15.75" x14ac:dyDescent="0.2">
      <c r="A550">
        <f>COUNTIF($C$2:C550,C550)</f>
        <v>549</v>
      </c>
      <c r="B550" s="1" t="str">
        <f t="shared" si="36"/>
        <v>549</v>
      </c>
      <c r="C550" s="1" t="str">
        <f>IFERROR(VLOOKUP(D550,'Planilha de Cadastro - Previsão'!$A$2:$N$1000,14,FALSE()),"")</f>
        <v/>
      </c>
      <c r="D550" s="1">
        <v>549</v>
      </c>
      <c r="F550" s="40" t="str">
        <f t="shared" si="35"/>
        <v/>
      </c>
      <c r="G550" s="40" t="str">
        <f>IF(F550="","",'Prosposta Inicial'!$O$2)</f>
        <v/>
      </c>
      <c r="H550" s="40" t="str">
        <f t="shared" si="38"/>
        <v xml:space="preserve"> </v>
      </c>
      <c r="I550" s="41" t="str">
        <f>IFERROR((VLOOKUP(F550,'Planilha de Cadastro - Previsão'!$A$2:$N$1100,2,FALSE()))," ")</f>
        <v xml:space="preserve"> </v>
      </c>
      <c r="J550" s="40" t="str">
        <f>IFERROR((VLOOKUP(F550,'Planilha de Cadastro - Previsão'!$A$2:$N$1100,3,FALSE()))," ")</f>
        <v xml:space="preserve"> </v>
      </c>
      <c r="K550" s="40"/>
      <c r="L550" s="42" t="str">
        <f>IFERROR((VLOOKUP(F550,'Planilha de Cadastro - Previsão'!$A$2:$N$1100,11,FALSE()))," ")</f>
        <v xml:space="preserve"> </v>
      </c>
      <c r="M550" s="41" t="str">
        <f>IFERROR((IF(VLOOKUP(F550,'Planilha de Cadastro - Previsão'!$A$2:$N$1100,10,FALSE())="","",VLOOKUP(F550,'Planilha de Cadastro - Previsão'!$A$2:$N$1100,10,FALSE()))),"")</f>
        <v/>
      </c>
      <c r="N550" s="41"/>
      <c r="O550" s="41"/>
      <c r="P550" s="41" t="str">
        <f>IFERROR((IF(VLOOKUP(F550,'Acompanhamento da Licitação'!$F$2:$O$1000,10,FALSE())="","",VLOOKUP(F550,'Acompanhamento da Licitação'!$F$2:$O$1000,10,FALSE()))),"")</f>
        <v/>
      </c>
      <c r="R550" s="61" t="str">
        <f>IFERROR(IF(F550&gt;0,(Final[[#This Row],[Valor da Venda Real]]-Final[[#This Row],[Valor de Compra Previsto]]-4%*Final[[#This Row],[Valor da Venda Real]])/Final[[#This Row],[Valor da Venda Real]],""),"")</f>
        <v/>
      </c>
      <c r="S550" s="61" t="str">
        <f t="shared" si="37"/>
        <v/>
      </c>
      <c r="T550" s="23" t="str">
        <f>IFERROR((R550*Final[[#This Row],[Valor da Venda Real]]*Final[[#This Row],[Quantidade ]]*S550),"")</f>
        <v/>
      </c>
    </row>
    <row r="551" spans="1:20" ht="15.75" x14ac:dyDescent="0.2">
      <c r="A551">
        <f>COUNTIF($C$2:C551,C551)</f>
        <v>550</v>
      </c>
      <c r="B551" s="1" t="str">
        <f t="shared" si="36"/>
        <v>550</v>
      </c>
      <c r="C551" s="1" t="str">
        <f>IFERROR(VLOOKUP(D551,'Planilha de Cadastro - Previsão'!$A$2:$N$1000,14,FALSE()),"")</f>
        <v/>
      </c>
      <c r="D551" s="1">
        <v>550</v>
      </c>
      <c r="F551" s="40" t="str">
        <f t="shared" si="35"/>
        <v/>
      </c>
      <c r="G551" s="40" t="str">
        <f>IF(F551="","",'Prosposta Inicial'!$O$2)</f>
        <v/>
      </c>
      <c r="H551" s="40" t="str">
        <f t="shared" si="38"/>
        <v xml:space="preserve"> </v>
      </c>
      <c r="I551" s="41" t="str">
        <f>IFERROR((VLOOKUP(F551,'Planilha de Cadastro - Previsão'!$A$2:$N$1100,2,FALSE()))," ")</f>
        <v xml:space="preserve"> </v>
      </c>
      <c r="J551" s="40" t="str">
        <f>IFERROR((VLOOKUP(F551,'Planilha de Cadastro - Previsão'!$A$2:$N$1100,3,FALSE()))," ")</f>
        <v xml:space="preserve"> </v>
      </c>
      <c r="K551" s="40"/>
      <c r="L551" s="42" t="str">
        <f>IFERROR((VLOOKUP(F551,'Planilha de Cadastro - Previsão'!$A$2:$N$1100,11,FALSE()))," ")</f>
        <v xml:space="preserve"> </v>
      </c>
      <c r="M551" s="41" t="str">
        <f>IFERROR((IF(VLOOKUP(F551,'Planilha de Cadastro - Previsão'!$A$2:$N$1100,10,FALSE())="","",VLOOKUP(F551,'Planilha de Cadastro - Previsão'!$A$2:$N$1100,10,FALSE()))),"")</f>
        <v/>
      </c>
      <c r="N551" s="41"/>
      <c r="O551" s="41"/>
      <c r="P551" s="41" t="str">
        <f>IFERROR((IF(VLOOKUP(F551,'Acompanhamento da Licitação'!$F$2:$O$1000,10,FALSE())="","",VLOOKUP(F551,'Acompanhamento da Licitação'!$F$2:$O$1000,10,FALSE()))),"")</f>
        <v/>
      </c>
      <c r="R551" s="61" t="str">
        <f>IFERROR(IF(F551&gt;0,(Final[[#This Row],[Valor da Venda Real]]-Final[[#This Row],[Valor de Compra Previsto]]-4%*Final[[#This Row],[Valor da Venda Real]])/Final[[#This Row],[Valor da Venda Real]],""),"")</f>
        <v/>
      </c>
      <c r="S551" s="61" t="str">
        <f t="shared" si="37"/>
        <v/>
      </c>
      <c r="T551" s="23" t="str">
        <f>IFERROR((R551*Final[[#This Row],[Valor da Venda Real]]*Final[[#This Row],[Quantidade ]]*S551),"")</f>
        <v/>
      </c>
    </row>
    <row r="552" spans="1:20" ht="15.75" x14ac:dyDescent="0.2">
      <c r="A552">
        <f>COUNTIF($C$2:C552,C552)</f>
        <v>551</v>
      </c>
      <c r="B552" s="1" t="str">
        <f t="shared" si="36"/>
        <v>551</v>
      </c>
      <c r="C552" s="1" t="str">
        <f>IFERROR(VLOOKUP(D552,'Planilha de Cadastro - Previsão'!$A$2:$N$1000,14,FALSE()),"")</f>
        <v/>
      </c>
      <c r="D552" s="1">
        <v>551</v>
      </c>
      <c r="F552" s="40" t="str">
        <f t="shared" si="35"/>
        <v/>
      </c>
      <c r="G552" s="40" t="str">
        <f>IF(F552="","",'Prosposta Inicial'!$O$2)</f>
        <v/>
      </c>
      <c r="H552" s="40" t="str">
        <f t="shared" si="38"/>
        <v xml:space="preserve"> </v>
      </c>
      <c r="I552" s="41" t="str">
        <f>IFERROR((VLOOKUP(F552,'Planilha de Cadastro - Previsão'!$A$2:$N$1100,2,FALSE()))," ")</f>
        <v xml:space="preserve"> </v>
      </c>
      <c r="J552" s="40" t="str">
        <f>IFERROR((VLOOKUP(F552,'Planilha de Cadastro - Previsão'!$A$2:$N$1100,3,FALSE()))," ")</f>
        <v xml:space="preserve"> </v>
      </c>
      <c r="K552" s="40"/>
      <c r="L552" s="42" t="str">
        <f>IFERROR((VLOOKUP(F552,'Planilha de Cadastro - Previsão'!$A$2:$N$1100,11,FALSE()))," ")</f>
        <v xml:space="preserve"> </v>
      </c>
      <c r="M552" s="41" t="str">
        <f>IFERROR((IF(VLOOKUP(F552,'Planilha de Cadastro - Previsão'!$A$2:$N$1100,10,FALSE())="","",VLOOKUP(F552,'Planilha de Cadastro - Previsão'!$A$2:$N$1100,10,FALSE()))),"")</f>
        <v/>
      </c>
      <c r="N552" s="41"/>
      <c r="O552" s="41"/>
      <c r="P552" s="41" t="str">
        <f>IFERROR((IF(VLOOKUP(F552,'Acompanhamento da Licitação'!$F$2:$O$1000,10,FALSE())="","",VLOOKUP(F552,'Acompanhamento da Licitação'!$F$2:$O$1000,10,FALSE()))),"")</f>
        <v/>
      </c>
      <c r="R552" s="61" t="str">
        <f>IFERROR(IF(F552&gt;0,(Final[[#This Row],[Valor da Venda Real]]-Final[[#This Row],[Valor de Compra Previsto]]-4%*Final[[#This Row],[Valor da Venda Real]])/Final[[#This Row],[Valor da Venda Real]],""),"")</f>
        <v/>
      </c>
      <c r="S552" s="61" t="str">
        <f t="shared" si="37"/>
        <v/>
      </c>
      <c r="T552" s="23" t="str">
        <f>IFERROR((R552*Final[[#This Row],[Valor da Venda Real]]*Final[[#This Row],[Quantidade ]]*S552),"")</f>
        <v/>
      </c>
    </row>
    <row r="553" spans="1:20" ht="15.75" x14ac:dyDescent="0.2">
      <c r="A553">
        <f>COUNTIF($C$2:C553,C553)</f>
        <v>552</v>
      </c>
      <c r="B553" s="1" t="str">
        <f t="shared" si="36"/>
        <v>552</v>
      </c>
      <c r="C553" s="1" t="str">
        <f>IFERROR(VLOOKUP(D553,'Planilha de Cadastro - Previsão'!$A$2:$N$1000,14,FALSE()),"")</f>
        <v/>
      </c>
      <c r="D553" s="1">
        <v>552</v>
      </c>
      <c r="F553" s="40" t="str">
        <f t="shared" si="35"/>
        <v/>
      </c>
      <c r="G553" s="40" t="str">
        <f>IF(F553="","",'Prosposta Inicial'!$O$2)</f>
        <v/>
      </c>
      <c r="H553" s="40" t="str">
        <f t="shared" si="38"/>
        <v xml:space="preserve"> </v>
      </c>
      <c r="I553" s="41" t="str">
        <f>IFERROR((VLOOKUP(F553,'Planilha de Cadastro - Previsão'!$A$2:$N$1100,2,FALSE()))," ")</f>
        <v xml:space="preserve"> </v>
      </c>
      <c r="J553" s="40" t="str">
        <f>IFERROR((VLOOKUP(F553,'Planilha de Cadastro - Previsão'!$A$2:$N$1100,3,FALSE()))," ")</f>
        <v xml:space="preserve"> </v>
      </c>
      <c r="K553" s="40"/>
      <c r="L553" s="42" t="str">
        <f>IFERROR((VLOOKUP(F553,'Planilha de Cadastro - Previsão'!$A$2:$N$1100,11,FALSE()))," ")</f>
        <v xml:space="preserve"> </v>
      </c>
      <c r="M553" s="41" t="str">
        <f>IFERROR((IF(VLOOKUP(F553,'Planilha de Cadastro - Previsão'!$A$2:$N$1100,10,FALSE())="","",VLOOKUP(F553,'Planilha de Cadastro - Previsão'!$A$2:$N$1100,10,FALSE()))),"")</f>
        <v/>
      </c>
      <c r="N553" s="41"/>
      <c r="O553" s="41"/>
      <c r="P553" s="41" t="str">
        <f>IFERROR((IF(VLOOKUP(F553,'Acompanhamento da Licitação'!$F$2:$O$1000,10,FALSE())="","",VLOOKUP(F553,'Acompanhamento da Licitação'!$F$2:$O$1000,10,FALSE()))),"")</f>
        <v/>
      </c>
      <c r="R553" s="61" t="str">
        <f>IFERROR(IF(F553&gt;0,(Final[[#This Row],[Valor da Venda Real]]-Final[[#This Row],[Valor de Compra Previsto]]-4%*Final[[#This Row],[Valor da Venda Real]])/Final[[#This Row],[Valor da Venda Real]],""),"")</f>
        <v/>
      </c>
      <c r="S553" s="61" t="str">
        <f t="shared" si="37"/>
        <v/>
      </c>
      <c r="T553" s="23" t="str">
        <f>IFERROR((R553*Final[[#This Row],[Valor da Venda Real]]*Final[[#This Row],[Quantidade ]]*S553),"")</f>
        <v/>
      </c>
    </row>
    <row r="554" spans="1:20" ht="15.75" x14ac:dyDescent="0.2">
      <c r="A554">
        <f>COUNTIF($C$2:C554,C554)</f>
        <v>553</v>
      </c>
      <c r="B554" s="1" t="str">
        <f t="shared" si="36"/>
        <v>553</v>
      </c>
      <c r="C554" s="1" t="str">
        <f>IFERROR(VLOOKUP(D554,'Planilha de Cadastro - Previsão'!$A$2:$N$1000,14,FALSE()),"")</f>
        <v/>
      </c>
      <c r="D554" s="1">
        <v>553</v>
      </c>
      <c r="F554" s="40" t="str">
        <f t="shared" si="35"/>
        <v/>
      </c>
      <c r="G554" s="40" t="str">
        <f>IF(F554="","",'Prosposta Inicial'!$O$2)</f>
        <v/>
      </c>
      <c r="H554" s="40" t="str">
        <f t="shared" si="38"/>
        <v xml:space="preserve"> </v>
      </c>
      <c r="I554" s="41" t="str">
        <f>IFERROR((VLOOKUP(F554,'Planilha de Cadastro - Previsão'!$A$2:$N$1100,2,FALSE()))," ")</f>
        <v xml:space="preserve"> </v>
      </c>
      <c r="J554" s="40" t="str">
        <f>IFERROR((VLOOKUP(F554,'Planilha de Cadastro - Previsão'!$A$2:$N$1100,3,FALSE()))," ")</f>
        <v xml:space="preserve"> </v>
      </c>
      <c r="K554" s="40"/>
      <c r="L554" s="42" t="str">
        <f>IFERROR((VLOOKUP(F554,'Planilha de Cadastro - Previsão'!$A$2:$N$1100,11,FALSE()))," ")</f>
        <v xml:space="preserve"> </v>
      </c>
      <c r="M554" s="41" t="str">
        <f>IFERROR((IF(VLOOKUP(F554,'Planilha de Cadastro - Previsão'!$A$2:$N$1100,10,FALSE())="","",VLOOKUP(F554,'Planilha de Cadastro - Previsão'!$A$2:$N$1100,10,FALSE()))),"")</f>
        <v/>
      </c>
      <c r="N554" s="41"/>
      <c r="O554" s="41"/>
      <c r="P554" s="41" t="str">
        <f>IFERROR((IF(VLOOKUP(F554,'Acompanhamento da Licitação'!$F$2:$O$1000,10,FALSE())="","",VLOOKUP(F554,'Acompanhamento da Licitação'!$F$2:$O$1000,10,FALSE()))),"")</f>
        <v/>
      </c>
      <c r="R554" s="61" t="str">
        <f>IFERROR(IF(F554&gt;0,(Final[[#This Row],[Valor da Venda Real]]-Final[[#This Row],[Valor de Compra Previsto]]-4%*Final[[#This Row],[Valor da Venda Real]])/Final[[#This Row],[Valor da Venda Real]],""),"")</f>
        <v/>
      </c>
      <c r="S554" s="61" t="str">
        <f t="shared" si="37"/>
        <v/>
      </c>
      <c r="T554" s="23" t="str">
        <f>IFERROR((R554*Final[[#This Row],[Valor da Venda Real]]*Final[[#This Row],[Quantidade ]]*S554),"")</f>
        <v/>
      </c>
    </row>
    <row r="555" spans="1:20" ht="15.75" x14ac:dyDescent="0.2">
      <c r="A555">
        <f>COUNTIF($C$2:C555,C555)</f>
        <v>554</v>
      </c>
      <c r="B555" s="1" t="str">
        <f t="shared" si="36"/>
        <v>554</v>
      </c>
      <c r="C555" s="1" t="str">
        <f>IFERROR(VLOOKUP(D555,'Planilha de Cadastro - Previsão'!$A$2:$N$1000,14,FALSE()),"")</f>
        <v/>
      </c>
      <c r="D555" s="1">
        <v>554</v>
      </c>
      <c r="F555" s="40" t="str">
        <f t="shared" si="35"/>
        <v/>
      </c>
      <c r="G555" s="40" t="str">
        <f>IF(F555="","",'Prosposta Inicial'!$O$2)</f>
        <v/>
      </c>
      <c r="H555" s="40" t="str">
        <f t="shared" si="38"/>
        <v xml:space="preserve"> </v>
      </c>
      <c r="I555" s="41" t="str">
        <f>IFERROR((VLOOKUP(F555,'Planilha de Cadastro - Previsão'!$A$2:$N$1100,2,FALSE()))," ")</f>
        <v xml:space="preserve"> </v>
      </c>
      <c r="J555" s="40" t="str">
        <f>IFERROR((VLOOKUP(F555,'Planilha de Cadastro - Previsão'!$A$2:$N$1100,3,FALSE()))," ")</f>
        <v xml:space="preserve"> </v>
      </c>
      <c r="K555" s="40"/>
      <c r="L555" s="42" t="str">
        <f>IFERROR((VLOOKUP(F555,'Planilha de Cadastro - Previsão'!$A$2:$N$1100,11,FALSE()))," ")</f>
        <v xml:space="preserve"> </v>
      </c>
      <c r="M555" s="41" t="str">
        <f>IFERROR((IF(VLOOKUP(F555,'Planilha de Cadastro - Previsão'!$A$2:$N$1100,10,FALSE())="","",VLOOKUP(F555,'Planilha de Cadastro - Previsão'!$A$2:$N$1100,10,FALSE()))),"")</f>
        <v/>
      </c>
      <c r="N555" s="41"/>
      <c r="O555" s="41"/>
      <c r="P555" s="41" t="str">
        <f>IFERROR((IF(VLOOKUP(F555,'Acompanhamento da Licitação'!$F$2:$O$1000,10,FALSE())="","",VLOOKUP(F555,'Acompanhamento da Licitação'!$F$2:$O$1000,10,FALSE()))),"")</f>
        <v/>
      </c>
      <c r="R555" s="61" t="str">
        <f>IFERROR(IF(F555&gt;0,(Final[[#This Row],[Valor da Venda Real]]-Final[[#This Row],[Valor de Compra Previsto]]-4%*Final[[#This Row],[Valor da Venda Real]])/Final[[#This Row],[Valor da Venda Real]],""),"")</f>
        <v/>
      </c>
      <c r="S555" s="61" t="str">
        <f t="shared" si="37"/>
        <v/>
      </c>
      <c r="T555" s="23" t="str">
        <f>IFERROR((R555*Final[[#This Row],[Valor da Venda Real]]*Final[[#This Row],[Quantidade ]]*S555),"")</f>
        <v/>
      </c>
    </row>
    <row r="556" spans="1:20" ht="15.75" x14ac:dyDescent="0.2">
      <c r="A556">
        <f>COUNTIF($C$2:C556,C556)</f>
        <v>555</v>
      </c>
      <c r="B556" s="1" t="str">
        <f t="shared" si="36"/>
        <v>555</v>
      </c>
      <c r="C556" s="1" t="str">
        <f>IFERROR(VLOOKUP(D556,'Planilha de Cadastro - Previsão'!$A$2:$N$1000,14,FALSE()),"")</f>
        <v/>
      </c>
      <c r="D556" s="1">
        <v>555</v>
      </c>
      <c r="F556" s="40" t="str">
        <f t="shared" si="35"/>
        <v/>
      </c>
      <c r="G556" s="40" t="str">
        <f>IF(F556="","",'Prosposta Inicial'!$O$2)</f>
        <v/>
      </c>
      <c r="H556" s="40" t="str">
        <f t="shared" si="38"/>
        <v xml:space="preserve"> </v>
      </c>
      <c r="I556" s="41" t="str">
        <f>IFERROR((VLOOKUP(F556,'Planilha de Cadastro - Previsão'!$A$2:$N$1100,2,FALSE()))," ")</f>
        <v xml:space="preserve"> </v>
      </c>
      <c r="J556" s="40" t="str">
        <f>IFERROR((VLOOKUP(F556,'Planilha de Cadastro - Previsão'!$A$2:$N$1100,3,FALSE()))," ")</f>
        <v xml:space="preserve"> </v>
      </c>
      <c r="K556" s="40"/>
      <c r="L556" s="42" t="str">
        <f>IFERROR((VLOOKUP(F556,'Planilha de Cadastro - Previsão'!$A$2:$N$1100,11,FALSE()))," ")</f>
        <v xml:space="preserve"> </v>
      </c>
      <c r="M556" s="41" t="str">
        <f>IFERROR((IF(VLOOKUP(F556,'Planilha de Cadastro - Previsão'!$A$2:$N$1100,10,FALSE())="","",VLOOKUP(F556,'Planilha de Cadastro - Previsão'!$A$2:$N$1100,10,FALSE()))),"")</f>
        <v/>
      </c>
      <c r="N556" s="41"/>
      <c r="O556" s="41"/>
      <c r="P556" s="41" t="str">
        <f>IFERROR((IF(VLOOKUP(F556,'Acompanhamento da Licitação'!$F$2:$O$1000,10,FALSE())="","",VLOOKUP(F556,'Acompanhamento da Licitação'!$F$2:$O$1000,10,FALSE()))),"")</f>
        <v/>
      </c>
      <c r="R556" s="61" t="str">
        <f>IFERROR(IF(F556&gt;0,(Final[[#This Row],[Valor da Venda Real]]-Final[[#This Row],[Valor de Compra Previsto]]-4%*Final[[#This Row],[Valor da Venda Real]])/Final[[#This Row],[Valor da Venda Real]],""),"")</f>
        <v/>
      </c>
      <c r="S556" s="61" t="str">
        <f t="shared" si="37"/>
        <v/>
      </c>
      <c r="T556" s="23" t="str">
        <f>IFERROR((R556*Final[[#This Row],[Valor da Venda Real]]*Final[[#This Row],[Quantidade ]]*S556),"")</f>
        <v/>
      </c>
    </row>
    <row r="557" spans="1:20" ht="15.75" x14ac:dyDescent="0.2">
      <c r="A557">
        <f>COUNTIF($C$2:C557,C557)</f>
        <v>556</v>
      </c>
      <c r="B557" s="1" t="str">
        <f t="shared" si="36"/>
        <v>556</v>
      </c>
      <c r="C557" s="1" t="str">
        <f>IFERROR(VLOOKUP(D557,'Planilha de Cadastro - Previsão'!$A$2:$N$1000,14,FALSE()),"")</f>
        <v/>
      </c>
      <c r="D557" s="1">
        <v>556</v>
      </c>
      <c r="F557" s="40" t="str">
        <f t="shared" si="35"/>
        <v/>
      </c>
      <c r="G557" s="40" t="str">
        <f>IF(F557="","",'Prosposta Inicial'!$O$2)</f>
        <v/>
      </c>
      <c r="H557" s="40" t="str">
        <f t="shared" si="38"/>
        <v xml:space="preserve"> </v>
      </c>
      <c r="I557" s="41" t="str">
        <f>IFERROR((VLOOKUP(F557,'Planilha de Cadastro - Previsão'!$A$2:$N$1100,2,FALSE()))," ")</f>
        <v xml:space="preserve"> </v>
      </c>
      <c r="J557" s="40" t="str">
        <f>IFERROR((VLOOKUP(F557,'Planilha de Cadastro - Previsão'!$A$2:$N$1100,3,FALSE()))," ")</f>
        <v xml:space="preserve"> </v>
      </c>
      <c r="K557" s="40"/>
      <c r="L557" s="42" t="str">
        <f>IFERROR((VLOOKUP(F557,'Planilha de Cadastro - Previsão'!$A$2:$N$1100,11,FALSE()))," ")</f>
        <v xml:space="preserve"> </v>
      </c>
      <c r="M557" s="41" t="str">
        <f>IFERROR((IF(VLOOKUP(F557,'Planilha de Cadastro - Previsão'!$A$2:$N$1100,10,FALSE())="","",VLOOKUP(F557,'Planilha de Cadastro - Previsão'!$A$2:$N$1100,10,FALSE()))),"")</f>
        <v/>
      </c>
      <c r="N557" s="41"/>
      <c r="O557" s="41"/>
      <c r="P557" s="41" t="str">
        <f>IFERROR((IF(VLOOKUP(F557,'Acompanhamento da Licitação'!$F$2:$O$1000,10,FALSE())="","",VLOOKUP(F557,'Acompanhamento da Licitação'!$F$2:$O$1000,10,FALSE()))),"")</f>
        <v/>
      </c>
      <c r="R557" s="61" t="str">
        <f>IFERROR(IF(F557&gt;0,(Final[[#This Row],[Valor da Venda Real]]-Final[[#This Row],[Valor de Compra Previsto]]-4%*Final[[#This Row],[Valor da Venda Real]])/Final[[#This Row],[Valor da Venda Real]],""),"")</f>
        <v/>
      </c>
      <c r="S557" s="61" t="str">
        <f t="shared" si="37"/>
        <v/>
      </c>
      <c r="T557" s="23" t="str">
        <f>IFERROR((R557*Final[[#This Row],[Valor da Venda Real]]*Final[[#This Row],[Quantidade ]]*S557),"")</f>
        <v/>
      </c>
    </row>
    <row r="558" spans="1:20" ht="15.75" x14ac:dyDescent="0.2">
      <c r="A558">
        <f>COUNTIF($C$2:C558,C558)</f>
        <v>557</v>
      </c>
      <c r="B558" s="1" t="str">
        <f t="shared" si="36"/>
        <v>557</v>
      </c>
      <c r="C558" s="1" t="str">
        <f>IFERROR(VLOOKUP(D558,'Planilha de Cadastro - Previsão'!$A$2:$N$1000,14,FALSE()),"")</f>
        <v/>
      </c>
      <c r="D558" s="1">
        <v>557</v>
      </c>
      <c r="F558" s="40" t="str">
        <f t="shared" si="35"/>
        <v/>
      </c>
      <c r="G558" s="40" t="str">
        <f>IF(F558="","",'Prosposta Inicial'!$O$2)</f>
        <v/>
      </c>
      <c r="H558" s="40" t="str">
        <f t="shared" si="38"/>
        <v xml:space="preserve"> </v>
      </c>
      <c r="I558" s="41" t="str">
        <f>IFERROR((VLOOKUP(F558,'Planilha de Cadastro - Previsão'!$A$2:$N$1100,2,FALSE()))," ")</f>
        <v xml:space="preserve"> </v>
      </c>
      <c r="J558" s="40" t="str">
        <f>IFERROR((VLOOKUP(F558,'Planilha de Cadastro - Previsão'!$A$2:$N$1100,3,FALSE()))," ")</f>
        <v xml:space="preserve"> </v>
      </c>
      <c r="K558" s="40"/>
      <c r="L558" s="42" t="str">
        <f>IFERROR((VLOOKUP(F558,'Planilha de Cadastro - Previsão'!$A$2:$N$1100,11,FALSE()))," ")</f>
        <v xml:space="preserve"> </v>
      </c>
      <c r="M558" s="41" t="str">
        <f>IFERROR((IF(VLOOKUP(F558,'Planilha de Cadastro - Previsão'!$A$2:$N$1100,10,FALSE())="","",VLOOKUP(F558,'Planilha de Cadastro - Previsão'!$A$2:$N$1100,10,FALSE()))),"")</f>
        <v/>
      </c>
      <c r="N558" s="41"/>
      <c r="O558" s="41"/>
      <c r="P558" s="41" t="str">
        <f>IFERROR((IF(VLOOKUP(F558,'Acompanhamento da Licitação'!$F$2:$O$1000,10,FALSE())="","",VLOOKUP(F558,'Acompanhamento da Licitação'!$F$2:$O$1000,10,FALSE()))),"")</f>
        <v/>
      </c>
      <c r="R558" s="61" t="str">
        <f>IFERROR(IF(F558&gt;0,(Final[[#This Row],[Valor da Venda Real]]-Final[[#This Row],[Valor de Compra Previsto]]-4%*Final[[#This Row],[Valor da Venda Real]])/Final[[#This Row],[Valor da Venda Real]],""),"")</f>
        <v/>
      </c>
      <c r="S558" s="61" t="str">
        <f t="shared" si="37"/>
        <v/>
      </c>
      <c r="T558" s="23" t="str">
        <f>IFERROR((R558*Final[[#This Row],[Valor da Venda Real]]*Final[[#This Row],[Quantidade ]]*S558),"")</f>
        <v/>
      </c>
    </row>
    <row r="559" spans="1:20" ht="15.75" x14ac:dyDescent="0.2">
      <c r="A559">
        <f>COUNTIF($C$2:C559,C559)</f>
        <v>558</v>
      </c>
      <c r="B559" s="1" t="str">
        <f t="shared" si="36"/>
        <v>558</v>
      </c>
      <c r="C559" s="1" t="str">
        <f>IFERROR(VLOOKUP(D559,'Planilha de Cadastro - Previsão'!$A$2:$N$1000,14,FALSE()),"")</f>
        <v/>
      </c>
      <c r="D559" s="1">
        <v>558</v>
      </c>
      <c r="F559" s="40" t="str">
        <f t="shared" si="35"/>
        <v/>
      </c>
      <c r="G559" s="40" t="str">
        <f>IF(F559="","",'Prosposta Inicial'!$O$2)</f>
        <v/>
      </c>
      <c r="H559" s="40" t="str">
        <f t="shared" si="38"/>
        <v xml:space="preserve"> </v>
      </c>
      <c r="I559" s="41" t="str">
        <f>IFERROR((VLOOKUP(F559,'Planilha de Cadastro - Previsão'!$A$2:$N$1100,2,FALSE()))," ")</f>
        <v xml:space="preserve"> </v>
      </c>
      <c r="J559" s="40" t="str">
        <f>IFERROR((VLOOKUP(F559,'Planilha de Cadastro - Previsão'!$A$2:$N$1100,3,FALSE()))," ")</f>
        <v xml:space="preserve"> </v>
      </c>
      <c r="K559" s="40"/>
      <c r="L559" s="42" t="str">
        <f>IFERROR((VLOOKUP(F559,'Planilha de Cadastro - Previsão'!$A$2:$N$1100,11,FALSE()))," ")</f>
        <v xml:space="preserve"> </v>
      </c>
      <c r="M559" s="41" t="str">
        <f>IFERROR((IF(VLOOKUP(F559,'Planilha de Cadastro - Previsão'!$A$2:$N$1100,10,FALSE())="","",VLOOKUP(F559,'Planilha de Cadastro - Previsão'!$A$2:$N$1100,10,FALSE()))),"")</f>
        <v/>
      </c>
      <c r="N559" s="41"/>
      <c r="O559" s="41"/>
      <c r="P559" s="41" t="str">
        <f>IFERROR((IF(VLOOKUP(F559,'Acompanhamento da Licitação'!$F$2:$O$1000,10,FALSE())="","",VLOOKUP(F559,'Acompanhamento da Licitação'!$F$2:$O$1000,10,FALSE()))),"")</f>
        <v/>
      </c>
      <c r="R559" s="61" t="str">
        <f>IFERROR(IF(F559&gt;0,(Final[[#This Row],[Valor da Venda Real]]-Final[[#This Row],[Valor de Compra Previsto]]-4%*Final[[#This Row],[Valor da Venda Real]])/Final[[#This Row],[Valor da Venda Real]],""),"")</f>
        <v/>
      </c>
      <c r="S559" s="61" t="str">
        <f t="shared" si="37"/>
        <v/>
      </c>
      <c r="T559" s="23" t="str">
        <f>IFERROR((R559*Final[[#This Row],[Valor da Venda Real]]*Final[[#This Row],[Quantidade ]]*S559),"")</f>
        <v/>
      </c>
    </row>
    <row r="560" spans="1:20" ht="15.75" x14ac:dyDescent="0.2">
      <c r="A560">
        <f>COUNTIF($C$2:C560,C560)</f>
        <v>559</v>
      </c>
      <c r="B560" s="1" t="str">
        <f t="shared" si="36"/>
        <v>559</v>
      </c>
      <c r="C560" s="1" t="str">
        <f>IFERROR(VLOOKUP(D560,'Planilha de Cadastro - Previsão'!$A$2:$N$1000,14,FALSE()),"")</f>
        <v/>
      </c>
      <c r="D560" s="1">
        <v>559</v>
      </c>
      <c r="F560" s="40" t="str">
        <f t="shared" si="35"/>
        <v/>
      </c>
      <c r="G560" s="40" t="str">
        <f>IF(F560="","",'Prosposta Inicial'!$O$2)</f>
        <v/>
      </c>
      <c r="H560" s="40" t="str">
        <f t="shared" si="38"/>
        <v xml:space="preserve"> </v>
      </c>
      <c r="I560" s="41" t="str">
        <f>IFERROR((VLOOKUP(F560,'Planilha de Cadastro - Previsão'!$A$2:$N$1100,2,FALSE()))," ")</f>
        <v xml:space="preserve"> </v>
      </c>
      <c r="J560" s="40" t="str">
        <f>IFERROR((VLOOKUP(F560,'Planilha de Cadastro - Previsão'!$A$2:$N$1100,3,FALSE()))," ")</f>
        <v xml:space="preserve"> </v>
      </c>
      <c r="K560" s="40"/>
      <c r="L560" s="42" t="str">
        <f>IFERROR((VLOOKUP(F560,'Planilha de Cadastro - Previsão'!$A$2:$N$1100,11,FALSE()))," ")</f>
        <v xml:space="preserve"> </v>
      </c>
      <c r="M560" s="41" t="str">
        <f>IFERROR((IF(VLOOKUP(F560,'Planilha de Cadastro - Previsão'!$A$2:$N$1100,10,FALSE())="","",VLOOKUP(F560,'Planilha de Cadastro - Previsão'!$A$2:$N$1100,10,FALSE()))),"")</f>
        <v/>
      </c>
      <c r="N560" s="41"/>
      <c r="O560" s="41"/>
      <c r="P560" s="41" t="str">
        <f>IFERROR((IF(VLOOKUP(F560,'Acompanhamento da Licitação'!$F$2:$O$1000,10,FALSE())="","",VLOOKUP(F560,'Acompanhamento da Licitação'!$F$2:$O$1000,10,FALSE()))),"")</f>
        <v/>
      </c>
      <c r="R560" s="61" t="str">
        <f>IFERROR(IF(F560&gt;0,(Final[[#This Row],[Valor da Venda Real]]-Final[[#This Row],[Valor de Compra Previsto]]-4%*Final[[#This Row],[Valor da Venda Real]])/Final[[#This Row],[Valor da Venda Real]],""),"")</f>
        <v/>
      </c>
      <c r="S560" s="61" t="str">
        <f t="shared" si="37"/>
        <v/>
      </c>
      <c r="T560" s="23" t="str">
        <f>IFERROR((R560*Final[[#This Row],[Valor da Venda Real]]*Final[[#This Row],[Quantidade ]]*S560),"")</f>
        <v/>
      </c>
    </row>
    <row r="561" spans="1:20" ht="15.75" x14ac:dyDescent="0.2">
      <c r="A561">
        <f>COUNTIF($C$2:C561,C561)</f>
        <v>560</v>
      </c>
      <c r="B561" s="1" t="str">
        <f t="shared" si="36"/>
        <v>560</v>
      </c>
      <c r="C561" s="1" t="str">
        <f>IFERROR(VLOOKUP(D561,'Planilha de Cadastro - Previsão'!$A$2:$N$1000,14,FALSE()),"")</f>
        <v/>
      </c>
      <c r="D561" s="1">
        <v>560</v>
      </c>
      <c r="F561" s="40" t="str">
        <f t="shared" si="35"/>
        <v/>
      </c>
      <c r="G561" s="40" t="str">
        <f>IF(F561="","",'Prosposta Inicial'!$O$2)</f>
        <v/>
      </c>
      <c r="H561" s="40" t="str">
        <f t="shared" si="38"/>
        <v xml:space="preserve"> </v>
      </c>
      <c r="I561" s="41" t="str">
        <f>IFERROR((VLOOKUP(F561,'Planilha de Cadastro - Previsão'!$A$2:$N$1100,2,FALSE()))," ")</f>
        <v xml:space="preserve"> </v>
      </c>
      <c r="J561" s="40" t="str">
        <f>IFERROR((VLOOKUP(F561,'Planilha de Cadastro - Previsão'!$A$2:$N$1100,3,FALSE()))," ")</f>
        <v xml:space="preserve"> </v>
      </c>
      <c r="K561" s="40"/>
      <c r="L561" s="42" t="str">
        <f>IFERROR((VLOOKUP(F561,'Planilha de Cadastro - Previsão'!$A$2:$N$1100,11,FALSE()))," ")</f>
        <v xml:space="preserve"> </v>
      </c>
      <c r="M561" s="41" t="str">
        <f>IFERROR((IF(VLOOKUP(F561,'Planilha de Cadastro - Previsão'!$A$2:$N$1100,10,FALSE())="","",VLOOKUP(F561,'Planilha de Cadastro - Previsão'!$A$2:$N$1100,10,FALSE()))),"")</f>
        <v/>
      </c>
      <c r="N561" s="41"/>
      <c r="O561" s="41"/>
      <c r="P561" s="41" t="str">
        <f>IFERROR((IF(VLOOKUP(F561,'Acompanhamento da Licitação'!$F$2:$O$1000,10,FALSE())="","",VLOOKUP(F561,'Acompanhamento da Licitação'!$F$2:$O$1000,10,FALSE()))),"")</f>
        <v/>
      </c>
      <c r="R561" s="61" t="str">
        <f>IFERROR(IF(F561&gt;0,(Final[[#This Row],[Valor da Venda Real]]-Final[[#This Row],[Valor de Compra Previsto]]-4%*Final[[#This Row],[Valor da Venda Real]])/Final[[#This Row],[Valor da Venda Real]],""),"")</f>
        <v/>
      </c>
      <c r="S561" s="61" t="str">
        <f t="shared" si="37"/>
        <v/>
      </c>
      <c r="T561" s="23" t="str">
        <f>IFERROR((R561*Final[[#This Row],[Valor da Venda Real]]*Final[[#This Row],[Quantidade ]]*S561),"")</f>
        <v/>
      </c>
    </row>
    <row r="562" spans="1:20" ht="15.75" x14ac:dyDescent="0.2">
      <c r="A562">
        <f>COUNTIF($C$2:C562,C562)</f>
        <v>561</v>
      </c>
      <c r="B562" s="1" t="str">
        <f t="shared" si="36"/>
        <v>561</v>
      </c>
      <c r="C562" s="1" t="str">
        <f>IFERROR(VLOOKUP(D562,'Planilha de Cadastro - Previsão'!$A$2:$N$1000,14,FALSE()),"")</f>
        <v/>
      </c>
      <c r="D562" s="1">
        <v>561</v>
      </c>
      <c r="F562" s="40" t="str">
        <f t="shared" si="35"/>
        <v/>
      </c>
      <c r="G562" s="40" t="str">
        <f>IF(F562="","",'Prosposta Inicial'!$O$2)</f>
        <v/>
      </c>
      <c r="H562" s="40" t="str">
        <f t="shared" si="38"/>
        <v xml:space="preserve"> </v>
      </c>
      <c r="I562" s="41" t="str">
        <f>IFERROR((VLOOKUP(F562,'Planilha de Cadastro - Previsão'!$A$2:$N$1100,2,FALSE()))," ")</f>
        <v xml:space="preserve"> </v>
      </c>
      <c r="J562" s="40" t="str">
        <f>IFERROR((VLOOKUP(F562,'Planilha de Cadastro - Previsão'!$A$2:$N$1100,3,FALSE()))," ")</f>
        <v xml:space="preserve"> </v>
      </c>
      <c r="K562" s="40"/>
      <c r="L562" s="42" t="str">
        <f>IFERROR((VLOOKUP(F562,'Planilha de Cadastro - Previsão'!$A$2:$N$1100,11,FALSE()))," ")</f>
        <v xml:space="preserve"> </v>
      </c>
      <c r="M562" s="41" t="str">
        <f>IFERROR((IF(VLOOKUP(F562,'Planilha de Cadastro - Previsão'!$A$2:$N$1100,10,FALSE())="","",VLOOKUP(F562,'Planilha de Cadastro - Previsão'!$A$2:$N$1100,10,FALSE()))),"")</f>
        <v/>
      </c>
      <c r="N562" s="41"/>
      <c r="O562" s="41"/>
      <c r="P562" s="41" t="str">
        <f>IFERROR((IF(VLOOKUP(F562,'Acompanhamento da Licitação'!$F$2:$O$1000,10,FALSE())="","",VLOOKUP(F562,'Acompanhamento da Licitação'!$F$2:$O$1000,10,FALSE()))),"")</f>
        <v/>
      </c>
      <c r="R562" s="61" t="str">
        <f>IFERROR(IF(F562&gt;0,(Final[[#This Row],[Valor da Venda Real]]-Final[[#This Row],[Valor de Compra Previsto]]-4%*Final[[#This Row],[Valor da Venda Real]])/Final[[#This Row],[Valor da Venda Real]],""),"")</f>
        <v/>
      </c>
      <c r="S562" s="61" t="str">
        <f t="shared" si="37"/>
        <v/>
      </c>
      <c r="T562" s="23" t="str">
        <f>IFERROR((R562*Final[[#This Row],[Valor da Venda Real]]*Final[[#This Row],[Quantidade ]]*S562),"")</f>
        <v/>
      </c>
    </row>
    <row r="563" spans="1:20" ht="15.75" x14ac:dyDescent="0.2">
      <c r="A563">
        <f>COUNTIF($C$2:C563,C563)</f>
        <v>562</v>
      </c>
      <c r="B563" s="1" t="str">
        <f t="shared" si="36"/>
        <v>562</v>
      </c>
      <c r="C563" s="1" t="str">
        <f>IFERROR(VLOOKUP(D563,'Planilha de Cadastro - Previsão'!$A$2:$N$1000,14,FALSE()),"")</f>
        <v/>
      </c>
      <c r="D563" s="1">
        <v>562</v>
      </c>
      <c r="F563" s="40" t="str">
        <f t="shared" si="35"/>
        <v/>
      </c>
      <c r="G563" s="40" t="str">
        <f>IF(F563="","",'Prosposta Inicial'!$O$2)</f>
        <v/>
      </c>
      <c r="H563" s="40" t="str">
        <f t="shared" si="38"/>
        <v xml:space="preserve"> </v>
      </c>
      <c r="I563" s="41" t="str">
        <f>IFERROR((VLOOKUP(F563,'Planilha de Cadastro - Previsão'!$A$2:$N$1100,2,FALSE()))," ")</f>
        <v xml:space="preserve"> </v>
      </c>
      <c r="J563" s="40" t="str">
        <f>IFERROR((VLOOKUP(F563,'Planilha de Cadastro - Previsão'!$A$2:$N$1100,3,FALSE()))," ")</f>
        <v xml:space="preserve"> </v>
      </c>
      <c r="K563" s="40"/>
      <c r="L563" s="42" t="str">
        <f>IFERROR((VLOOKUP(F563,'Planilha de Cadastro - Previsão'!$A$2:$N$1100,11,FALSE()))," ")</f>
        <v xml:space="preserve"> </v>
      </c>
      <c r="M563" s="41" t="str">
        <f>IFERROR((IF(VLOOKUP(F563,'Planilha de Cadastro - Previsão'!$A$2:$N$1100,10,FALSE())="","",VLOOKUP(F563,'Planilha de Cadastro - Previsão'!$A$2:$N$1100,10,FALSE()))),"")</f>
        <v/>
      </c>
      <c r="N563" s="41"/>
      <c r="O563" s="41"/>
      <c r="P563" s="41" t="str">
        <f>IFERROR((IF(VLOOKUP(F563,'Acompanhamento da Licitação'!$F$2:$O$1000,10,FALSE())="","",VLOOKUP(F563,'Acompanhamento da Licitação'!$F$2:$O$1000,10,FALSE()))),"")</f>
        <v/>
      </c>
      <c r="R563" s="61" t="str">
        <f>IFERROR(IF(F563&gt;0,(Final[[#This Row],[Valor da Venda Real]]-Final[[#This Row],[Valor de Compra Previsto]]-4%*Final[[#This Row],[Valor da Venda Real]])/Final[[#This Row],[Valor da Venda Real]],""),"")</f>
        <v/>
      </c>
      <c r="S563" s="61" t="str">
        <f t="shared" si="37"/>
        <v/>
      </c>
      <c r="T563" s="23" t="str">
        <f>IFERROR((R563*Final[[#This Row],[Valor da Venda Real]]*Final[[#This Row],[Quantidade ]]*S563),"")</f>
        <v/>
      </c>
    </row>
    <row r="564" spans="1:20" ht="15.75" x14ac:dyDescent="0.2">
      <c r="A564">
        <f>COUNTIF($C$2:C564,C564)</f>
        <v>563</v>
      </c>
      <c r="B564" s="1" t="str">
        <f t="shared" si="36"/>
        <v>563</v>
      </c>
      <c r="C564" s="1" t="str">
        <f>IFERROR(VLOOKUP(D564,'Planilha de Cadastro - Previsão'!$A$2:$N$1000,14,FALSE()),"")</f>
        <v/>
      </c>
      <c r="D564" s="1">
        <v>563</v>
      </c>
      <c r="F564" s="40" t="str">
        <f t="shared" si="35"/>
        <v/>
      </c>
      <c r="G564" s="40" t="str">
        <f>IF(F564="","",'Prosposta Inicial'!$O$2)</f>
        <v/>
      </c>
      <c r="H564" s="40" t="str">
        <f t="shared" si="38"/>
        <v xml:space="preserve"> </v>
      </c>
      <c r="I564" s="41" t="str">
        <f>IFERROR((VLOOKUP(F564,'Planilha de Cadastro - Previsão'!$A$2:$N$1100,2,FALSE()))," ")</f>
        <v xml:space="preserve"> </v>
      </c>
      <c r="J564" s="40" t="str">
        <f>IFERROR((VLOOKUP(F564,'Planilha de Cadastro - Previsão'!$A$2:$N$1100,3,FALSE()))," ")</f>
        <v xml:space="preserve"> </v>
      </c>
      <c r="K564" s="40"/>
      <c r="L564" s="42" t="str">
        <f>IFERROR((VLOOKUP(F564,'Planilha de Cadastro - Previsão'!$A$2:$N$1100,11,FALSE()))," ")</f>
        <v xml:space="preserve"> </v>
      </c>
      <c r="M564" s="41" t="str">
        <f>IFERROR((IF(VLOOKUP(F564,'Planilha de Cadastro - Previsão'!$A$2:$N$1100,10,FALSE())="","",VLOOKUP(F564,'Planilha de Cadastro - Previsão'!$A$2:$N$1100,10,FALSE()))),"")</f>
        <v/>
      </c>
      <c r="N564" s="41"/>
      <c r="O564" s="41"/>
      <c r="P564" s="41" t="str">
        <f>IFERROR((IF(VLOOKUP(F564,'Acompanhamento da Licitação'!$F$2:$O$1000,10,FALSE())="","",VLOOKUP(F564,'Acompanhamento da Licitação'!$F$2:$O$1000,10,FALSE()))),"")</f>
        <v/>
      </c>
      <c r="R564" s="61" t="str">
        <f>IFERROR(IF(F564&gt;0,(Final[[#This Row],[Valor da Venda Real]]-Final[[#This Row],[Valor de Compra Previsto]]-4%*Final[[#This Row],[Valor da Venda Real]])/Final[[#This Row],[Valor da Venda Real]],""),"")</f>
        <v/>
      </c>
      <c r="S564" s="61" t="str">
        <f t="shared" si="37"/>
        <v/>
      </c>
      <c r="T564" s="23" t="str">
        <f>IFERROR((R564*Final[[#This Row],[Valor da Venda Real]]*Final[[#This Row],[Quantidade ]]*S564),"")</f>
        <v/>
      </c>
    </row>
    <row r="565" spans="1:20" ht="15.75" x14ac:dyDescent="0.2">
      <c r="A565">
        <f>COUNTIF($C$2:C565,C565)</f>
        <v>564</v>
      </c>
      <c r="B565" s="1" t="str">
        <f t="shared" si="36"/>
        <v>564</v>
      </c>
      <c r="C565" s="1" t="str">
        <f>IFERROR(VLOOKUP(D565,'Planilha de Cadastro - Previsão'!$A$2:$N$1000,14,FALSE()),"")</f>
        <v/>
      </c>
      <c r="D565" s="1">
        <v>564</v>
      </c>
      <c r="F565" s="40" t="str">
        <f t="shared" si="35"/>
        <v/>
      </c>
      <c r="G565" s="40" t="str">
        <f>IF(F565="","",'Prosposta Inicial'!$O$2)</f>
        <v/>
      </c>
      <c r="H565" s="40" t="str">
        <f t="shared" si="38"/>
        <v xml:space="preserve"> </v>
      </c>
      <c r="I565" s="41" t="str">
        <f>IFERROR((VLOOKUP(F565,'Planilha de Cadastro - Previsão'!$A$2:$N$1100,2,FALSE()))," ")</f>
        <v xml:space="preserve"> </v>
      </c>
      <c r="J565" s="40" t="str">
        <f>IFERROR((VLOOKUP(F565,'Planilha de Cadastro - Previsão'!$A$2:$N$1100,3,FALSE()))," ")</f>
        <v xml:space="preserve"> </v>
      </c>
      <c r="K565" s="40"/>
      <c r="L565" s="42" t="str">
        <f>IFERROR((VLOOKUP(F565,'Planilha de Cadastro - Previsão'!$A$2:$N$1100,11,FALSE()))," ")</f>
        <v xml:space="preserve"> </v>
      </c>
      <c r="M565" s="41" t="str">
        <f>IFERROR((IF(VLOOKUP(F565,'Planilha de Cadastro - Previsão'!$A$2:$N$1100,10,FALSE())="","",VLOOKUP(F565,'Planilha de Cadastro - Previsão'!$A$2:$N$1100,10,FALSE()))),"")</f>
        <v/>
      </c>
      <c r="N565" s="41"/>
      <c r="O565" s="41"/>
      <c r="P565" s="41" t="str">
        <f>IFERROR((IF(VLOOKUP(F565,'Acompanhamento da Licitação'!$F$2:$O$1000,10,FALSE())="","",VLOOKUP(F565,'Acompanhamento da Licitação'!$F$2:$O$1000,10,FALSE()))),"")</f>
        <v/>
      </c>
      <c r="R565" s="61" t="str">
        <f>IFERROR(IF(F565&gt;0,(Final[[#This Row],[Valor da Venda Real]]-Final[[#This Row],[Valor de Compra Previsto]]-4%*Final[[#This Row],[Valor da Venda Real]])/Final[[#This Row],[Valor da Venda Real]],""),"")</f>
        <v/>
      </c>
      <c r="S565" s="61" t="str">
        <f t="shared" si="37"/>
        <v/>
      </c>
      <c r="T565" s="23" t="str">
        <f>IFERROR((R565*Final[[#This Row],[Valor da Venda Real]]*Final[[#This Row],[Quantidade ]]*S565),"")</f>
        <v/>
      </c>
    </row>
    <row r="566" spans="1:20" ht="15.75" x14ac:dyDescent="0.2">
      <c r="A566">
        <f>COUNTIF($C$2:C566,C566)</f>
        <v>565</v>
      </c>
      <c r="B566" s="1" t="str">
        <f t="shared" si="36"/>
        <v>565</v>
      </c>
      <c r="C566" s="1" t="str">
        <f>IFERROR(VLOOKUP(D566,'Planilha de Cadastro - Previsão'!$A$2:$N$1000,14,FALSE()),"")</f>
        <v/>
      </c>
      <c r="D566" s="1">
        <v>565</v>
      </c>
      <c r="F566" s="40" t="str">
        <f t="shared" si="35"/>
        <v/>
      </c>
      <c r="G566" s="40" t="str">
        <f>IF(F566="","",'Prosposta Inicial'!$O$2)</f>
        <v/>
      </c>
      <c r="H566" s="40" t="str">
        <f t="shared" si="38"/>
        <v xml:space="preserve"> </v>
      </c>
      <c r="I566" s="41" t="str">
        <f>IFERROR((VLOOKUP(F566,'Planilha de Cadastro - Previsão'!$A$2:$N$1100,2,FALSE()))," ")</f>
        <v xml:space="preserve"> </v>
      </c>
      <c r="J566" s="40" t="str">
        <f>IFERROR((VLOOKUP(F566,'Planilha de Cadastro - Previsão'!$A$2:$N$1100,3,FALSE()))," ")</f>
        <v xml:space="preserve"> </v>
      </c>
      <c r="K566" s="40"/>
      <c r="L566" s="42" t="str">
        <f>IFERROR((VLOOKUP(F566,'Planilha de Cadastro - Previsão'!$A$2:$N$1100,11,FALSE()))," ")</f>
        <v xml:space="preserve"> </v>
      </c>
      <c r="M566" s="41" t="str">
        <f>IFERROR((IF(VLOOKUP(F566,'Planilha de Cadastro - Previsão'!$A$2:$N$1100,10,FALSE())="","",VLOOKUP(F566,'Planilha de Cadastro - Previsão'!$A$2:$N$1100,10,FALSE()))),"")</f>
        <v/>
      </c>
      <c r="N566" s="41"/>
      <c r="O566" s="41"/>
      <c r="P566" s="41" t="str">
        <f>IFERROR((IF(VLOOKUP(F566,'Acompanhamento da Licitação'!$F$2:$O$1000,10,FALSE())="","",VLOOKUP(F566,'Acompanhamento da Licitação'!$F$2:$O$1000,10,FALSE()))),"")</f>
        <v/>
      </c>
      <c r="R566" s="61" t="str">
        <f>IFERROR(IF(F566&gt;0,(Final[[#This Row],[Valor da Venda Real]]-Final[[#This Row],[Valor de Compra Previsto]]-4%*Final[[#This Row],[Valor da Venda Real]])/Final[[#This Row],[Valor da Venda Real]],""),"")</f>
        <v/>
      </c>
      <c r="S566" s="61" t="str">
        <f t="shared" si="37"/>
        <v/>
      </c>
      <c r="T566" s="23" t="str">
        <f>IFERROR((R566*Final[[#This Row],[Valor da Venda Real]]*Final[[#This Row],[Quantidade ]]*S566),"")</f>
        <v/>
      </c>
    </row>
    <row r="567" spans="1:20" ht="15.75" x14ac:dyDescent="0.2">
      <c r="A567">
        <f>COUNTIF($C$2:C567,C567)</f>
        <v>566</v>
      </c>
      <c r="B567" s="1" t="str">
        <f t="shared" si="36"/>
        <v>566</v>
      </c>
      <c r="C567" s="1" t="str">
        <f>IFERROR(VLOOKUP(D567,'Planilha de Cadastro - Previsão'!$A$2:$N$1000,14,FALSE()),"")</f>
        <v/>
      </c>
      <c r="D567" s="1">
        <v>566</v>
      </c>
      <c r="F567" s="40" t="str">
        <f t="shared" si="35"/>
        <v/>
      </c>
      <c r="G567" s="40" t="str">
        <f>IF(F567="","",'Prosposta Inicial'!$O$2)</f>
        <v/>
      </c>
      <c r="H567" s="40" t="str">
        <f t="shared" si="38"/>
        <v xml:space="preserve"> </v>
      </c>
      <c r="I567" s="41" t="str">
        <f>IFERROR((VLOOKUP(F567,'Planilha de Cadastro - Previsão'!$A$2:$N$1100,2,FALSE()))," ")</f>
        <v xml:space="preserve"> </v>
      </c>
      <c r="J567" s="40" t="str">
        <f>IFERROR((VLOOKUP(F567,'Planilha de Cadastro - Previsão'!$A$2:$N$1100,3,FALSE()))," ")</f>
        <v xml:space="preserve"> </v>
      </c>
      <c r="K567" s="40"/>
      <c r="L567" s="42" t="str">
        <f>IFERROR((VLOOKUP(F567,'Planilha de Cadastro - Previsão'!$A$2:$N$1100,11,FALSE()))," ")</f>
        <v xml:space="preserve"> </v>
      </c>
      <c r="M567" s="41" t="str">
        <f>IFERROR((IF(VLOOKUP(F567,'Planilha de Cadastro - Previsão'!$A$2:$N$1100,10,FALSE())="","",VLOOKUP(F567,'Planilha de Cadastro - Previsão'!$A$2:$N$1100,10,FALSE()))),"")</f>
        <v/>
      </c>
      <c r="N567" s="41"/>
      <c r="O567" s="41"/>
      <c r="P567" s="41" t="str">
        <f>IFERROR((IF(VLOOKUP(F567,'Acompanhamento da Licitação'!$F$2:$O$1000,10,FALSE())="","",VLOOKUP(F567,'Acompanhamento da Licitação'!$F$2:$O$1000,10,FALSE()))),"")</f>
        <v/>
      </c>
      <c r="R567" s="61" t="str">
        <f>IFERROR(IF(F567&gt;0,(Final[[#This Row],[Valor da Venda Real]]-Final[[#This Row],[Valor de Compra Previsto]]-4%*Final[[#This Row],[Valor da Venda Real]])/Final[[#This Row],[Valor da Venda Real]],""),"")</f>
        <v/>
      </c>
      <c r="S567" s="61" t="str">
        <f t="shared" si="37"/>
        <v/>
      </c>
      <c r="T567" s="23" t="str">
        <f>IFERROR((R567*Final[[#This Row],[Valor da Venda Real]]*Final[[#This Row],[Quantidade ]]*S567),"")</f>
        <v/>
      </c>
    </row>
    <row r="568" spans="1:20" ht="15.75" x14ac:dyDescent="0.2">
      <c r="A568">
        <f>COUNTIF($C$2:C568,C568)</f>
        <v>567</v>
      </c>
      <c r="B568" s="1" t="str">
        <f t="shared" si="36"/>
        <v>567</v>
      </c>
      <c r="C568" s="1" t="str">
        <f>IFERROR(VLOOKUP(D568,'Planilha de Cadastro - Previsão'!$A$2:$N$1000,14,FALSE()),"")</f>
        <v/>
      </c>
      <c r="D568" s="1">
        <v>567</v>
      </c>
      <c r="F568" s="40" t="str">
        <f t="shared" si="35"/>
        <v/>
      </c>
      <c r="G568" s="40" t="str">
        <f>IF(F568="","",'Prosposta Inicial'!$O$2)</f>
        <v/>
      </c>
      <c r="H568" s="40" t="str">
        <f t="shared" si="38"/>
        <v xml:space="preserve"> </v>
      </c>
      <c r="I568" s="41" t="str">
        <f>IFERROR((VLOOKUP(F568,'Planilha de Cadastro - Previsão'!$A$2:$N$1100,2,FALSE()))," ")</f>
        <v xml:space="preserve"> </v>
      </c>
      <c r="J568" s="40" t="str">
        <f>IFERROR((VLOOKUP(F568,'Planilha de Cadastro - Previsão'!$A$2:$N$1100,3,FALSE()))," ")</f>
        <v xml:space="preserve"> </v>
      </c>
      <c r="K568" s="40"/>
      <c r="L568" s="42" t="str">
        <f>IFERROR((VLOOKUP(F568,'Planilha de Cadastro - Previsão'!$A$2:$N$1100,11,FALSE()))," ")</f>
        <v xml:space="preserve"> </v>
      </c>
      <c r="M568" s="41" t="str">
        <f>IFERROR((IF(VLOOKUP(F568,'Planilha de Cadastro - Previsão'!$A$2:$N$1100,10,FALSE())="","",VLOOKUP(F568,'Planilha de Cadastro - Previsão'!$A$2:$N$1100,10,FALSE()))),"")</f>
        <v/>
      </c>
      <c r="N568" s="41"/>
      <c r="O568" s="41"/>
      <c r="P568" s="41" t="str">
        <f>IFERROR((IF(VLOOKUP(F568,'Acompanhamento da Licitação'!$F$2:$O$1000,10,FALSE())="","",VLOOKUP(F568,'Acompanhamento da Licitação'!$F$2:$O$1000,10,FALSE()))),"")</f>
        <v/>
      </c>
      <c r="R568" s="61" t="str">
        <f>IFERROR(IF(F568&gt;0,(Final[[#This Row],[Valor da Venda Real]]-Final[[#This Row],[Valor de Compra Previsto]]-4%*Final[[#This Row],[Valor da Venda Real]])/Final[[#This Row],[Valor da Venda Real]],""),"")</f>
        <v/>
      </c>
      <c r="S568" s="61" t="str">
        <f t="shared" si="37"/>
        <v/>
      </c>
      <c r="T568" s="23" t="str">
        <f>IFERROR((R568*Final[[#This Row],[Valor da Venda Real]]*Final[[#This Row],[Quantidade ]]*S568),"")</f>
        <v/>
      </c>
    </row>
    <row r="569" spans="1:20" ht="15.75" x14ac:dyDescent="0.2">
      <c r="A569">
        <f>COUNTIF($C$2:C569,C569)</f>
        <v>568</v>
      </c>
      <c r="B569" s="1" t="str">
        <f t="shared" si="36"/>
        <v>568</v>
      </c>
      <c r="C569" s="1" t="str">
        <f>IFERROR(VLOOKUP(D569,'Planilha de Cadastro - Previsão'!$A$2:$N$1000,14,FALSE()),"")</f>
        <v/>
      </c>
      <c r="D569" s="1">
        <v>568</v>
      </c>
      <c r="F569" s="40" t="str">
        <f t="shared" si="35"/>
        <v/>
      </c>
      <c r="G569" s="40" t="str">
        <f>IF(F569="","",'Prosposta Inicial'!$O$2)</f>
        <v/>
      </c>
      <c r="H569" s="40" t="str">
        <f t="shared" si="38"/>
        <v xml:space="preserve"> </v>
      </c>
      <c r="I569" s="41" t="str">
        <f>IFERROR((VLOOKUP(F569,'Planilha de Cadastro - Previsão'!$A$2:$N$1100,2,FALSE()))," ")</f>
        <v xml:space="preserve"> </v>
      </c>
      <c r="J569" s="40" t="str">
        <f>IFERROR((VLOOKUP(F569,'Planilha de Cadastro - Previsão'!$A$2:$N$1100,3,FALSE()))," ")</f>
        <v xml:space="preserve"> </v>
      </c>
      <c r="K569" s="40"/>
      <c r="L569" s="42" t="str">
        <f>IFERROR((VLOOKUP(F569,'Planilha de Cadastro - Previsão'!$A$2:$N$1100,11,FALSE()))," ")</f>
        <v xml:space="preserve"> </v>
      </c>
      <c r="M569" s="41" t="str">
        <f>IFERROR((IF(VLOOKUP(F569,'Planilha de Cadastro - Previsão'!$A$2:$N$1100,10,FALSE())="","",VLOOKUP(F569,'Planilha de Cadastro - Previsão'!$A$2:$N$1100,10,FALSE()))),"")</f>
        <v/>
      </c>
      <c r="N569" s="41"/>
      <c r="O569" s="41"/>
      <c r="P569" s="41" t="str">
        <f>IFERROR((IF(VLOOKUP(F569,'Acompanhamento da Licitação'!$F$2:$O$1000,10,FALSE())="","",VLOOKUP(F569,'Acompanhamento da Licitação'!$F$2:$O$1000,10,FALSE()))),"")</f>
        <v/>
      </c>
      <c r="R569" s="61" t="str">
        <f>IFERROR(IF(F569&gt;0,(Final[[#This Row],[Valor da Venda Real]]-Final[[#This Row],[Valor de Compra Previsto]]-4%*Final[[#This Row],[Valor da Venda Real]])/Final[[#This Row],[Valor da Venda Real]],""),"")</f>
        <v/>
      </c>
      <c r="S569" s="61" t="str">
        <f t="shared" si="37"/>
        <v/>
      </c>
      <c r="T569" s="23" t="str">
        <f>IFERROR((R569*Final[[#This Row],[Valor da Venda Real]]*Final[[#This Row],[Quantidade ]]*S569),"")</f>
        <v/>
      </c>
    </row>
    <row r="570" spans="1:20" ht="15.75" x14ac:dyDescent="0.2">
      <c r="A570">
        <f>COUNTIF($C$2:C570,C570)</f>
        <v>569</v>
      </c>
      <c r="B570" s="1" t="str">
        <f t="shared" si="36"/>
        <v>569</v>
      </c>
      <c r="C570" s="1" t="str">
        <f>IFERROR(VLOOKUP(D570,'Planilha de Cadastro - Previsão'!$A$2:$N$1000,14,FALSE()),"")</f>
        <v/>
      </c>
      <c r="D570" s="1">
        <v>569</v>
      </c>
      <c r="F570" s="40" t="str">
        <f t="shared" si="35"/>
        <v/>
      </c>
      <c r="G570" s="40" t="str">
        <f>IF(F570="","",'Prosposta Inicial'!$O$2)</f>
        <v/>
      </c>
      <c r="H570" s="40" t="str">
        <f t="shared" si="38"/>
        <v xml:space="preserve"> </v>
      </c>
      <c r="I570" s="41" t="str">
        <f>IFERROR((VLOOKUP(F570,'Planilha de Cadastro - Previsão'!$A$2:$N$1100,2,FALSE()))," ")</f>
        <v xml:space="preserve"> </v>
      </c>
      <c r="J570" s="40" t="str">
        <f>IFERROR((VLOOKUP(F570,'Planilha de Cadastro - Previsão'!$A$2:$N$1100,3,FALSE()))," ")</f>
        <v xml:space="preserve"> </v>
      </c>
      <c r="K570" s="40"/>
      <c r="L570" s="42" t="str">
        <f>IFERROR((VLOOKUP(F570,'Planilha de Cadastro - Previsão'!$A$2:$N$1100,11,FALSE()))," ")</f>
        <v xml:space="preserve"> </v>
      </c>
      <c r="M570" s="41" t="str">
        <f>IFERROR((IF(VLOOKUP(F570,'Planilha de Cadastro - Previsão'!$A$2:$N$1100,10,FALSE())="","",VLOOKUP(F570,'Planilha de Cadastro - Previsão'!$A$2:$N$1100,10,FALSE()))),"")</f>
        <v/>
      </c>
      <c r="N570" s="41"/>
      <c r="O570" s="41"/>
      <c r="P570" s="41" t="str">
        <f>IFERROR((IF(VLOOKUP(F570,'Acompanhamento da Licitação'!$F$2:$O$1000,10,FALSE())="","",VLOOKUP(F570,'Acompanhamento da Licitação'!$F$2:$O$1000,10,FALSE()))),"")</f>
        <v/>
      </c>
      <c r="R570" s="61" t="str">
        <f>IFERROR(IF(F570&gt;0,(Final[[#This Row],[Valor da Venda Real]]-Final[[#This Row],[Valor de Compra Previsto]]-4%*Final[[#This Row],[Valor da Venda Real]])/Final[[#This Row],[Valor da Venda Real]],""),"")</f>
        <v/>
      </c>
      <c r="S570" s="61" t="str">
        <f t="shared" si="37"/>
        <v/>
      </c>
      <c r="T570" s="23" t="str">
        <f>IFERROR((R570*Final[[#This Row],[Valor da Venda Real]]*Final[[#This Row],[Quantidade ]]*S570),"")</f>
        <v/>
      </c>
    </row>
    <row r="571" spans="1:20" ht="15.75" x14ac:dyDescent="0.2">
      <c r="A571">
        <f>COUNTIF($C$2:C571,C571)</f>
        <v>570</v>
      </c>
      <c r="B571" s="1" t="str">
        <f t="shared" si="36"/>
        <v>570</v>
      </c>
      <c r="C571" s="1" t="str">
        <f>IFERROR(VLOOKUP(D571,'Planilha de Cadastro - Previsão'!$A$2:$N$1000,14,FALSE()),"")</f>
        <v/>
      </c>
      <c r="D571" s="1">
        <v>570</v>
      </c>
      <c r="F571" s="40" t="str">
        <f t="shared" si="35"/>
        <v/>
      </c>
      <c r="G571" s="40" t="str">
        <f>IF(F571="","",'Prosposta Inicial'!$O$2)</f>
        <v/>
      </c>
      <c r="H571" s="40" t="str">
        <f t="shared" si="38"/>
        <v xml:space="preserve"> </v>
      </c>
      <c r="I571" s="41" t="str">
        <f>IFERROR((VLOOKUP(F571,'Planilha de Cadastro - Previsão'!$A$2:$N$1100,2,FALSE()))," ")</f>
        <v xml:space="preserve"> </v>
      </c>
      <c r="J571" s="40" t="str">
        <f>IFERROR((VLOOKUP(F571,'Planilha de Cadastro - Previsão'!$A$2:$N$1100,3,FALSE()))," ")</f>
        <v xml:space="preserve"> </v>
      </c>
      <c r="K571" s="40"/>
      <c r="L571" s="42" t="str">
        <f>IFERROR((VLOOKUP(F571,'Planilha de Cadastro - Previsão'!$A$2:$N$1100,11,FALSE()))," ")</f>
        <v xml:space="preserve"> </v>
      </c>
      <c r="M571" s="41" t="str">
        <f>IFERROR((IF(VLOOKUP(F571,'Planilha de Cadastro - Previsão'!$A$2:$N$1100,10,FALSE())="","",VLOOKUP(F571,'Planilha de Cadastro - Previsão'!$A$2:$N$1100,10,FALSE()))),"")</f>
        <v/>
      </c>
      <c r="N571" s="41"/>
      <c r="O571" s="41"/>
      <c r="P571" s="41" t="str">
        <f>IFERROR((IF(VLOOKUP(F571,'Acompanhamento da Licitação'!$F$2:$O$1000,10,FALSE())="","",VLOOKUP(F571,'Acompanhamento da Licitação'!$F$2:$O$1000,10,FALSE()))),"")</f>
        <v/>
      </c>
      <c r="R571" s="61" t="str">
        <f>IFERROR(IF(F571&gt;0,(Final[[#This Row],[Valor da Venda Real]]-Final[[#This Row],[Valor de Compra Previsto]]-4%*Final[[#This Row],[Valor da Venda Real]])/Final[[#This Row],[Valor da Venda Real]],""),"")</f>
        <v/>
      </c>
      <c r="S571" s="61" t="str">
        <f t="shared" si="37"/>
        <v/>
      </c>
      <c r="T571" s="23" t="str">
        <f>IFERROR((R571*Final[[#This Row],[Valor da Venda Real]]*Final[[#This Row],[Quantidade ]]*S571),"")</f>
        <v/>
      </c>
    </row>
    <row r="572" spans="1:20" ht="15.75" x14ac:dyDescent="0.2">
      <c r="A572">
        <f>COUNTIF($C$2:C572,C572)</f>
        <v>571</v>
      </c>
      <c r="B572" s="1" t="str">
        <f t="shared" si="36"/>
        <v>571</v>
      </c>
      <c r="C572" s="1" t="str">
        <f>IFERROR(VLOOKUP(D572,'Planilha de Cadastro - Previsão'!$A$2:$N$1000,14,FALSE()),"")</f>
        <v/>
      </c>
      <c r="D572" s="1">
        <v>571</v>
      </c>
      <c r="F572" s="40" t="str">
        <f t="shared" si="35"/>
        <v/>
      </c>
      <c r="G572" s="40" t="str">
        <f>IF(F572="","",'Prosposta Inicial'!$O$2)</f>
        <v/>
      </c>
      <c r="H572" s="40" t="str">
        <f t="shared" si="38"/>
        <v xml:space="preserve"> </v>
      </c>
      <c r="I572" s="41" t="str">
        <f>IFERROR((VLOOKUP(F572,'Planilha de Cadastro - Previsão'!$A$2:$N$1100,2,FALSE()))," ")</f>
        <v xml:space="preserve"> </v>
      </c>
      <c r="J572" s="40" t="str">
        <f>IFERROR((VLOOKUP(F572,'Planilha de Cadastro - Previsão'!$A$2:$N$1100,3,FALSE()))," ")</f>
        <v xml:space="preserve"> </v>
      </c>
      <c r="K572" s="40"/>
      <c r="L572" s="42" t="str">
        <f>IFERROR((VLOOKUP(F572,'Planilha de Cadastro - Previsão'!$A$2:$N$1100,11,FALSE()))," ")</f>
        <v xml:space="preserve"> </v>
      </c>
      <c r="M572" s="41" t="str">
        <f>IFERROR((IF(VLOOKUP(F572,'Planilha de Cadastro - Previsão'!$A$2:$N$1100,10,FALSE())="","",VLOOKUP(F572,'Planilha de Cadastro - Previsão'!$A$2:$N$1100,10,FALSE()))),"")</f>
        <v/>
      </c>
      <c r="N572" s="41"/>
      <c r="O572" s="41"/>
      <c r="P572" s="41" t="str">
        <f>IFERROR((IF(VLOOKUP(F572,'Acompanhamento da Licitação'!$F$2:$O$1000,10,FALSE())="","",VLOOKUP(F572,'Acompanhamento da Licitação'!$F$2:$O$1000,10,FALSE()))),"")</f>
        <v/>
      </c>
      <c r="R572" s="61" t="str">
        <f>IFERROR(IF(F572&gt;0,(Final[[#This Row],[Valor da Venda Real]]-Final[[#This Row],[Valor de Compra Previsto]]-4%*Final[[#This Row],[Valor da Venda Real]])/Final[[#This Row],[Valor da Venda Real]],""),"")</f>
        <v/>
      </c>
      <c r="S572" s="61" t="str">
        <f t="shared" si="37"/>
        <v/>
      </c>
      <c r="T572" s="23" t="str">
        <f>IFERROR((R572*Final[[#This Row],[Valor da Venda Real]]*Final[[#This Row],[Quantidade ]]*S572),"")</f>
        <v/>
      </c>
    </row>
    <row r="573" spans="1:20" ht="15.75" x14ac:dyDescent="0.2">
      <c r="A573">
        <f>COUNTIF($C$2:C573,C573)</f>
        <v>572</v>
      </c>
      <c r="B573" s="1" t="str">
        <f t="shared" si="36"/>
        <v>572</v>
      </c>
      <c r="C573" s="1" t="str">
        <f>IFERROR(VLOOKUP(D573,'Planilha de Cadastro - Previsão'!$A$2:$N$1000,14,FALSE()),"")</f>
        <v/>
      </c>
      <c r="D573" s="1">
        <v>572</v>
      </c>
      <c r="F573" s="40" t="str">
        <f t="shared" si="35"/>
        <v/>
      </c>
      <c r="G573" s="40" t="str">
        <f>IF(F573="","",'Prosposta Inicial'!$O$2)</f>
        <v/>
      </c>
      <c r="H573" s="40" t="str">
        <f t="shared" si="38"/>
        <v xml:space="preserve"> </v>
      </c>
      <c r="I573" s="41" t="str">
        <f>IFERROR((VLOOKUP(F573,'Planilha de Cadastro - Previsão'!$A$2:$N$1100,2,FALSE()))," ")</f>
        <v xml:space="preserve"> </v>
      </c>
      <c r="J573" s="40" t="str">
        <f>IFERROR((VLOOKUP(F573,'Planilha de Cadastro - Previsão'!$A$2:$N$1100,3,FALSE()))," ")</f>
        <v xml:space="preserve"> </v>
      </c>
      <c r="K573" s="40"/>
      <c r="L573" s="42" t="str">
        <f>IFERROR((VLOOKUP(F573,'Planilha de Cadastro - Previsão'!$A$2:$N$1100,11,FALSE()))," ")</f>
        <v xml:space="preserve"> </v>
      </c>
      <c r="M573" s="41" t="str">
        <f>IFERROR((IF(VLOOKUP(F573,'Planilha de Cadastro - Previsão'!$A$2:$N$1100,10,FALSE())="","",VLOOKUP(F573,'Planilha de Cadastro - Previsão'!$A$2:$N$1100,10,FALSE()))),"")</f>
        <v/>
      </c>
      <c r="N573" s="41"/>
      <c r="O573" s="41"/>
      <c r="P573" s="41" t="str">
        <f>IFERROR((IF(VLOOKUP(F573,'Acompanhamento da Licitação'!$F$2:$O$1000,10,FALSE())="","",VLOOKUP(F573,'Acompanhamento da Licitação'!$F$2:$O$1000,10,FALSE()))),"")</f>
        <v/>
      </c>
      <c r="R573" s="61" t="str">
        <f>IFERROR(IF(F573&gt;0,(Final[[#This Row],[Valor da Venda Real]]-Final[[#This Row],[Valor de Compra Previsto]]-4%*Final[[#This Row],[Valor da Venda Real]])/Final[[#This Row],[Valor da Venda Real]],""),"")</f>
        <v/>
      </c>
      <c r="S573" s="61" t="str">
        <f t="shared" si="37"/>
        <v/>
      </c>
      <c r="T573" s="23" t="str">
        <f>IFERROR((R573*Final[[#This Row],[Valor da Venda Real]]*Final[[#This Row],[Quantidade ]]*S573),"")</f>
        <v/>
      </c>
    </row>
    <row r="574" spans="1:20" ht="15.75" x14ac:dyDescent="0.2">
      <c r="A574">
        <f>COUNTIF($C$2:C574,C574)</f>
        <v>573</v>
      </c>
      <c r="B574" s="1" t="str">
        <f t="shared" si="36"/>
        <v>573</v>
      </c>
      <c r="C574" s="1" t="str">
        <f>IFERROR(VLOOKUP(D574,'Planilha de Cadastro - Previsão'!$A$2:$N$1000,14,FALSE()),"")</f>
        <v/>
      </c>
      <c r="D574" s="1">
        <v>573</v>
      </c>
      <c r="F574" s="40" t="str">
        <f t="shared" si="35"/>
        <v/>
      </c>
      <c r="G574" s="40" t="str">
        <f>IF(F574="","",'Prosposta Inicial'!$O$2)</f>
        <v/>
      </c>
      <c r="H574" s="40" t="str">
        <f t="shared" si="38"/>
        <v xml:space="preserve"> </v>
      </c>
      <c r="I574" s="41" t="str">
        <f>IFERROR((VLOOKUP(F574,'Planilha de Cadastro - Previsão'!$A$2:$N$1100,2,FALSE()))," ")</f>
        <v xml:space="preserve"> </v>
      </c>
      <c r="J574" s="40" t="str">
        <f>IFERROR((VLOOKUP(F574,'Planilha de Cadastro - Previsão'!$A$2:$N$1100,3,FALSE()))," ")</f>
        <v xml:space="preserve"> </v>
      </c>
      <c r="K574" s="40"/>
      <c r="L574" s="42" t="str">
        <f>IFERROR((VLOOKUP(F574,'Planilha de Cadastro - Previsão'!$A$2:$N$1100,11,FALSE()))," ")</f>
        <v xml:space="preserve"> </v>
      </c>
      <c r="M574" s="41" t="str">
        <f>IFERROR((IF(VLOOKUP(F574,'Planilha de Cadastro - Previsão'!$A$2:$N$1100,10,FALSE())="","",VLOOKUP(F574,'Planilha de Cadastro - Previsão'!$A$2:$N$1100,10,FALSE()))),"")</f>
        <v/>
      </c>
      <c r="N574" s="41"/>
      <c r="O574" s="41"/>
      <c r="P574" s="41" t="str">
        <f>IFERROR((IF(VLOOKUP(F574,'Acompanhamento da Licitação'!$F$2:$O$1000,10,FALSE())="","",VLOOKUP(F574,'Acompanhamento da Licitação'!$F$2:$O$1000,10,FALSE()))),"")</f>
        <v/>
      </c>
      <c r="R574" s="61" t="str">
        <f>IFERROR(IF(F574&gt;0,(Final[[#This Row],[Valor da Venda Real]]-Final[[#This Row],[Valor de Compra Previsto]]-4%*Final[[#This Row],[Valor da Venda Real]])/Final[[#This Row],[Valor da Venda Real]],""),"")</f>
        <v/>
      </c>
      <c r="S574" s="61" t="str">
        <f t="shared" si="37"/>
        <v/>
      </c>
      <c r="T574" s="23" t="str">
        <f>IFERROR((R574*Final[[#This Row],[Valor da Venda Real]]*Final[[#This Row],[Quantidade ]]*S574),"")</f>
        <v/>
      </c>
    </row>
    <row r="575" spans="1:20" ht="15.75" x14ac:dyDescent="0.2">
      <c r="A575">
        <f>COUNTIF($C$2:C575,C575)</f>
        <v>574</v>
      </c>
      <c r="B575" s="1" t="str">
        <f t="shared" si="36"/>
        <v>574</v>
      </c>
      <c r="C575" s="1" t="str">
        <f>IFERROR(VLOOKUP(D575,'Planilha de Cadastro - Previsão'!$A$2:$N$1000,14,FALSE()),"")</f>
        <v/>
      </c>
      <c r="D575" s="1">
        <v>574</v>
      </c>
      <c r="F575" s="40" t="str">
        <f t="shared" si="35"/>
        <v/>
      </c>
      <c r="G575" s="40" t="str">
        <f>IF(F575="","",'Prosposta Inicial'!$O$2)</f>
        <v/>
      </c>
      <c r="H575" s="40" t="str">
        <f t="shared" si="38"/>
        <v xml:space="preserve"> </v>
      </c>
      <c r="I575" s="41" t="str">
        <f>IFERROR((VLOOKUP(F575,'Planilha de Cadastro - Previsão'!$A$2:$N$1100,2,FALSE()))," ")</f>
        <v xml:space="preserve"> </v>
      </c>
      <c r="J575" s="40" t="str">
        <f>IFERROR((VLOOKUP(F575,'Planilha de Cadastro - Previsão'!$A$2:$N$1100,3,FALSE()))," ")</f>
        <v xml:space="preserve"> </v>
      </c>
      <c r="K575" s="40"/>
      <c r="L575" s="42" t="str">
        <f>IFERROR((VLOOKUP(F575,'Planilha de Cadastro - Previsão'!$A$2:$N$1100,11,FALSE()))," ")</f>
        <v xml:space="preserve"> </v>
      </c>
      <c r="M575" s="41" t="str">
        <f>IFERROR((IF(VLOOKUP(F575,'Planilha de Cadastro - Previsão'!$A$2:$N$1100,10,FALSE())="","",VLOOKUP(F575,'Planilha de Cadastro - Previsão'!$A$2:$N$1100,10,FALSE()))),"")</f>
        <v/>
      </c>
      <c r="N575" s="41"/>
      <c r="O575" s="41"/>
      <c r="P575" s="41" t="str">
        <f>IFERROR((IF(VLOOKUP(F575,'Acompanhamento da Licitação'!$F$2:$O$1000,10,FALSE())="","",VLOOKUP(F575,'Acompanhamento da Licitação'!$F$2:$O$1000,10,FALSE()))),"")</f>
        <v/>
      </c>
      <c r="R575" s="61" t="str">
        <f>IFERROR(IF(F575&gt;0,(Final[[#This Row],[Valor da Venda Real]]-Final[[#This Row],[Valor de Compra Previsto]]-4%*Final[[#This Row],[Valor da Venda Real]])/Final[[#This Row],[Valor da Venda Real]],""),"")</f>
        <v/>
      </c>
      <c r="S575" s="61" t="str">
        <f t="shared" si="37"/>
        <v/>
      </c>
      <c r="T575" s="23" t="str">
        <f>IFERROR((R575*Final[[#This Row],[Valor da Venda Real]]*Final[[#This Row],[Quantidade ]]*S575),"")</f>
        <v/>
      </c>
    </row>
    <row r="576" spans="1:20" ht="15.75" x14ac:dyDescent="0.2">
      <c r="A576">
        <f>COUNTIF($C$2:C576,C576)</f>
        <v>575</v>
      </c>
      <c r="B576" s="1" t="str">
        <f t="shared" si="36"/>
        <v>575</v>
      </c>
      <c r="C576" s="1" t="str">
        <f>IFERROR(VLOOKUP(D576,'Planilha de Cadastro - Previsão'!$A$2:$N$1000,14,FALSE()),"")</f>
        <v/>
      </c>
      <c r="D576" s="1">
        <v>575</v>
      </c>
      <c r="F576" s="40" t="str">
        <f t="shared" si="35"/>
        <v/>
      </c>
      <c r="G576" s="40" t="str">
        <f>IF(F576="","",'Prosposta Inicial'!$O$2)</f>
        <v/>
      </c>
      <c r="H576" s="40" t="str">
        <f t="shared" si="38"/>
        <v xml:space="preserve"> </v>
      </c>
      <c r="I576" s="41" t="str">
        <f>IFERROR((VLOOKUP(F576,'Planilha de Cadastro - Previsão'!$A$2:$N$1100,2,FALSE()))," ")</f>
        <v xml:space="preserve"> </v>
      </c>
      <c r="J576" s="40" t="str">
        <f>IFERROR((VLOOKUP(F576,'Planilha de Cadastro - Previsão'!$A$2:$N$1100,3,FALSE()))," ")</f>
        <v xml:space="preserve"> </v>
      </c>
      <c r="K576" s="40"/>
      <c r="L576" s="42" t="str">
        <f>IFERROR((VLOOKUP(F576,'Planilha de Cadastro - Previsão'!$A$2:$N$1100,11,FALSE()))," ")</f>
        <v xml:space="preserve"> </v>
      </c>
      <c r="M576" s="41" t="str">
        <f>IFERROR((IF(VLOOKUP(F576,'Planilha de Cadastro - Previsão'!$A$2:$N$1100,10,FALSE())="","",VLOOKUP(F576,'Planilha de Cadastro - Previsão'!$A$2:$N$1100,10,FALSE()))),"")</f>
        <v/>
      </c>
      <c r="N576" s="41"/>
      <c r="O576" s="41"/>
      <c r="P576" s="41" t="str">
        <f>IFERROR((IF(VLOOKUP(F576,'Acompanhamento da Licitação'!$F$2:$O$1000,10,FALSE())="","",VLOOKUP(F576,'Acompanhamento da Licitação'!$F$2:$O$1000,10,FALSE()))),"")</f>
        <v/>
      </c>
      <c r="R576" s="61" t="str">
        <f>IFERROR(IF(F576&gt;0,(Final[[#This Row],[Valor da Venda Real]]-Final[[#This Row],[Valor de Compra Previsto]]-4%*Final[[#This Row],[Valor da Venda Real]])/Final[[#This Row],[Valor da Venda Real]],""),"")</f>
        <v/>
      </c>
      <c r="S576" s="61" t="str">
        <f t="shared" si="37"/>
        <v/>
      </c>
      <c r="T576" s="23" t="str">
        <f>IFERROR((R576*Final[[#This Row],[Valor da Venda Real]]*Final[[#This Row],[Quantidade ]]*S576),"")</f>
        <v/>
      </c>
    </row>
    <row r="577" spans="1:20" ht="15.75" x14ac:dyDescent="0.2">
      <c r="A577">
        <f>COUNTIF($C$2:C577,C577)</f>
        <v>576</v>
      </c>
      <c r="B577" s="1" t="str">
        <f t="shared" si="36"/>
        <v>576</v>
      </c>
      <c r="C577" s="1" t="str">
        <f>IFERROR(VLOOKUP(D577,'Planilha de Cadastro - Previsão'!$A$2:$N$1000,14,FALSE()),"")</f>
        <v/>
      </c>
      <c r="D577" s="1">
        <v>576</v>
      </c>
      <c r="F577" s="40" t="str">
        <f t="shared" si="35"/>
        <v/>
      </c>
      <c r="G577" s="40" t="str">
        <f>IF(F577="","",'Prosposta Inicial'!$O$2)</f>
        <v/>
      </c>
      <c r="H577" s="40" t="str">
        <f t="shared" si="38"/>
        <v xml:space="preserve"> </v>
      </c>
      <c r="I577" s="41" t="str">
        <f>IFERROR((VLOOKUP(F577,'Planilha de Cadastro - Previsão'!$A$2:$N$1100,2,FALSE()))," ")</f>
        <v xml:space="preserve"> </v>
      </c>
      <c r="J577" s="40" t="str">
        <f>IFERROR((VLOOKUP(F577,'Planilha de Cadastro - Previsão'!$A$2:$N$1100,3,FALSE()))," ")</f>
        <v xml:space="preserve"> </v>
      </c>
      <c r="K577" s="40"/>
      <c r="L577" s="42" t="str">
        <f>IFERROR((VLOOKUP(F577,'Planilha de Cadastro - Previsão'!$A$2:$N$1100,11,FALSE()))," ")</f>
        <v xml:space="preserve"> </v>
      </c>
      <c r="M577" s="41" t="str">
        <f>IFERROR((IF(VLOOKUP(F577,'Planilha de Cadastro - Previsão'!$A$2:$N$1100,10,FALSE())="","",VLOOKUP(F577,'Planilha de Cadastro - Previsão'!$A$2:$N$1100,10,FALSE()))),"")</f>
        <v/>
      </c>
      <c r="N577" s="41"/>
      <c r="O577" s="41"/>
      <c r="P577" s="41" t="str">
        <f>IFERROR((IF(VLOOKUP(F577,'Acompanhamento da Licitação'!$F$2:$O$1000,10,FALSE())="","",VLOOKUP(F577,'Acompanhamento da Licitação'!$F$2:$O$1000,10,FALSE()))),"")</f>
        <v/>
      </c>
      <c r="R577" s="61" t="str">
        <f>IFERROR(IF(F577&gt;0,(Final[[#This Row],[Valor da Venda Real]]-Final[[#This Row],[Valor de Compra Previsto]]-4%*Final[[#This Row],[Valor da Venda Real]])/Final[[#This Row],[Valor da Venda Real]],""),"")</f>
        <v/>
      </c>
      <c r="S577" s="61" t="str">
        <f t="shared" si="37"/>
        <v/>
      </c>
      <c r="T577" s="23" t="str">
        <f>IFERROR((R577*Final[[#This Row],[Valor da Venda Real]]*Final[[#This Row],[Quantidade ]]*S577),"")</f>
        <v/>
      </c>
    </row>
    <row r="578" spans="1:20" ht="15.75" x14ac:dyDescent="0.2">
      <c r="A578">
        <f>COUNTIF($C$2:C578,C578)</f>
        <v>577</v>
      </c>
      <c r="B578" s="1" t="str">
        <f t="shared" si="36"/>
        <v>577</v>
      </c>
      <c r="C578" s="1" t="str">
        <f>IFERROR(VLOOKUP(D578,'Planilha de Cadastro - Previsão'!$A$2:$N$1000,14,FALSE()),"")</f>
        <v/>
      </c>
      <c r="D578" s="1">
        <v>577</v>
      </c>
      <c r="F578" s="40" t="str">
        <f t="shared" ref="F578:F641" si="39">IFERROR((VLOOKUP(CONCATENATE("Sim",D578),$B$2:$D$1000,3,FALSE())),"")</f>
        <v/>
      </c>
      <c r="G578" s="40" t="str">
        <f>IF(F578="","",'Prosposta Inicial'!$O$2)</f>
        <v/>
      </c>
      <c r="H578" s="40" t="str">
        <f t="shared" si="38"/>
        <v xml:space="preserve"> </v>
      </c>
      <c r="I578" s="41" t="str">
        <f>IFERROR((VLOOKUP(F578,'Planilha de Cadastro - Previsão'!$A$2:$N$1100,2,FALSE()))," ")</f>
        <v xml:space="preserve"> </v>
      </c>
      <c r="J578" s="40" t="str">
        <f>IFERROR((VLOOKUP(F578,'Planilha de Cadastro - Previsão'!$A$2:$N$1100,3,FALSE()))," ")</f>
        <v xml:space="preserve"> </v>
      </c>
      <c r="K578" s="40"/>
      <c r="L578" s="42" t="str">
        <f>IFERROR((VLOOKUP(F578,'Planilha de Cadastro - Previsão'!$A$2:$N$1100,11,FALSE()))," ")</f>
        <v xml:space="preserve"> </v>
      </c>
      <c r="M578" s="41" t="str">
        <f>IFERROR((IF(VLOOKUP(F578,'Planilha de Cadastro - Previsão'!$A$2:$N$1100,10,FALSE())="","",VLOOKUP(F578,'Planilha de Cadastro - Previsão'!$A$2:$N$1100,10,FALSE()))),"")</f>
        <v/>
      </c>
      <c r="N578" s="41"/>
      <c r="O578" s="41"/>
      <c r="P578" s="41" t="str">
        <f>IFERROR((IF(VLOOKUP(F578,'Acompanhamento da Licitação'!$F$2:$O$1000,10,FALSE())="","",VLOOKUP(F578,'Acompanhamento da Licitação'!$F$2:$O$1000,10,FALSE()))),"")</f>
        <v/>
      </c>
      <c r="R578" s="61" t="str">
        <f>IFERROR(IF(F578&gt;0,(Final[[#This Row],[Valor da Venda Real]]-Final[[#This Row],[Valor de Compra Previsto]]-4%*Final[[#This Row],[Valor da Venda Real]])/Final[[#This Row],[Valor da Venda Real]],""),"")</f>
        <v/>
      </c>
      <c r="S578" s="61" t="str">
        <f t="shared" si="37"/>
        <v/>
      </c>
      <c r="T578" s="23" t="str">
        <f>IFERROR((R578*Final[[#This Row],[Valor da Venda Real]]*Final[[#This Row],[Quantidade ]]*S578),"")</f>
        <v/>
      </c>
    </row>
    <row r="579" spans="1:20" ht="15.75" x14ac:dyDescent="0.2">
      <c r="A579">
        <f>COUNTIF($C$2:C579,C579)</f>
        <v>578</v>
      </c>
      <c r="B579" s="1" t="str">
        <f t="shared" ref="B579:B642" si="40">IFERROR(CONCATENATE(C579,A579),"")</f>
        <v>578</v>
      </c>
      <c r="C579" s="1" t="str">
        <f>IFERROR(VLOOKUP(D579,'Planilha de Cadastro - Previsão'!$A$2:$N$1000,14,FALSE()),"")</f>
        <v/>
      </c>
      <c r="D579" s="1">
        <v>578</v>
      </c>
      <c r="F579" s="40" t="str">
        <f t="shared" si="39"/>
        <v/>
      </c>
      <c r="G579" s="40" t="str">
        <f>IF(F579="","",'Prosposta Inicial'!$O$2)</f>
        <v/>
      </c>
      <c r="H579" s="40" t="str">
        <f t="shared" si="38"/>
        <v xml:space="preserve"> </v>
      </c>
      <c r="I579" s="41" t="str">
        <f>IFERROR((VLOOKUP(F579,'Planilha de Cadastro - Previsão'!$A$2:$N$1100,2,FALSE()))," ")</f>
        <v xml:space="preserve"> </v>
      </c>
      <c r="J579" s="40" t="str">
        <f>IFERROR((VLOOKUP(F579,'Planilha de Cadastro - Previsão'!$A$2:$N$1100,3,FALSE()))," ")</f>
        <v xml:space="preserve"> </v>
      </c>
      <c r="K579" s="40"/>
      <c r="L579" s="42" t="str">
        <f>IFERROR((VLOOKUP(F579,'Planilha de Cadastro - Previsão'!$A$2:$N$1100,11,FALSE()))," ")</f>
        <v xml:space="preserve"> </v>
      </c>
      <c r="M579" s="41" t="str">
        <f>IFERROR((IF(VLOOKUP(F579,'Planilha de Cadastro - Previsão'!$A$2:$N$1100,10,FALSE())="","",VLOOKUP(F579,'Planilha de Cadastro - Previsão'!$A$2:$N$1100,10,FALSE()))),"")</f>
        <v/>
      </c>
      <c r="N579" s="41"/>
      <c r="O579" s="41"/>
      <c r="P579" s="41" t="str">
        <f>IFERROR((IF(VLOOKUP(F579,'Acompanhamento da Licitação'!$F$2:$O$1000,10,FALSE())="","",VLOOKUP(F579,'Acompanhamento da Licitação'!$F$2:$O$1000,10,FALSE()))),"")</f>
        <v/>
      </c>
      <c r="R579" s="61" t="str">
        <f>IFERROR(IF(F579&gt;0,(Final[[#This Row],[Valor da Venda Real]]-Final[[#This Row],[Valor de Compra Previsto]]-4%*Final[[#This Row],[Valor da Venda Real]])/Final[[#This Row],[Valor da Venda Real]],""),"")</f>
        <v/>
      </c>
      <c r="S579" s="61" t="str">
        <f t="shared" ref="S579:S642" si="41">IF(R579="","",IF(R579&lt;0.2,0.05,IF(R579&lt;0.25,0.1,IF(R579&lt;0.3,0.15,IF(R579&lt;0.35,0.2,IF(R579&lt;0.45,0.25,IF(R579&lt;0.5,0.3,IF(R579&lt;0.6,0.35,0.4))))))))</f>
        <v/>
      </c>
      <c r="T579" s="23" t="str">
        <f>IFERROR((R579*Final[[#This Row],[Valor da Venda Real]]*Final[[#This Row],[Quantidade ]]*S579),"")</f>
        <v/>
      </c>
    </row>
    <row r="580" spans="1:20" ht="15.75" x14ac:dyDescent="0.2">
      <c r="A580">
        <f>COUNTIF($C$2:C580,C580)</f>
        <v>579</v>
      </c>
      <c r="B580" s="1" t="str">
        <f t="shared" si="40"/>
        <v>579</v>
      </c>
      <c r="C580" s="1" t="str">
        <f>IFERROR(VLOOKUP(D580,'Planilha de Cadastro - Previsão'!$A$2:$N$1000,14,FALSE()),"")</f>
        <v/>
      </c>
      <c r="D580" s="1">
        <v>579</v>
      </c>
      <c r="F580" s="40" t="str">
        <f t="shared" si="39"/>
        <v/>
      </c>
      <c r="G580" s="40" t="str">
        <f>IF(F580="","",'Prosposta Inicial'!$O$2)</f>
        <v/>
      </c>
      <c r="H580" s="40" t="str">
        <f t="shared" si="38"/>
        <v xml:space="preserve"> </v>
      </c>
      <c r="I580" s="41" t="str">
        <f>IFERROR((VLOOKUP(F580,'Planilha de Cadastro - Previsão'!$A$2:$N$1100,2,FALSE()))," ")</f>
        <v xml:space="preserve"> </v>
      </c>
      <c r="J580" s="40" t="str">
        <f>IFERROR((VLOOKUP(F580,'Planilha de Cadastro - Previsão'!$A$2:$N$1100,3,FALSE()))," ")</f>
        <v xml:space="preserve"> </v>
      </c>
      <c r="K580" s="40"/>
      <c r="L580" s="42" t="str">
        <f>IFERROR((VLOOKUP(F580,'Planilha de Cadastro - Previsão'!$A$2:$N$1100,11,FALSE()))," ")</f>
        <v xml:space="preserve"> </v>
      </c>
      <c r="M580" s="41" t="str">
        <f>IFERROR((IF(VLOOKUP(F580,'Planilha de Cadastro - Previsão'!$A$2:$N$1100,10,FALSE())="","",VLOOKUP(F580,'Planilha de Cadastro - Previsão'!$A$2:$N$1100,10,FALSE()))),"")</f>
        <v/>
      </c>
      <c r="N580" s="41"/>
      <c r="O580" s="41"/>
      <c r="P580" s="41" t="str">
        <f>IFERROR((IF(VLOOKUP(F580,'Acompanhamento da Licitação'!$F$2:$O$1000,10,FALSE())="","",VLOOKUP(F580,'Acompanhamento da Licitação'!$F$2:$O$1000,10,FALSE()))),"")</f>
        <v/>
      </c>
      <c r="R580" s="61" t="str">
        <f>IFERROR(IF(F580&gt;0,(Final[[#This Row],[Valor da Venda Real]]-Final[[#This Row],[Valor de Compra Previsto]]-4%*Final[[#This Row],[Valor da Venda Real]])/Final[[#This Row],[Valor da Venda Real]],""),"")</f>
        <v/>
      </c>
      <c r="S580" s="61" t="str">
        <f t="shared" si="41"/>
        <v/>
      </c>
      <c r="T580" s="23" t="str">
        <f>IFERROR((R580*Final[[#This Row],[Valor da Venda Real]]*Final[[#This Row],[Quantidade ]]*S580),"")</f>
        <v/>
      </c>
    </row>
    <row r="581" spans="1:20" ht="15.75" x14ac:dyDescent="0.2">
      <c r="A581">
        <f>COUNTIF($C$2:C581,C581)</f>
        <v>580</v>
      </c>
      <c r="B581" s="1" t="str">
        <f t="shared" si="40"/>
        <v>580</v>
      </c>
      <c r="C581" s="1" t="str">
        <f>IFERROR(VLOOKUP(D581,'Planilha de Cadastro - Previsão'!$A$2:$N$1000,14,FALSE()),"")</f>
        <v/>
      </c>
      <c r="D581" s="1">
        <v>580</v>
      </c>
      <c r="F581" s="40" t="str">
        <f t="shared" si="39"/>
        <v/>
      </c>
      <c r="G581" s="40" t="str">
        <f>IF(F581="","",'Prosposta Inicial'!$O$2)</f>
        <v/>
      </c>
      <c r="H581" s="40" t="str">
        <f t="shared" si="38"/>
        <v xml:space="preserve"> </v>
      </c>
      <c r="I581" s="41" t="str">
        <f>IFERROR((VLOOKUP(F581,'Planilha de Cadastro - Previsão'!$A$2:$N$1100,2,FALSE()))," ")</f>
        <v xml:space="preserve"> </v>
      </c>
      <c r="J581" s="40" t="str">
        <f>IFERROR((VLOOKUP(F581,'Planilha de Cadastro - Previsão'!$A$2:$N$1100,3,FALSE()))," ")</f>
        <v xml:space="preserve"> </v>
      </c>
      <c r="K581" s="40"/>
      <c r="L581" s="42" t="str">
        <f>IFERROR((VLOOKUP(F581,'Planilha de Cadastro - Previsão'!$A$2:$N$1100,11,FALSE()))," ")</f>
        <v xml:space="preserve"> </v>
      </c>
      <c r="M581" s="41" t="str">
        <f>IFERROR((IF(VLOOKUP(F581,'Planilha de Cadastro - Previsão'!$A$2:$N$1100,10,FALSE())="","",VLOOKUP(F581,'Planilha de Cadastro - Previsão'!$A$2:$N$1100,10,FALSE()))),"")</f>
        <v/>
      </c>
      <c r="N581" s="41"/>
      <c r="O581" s="41"/>
      <c r="P581" s="41" t="str">
        <f>IFERROR((IF(VLOOKUP(F581,'Acompanhamento da Licitação'!$F$2:$O$1000,10,FALSE())="","",VLOOKUP(F581,'Acompanhamento da Licitação'!$F$2:$O$1000,10,FALSE()))),"")</f>
        <v/>
      </c>
      <c r="R581" s="61" t="str">
        <f>IFERROR(IF(F581&gt;0,(Final[[#This Row],[Valor da Venda Real]]-Final[[#This Row],[Valor de Compra Previsto]]-4%*Final[[#This Row],[Valor da Venda Real]])/Final[[#This Row],[Valor da Venda Real]],""),"")</f>
        <v/>
      </c>
      <c r="S581" s="61" t="str">
        <f t="shared" si="41"/>
        <v/>
      </c>
      <c r="T581" s="23" t="str">
        <f>IFERROR((R581*Final[[#This Row],[Valor da Venda Real]]*Final[[#This Row],[Quantidade ]]*S581),"")</f>
        <v/>
      </c>
    </row>
    <row r="582" spans="1:20" ht="15.75" x14ac:dyDescent="0.2">
      <c r="A582">
        <f>COUNTIF($C$2:C582,C582)</f>
        <v>581</v>
      </c>
      <c r="B582" s="1" t="str">
        <f t="shared" si="40"/>
        <v>581</v>
      </c>
      <c r="C582" s="1" t="str">
        <f>IFERROR(VLOOKUP(D582,'Planilha de Cadastro - Previsão'!$A$2:$N$1000,14,FALSE()),"")</f>
        <v/>
      </c>
      <c r="D582" s="1">
        <v>581</v>
      </c>
      <c r="F582" s="40" t="str">
        <f t="shared" si="39"/>
        <v/>
      </c>
      <c r="G582" s="40" t="str">
        <f>IF(F582="","",'Prosposta Inicial'!$O$2)</f>
        <v/>
      </c>
      <c r="H582" s="40" t="str">
        <f t="shared" si="38"/>
        <v xml:space="preserve"> </v>
      </c>
      <c r="I582" s="41" t="str">
        <f>IFERROR((VLOOKUP(F582,'Planilha de Cadastro - Previsão'!$A$2:$N$1100,2,FALSE()))," ")</f>
        <v xml:space="preserve"> </v>
      </c>
      <c r="J582" s="40" t="str">
        <f>IFERROR((VLOOKUP(F582,'Planilha de Cadastro - Previsão'!$A$2:$N$1100,3,FALSE()))," ")</f>
        <v xml:space="preserve"> </v>
      </c>
      <c r="K582" s="40"/>
      <c r="L582" s="42" t="str">
        <f>IFERROR((VLOOKUP(F582,'Planilha de Cadastro - Previsão'!$A$2:$N$1100,11,FALSE()))," ")</f>
        <v xml:space="preserve"> </v>
      </c>
      <c r="M582" s="41" t="str">
        <f>IFERROR((IF(VLOOKUP(F582,'Planilha de Cadastro - Previsão'!$A$2:$N$1100,10,FALSE())="","",VLOOKUP(F582,'Planilha de Cadastro - Previsão'!$A$2:$N$1100,10,FALSE()))),"")</f>
        <v/>
      </c>
      <c r="N582" s="41"/>
      <c r="O582" s="41"/>
      <c r="P582" s="41" t="str">
        <f>IFERROR((IF(VLOOKUP(F582,'Acompanhamento da Licitação'!$F$2:$O$1000,10,FALSE())="","",VLOOKUP(F582,'Acompanhamento da Licitação'!$F$2:$O$1000,10,FALSE()))),"")</f>
        <v/>
      </c>
      <c r="R582" s="61" t="str">
        <f>IFERROR(IF(F582&gt;0,(Final[[#This Row],[Valor da Venda Real]]-Final[[#This Row],[Valor de Compra Previsto]]-4%*Final[[#This Row],[Valor da Venda Real]])/Final[[#This Row],[Valor da Venda Real]],""),"")</f>
        <v/>
      </c>
      <c r="S582" s="61" t="str">
        <f t="shared" si="41"/>
        <v/>
      </c>
      <c r="T582" s="23" t="str">
        <f>IFERROR((R582*Final[[#This Row],[Valor da Venda Real]]*Final[[#This Row],[Quantidade ]]*S582),"")</f>
        <v/>
      </c>
    </row>
    <row r="583" spans="1:20" ht="15.75" x14ac:dyDescent="0.2">
      <c r="A583">
        <f>COUNTIF($C$2:C583,C583)</f>
        <v>582</v>
      </c>
      <c r="B583" s="1" t="str">
        <f t="shared" si="40"/>
        <v>582</v>
      </c>
      <c r="C583" s="1" t="str">
        <f>IFERROR(VLOOKUP(D583,'Planilha de Cadastro - Previsão'!$A$2:$N$1000,14,FALSE()),"")</f>
        <v/>
      </c>
      <c r="D583" s="1">
        <v>582</v>
      </c>
      <c r="F583" s="40" t="str">
        <f t="shared" si="39"/>
        <v/>
      </c>
      <c r="G583" s="40" t="str">
        <f>IF(F583="","",'Prosposta Inicial'!$O$2)</f>
        <v/>
      </c>
      <c r="H583" s="40" t="str">
        <f t="shared" si="38"/>
        <v xml:space="preserve"> </v>
      </c>
      <c r="I583" s="41" t="str">
        <f>IFERROR((VLOOKUP(F583,'Planilha de Cadastro - Previsão'!$A$2:$N$1100,2,FALSE()))," ")</f>
        <v xml:space="preserve"> </v>
      </c>
      <c r="J583" s="40" t="str">
        <f>IFERROR((VLOOKUP(F583,'Planilha de Cadastro - Previsão'!$A$2:$N$1100,3,FALSE()))," ")</f>
        <v xml:space="preserve"> </v>
      </c>
      <c r="K583" s="40"/>
      <c r="L583" s="42" t="str">
        <f>IFERROR((VLOOKUP(F583,'Planilha de Cadastro - Previsão'!$A$2:$N$1100,11,FALSE()))," ")</f>
        <v xml:space="preserve"> </v>
      </c>
      <c r="M583" s="41" t="str">
        <f>IFERROR((IF(VLOOKUP(F583,'Planilha de Cadastro - Previsão'!$A$2:$N$1100,10,FALSE())="","",VLOOKUP(F583,'Planilha de Cadastro - Previsão'!$A$2:$N$1100,10,FALSE()))),"")</f>
        <v/>
      </c>
      <c r="N583" s="41"/>
      <c r="O583" s="41"/>
      <c r="P583" s="41" t="str">
        <f>IFERROR((IF(VLOOKUP(F583,'Acompanhamento da Licitação'!$F$2:$O$1000,10,FALSE())="","",VLOOKUP(F583,'Acompanhamento da Licitação'!$F$2:$O$1000,10,FALSE()))),"")</f>
        <v/>
      </c>
      <c r="R583" s="61" t="str">
        <f>IFERROR(IF(F583&gt;0,(Final[[#This Row],[Valor da Venda Real]]-Final[[#This Row],[Valor de Compra Previsto]]-4%*Final[[#This Row],[Valor da Venda Real]])/Final[[#This Row],[Valor da Venda Real]],""),"")</f>
        <v/>
      </c>
      <c r="S583" s="61" t="str">
        <f t="shared" si="41"/>
        <v/>
      </c>
      <c r="T583" s="23" t="str">
        <f>IFERROR((R583*Final[[#This Row],[Valor da Venda Real]]*Final[[#This Row],[Quantidade ]]*S583),"")</f>
        <v/>
      </c>
    </row>
    <row r="584" spans="1:20" ht="15.75" x14ac:dyDescent="0.2">
      <c r="A584">
        <f>COUNTIF($C$2:C584,C584)</f>
        <v>583</v>
      </c>
      <c r="B584" s="1" t="str">
        <f t="shared" si="40"/>
        <v>583</v>
      </c>
      <c r="C584" s="1" t="str">
        <f>IFERROR(VLOOKUP(D584,'Planilha de Cadastro - Previsão'!$A$2:$N$1000,14,FALSE()),"")</f>
        <v/>
      </c>
      <c r="D584" s="1">
        <v>583</v>
      </c>
      <c r="F584" s="40" t="str">
        <f t="shared" si="39"/>
        <v/>
      </c>
      <c r="G584" s="40" t="str">
        <f>IF(F584="","",'Prosposta Inicial'!$O$2)</f>
        <v/>
      </c>
      <c r="H584" s="40" t="str">
        <f t="shared" si="38"/>
        <v xml:space="preserve"> </v>
      </c>
      <c r="I584" s="41" t="str">
        <f>IFERROR((VLOOKUP(F584,'Planilha de Cadastro - Previsão'!$A$2:$N$1100,2,FALSE()))," ")</f>
        <v xml:space="preserve"> </v>
      </c>
      <c r="J584" s="40" t="str">
        <f>IFERROR((VLOOKUP(F584,'Planilha de Cadastro - Previsão'!$A$2:$N$1100,3,FALSE()))," ")</f>
        <v xml:space="preserve"> </v>
      </c>
      <c r="K584" s="40"/>
      <c r="L584" s="42" t="str">
        <f>IFERROR((VLOOKUP(F584,'Planilha de Cadastro - Previsão'!$A$2:$N$1100,11,FALSE()))," ")</f>
        <v xml:space="preserve"> </v>
      </c>
      <c r="M584" s="41" t="str">
        <f>IFERROR((IF(VLOOKUP(F584,'Planilha de Cadastro - Previsão'!$A$2:$N$1100,10,FALSE())="","",VLOOKUP(F584,'Planilha de Cadastro - Previsão'!$A$2:$N$1100,10,FALSE()))),"")</f>
        <v/>
      </c>
      <c r="N584" s="41"/>
      <c r="O584" s="41"/>
      <c r="P584" s="41" t="str">
        <f>IFERROR((IF(VLOOKUP(F584,'Acompanhamento da Licitação'!$F$2:$O$1000,10,FALSE())="","",VLOOKUP(F584,'Acompanhamento da Licitação'!$F$2:$O$1000,10,FALSE()))),"")</f>
        <v/>
      </c>
      <c r="R584" s="61" t="str">
        <f>IFERROR(IF(F584&gt;0,(Final[[#This Row],[Valor da Venda Real]]-Final[[#This Row],[Valor de Compra Previsto]]-4%*Final[[#This Row],[Valor da Venda Real]])/Final[[#This Row],[Valor da Venda Real]],""),"")</f>
        <v/>
      </c>
      <c r="S584" s="61" t="str">
        <f t="shared" si="41"/>
        <v/>
      </c>
      <c r="T584" s="23" t="str">
        <f>IFERROR((R584*Final[[#This Row],[Valor da Venda Real]]*Final[[#This Row],[Quantidade ]]*S584),"")</f>
        <v/>
      </c>
    </row>
    <row r="585" spans="1:20" ht="15.75" x14ac:dyDescent="0.2">
      <c r="A585">
        <f>COUNTIF($C$2:C585,C585)</f>
        <v>584</v>
      </c>
      <c r="B585" s="1" t="str">
        <f t="shared" si="40"/>
        <v>584</v>
      </c>
      <c r="C585" s="1" t="str">
        <f>IFERROR(VLOOKUP(D585,'Planilha de Cadastro - Previsão'!$A$2:$N$1000,14,FALSE()),"")</f>
        <v/>
      </c>
      <c r="D585" s="1">
        <v>584</v>
      </c>
      <c r="F585" s="40" t="str">
        <f t="shared" si="39"/>
        <v/>
      </c>
      <c r="G585" s="40" t="str">
        <f>IF(F585="","",'Prosposta Inicial'!$O$2)</f>
        <v/>
      </c>
      <c r="H585" s="40" t="str">
        <f t="shared" si="38"/>
        <v xml:space="preserve"> </v>
      </c>
      <c r="I585" s="41" t="str">
        <f>IFERROR((VLOOKUP(F585,'Planilha de Cadastro - Previsão'!$A$2:$N$1100,2,FALSE()))," ")</f>
        <v xml:space="preserve"> </v>
      </c>
      <c r="J585" s="40" t="str">
        <f>IFERROR((VLOOKUP(F585,'Planilha de Cadastro - Previsão'!$A$2:$N$1100,3,FALSE()))," ")</f>
        <v xml:space="preserve"> </v>
      </c>
      <c r="K585" s="40"/>
      <c r="L585" s="42" t="str">
        <f>IFERROR((VLOOKUP(F585,'Planilha de Cadastro - Previsão'!$A$2:$N$1100,11,FALSE()))," ")</f>
        <v xml:space="preserve"> </v>
      </c>
      <c r="M585" s="41" t="str">
        <f>IFERROR((IF(VLOOKUP(F585,'Planilha de Cadastro - Previsão'!$A$2:$N$1100,10,FALSE())="","",VLOOKUP(F585,'Planilha de Cadastro - Previsão'!$A$2:$N$1100,10,FALSE()))),"")</f>
        <v/>
      </c>
      <c r="N585" s="41"/>
      <c r="O585" s="41"/>
      <c r="P585" s="41" t="str">
        <f>IFERROR((IF(VLOOKUP(F585,'Acompanhamento da Licitação'!$F$2:$O$1000,10,FALSE())="","",VLOOKUP(F585,'Acompanhamento da Licitação'!$F$2:$O$1000,10,FALSE()))),"")</f>
        <v/>
      </c>
      <c r="R585" s="61" t="str">
        <f>IFERROR(IF(F585&gt;0,(Final[[#This Row],[Valor da Venda Real]]-Final[[#This Row],[Valor de Compra Previsto]]-4%*Final[[#This Row],[Valor da Venda Real]])/Final[[#This Row],[Valor da Venda Real]],""),"")</f>
        <v/>
      </c>
      <c r="S585" s="61" t="str">
        <f t="shared" si="41"/>
        <v/>
      </c>
      <c r="T585" s="23" t="str">
        <f>IFERROR((R585*Final[[#This Row],[Valor da Venda Real]]*Final[[#This Row],[Quantidade ]]*S585),"")</f>
        <v/>
      </c>
    </row>
    <row r="586" spans="1:20" ht="15.75" x14ac:dyDescent="0.2">
      <c r="A586">
        <f>COUNTIF($C$2:C586,C586)</f>
        <v>585</v>
      </c>
      <c r="B586" s="1" t="str">
        <f t="shared" si="40"/>
        <v>585</v>
      </c>
      <c r="C586" s="1" t="str">
        <f>IFERROR(VLOOKUP(D586,'Planilha de Cadastro - Previsão'!$A$2:$N$1000,14,FALSE()),"")</f>
        <v/>
      </c>
      <c r="D586" s="1">
        <v>585</v>
      </c>
      <c r="F586" s="40" t="str">
        <f t="shared" si="39"/>
        <v/>
      </c>
      <c r="G586" s="40" t="str">
        <f>IF(F586="","",'Prosposta Inicial'!$O$2)</f>
        <v/>
      </c>
      <c r="H586" s="40" t="str">
        <f t="shared" si="38"/>
        <v xml:space="preserve"> </v>
      </c>
      <c r="I586" s="41" t="str">
        <f>IFERROR((VLOOKUP(F586,'Planilha de Cadastro - Previsão'!$A$2:$N$1100,2,FALSE()))," ")</f>
        <v xml:space="preserve"> </v>
      </c>
      <c r="J586" s="40" t="str">
        <f>IFERROR((VLOOKUP(F586,'Planilha de Cadastro - Previsão'!$A$2:$N$1100,3,FALSE()))," ")</f>
        <v xml:space="preserve"> </v>
      </c>
      <c r="K586" s="40"/>
      <c r="L586" s="42" t="str">
        <f>IFERROR((VLOOKUP(F586,'Planilha de Cadastro - Previsão'!$A$2:$N$1100,11,FALSE()))," ")</f>
        <v xml:space="preserve"> </v>
      </c>
      <c r="M586" s="41" t="str">
        <f>IFERROR((IF(VLOOKUP(F586,'Planilha de Cadastro - Previsão'!$A$2:$N$1100,10,FALSE())="","",VLOOKUP(F586,'Planilha de Cadastro - Previsão'!$A$2:$N$1100,10,FALSE()))),"")</f>
        <v/>
      </c>
      <c r="N586" s="41"/>
      <c r="O586" s="41"/>
      <c r="P586" s="41" t="str">
        <f>IFERROR((IF(VLOOKUP(F586,'Acompanhamento da Licitação'!$F$2:$O$1000,10,FALSE())="","",VLOOKUP(F586,'Acompanhamento da Licitação'!$F$2:$O$1000,10,FALSE()))),"")</f>
        <v/>
      </c>
      <c r="R586" s="61" t="str">
        <f>IFERROR(IF(F586&gt;0,(Final[[#This Row],[Valor da Venda Real]]-Final[[#This Row],[Valor de Compra Previsto]]-4%*Final[[#This Row],[Valor da Venda Real]])/Final[[#This Row],[Valor da Venda Real]],""),"")</f>
        <v/>
      </c>
      <c r="S586" s="61" t="str">
        <f t="shared" si="41"/>
        <v/>
      </c>
      <c r="T586" s="23" t="str">
        <f>IFERROR((R586*Final[[#This Row],[Valor da Venda Real]]*Final[[#This Row],[Quantidade ]]*S586),"")</f>
        <v/>
      </c>
    </row>
    <row r="587" spans="1:20" ht="15.75" x14ac:dyDescent="0.2">
      <c r="A587">
        <f>COUNTIF($C$2:C587,C587)</f>
        <v>586</v>
      </c>
      <c r="B587" s="1" t="str">
        <f t="shared" si="40"/>
        <v>586</v>
      </c>
      <c r="C587" s="1" t="str">
        <f>IFERROR(VLOOKUP(D587,'Planilha de Cadastro - Previsão'!$A$2:$N$1000,14,FALSE()),"")</f>
        <v/>
      </c>
      <c r="D587" s="1">
        <v>586</v>
      </c>
      <c r="F587" s="40" t="str">
        <f t="shared" si="39"/>
        <v/>
      </c>
      <c r="G587" s="40" t="str">
        <f>IF(F587="","",'Prosposta Inicial'!$O$2)</f>
        <v/>
      </c>
      <c r="H587" s="40" t="str">
        <f t="shared" si="38"/>
        <v xml:space="preserve"> </v>
      </c>
      <c r="I587" s="41" t="str">
        <f>IFERROR((VLOOKUP(F587,'Planilha de Cadastro - Previsão'!$A$2:$N$1100,2,FALSE()))," ")</f>
        <v xml:space="preserve"> </v>
      </c>
      <c r="J587" s="40" t="str">
        <f>IFERROR((VLOOKUP(F587,'Planilha de Cadastro - Previsão'!$A$2:$N$1100,3,FALSE()))," ")</f>
        <v xml:space="preserve"> </v>
      </c>
      <c r="K587" s="40"/>
      <c r="L587" s="42" t="str">
        <f>IFERROR((VLOOKUP(F587,'Planilha de Cadastro - Previsão'!$A$2:$N$1100,11,FALSE()))," ")</f>
        <v xml:space="preserve"> </v>
      </c>
      <c r="M587" s="41" t="str">
        <f>IFERROR((IF(VLOOKUP(F587,'Planilha de Cadastro - Previsão'!$A$2:$N$1100,10,FALSE())="","",VLOOKUP(F587,'Planilha de Cadastro - Previsão'!$A$2:$N$1100,10,FALSE()))),"")</f>
        <v/>
      </c>
      <c r="N587" s="41"/>
      <c r="O587" s="41"/>
      <c r="P587" s="41" t="str">
        <f>IFERROR((IF(VLOOKUP(F587,'Acompanhamento da Licitação'!$F$2:$O$1000,10,FALSE())="","",VLOOKUP(F587,'Acompanhamento da Licitação'!$F$2:$O$1000,10,FALSE()))),"")</f>
        <v/>
      </c>
      <c r="R587" s="61" t="str">
        <f>IFERROR(IF(F587&gt;0,(Final[[#This Row],[Valor da Venda Real]]-Final[[#This Row],[Valor de Compra Previsto]]-4%*Final[[#This Row],[Valor da Venda Real]])/Final[[#This Row],[Valor da Venda Real]],""),"")</f>
        <v/>
      </c>
      <c r="S587" s="61" t="str">
        <f t="shared" si="41"/>
        <v/>
      </c>
      <c r="T587" s="23" t="str">
        <f>IFERROR((R587*Final[[#This Row],[Valor da Venda Real]]*Final[[#This Row],[Quantidade ]]*S587),"")</f>
        <v/>
      </c>
    </row>
    <row r="588" spans="1:20" ht="15.75" x14ac:dyDescent="0.2">
      <c r="A588">
        <f>COUNTIF($C$2:C588,C588)</f>
        <v>587</v>
      </c>
      <c r="B588" s="1" t="str">
        <f t="shared" si="40"/>
        <v>587</v>
      </c>
      <c r="C588" s="1" t="str">
        <f>IFERROR(VLOOKUP(D588,'Planilha de Cadastro - Previsão'!$A$2:$N$1000,14,FALSE()),"")</f>
        <v/>
      </c>
      <c r="D588" s="1">
        <v>587</v>
      </c>
      <c r="F588" s="40" t="str">
        <f t="shared" si="39"/>
        <v/>
      </c>
      <c r="G588" s="40" t="str">
        <f>IF(F588="","",'Prosposta Inicial'!$O$2)</f>
        <v/>
      </c>
      <c r="H588" s="40" t="str">
        <f t="shared" si="38"/>
        <v xml:space="preserve"> </v>
      </c>
      <c r="I588" s="41" t="str">
        <f>IFERROR((VLOOKUP(F588,'Planilha de Cadastro - Previsão'!$A$2:$N$1100,2,FALSE()))," ")</f>
        <v xml:space="preserve"> </v>
      </c>
      <c r="J588" s="40" t="str">
        <f>IFERROR((VLOOKUP(F588,'Planilha de Cadastro - Previsão'!$A$2:$N$1100,3,FALSE()))," ")</f>
        <v xml:space="preserve"> </v>
      </c>
      <c r="K588" s="40"/>
      <c r="L588" s="42" t="str">
        <f>IFERROR((VLOOKUP(F588,'Planilha de Cadastro - Previsão'!$A$2:$N$1100,11,FALSE()))," ")</f>
        <v xml:space="preserve"> </v>
      </c>
      <c r="M588" s="41" t="str">
        <f>IFERROR((IF(VLOOKUP(F588,'Planilha de Cadastro - Previsão'!$A$2:$N$1100,10,FALSE())="","",VLOOKUP(F588,'Planilha de Cadastro - Previsão'!$A$2:$N$1100,10,FALSE()))),"")</f>
        <v/>
      </c>
      <c r="N588" s="41"/>
      <c r="O588" s="41"/>
      <c r="P588" s="41" t="str">
        <f>IFERROR((IF(VLOOKUP(F588,'Acompanhamento da Licitação'!$F$2:$O$1000,10,FALSE())="","",VLOOKUP(F588,'Acompanhamento da Licitação'!$F$2:$O$1000,10,FALSE()))),"")</f>
        <v/>
      </c>
      <c r="R588" s="61" t="str">
        <f>IFERROR(IF(F588&gt;0,(Final[[#This Row],[Valor da Venda Real]]-Final[[#This Row],[Valor de Compra Previsto]]-4%*Final[[#This Row],[Valor da Venda Real]])/Final[[#This Row],[Valor da Venda Real]],""),"")</f>
        <v/>
      </c>
      <c r="S588" s="61" t="str">
        <f t="shared" si="41"/>
        <v/>
      </c>
      <c r="T588" s="23" t="str">
        <f>IFERROR((R588*Final[[#This Row],[Valor da Venda Real]]*Final[[#This Row],[Quantidade ]]*S588),"")</f>
        <v/>
      </c>
    </row>
    <row r="589" spans="1:20" ht="15.75" x14ac:dyDescent="0.2">
      <c r="A589">
        <f>COUNTIF($C$2:C589,C589)</f>
        <v>588</v>
      </c>
      <c r="B589" s="1" t="str">
        <f t="shared" si="40"/>
        <v>588</v>
      </c>
      <c r="C589" s="1" t="str">
        <f>IFERROR(VLOOKUP(D589,'Planilha de Cadastro - Previsão'!$A$2:$N$1000,14,FALSE()),"")</f>
        <v/>
      </c>
      <c r="D589" s="1">
        <v>588</v>
      </c>
      <c r="F589" s="40" t="str">
        <f t="shared" si="39"/>
        <v/>
      </c>
      <c r="G589" s="40" t="str">
        <f>IF(F589="","",'Prosposta Inicial'!$O$2)</f>
        <v/>
      </c>
      <c r="H589" s="40" t="str">
        <f t="shared" si="38"/>
        <v xml:space="preserve"> </v>
      </c>
      <c r="I589" s="41" t="str">
        <f>IFERROR((VLOOKUP(F589,'Planilha de Cadastro - Previsão'!$A$2:$N$1100,2,FALSE()))," ")</f>
        <v xml:space="preserve"> </v>
      </c>
      <c r="J589" s="40" t="str">
        <f>IFERROR((VLOOKUP(F589,'Planilha de Cadastro - Previsão'!$A$2:$N$1100,3,FALSE()))," ")</f>
        <v xml:space="preserve"> </v>
      </c>
      <c r="K589" s="40"/>
      <c r="L589" s="42" t="str">
        <f>IFERROR((VLOOKUP(F589,'Planilha de Cadastro - Previsão'!$A$2:$N$1100,11,FALSE()))," ")</f>
        <v xml:space="preserve"> </v>
      </c>
      <c r="M589" s="41" t="str">
        <f>IFERROR((IF(VLOOKUP(F589,'Planilha de Cadastro - Previsão'!$A$2:$N$1100,10,FALSE())="","",VLOOKUP(F589,'Planilha de Cadastro - Previsão'!$A$2:$N$1100,10,FALSE()))),"")</f>
        <v/>
      </c>
      <c r="N589" s="41"/>
      <c r="O589" s="41"/>
      <c r="P589" s="41" t="str">
        <f>IFERROR((IF(VLOOKUP(F589,'Acompanhamento da Licitação'!$F$2:$O$1000,10,FALSE())="","",VLOOKUP(F589,'Acompanhamento da Licitação'!$F$2:$O$1000,10,FALSE()))),"")</f>
        <v/>
      </c>
      <c r="R589" s="61" t="str">
        <f>IFERROR(IF(F589&gt;0,(Final[[#This Row],[Valor da Venda Real]]-Final[[#This Row],[Valor de Compra Previsto]]-4%*Final[[#This Row],[Valor da Venda Real]])/Final[[#This Row],[Valor da Venda Real]],""),"")</f>
        <v/>
      </c>
      <c r="S589" s="61" t="str">
        <f t="shared" si="41"/>
        <v/>
      </c>
      <c r="T589" s="23" t="str">
        <f>IFERROR((R589*Final[[#This Row],[Valor da Venda Real]]*Final[[#This Row],[Quantidade ]]*S589),"")</f>
        <v/>
      </c>
    </row>
    <row r="590" spans="1:20" ht="15.75" x14ac:dyDescent="0.2">
      <c r="A590">
        <f>COUNTIF($C$2:C590,C590)</f>
        <v>589</v>
      </c>
      <c r="B590" s="1" t="str">
        <f t="shared" si="40"/>
        <v>589</v>
      </c>
      <c r="C590" s="1" t="str">
        <f>IFERROR(VLOOKUP(D590,'Planilha de Cadastro - Previsão'!$A$2:$N$1000,14,FALSE()),"")</f>
        <v/>
      </c>
      <c r="D590" s="1">
        <v>589</v>
      </c>
      <c r="F590" s="40" t="str">
        <f t="shared" si="39"/>
        <v/>
      </c>
      <c r="G590" s="40" t="str">
        <f>IF(F590="","",'Prosposta Inicial'!$O$2)</f>
        <v/>
      </c>
      <c r="H590" s="40" t="str">
        <f t="shared" si="38"/>
        <v xml:space="preserve"> </v>
      </c>
      <c r="I590" s="41" t="str">
        <f>IFERROR((VLOOKUP(F590,'Planilha de Cadastro - Previsão'!$A$2:$N$1100,2,FALSE()))," ")</f>
        <v xml:space="preserve"> </v>
      </c>
      <c r="J590" s="40" t="str">
        <f>IFERROR((VLOOKUP(F590,'Planilha de Cadastro - Previsão'!$A$2:$N$1100,3,FALSE()))," ")</f>
        <v xml:space="preserve"> </v>
      </c>
      <c r="K590" s="40"/>
      <c r="L590" s="42" t="str">
        <f>IFERROR((VLOOKUP(F590,'Planilha de Cadastro - Previsão'!$A$2:$N$1100,11,FALSE()))," ")</f>
        <v xml:space="preserve"> </v>
      </c>
      <c r="M590" s="41" t="str">
        <f>IFERROR((IF(VLOOKUP(F590,'Planilha de Cadastro - Previsão'!$A$2:$N$1100,10,FALSE())="","",VLOOKUP(F590,'Planilha de Cadastro - Previsão'!$A$2:$N$1100,10,FALSE()))),"")</f>
        <v/>
      </c>
      <c r="N590" s="41"/>
      <c r="O590" s="41"/>
      <c r="P590" s="41" t="str">
        <f>IFERROR((IF(VLOOKUP(F590,'Acompanhamento da Licitação'!$F$2:$O$1000,10,FALSE())="","",VLOOKUP(F590,'Acompanhamento da Licitação'!$F$2:$O$1000,10,FALSE()))),"")</f>
        <v/>
      </c>
      <c r="R590" s="61" t="str">
        <f>IFERROR(IF(F590&gt;0,(Final[[#This Row],[Valor da Venda Real]]-Final[[#This Row],[Valor de Compra Previsto]]-4%*Final[[#This Row],[Valor da Venda Real]])/Final[[#This Row],[Valor da Venda Real]],""),"")</f>
        <v/>
      </c>
      <c r="S590" s="61" t="str">
        <f t="shared" si="41"/>
        <v/>
      </c>
      <c r="T590" s="23" t="str">
        <f>IFERROR((R590*Final[[#This Row],[Valor da Venda Real]]*Final[[#This Row],[Quantidade ]]*S590),"")</f>
        <v/>
      </c>
    </row>
    <row r="591" spans="1:20" ht="15.75" x14ac:dyDescent="0.2">
      <c r="A591">
        <f>COUNTIF($C$2:C591,C591)</f>
        <v>590</v>
      </c>
      <c r="B591" s="1" t="str">
        <f t="shared" si="40"/>
        <v>590</v>
      </c>
      <c r="C591" s="1" t="str">
        <f>IFERROR(VLOOKUP(D591,'Planilha de Cadastro - Previsão'!$A$2:$N$1000,14,FALSE()),"")</f>
        <v/>
      </c>
      <c r="D591" s="1">
        <v>590</v>
      </c>
      <c r="F591" s="40" t="str">
        <f t="shared" si="39"/>
        <v/>
      </c>
      <c r="G591" s="40" t="str">
        <f>IF(F591="","",'Prosposta Inicial'!$O$2)</f>
        <v/>
      </c>
      <c r="H591" s="40" t="str">
        <f t="shared" si="38"/>
        <v xml:space="preserve"> </v>
      </c>
      <c r="I591" s="41" t="str">
        <f>IFERROR((VLOOKUP(F591,'Planilha de Cadastro - Previsão'!$A$2:$N$1100,2,FALSE()))," ")</f>
        <v xml:space="preserve"> </v>
      </c>
      <c r="J591" s="40" t="str">
        <f>IFERROR((VLOOKUP(F591,'Planilha de Cadastro - Previsão'!$A$2:$N$1100,3,FALSE()))," ")</f>
        <v xml:space="preserve"> </v>
      </c>
      <c r="K591" s="40"/>
      <c r="L591" s="42" t="str">
        <f>IFERROR((VLOOKUP(F591,'Planilha de Cadastro - Previsão'!$A$2:$N$1100,11,FALSE()))," ")</f>
        <v xml:space="preserve"> </v>
      </c>
      <c r="M591" s="41" t="str">
        <f>IFERROR((IF(VLOOKUP(F591,'Planilha de Cadastro - Previsão'!$A$2:$N$1100,10,FALSE())="","",VLOOKUP(F591,'Planilha de Cadastro - Previsão'!$A$2:$N$1100,10,FALSE()))),"")</f>
        <v/>
      </c>
      <c r="N591" s="41"/>
      <c r="O591" s="41"/>
      <c r="P591" s="41" t="str">
        <f>IFERROR((IF(VLOOKUP(F591,'Acompanhamento da Licitação'!$F$2:$O$1000,10,FALSE())="","",VLOOKUP(F591,'Acompanhamento da Licitação'!$F$2:$O$1000,10,FALSE()))),"")</f>
        <v/>
      </c>
      <c r="R591" s="61" t="str">
        <f>IFERROR(IF(F591&gt;0,(Final[[#This Row],[Valor da Venda Real]]-Final[[#This Row],[Valor de Compra Previsto]]-4%*Final[[#This Row],[Valor da Venda Real]])/Final[[#This Row],[Valor da Venda Real]],""),"")</f>
        <v/>
      </c>
      <c r="S591" s="61" t="str">
        <f t="shared" si="41"/>
        <v/>
      </c>
      <c r="T591" s="23" t="str">
        <f>IFERROR((R591*Final[[#This Row],[Valor da Venda Real]]*Final[[#This Row],[Quantidade ]]*S591),"")</f>
        <v/>
      </c>
    </row>
    <row r="592" spans="1:20" ht="15.75" x14ac:dyDescent="0.2">
      <c r="A592">
        <f>COUNTIF($C$2:C592,C592)</f>
        <v>591</v>
      </c>
      <c r="B592" s="1" t="str">
        <f t="shared" si="40"/>
        <v>591</v>
      </c>
      <c r="C592" s="1" t="str">
        <f>IFERROR(VLOOKUP(D592,'Planilha de Cadastro - Previsão'!$A$2:$N$1000,14,FALSE()),"")</f>
        <v/>
      </c>
      <c r="D592" s="1">
        <v>591</v>
      </c>
      <c r="F592" s="40" t="str">
        <f t="shared" si="39"/>
        <v/>
      </c>
      <c r="G592" s="40" t="str">
        <f>IF(F592="","",'Prosposta Inicial'!$O$2)</f>
        <v/>
      </c>
      <c r="H592" s="40" t="str">
        <f t="shared" si="38"/>
        <v xml:space="preserve"> </v>
      </c>
      <c r="I592" s="41" t="str">
        <f>IFERROR((VLOOKUP(F592,'Planilha de Cadastro - Previsão'!$A$2:$N$1100,2,FALSE()))," ")</f>
        <v xml:space="preserve"> </v>
      </c>
      <c r="J592" s="40" t="str">
        <f>IFERROR((VLOOKUP(F592,'Planilha de Cadastro - Previsão'!$A$2:$N$1100,3,FALSE()))," ")</f>
        <v xml:space="preserve"> </v>
      </c>
      <c r="K592" s="40"/>
      <c r="L592" s="42" t="str">
        <f>IFERROR((VLOOKUP(F592,'Planilha de Cadastro - Previsão'!$A$2:$N$1100,11,FALSE()))," ")</f>
        <v xml:space="preserve"> </v>
      </c>
      <c r="M592" s="41" t="str">
        <f>IFERROR((IF(VLOOKUP(F592,'Planilha de Cadastro - Previsão'!$A$2:$N$1100,10,FALSE())="","",VLOOKUP(F592,'Planilha de Cadastro - Previsão'!$A$2:$N$1100,10,FALSE()))),"")</f>
        <v/>
      </c>
      <c r="N592" s="41"/>
      <c r="O592" s="41"/>
      <c r="P592" s="41" t="str">
        <f>IFERROR((IF(VLOOKUP(F592,'Acompanhamento da Licitação'!$F$2:$O$1000,10,FALSE())="","",VLOOKUP(F592,'Acompanhamento da Licitação'!$F$2:$O$1000,10,FALSE()))),"")</f>
        <v/>
      </c>
      <c r="R592" s="61" t="str">
        <f>IFERROR(IF(F592&gt;0,(Final[[#This Row],[Valor da Venda Real]]-Final[[#This Row],[Valor de Compra Previsto]]-4%*Final[[#This Row],[Valor da Venda Real]])/Final[[#This Row],[Valor da Venda Real]],""),"")</f>
        <v/>
      </c>
      <c r="S592" s="61" t="str">
        <f t="shared" si="41"/>
        <v/>
      </c>
      <c r="T592" s="23" t="str">
        <f>IFERROR((R592*Final[[#This Row],[Valor da Venda Real]]*Final[[#This Row],[Quantidade ]]*S592),"")</f>
        <v/>
      </c>
    </row>
    <row r="593" spans="1:20" ht="15.75" x14ac:dyDescent="0.2">
      <c r="A593">
        <f>COUNTIF($C$2:C593,C593)</f>
        <v>592</v>
      </c>
      <c r="B593" s="1" t="str">
        <f t="shared" si="40"/>
        <v>592</v>
      </c>
      <c r="C593" s="1" t="str">
        <f>IFERROR(VLOOKUP(D593,'Planilha de Cadastro - Previsão'!$A$2:$N$1000,14,FALSE()),"")</f>
        <v/>
      </c>
      <c r="D593" s="1">
        <v>592</v>
      </c>
      <c r="F593" s="40" t="str">
        <f t="shared" si="39"/>
        <v/>
      </c>
      <c r="G593" s="40" t="str">
        <f>IF(F593="","",'Prosposta Inicial'!$O$2)</f>
        <v/>
      </c>
      <c r="H593" s="40" t="str">
        <f t="shared" si="38"/>
        <v xml:space="preserve"> </v>
      </c>
      <c r="I593" s="41" t="str">
        <f>IFERROR((VLOOKUP(F593,'Planilha de Cadastro - Previsão'!$A$2:$N$1100,2,FALSE()))," ")</f>
        <v xml:space="preserve"> </v>
      </c>
      <c r="J593" s="40" t="str">
        <f>IFERROR((VLOOKUP(F593,'Planilha de Cadastro - Previsão'!$A$2:$N$1100,3,FALSE()))," ")</f>
        <v xml:space="preserve"> </v>
      </c>
      <c r="K593" s="40"/>
      <c r="L593" s="42" t="str">
        <f>IFERROR((VLOOKUP(F593,'Planilha de Cadastro - Previsão'!$A$2:$N$1100,11,FALSE()))," ")</f>
        <v xml:space="preserve"> </v>
      </c>
      <c r="M593" s="41" t="str">
        <f>IFERROR((IF(VLOOKUP(F593,'Planilha de Cadastro - Previsão'!$A$2:$N$1100,10,FALSE())="","",VLOOKUP(F593,'Planilha de Cadastro - Previsão'!$A$2:$N$1100,10,FALSE()))),"")</f>
        <v/>
      </c>
      <c r="N593" s="41"/>
      <c r="O593" s="41"/>
      <c r="P593" s="41" t="str">
        <f>IFERROR((IF(VLOOKUP(F593,'Acompanhamento da Licitação'!$F$2:$O$1000,10,FALSE())="","",VLOOKUP(F593,'Acompanhamento da Licitação'!$F$2:$O$1000,10,FALSE()))),"")</f>
        <v/>
      </c>
      <c r="R593" s="61" t="str">
        <f>IFERROR(IF(F593&gt;0,(Final[[#This Row],[Valor da Venda Real]]-Final[[#This Row],[Valor de Compra Previsto]]-4%*Final[[#This Row],[Valor da Venda Real]])/Final[[#This Row],[Valor da Venda Real]],""),"")</f>
        <v/>
      </c>
      <c r="S593" s="61" t="str">
        <f t="shared" si="41"/>
        <v/>
      </c>
      <c r="T593" s="23" t="str">
        <f>IFERROR((R593*Final[[#This Row],[Valor da Venda Real]]*Final[[#This Row],[Quantidade ]]*S593),"")</f>
        <v/>
      </c>
    </row>
    <row r="594" spans="1:20" ht="15.75" x14ac:dyDescent="0.2">
      <c r="A594">
        <f>COUNTIF($C$2:C594,C594)</f>
        <v>593</v>
      </c>
      <c r="B594" s="1" t="str">
        <f t="shared" si="40"/>
        <v>593</v>
      </c>
      <c r="C594" s="1" t="str">
        <f>IFERROR(VLOOKUP(D594,'Planilha de Cadastro - Previsão'!$A$2:$N$1000,14,FALSE()),"")</f>
        <v/>
      </c>
      <c r="D594" s="1">
        <v>593</v>
      </c>
      <c r="F594" s="40" t="str">
        <f t="shared" si="39"/>
        <v/>
      </c>
      <c r="G594" s="40" t="str">
        <f>IF(F594="","",'Prosposta Inicial'!$O$2)</f>
        <v/>
      </c>
      <c r="H594" s="40" t="str">
        <f t="shared" si="38"/>
        <v xml:space="preserve"> </v>
      </c>
      <c r="I594" s="41" t="str">
        <f>IFERROR((VLOOKUP(F594,'Planilha de Cadastro - Previsão'!$A$2:$N$1100,2,FALSE()))," ")</f>
        <v xml:space="preserve"> </v>
      </c>
      <c r="J594" s="40" t="str">
        <f>IFERROR((VLOOKUP(F594,'Planilha de Cadastro - Previsão'!$A$2:$N$1100,3,FALSE()))," ")</f>
        <v xml:space="preserve"> </v>
      </c>
      <c r="K594" s="40"/>
      <c r="L594" s="42" t="str">
        <f>IFERROR((VLOOKUP(F594,'Planilha de Cadastro - Previsão'!$A$2:$N$1100,11,FALSE()))," ")</f>
        <v xml:space="preserve"> </v>
      </c>
      <c r="M594" s="41" t="str">
        <f>IFERROR((IF(VLOOKUP(F594,'Planilha de Cadastro - Previsão'!$A$2:$N$1100,10,FALSE())="","",VLOOKUP(F594,'Planilha de Cadastro - Previsão'!$A$2:$N$1100,10,FALSE()))),"")</f>
        <v/>
      </c>
      <c r="N594" s="41"/>
      <c r="O594" s="41"/>
      <c r="P594" s="41" t="str">
        <f>IFERROR((IF(VLOOKUP(F594,'Acompanhamento da Licitação'!$F$2:$O$1000,10,FALSE())="","",VLOOKUP(F594,'Acompanhamento da Licitação'!$F$2:$O$1000,10,FALSE()))),"")</f>
        <v/>
      </c>
      <c r="R594" s="61" t="str">
        <f>IFERROR(IF(F594&gt;0,(Final[[#This Row],[Valor da Venda Real]]-Final[[#This Row],[Valor de Compra Previsto]]-4%*Final[[#This Row],[Valor da Venda Real]])/Final[[#This Row],[Valor da Venda Real]],""),"")</f>
        <v/>
      </c>
      <c r="S594" s="61" t="str">
        <f t="shared" si="41"/>
        <v/>
      </c>
      <c r="T594" s="23" t="str">
        <f>IFERROR((R594*Final[[#This Row],[Valor da Venda Real]]*Final[[#This Row],[Quantidade ]]*S594),"")</f>
        <v/>
      </c>
    </row>
    <row r="595" spans="1:20" ht="15.75" x14ac:dyDescent="0.2">
      <c r="A595">
        <f>COUNTIF($C$2:C595,C595)</f>
        <v>594</v>
      </c>
      <c r="B595" s="1" t="str">
        <f t="shared" si="40"/>
        <v>594</v>
      </c>
      <c r="C595" s="1" t="str">
        <f>IFERROR(VLOOKUP(D595,'Planilha de Cadastro - Previsão'!$A$2:$N$1000,14,FALSE()),"")</f>
        <v/>
      </c>
      <c r="D595" s="1">
        <v>594</v>
      </c>
      <c r="F595" s="40" t="str">
        <f t="shared" si="39"/>
        <v/>
      </c>
      <c r="G595" s="40" t="str">
        <f>IF(F595="","",'Prosposta Inicial'!$O$2)</f>
        <v/>
      </c>
      <c r="H595" s="40" t="str">
        <f t="shared" si="38"/>
        <v xml:space="preserve"> </v>
      </c>
      <c r="I595" s="41" t="str">
        <f>IFERROR((VLOOKUP(F595,'Planilha de Cadastro - Previsão'!$A$2:$N$1100,2,FALSE()))," ")</f>
        <v xml:space="preserve"> </v>
      </c>
      <c r="J595" s="40" t="str">
        <f>IFERROR((VLOOKUP(F595,'Planilha de Cadastro - Previsão'!$A$2:$N$1100,3,FALSE()))," ")</f>
        <v xml:space="preserve"> </v>
      </c>
      <c r="K595" s="40"/>
      <c r="L595" s="42" t="str">
        <f>IFERROR((VLOOKUP(F595,'Planilha de Cadastro - Previsão'!$A$2:$N$1100,11,FALSE()))," ")</f>
        <v xml:space="preserve"> </v>
      </c>
      <c r="M595" s="41" t="str">
        <f>IFERROR((IF(VLOOKUP(F595,'Planilha de Cadastro - Previsão'!$A$2:$N$1100,10,FALSE())="","",VLOOKUP(F595,'Planilha de Cadastro - Previsão'!$A$2:$N$1100,10,FALSE()))),"")</f>
        <v/>
      </c>
      <c r="N595" s="41"/>
      <c r="O595" s="41"/>
      <c r="P595" s="41" t="str">
        <f>IFERROR((IF(VLOOKUP(F595,'Acompanhamento da Licitação'!$F$2:$O$1000,10,FALSE())="","",VLOOKUP(F595,'Acompanhamento da Licitação'!$F$2:$O$1000,10,FALSE()))),"")</f>
        <v/>
      </c>
      <c r="R595" s="61" t="str">
        <f>IFERROR(IF(F595&gt;0,(Final[[#This Row],[Valor da Venda Real]]-Final[[#This Row],[Valor de Compra Previsto]]-4%*Final[[#This Row],[Valor da Venda Real]])/Final[[#This Row],[Valor da Venda Real]],""),"")</f>
        <v/>
      </c>
      <c r="S595" s="61" t="str">
        <f t="shared" si="41"/>
        <v/>
      </c>
      <c r="T595" s="23" t="str">
        <f>IFERROR((R595*Final[[#This Row],[Valor da Venda Real]]*Final[[#This Row],[Quantidade ]]*S595),"")</f>
        <v/>
      </c>
    </row>
    <row r="596" spans="1:20" ht="15.75" x14ac:dyDescent="0.2">
      <c r="A596">
        <f>COUNTIF($C$2:C596,C596)</f>
        <v>595</v>
      </c>
      <c r="B596" s="1" t="str">
        <f t="shared" si="40"/>
        <v>595</v>
      </c>
      <c r="C596" s="1" t="str">
        <f>IFERROR(VLOOKUP(D596,'Planilha de Cadastro - Previsão'!$A$2:$N$1000,14,FALSE()),"")</f>
        <v/>
      </c>
      <c r="D596" s="1">
        <v>595</v>
      </c>
      <c r="F596" s="40" t="str">
        <f t="shared" si="39"/>
        <v/>
      </c>
      <c r="G596" s="40" t="str">
        <f>IF(F596="","",'Prosposta Inicial'!$O$2)</f>
        <v/>
      </c>
      <c r="H596" s="40" t="str">
        <f t="shared" si="38"/>
        <v xml:space="preserve"> </v>
      </c>
      <c r="I596" s="41" t="str">
        <f>IFERROR((VLOOKUP(F596,'Planilha de Cadastro - Previsão'!$A$2:$N$1100,2,FALSE()))," ")</f>
        <v xml:space="preserve"> </v>
      </c>
      <c r="J596" s="40" t="str">
        <f>IFERROR((VLOOKUP(F596,'Planilha de Cadastro - Previsão'!$A$2:$N$1100,3,FALSE()))," ")</f>
        <v xml:space="preserve"> </v>
      </c>
      <c r="K596" s="40"/>
      <c r="L596" s="42" t="str">
        <f>IFERROR((VLOOKUP(F596,'Planilha de Cadastro - Previsão'!$A$2:$N$1100,11,FALSE()))," ")</f>
        <v xml:space="preserve"> </v>
      </c>
      <c r="M596" s="41" t="str">
        <f>IFERROR((IF(VLOOKUP(F596,'Planilha de Cadastro - Previsão'!$A$2:$N$1100,10,FALSE())="","",VLOOKUP(F596,'Planilha de Cadastro - Previsão'!$A$2:$N$1100,10,FALSE()))),"")</f>
        <v/>
      </c>
      <c r="N596" s="41"/>
      <c r="O596" s="41"/>
      <c r="P596" s="41" t="str">
        <f>IFERROR((IF(VLOOKUP(F596,'Acompanhamento da Licitação'!$F$2:$O$1000,10,FALSE())="","",VLOOKUP(F596,'Acompanhamento da Licitação'!$F$2:$O$1000,10,FALSE()))),"")</f>
        <v/>
      </c>
      <c r="R596" s="61" t="str">
        <f>IFERROR(IF(F596&gt;0,(Final[[#This Row],[Valor da Venda Real]]-Final[[#This Row],[Valor de Compra Previsto]]-4%*Final[[#This Row],[Valor da Venda Real]])/Final[[#This Row],[Valor da Venda Real]],""),"")</f>
        <v/>
      </c>
      <c r="S596" s="61" t="str">
        <f t="shared" si="41"/>
        <v/>
      </c>
      <c r="T596" s="23" t="str">
        <f>IFERROR((R596*Final[[#This Row],[Valor da Venda Real]]*Final[[#This Row],[Quantidade ]]*S596),"")</f>
        <v/>
      </c>
    </row>
    <row r="597" spans="1:20" ht="15.75" x14ac:dyDescent="0.2">
      <c r="A597">
        <f>COUNTIF($C$2:C597,C597)</f>
        <v>596</v>
      </c>
      <c r="B597" s="1" t="str">
        <f t="shared" si="40"/>
        <v>596</v>
      </c>
      <c r="C597" s="1" t="str">
        <f>IFERROR(VLOOKUP(D597,'Planilha de Cadastro - Previsão'!$A$2:$N$1000,14,FALSE()),"")</f>
        <v/>
      </c>
      <c r="D597" s="1">
        <v>596</v>
      </c>
      <c r="F597" s="40" t="str">
        <f t="shared" si="39"/>
        <v/>
      </c>
      <c r="G597" s="40" t="str">
        <f>IF(F597="","",'Prosposta Inicial'!$O$2)</f>
        <v/>
      </c>
      <c r="H597" s="40" t="str">
        <f t="shared" si="38"/>
        <v xml:space="preserve"> </v>
      </c>
      <c r="I597" s="41" t="str">
        <f>IFERROR((VLOOKUP(F597,'Planilha de Cadastro - Previsão'!$A$2:$N$1100,2,FALSE()))," ")</f>
        <v xml:space="preserve"> </v>
      </c>
      <c r="J597" s="40" t="str">
        <f>IFERROR((VLOOKUP(F597,'Planilha de Cadastro - Previsão'!$A$2:$N$1100,3,FALSE()))," ")</f>
        <v xml:space="preserve"> </v>
      </c>
      <c r="K597" s="40"/>
      <c r="L597" s="42" t="str">
        <f>IFERROR((VLOOKUP(F597,'Planilha de Cadastro - Previsão'!$A$2:$N$1100,11,FALSE()))," ")</f>
        <v xml:space="preserve"> </v>
      </c>
      <c r="M597" s="41" t="str">
        <f>IFERROR((IF(VLOOKUP(F597,'Planilha de Cadastro - Previsão'!$A$2:$N$1100,10,FALSE())="","",VLOOKUP(F597,'Planilha de Cadastro - Previsão'!$A$2:$N$1100,10,FALSE()))),"")</f>
        <v/>
      </c>
      <c r="N597" s="41"/>
      <c r="O597" s="41"/>
      <c r="P597" s="41" t="str">
        <f>IFERROR((IF(VLOOKUP(F597,'Acompanhamento da Licitação'!$F$2:$O$1000,10,FALSE())="","",VLOOKUP(F597,'Acompanhamento da Licitação'!$F$2:$O$1000,10,FALSE()))),"")</f>
        <v/>
      </c>
      <c r="R597" s="61" t="str">
        <f>IFERROR(IF(F597&gt;0,(Final[[#This Row],[Valor da Venda Real]]-Final[[#This Row],[Valor de Compra Previsto]]-4%*Final[[#This Row],[Valor da Venda Real]])/Final[[#This Row],[Valor da Venda Real]],""),"")</f>
        <v/>
      </c>
      <c r="S597" s="61" t="str">
        <f t="shared" si="41"/>
        <v/>
      </c>
      <c r="T597" s="23" t="str">
        <f>IFERROR((R597*Final[[#This Row],[Valor da Venda Real]]*Final[[#This Row],[Quantidade ]]*S597),"")</f>
        <v/>
      </c>
    </row>
    <row r="598" spans="1:20" ht="15.75" x14ac:dyDescent="0.2">
      <c r="A598">
        <f>COUNTIF($C$2:C598,C598)</f>
        <v>597</v>
      </c>
      <c r="B598" s="1" t="str">
        <f t="shared" si="40"/>
        <v>597</v>
      </c>
      <c r="C598" s="1" t="str">
        <f>IFERROR(VLOOKUP(D598,'Planilha de Cadastro - Previsão'!$A$2:$N$1000,14,FALSE()),"")</f>
        <v/>
      </c>
      <c r="D598" s="1">
        <v>597</v>
      </c>
      <c r="F598" s="40" t="str">
        <f t="shared" si="39"/>
        <v/>
      </c>
      <c r="G598" s="40" t="str">
        <f>IF(F598="","",'Prosposta Inicial'!$O$2)</f>
        <v/>
      </c>
      <c r="H598" s="40" t="str">
        <f t="shared" si="38"/>
        <v xml:space="preserve"> </v>
      </c>
      <c r="I598" s="41" t="str">
        <f>IFERROR((VLOOKUP(F598,'Planilha de Cadastro - Previsão'!$A$2:$N$1100,2,FALSE()))," ")</f>
        <v xml:space="preserve"> </v>
      </c>
      <c r="J598" s="40" t="str">
        <f>IFERROR((VLOOKUP(F598,'Planilha de Cadastro - Previsão'!$A$2:$N$1100,3,FALSE()))," ")</f>
        <v xml:space="preserve"> </v>
      </c>
      <c r="K598" s="40"/>
      <c r="L598" s="42" t="str">
        <f>IFERROR((VLOOKUP(F598,'Planilha de Cadastro - Previsão'!$A$2:$N$1100,11,FALSE()))," ")</f>
        <v xml:space="preserve"> </v>
      </c>
      <c r="M598" s="41" t="str">
        <f>IFERROR((IF(VLOOKUP(F598,'Planilha de Cadastro - Previsão'!$A$2:$N$1100,10,FALSE())="","",VLOOKUP(F598,'Planilha de Cadastro - Previsão'!$A$2:$N$1100,10,FALSE()))),"")</f>
        <v/>
      </c>
      <c r="N598" s="41"/>
      <c r="O598" s="41"/>
      <c r="P598" s="41" t="str">
        <f>IFERROR((IF(VLOOKUP(F598,'Acompanhamento da Licitação'!$F$2:$O$1000,10,FALSE())="","",VLOOKUP(F598,'Acompanhamento da Licitação'!$F$2:$O$1000,10,FALSE()))),"")</f>
        <v/>
      </c>
      <c r="R598" s="61" t="str">
        <f>IFERROR(IF(F598&gt;0,(Final[[#This Row],[Valor da Venda Real]]-Final[[#This Row],[Valor de Compra Previsto]]-4%*Final[[#This Row],[Valor da Venda Real]])/Final[[#This Row],[Valor da Venda Real]],""),"")</f>
        <v/>
      </c>
      <c r="S598" s="61" t="str">
        <f t="shared" si="41"/>
        <v/>
      </c>
      <c r="T598" s="23" t="str">
        <f>IFERROR((R598*Final[[#This Row],[Valor da Venda Real]]*Final[[#This Row],[Quantidade ]]*S598),"")</f>
        <v/>
      </c>
    </row>
    <row r="599" spans="1:20" ht="15.75" x14ac:dyDescent="0.2">
      <c r="A599">
        <f>COUNTIF($C$2:C599,C599)</f>
        <v>598</v>
      </c>
      <c r="B599" s="1" t="str">
        <f t="shared" si="40"/>
        <v>598</v>
      </c>
      <c r="C599" s="1" t="str">
        <f>IFERROR(VLOOKUP(D599,'Planilha de Cadastro - Previsão'!$A$2:$N$1000,14,FALSE()),"")</f>
        <v/>
      </c>
      <c r="D599" s="1">
        <v>598</v>
      </c>
      <c r="F599" s="40" t="str">
        <f t="shared" si="39"/>
        <v/>
      </c>
      <c r="G599" s="40" t="str">
        <f>IF(F599="","",'Prosposta Inicial'!$O$2)</f>
        <v/>
      </c>
      <c r="H599" s="40" t="str">
        <f t="shared" si="38"/>
        <v xml:space="preserve"> </v>
      </c>
      <c r="I599" s="41" t="str">
        <f>IFERROR((VLOOKUP(F599,'Planilha de Cadastro - Previsão'!$A$2:$N$1100,2,FALSE()))," ")</f>
        <v xml:space="preserve"> </v>
      </c>
      <c r="J599" s="40" t="str">
        <f>IFERROR((VLOOKUP(F599,'Planilha de Cadastro - Previsão'!$A$2:$N$1100,3,FALSE()))," ")</f>
        <v xml:space="preserve"> </v>
      </c>
      <c r="K599" s="40"/>
      <c r="L599" s="42" t="str">
        <f>IFERROR((VLOOKUP(F599,'Planilha de Cadastro - Previsão'!$A$2:$N$1100,11,FALSE()))," ")</f>
        <v xml:space="preserve"> </v>
      </c>
      <c r="M599" s="41" t="str">
        <f>IFERROR((IF(VLOOKUP(F599,'Planilha de Cadastro - Previsão'!$A$2:$N$1100,10,FALSE())="","",VLOOKUP(F599,'Planilha de Cadastro - Previsão'!$A$2:$N$1100,10,FALSE()))),"")</f>
        <v/>
      </c>
      <c r="N599" s="41"/>
      <c r="O599" s="41"/>
      <c r="P599" s="41" t="str">
        <f>IFERROR((IF(VLOOKUP(F599,'Acompanhamento da Licitação'!$F$2:$O$1000,10,FALSE())="","",VLOOKUP(F599,'Acompanhamento da Licitação'!$F$2:$O$1000,10,FALSE()))),"")</f>
        <v/>
      </c>
      <c r="R599" s="61" t="str">
        <f>IFERROR(IF(F599&gt;0,(Final[[#This Row],[Valor da Venda Real]]-Final[[#This Row],[Valor de Compra Previsto]]-4%*Final[[#This Row],[Valor da Venda Real]])/Final[[#This Row],[Valor da Venda Real]],""),"")</f>
        <v/>
      </c>
      <c r="S599" s="61" t="str">
        <f t="shared" si="41"/>
        <v/>
      </c>
      <c r="T599" s="23" t="str">
        <f>IFERROR((R599*Final[[#This Row],[Valor da Venda Real]]*Final[[#This Row],[Quantidade ]]*S599),"")</f>
        <v/>
      </c>
    </row>
    <row r="600" spans="1:20" ht="15.75" x14ac:dyDescent="0.2">
      <c r="A600">
        <f>COUNTIF($C$2:C600,C600)</f>
        <v>599</v>
      </c>
      <c r="B600" s="1" t="str">
        <f t="shared" si="40"/>
        <v>599</v>
      </c>
      <c r="C600" s="1" t="str">
        <f>IFERROR(VLOOKUP(D600,'Planilha de Cadastro - Previsão'!$A$2:$N$1000,14,FALSE()),"")</f>
        <v/>
      </c>
      <c r="D600" s="1">
        <v>599</v>
      </c>
      <c r="F600" s="40" t="str">
        <f t="shared" si="39"/>
        <v/>
      </c>
      <c r="G600" s="40" t="str">
        <f>IF(F600="","",'Prosposta Inicial'!$O$2)</f>
        <v/>
      </c>
      <c r="H600" s="40" t="str">
        <f t="shared" si="38"/>
        <v xml:space="preserve"> </v>
      </c>
      <c r="I600" s="41" t="str">
        <f>IFERROR((VLOOKUP(F600,'Planilha de Cadastro - Previsão'!$A$2:$N$1100,2,FALSE()))," ")</f>
        <v xml:space="preserve"> </v>
      </c>
      <c r="J600" s="40" t="str">
        <f>IFERROR((VLOOKUP(F600,'Planilha de Cadastro - Previsão'!$A$2:$N$1100,3,FALSE()))," ")</f>
        <v xml:space="preserve"> </v>
      </c>
      <c r="K600" s="40"/>
      <c r="L600" s="42" t="str">
        <f>IFERROR((VLOOKUP(F600,'Planilha de Cadastro - Previsão'!$A$2:$N$1100,11,FALSE()))," ")</f>
        <v xml:space="preserve"> </v>
      </c>
      <c r="M600" s="41" t="str">
        <f>IFERROR((IF(VLOOKUP(F600,'Planilha de Cadastro - Previsão'!$A$2:$N$1100,10,FALSE())="","",VLOOKUP(F600,'Planilha de Cadastro - Previsão'!$A$2:$N$1100,10,FALSE()))),"")</f>
        <v/>
      </c>
      <c r="N600" s="41"/>
      <c r="O600" s="41"/>
      <c r="P600" s="41" t="str">
        <f>IFERROR((IF(VLOOKUP(F600,'Acompanhamento da Licitação'!$F$2:$O$1000,10,FALSE())="","",VLOOKUP(F600,'Acompanhamento da Licitação'!$F$2:$O$1000,10,FALSE()))),"")</f>
        <v/>
      </c>
      <c r="R600" s="61" t="str">
        <f>IFERROR(IF(F600&gt;0,(Final[[#This Row],[Valor da Venda Real]]-Final[[#This Row],[Valor de Compra Previsto]]-4%*Final[[#This Row],[Valor da Venda Real]])/Final[[#This Row],[Valor da Venda Real]],""),"")</f>
        <v/>
      </c>
      <c r="S600" s="61" t="str">
        <f t="shared" si="41"/>
        <v/>
      </c>
      <c r="T600" s="23" t="str">
        <f>IFERROR((R600*Final[[#This Row],[Valor da Venda Real]]*Final[[#This Row],[Quantidade ]]*S600),"")</f>
        <v/>
      </c>
    </row>
    <row r="601" spans="1:20" ht="15.75" x14ac:dyDescent="0.2">
      <c r="A601">
        <f>COUNTIF($C$2:C601,C601)</f>
        <v>600</v>
      </c>
      <c r="B601" s="1" t="str">
        <f t="shared" si="40"/>
        <v>600</v>
      </c>
      <c r="C601" s="1" t="str">
        <f>IFERROR(VLOOKUP(D601,'Planilha de Cadastro - Previsão'!$A$2:$N$1000,14,FALSE()),"")</f>
        <v/>
      </c>
      <c r="D601" s="1">
        <v>600</v>
      </c>
      <c r="F601" s="40" t="str">
        <f t="shared" si="39"/>
        <v/>
      </c>
      <c r="G601" s="40" t="str">
        <f>IF(F601="","",'Prosposta Inicial'!$O$2)</f>
        <v/>
      </c>
      <c r="H601" s="40" t="str">
        <f t="shared" si="38"/>
        <v xml:space="preserve"> </v>
      </c>
      <c r="I601" s="41" t="str">
        <f>IFERROR((VLOOKUP(F601,'Planilha de Cadastro - Previsão'!$A$2:$N$1100,2,FALSE()))," ")</f>
        <v xml:space="preserve"> </v>
      </c>
      <c r="J601" s="40" t="str">
        <f>IFERROR((VLOOKUP(F601,'Planilha de Cadastro - Previsão'!$A$2:$N$1100,3,FALSE()))," ")</f>
        <v xml:space="preserve"> </v>
      </c>
      <c r="K601" s="40"/>
      <c r="L601" s="42" t="str">
        <f>IFERROR((VLOOKUP(F601,'Planilha de Cadastro - Previsão'!$A$2:$N$1100,11,FALSE()))," ")</f>
        <v xml:space="preserve"> </v>
      </c>
      <c r="M601" s="41" t="str">
        <f>IFERROR((IF(VLOOKUP(F601,'Planilha de Cadastro - Previsão'!$A$2:$N$1100,10,FALSE())="","",VLOOKUP(F601,'Planilha de Cadastro - Previsão'!$A$2:$N$1100,10,FALSE()))),"")</f>
        <v/>
      </c>
      <c r="N601" s="41"/>
      <c r="O601" s="41"/>
      <c r="P601" s="41" t="str">
        <f>IFERROR((IF(VLOOKUP(F601,'Acompanhamento da Licitação'!$F$2:$O$1000,10,FALSE())="","",VLOOKUP(F601,'Acompanhamento da Licitação'!$F$2:$O$1000,10,FALSE()))),"")</f>
        <v/>
      </c>
      <c r="R601" s="61" t="str">
        <f>IFERROR(IF(F601&gt;0,(Final[[#This Row],[Valor da Venda Real]]-Final[[#This Row],[Valor de Compra Previsto]]-4%*Final[[#This Row],[Valor da Venda Real]])/Final[[#This Row],[Valor da Venda Real]],""),"")</f>
        <v/>
      </c>
      <c r="S601" s="61" t="str">
        <f t="shared" si="41"/>
        <v/>
      </c>
      <c r="T601" s="23" t="str">
        <f>IFERROR((R601*Final[[#This Row],[Valor da Venda Real]]*Final[[#This Row],[Quantidade ]]*S601),"")</f>
        <v/>
      </c>
    </row>
    <row r="602" spans="1:20" ht="15.75" x14ac:dyDescent="0.2">
      <c r="A602">
        <f>COUNTIF($C$2:C602,C602)</f>
        <v>601</v>
      </c>
      <c r="B602" s="1" t="str">
        <f t="shared" si="40"/>
        <v>601</v>
      </c>
      <c r="C602" s="1" t="str">
        <f>IFERROR(VLOOKUP(D602,'Planilha de Cadastro - Previsão'!$A$2:$N$1000,14,FALSE()),"")</f>
        <v/>
      </c>
      <c r="D602" s="1">
        <v>601</v>
      </c>
      <c r="F602" s="40" t="str">
        <f t="shared" si="39"/>
        <v/>
      </c>
      <c r="G602" s="40" t="str">
        <f>IF(F602="","",'Prosposta Inicial'!$O$2)</f>
        <v/>
      </c>
      <c r="H602" s="40" t="str">
        <f t="shared" si="38"/>
        <v xml:space="preserve"> </v>
      </c>
      <c r="I602" s="41" t="str">
        <f>IFERROR((VLOOKUP(F602,'Planilha de Cadastro - Previsão'!$A$2:$N$1100,2,FALSE()))," ")</f>
        <v xml:space="preserve"> </v>
      </c>
      <c r="J602" s="40" t="str">
        <f>IFERROR((VLOOKUP(F602,'Planilha de Cadastro - Previsão'!$A$2:$N$1100,3,FALSE()))," ")</f>
        <v xml:space="preserve"> </v>
      </c>
      <c r="K602" s="40"/>
      <c r="L602" s="42" t="str">
        <f>IFERROR((VLOOKUP(F602,'Planilha de Cadastro - Previsão'!$A$2:$N$1100,11,FALSE()))," ")</f>
        <v xml:space="preserve"> </v>
      </c>
      <c r="M602" s="41" t="str">
        <f>IFERROR((IF(VLOOKUP(F602,'Planilha de Cadastro - Previsão'!$A$2:$N$1100,10,FALSE())="","",VLOOKUP(F602,'Planilha de Cadastro - Previsão'!$A$2:$N$1100,10,FALSE()))),"")</f>
        <v/>
      </c>
      <c r="N602" s="41"/>
      <c r="O602" s="41"/>
      <c r="P602" s="41" t="str">
        <f>IFERROR((IF(VLOOKUP(F602,'Acompanhamento da Licitação'!$F$2:$O$1000,10,FALSE())="","",VLOOKUP(F602,'Acompanhamento da Licitação'!$F$2:$O$1000,10,FALSE()))),"")</f>
        <v/>
      </c>
      <c r="R602" s="61" t="str">
        <f>IFERROR(IF(F602&gt;0,(Final[[#This Row],[Valor da Venda Real]]-Final[[#This Row],[Valor de Compra Previsto]]-4%*Final[[#This Row],[Valor da Venda Real]])/Final[[#This Row],[Valor da Venda Real]],""),"")</f>
        <v/>
      </c>
      <c r="S602" s="61" t="str">
        <f t="shared" si="41"/>
        <v/>
      </c>
      <c r="T602" s="23" t="str">
        <f>IFERROR((R602*Final[[#This Row],[Valor da Venda Real]]*Final[[#This Row],[Quantidade ]]*S602),"")</f>
        <v/>
      </c>
    </row>
    <row r="603" spans="1:20" ht="15.75" x14ac:dyDescent="0.2">
      <c r="A603">
        <f>COUNTIF($C$2:C603,C603)</f>
        <v>602</v>
      </c>
      <c r="B603" s="1" t="str">
        <f t="shared" si="40"/>
        <v>602</v>
      </c>
      <c r="C603" s="1" t="str">
        <f>IFERROR(VLOOKUP(D603,'Planilha de Cadastro - Previsão'!$A$2:$N$1000,14,FALSE()),"")</f>
        <v/>
      </c>
      <c r="D603" s="1">
        <v>602</v>
      </c>
      <c r="F603" s="40" t="str">
        <f t="shared" si="39"/>
        <v/>
      </c>
      <c r="G603" s="40" t="str">
        <f>IF(F603="","",'Prosposta Inicial'!$O$2)</f>
        <v/>
      </c>
      <c r="H603" s="40" t="str">
        <f t="shared" si="38"/>
        <v xml:space="preserve"> </v>
      </c>
      <c r="I603" s="41" t="str">
        <f>IFERROR((VLOOKUP(F603,'Planilha de Cadastro - Previsão'!$A$2:$N$1100,2,FALSE()))," ")</f>
        <v xml:space="preserve"> </v>
      </c>
      <c r="J603" s="40" t="str">
        <f>IFERROR((VLOOKUP(F603,'Planilha de Cadastro - Previsão'!$A$2:$N$1100,3,FALSE()))," ")</f>
        <v xml:space="preserve"> </v>
      </c>
      <c r="K603" s="40"/>
      <c r="L603" s="42" t="str">
        <f>IFERROR((VLOOKUP(F603,'Planilha de Cadastro - Previsão'!$A$2:$N$1100,11,FALSE()))," ")</f>
        <v xml:space="preserve"> </v>
      </c>
      <c r="M603" s="41" t="str">
        <f>IFERROR((IF(VLOOKUP(F603,'Planilha de Cadastro - Previsão'!$A$2:$N$1100,10,FALSE())="","",VLOOKUP(F603,'Planilha de Cadastro - Previsão'!$A$2:$N$1100,10,FALSE()))),"")</f>
        <v/>
      </c>
      <c r="N603" s="41"/>
      <c r="O603" s="41"/>
      <c r="P603" s="41" t="str">
        <f>IFERROR((IF(VLOOKUP(F603,'Acompanhamento da Licitação'!$F$2:$O$1000,10,FALSE())="","",VLOOKUP(F603,'Acompanhamento da Licitação'!$F$2:$O$1000,10,FALSE()))),"")</f>
        <v/>
      </c>
      <c r="R603" s="61" t="str">
        <f>IFERROR(IF(F603&gt;0,(Final[[#This Row],[Valor da Venda Real]]-Final[[#This Row],[Valor de Compra Previsto]]-4%*Final[[#This Row],[Valor da Venda Real]])/Final[[#This Row],[Valor da Venda Real]],""),"")</f>
        <v/>
      </c>
      <c r="S603" s="61" t="str">
        <f t="shared" si="41"/>
        <v/>
      </c>
      <c r="T603" s="23" t="str">
        <f>IFERROR((R603*Final[[#This Row],[Valor da Venda Real]]*Final[[#This Row],[Quantidade ]]*S603),"")</f>
        <v/>
      </c>
    </row>
    <row r="604" spans="1:20" ht="15.75" x14ac:dyDescent="0.2">
      <c r="A604">
        <f>COUNTIF($C$2:C604,C604)</f>
        <v>603</v>
      </c>
      <c r="B604" s="1" t="str">
        <f t="shared" si="40"/>
        <v>603</v>
      </c>
      <c r="C604" s="1" t="str">
        <f>IFERROR(VLOOKUP(D604,'Planilha de Cadastro - Previsão'!$A$2:$N$1000,14,FALSE()),"")</f>
        <v/>
      </c>
      <c r="D604" s="1">
        <v>603</v>
      </c>
      <c r="F604" s="40" t="str">
        <f t="shared" si="39"/>
        <v/>
      </c>
      <c r="G604" s="40" t="str">
        <f>IF(F604="","",'Prosposta Inicial'!$O$2)</f>
        <v/>
      </c>
      <c r="H604" s="40" t="str">
        <f t="shared" si="38"/>
        <v xml:space="preserve"> </v>
      </c>
      <c r="I604" s="41" t="str">
        <f>IFERROR((VLOOKUP(F604,'Planilha de Cadastro - Previsão'!$A$2:$N$1100,2,FALSE()))," ")</f>
        <v xml:space="preserve"> </v>
      </c>
      <c r="J604" s="40" t="str">
        <f>IFERROR((VLOOKUP(F604,'Planilha de Cadastro - Previsão'!$A$2:$N$1100,3,FALSE()))," ")</f>
        <v xml:space="preserve"> </v>
      </c>
      <c r="K604" s="40"/>
      <c r="L604" s="42" t="str">
        <f>IFERROR((VLOOKUP(F604,'Planilha de Cadastro - Previsão'!$A$2:$N$1100,11,FALSE()))," ")</f>
        <v xml:space="preserve"> </v>
      </c>
      <c r="M604" s="41" t="str">
        <f>IFERROR((IF(VLOOKUP(F604,'Planilha de Cadastro - Previsão'!$A$2:$N$1100,10,FALSE())="","",VLOOKUP(F604,'Planilha de Cadastro - Previsão'!$A$2:$N$1100,10,FALSE()))),"")</f>
        <v/>
      </c>
      <c r="N604" s="41"/>
      <c r="O604" s="41"/>
      <c r="P604" s="41" t="str">
        <f>IFERROR((IF(VLOOKUP(F604,'Acompanhamento da Licitação'!$F$2:$O$1000,10,FALSE())="","",VLOOKUP(F604,'Acompanhamento da Licitação'!$F$2:$O$1000,10,FALSE()))),"")</f>
        <v/>
      </c>
      <c r="R604" s="61" t="str">
        <f>IFERROR(IF(F604&gt;0,(Final[[#This Row],[Valor da Venda Real]]-Final[[#This Row],[Valor de Compra Previsto]]-4%*Final[[#This Row],[Valor da Venda Real]])/Final[[#This Row],[Valor da Venda Real]],""),"")</f>
        <v/>
      </c>
      <c r="S604" s="61" t="str">
        <f t="shared" si="41"/>
        <v/>
      </c>
      <c r="T604" s="23" t="str">
        <f>IFERROR((R604*Final[[#This Row],[Valor da Venda Real]]*Final[[#This Row],[Quantidade ]]*S604),"")</f>
        <v/>
      </c>
    </row>
    <row r="605" spans="1:20" ht="15.75" x14ac:dyDescent="0.2">
      <c r="A605">
        <f>COUNTIF($C$2:C605,C605)</f>
        <v>604</v>
      </c>
      <c r="B605" s="1" t="str">
        <f t="shared" si="40"/>
        <v>604</v>
      </c>
      <c r="C605" s="1" t="str">
        <f>IFERROR(VLOOKUP(D605,'Planilha de Cadastro - Previsão'!$A$2:$N$1000,14,FALSE()),"")</f>
        <v/>
      </c>
      <c r="D605" s="1">
        <v>604</v>
      </c>
      <c r="F605" s="40" t="str">
        <f t="shared" si="39"/>
        <v/>
      </c>
      <c r="G605" s="40" t="str">
        <f>IF(F605="","",'Prosposta Inicial'!$O$2)</f>
        <v/>
      </c>
      <c r="H605" s="40" t="str">
        <f t="shared" si="38"/>
        <v xml:space="preserve"> </v>
      </c>
      <c r="I605" s="41" t="str">
        <f>IFERROR((VLOOKUP(F605,'Planilha de Cadastro - Previsão'!$A$2:$N$1100,2,FALSE()))," ")</f>
        <v xml:space="preserve"> </v>
      </c>
      <c r="J605" s="40" t="str">
        <f>IFERROR((VLOOKUP(F605,'Planilha de Cadastro - Previsão'!$A$2:$N$1100,3,FALSE()))," ")</f>
        <v xml:space="preserve"> </v>
      </c>
      <c r="K605" s="40"/>
      <c r="L605" s="42" t="str">
        <f>IFERROR((VLOOKUP(F605,'Planilha de Cadastro - Previsão'!$A$2:$N$1100,11,FALSE()))," ")</f>
        <v xml:space="preserve"> </v>
      </c>
      <c r="M605" s="41" t="str">
        <f>IFERROR((IF(VLOOKUP(F605,'Planilha de Cadastro - Previsão'!$A$2:$N$1100,10,FALSE())="","",VLOOKUP(F605,'Planilha de Cadastro - Previsão'!$A$2:$N$1100,10,FALSE()))),"")</f>
        <v/>
      </c>
      <c r="N605" s="41"/>
      <c r="O605" s="41"/>
      <c r="P605" s="41" t="str">
        <f>IFERROR((IF(VLOOKUP(F605,'Acompanhamento da Licitação'!$F$2:$O$1000,10,FALSE())="","",VLOOKUP(F605,'Acompanhamento da Licitação'!$F$2:$O$1000,10,FALSE()))),"")</f>
        <v/>
      </c>
      <c r="R605" s="61" t="str">
        <f>IFERROR(IF(F605&gt;0,(Final[[#This Row],[Valor da Venda Real]]-Final[[#This Row],[Valor de Compra Previsto]]-4%*Final[[#This Row],[Valor da Venda Real]])/Final[[#This Row],[Valor da Venda Real]],""),"")</f>
        <v/>
      </c>
      <c r="S605" s="61" t="str">
        <f t="shared" si="41"/>
        <v/>
      </c>
      <c r="T605" s="23" t="str">
        <f>IFERROR((R605*Final[[#This Row],[Valor da Venda Real]]*Final[[#This Row],[Quantidade ]]*S605),"")</f>
        <v/>
      </c>
    </row>
    <row r="606" spans="1:20" ht="15.75" x14ac:dyDescent="0.2">
      <c r="A606">
        <f>COUNTIF($C$2:C606,C606)</f>
        <v>605</v>
      </c>
      <c r="B606" s="1" t="str">
        <f t="shared" si="40"/>
        <v>605</v>
      </c>
      <c r="C606" s="1" t="str">
        <f>IFERROR(VLOOKUP(D606,'Planilha de Cadastro - Previsão'!$A$2:$N$1000,14,FALSE()),"")</f>
        <v/>
      </c>
      <c r="D606" s="1">
        <v>605</v>
      </c>
      <c r="F606" s="40" t="str">
        <f t="shared" si="39"/>
        <v/>
      </c>
      <c r="G606" s="40" t="str">
        <f>IF(F606="","",'Prosposta Inicial'!$O$2)</f>
        <v/>
      </c>
      <c r="H606" s="40" t="str">
        <f t="shared" si="38"/>
        <v xml:space="preserve"> </v>
      </c>
      <c r="I606" s="41" t="str">
        <f>IFERROR((VLOOKUP(F606,'Planilha de Cadastro - Previsão'!$A$2:$N$1100,2,FALSE()))," ")</f>
        <v xml:space="preserve"> </v>
      </c>
      <c r="J606" s="40" t="str">
        <f>IFERROR((VLOOKUP(F606,'Planilha de Cadastro - Previsão'!$A$2:$N$1100,3,FALSE()))," ")</f>
        <v xml:space="preserve"> </v>
      </c>
      <c r="K606" s="40"/>
      <c r="L606" s="42" t="str">
        <f>IFERROR((VLOOKUP(F606,'Planilha de Cadastro - Previsão'!$A$2:$N$1100,11,FALSE()))," ")</f>
        <v xml:space="preserve"> </v>
      </c>
      <c r="M606" s="41" t="str">
        <f>IFERROR((IF(VLOOKUP(F606,'Planilha de Cadastro - Previsão'!$A$2:$N$1100,10,FALSE())="","",VLOOKUP(F606,'Planilha de Cadastro - Previsão'!$A$2:$N$1100,10,FALSE()))),"")</f>
        <v/>
      </c>
      <c r="N606" s="41"/>
      <c r="O606" s="41"/>
      <c r="P606" s="41" t="str">
        <f>IFERROR((IF(VLOOKUP(F606,'Acompanhamento da Licitação'!$F$2:$O$1000,10,FALSE())="","",VLOOKUP(F606,'Acompanhamento da Licitação'!$F$2:$O$1000,10,FALSE()))),"")</f>
        <v/>
      </c>
      <c r="R606" s="61" t="str">
        <f>IFERROR(IF(F606&gt;0,(Final[[#This Row],[Valor da Venda Real]]-Final[[#This Row],[Valor de Compra Previsto]]-4%*Final[[#This Row],[Valor da Venda Real]])/Final[[#This Row],[Valor da Venda Real]],""),"")</f>
        <v/>
      </c>
      <c r="S606" s="61" t="str">
        <f t="shared" si="41"/>
        <v/>
      </c>
      <c r="T606" s="23" t="str">
        <f>IFERROR((R606*Final[[#This Row],[Valor da Venda Real]]*Final[[#This Row],[Quantidade ]]*S606),"")</f>
        <v/>
      </c>
    </row>
    <row r="607" spans="1:20" ht="15.75" x14ac:dyDescent="0.2">
      <c r="A607">
        <f>COUNTIF($C$2:C607,C607)</f>
        <v>606</v>
      </c>
      <c r="B607" s="1" t="str">
        <f t="shared" si="40"/>
        <v>606</v>
      </c>
      <c r="C607" s="1" t="str">
        <f>IFERROR(VLOOKUP(D607,'Planilha de Cadastro - Previsão'!$A$2:$N$1000,14,FALSE()),"")</f>
        <v/>
      </c>
      <c r="D607" s="1">
        <v>606</v>
      </c>
      <c r="F607" s="40" t="str">
        <f t="shared" si="39"/>
        <v/>
      </c>
      <c r="G607" s="40" t="str">
        <f>IF(F607="","",'Prosposta Inicial'!$O$2)</f>
        <v/>
      </c>
      <c r="H607" s="40" t="str">
        <f t="shared" si="38"/>
        <v xml:space="preserve"> </v>
      </c>
      <c r="I607" s="41" t="str">
        <f>IFERROR((VLOOKUP(F607,'Planilha de Cadastro - Previsão'!$A$2:$N$1100,2,FALSE()))," ")</f>
        <v xml:space="preserve"> </v>
      </c>
      <c r="J607" s="40" t="str">
        <f>IFERROR((VLOOKUP(F607,'Planilha de Cadastro - Previsão'!$A$2:$N$1100,3,FALSE()))," ")</f>
        <v xml:space="preserve"> </v>
      </c>
      <c r="K607" s="40"/>
      <c r="L607" s="42" t="str">
        <f>IFERROR((VLOOKUP(F607,'Planilha de Cadastro - Previsão'!$A$2:$N$1100,11,FALSE()))," ")</f>
        <v xml:space="preserve"> </v>
      </c>
      <c r="M607" s="41" t="str">
        <f>IFERROR((IF(VLOOKUP(F607,'Planilha de Cadastro - Previsão'!$A$2:$N$1100,10,FALSE())="","",VLOOKUP(F607,'Planilha de Cadastro - Previsão'!$A$2:$N$1100,10,FALSE()))),"")</f>
        <v/>
      </c>
      <c r="N607" s="41"/>
      <c r="O607" s="41"/>
      <c r="P607" s="41" t="str">
        <f>IFERROR((IF(VLOOKUP(F607,'Acompanhamento da Licitação'!$F$2:$O$1000,10,FALSE())="","",VLOOKUP(F607,'Acompanhamento da Licitação'!$F$2:$O$1000,10,FALSE()))),"")</f>
        <v/>
      </c>
      <c r="R607" s="61" t="str">
        <f>IFERROR(IF(F607&gt;0,(Final[[#This Row],[Valor da Venda Real]]-Final[[#This Row],[Valor de Compra Previsto]]-4%*Final[[#This Row],[Valor da Venda Real]])/Final[[#This Row],[Valor da Venda Real]],""),"")</f>
        <v/>
      </c>
      <c r="S607" s="61" t="str">
        <f t="shared" si="41"/>
        <v/>
      </c>
      <c r="T607" s="23" t="str">
        <f>IFERROR((R607*Final[[#This Row],[Valor da Venda Real]]*Final[[#This Row],[Quantidade ]]*S607),"")</f>
        <v/>
      </c>
    </row>
    <row r="608" spans="1:20" ht="15.75" x14ac:dyDescent="0.2">
      <c r="A608">
        <f>COUNTIF($C$2:C608,C608)</f>
        <v>607</v>
      </c>
      <c r="B608" s="1" t="str">
        <f t="shared" si="40"/>
        <v>607</v>
      </c>
      <c r="C608" s="1" t="str">
        <f>IFERROR(VLOOKUP(D608,'Planilha de Cadastro - Previsão'!$A$2:$N$1000,14,FALSE()),"")</f>
        <v/>
      </c>
      <c r="D608" s="1">
        <v>607</v>
      </c>
      <c r="F608" s="40" t="str">
        <f t="shared" si="39"/>
        <v/>
      </c>
      <c r="G608" s="40" t="str">
        <f>IF(F608="","",'Prosposta Inicial'!$O$2)</f>
        <v/>
      </c>
      <c r="H608" s="40" t="str">
        <f t="shared" si="38"/>
        <v xml:space="preserve"> </v>
      </c>
      <c r="I608" s="41" t="str">
        <f>IFERROR((VLOOKUP(F608,'Planilha de Cadastro - Previsão'!$A$2:$N$1100,2,FALSE()))," ")</f>
        <v xml:space="preserve"> </v>
      </c>
      <c r="J608" s="40" t="str">
        <f>IFERROR((VLOOKUP(F608,'Planilha de Cadastro - Previsão'!$A$2:$N$1100,3,FALSE()))," ")</f>
        <v xml:space="preserve"> </v>
      </c>
      <c r="K608" s="40"/>
      <c r="L608" s="42" t="str">
        <f>IFERROR((VLOOKUP(F608,'Planilha de Cadastro - Previsão'!$A$2:$N$1100,11,FALSE()))," ")</f>
        <v xml:space="preserve"> </v>
      </c>
      <c r="M608" s="41" t="str">
        <f>IFERROR((IF(VLOOKUP(F608,'Planilha de Cadastro - Previsão'!$A$2:$N$1100,10,FALSE())="","",VLOOKUP(F608,'Planilha de Cadastro - Previsão'!$A$2:$N$1100,10,FALSE()))),"")</f>
        <v/>
      </c>
      <c r="N608" s="41"/>
      <c r="O608" s="41"/>
      <c r="P608" s="41" t="str">
        <f>IFERROR((IF(VLOOKUP(F608,'Acompanhamento da Licitação'!$F$2:$O$1000,10,FALSE())="","",VLOOKUP(F608,'Acompanhamento da Licitação'!$F$2:$O$1000,10,FALSE()))),"")</f>
        <v/>
      </c>
      <c r="R608" s="61" t="str">
        <f>IFERROR(IF(F608&gt;0,(Final[[#This Row],[Valor da Venda Real]]-Final[[#This Row],[Valor de Compra Previsto]]-4%*Final[[#This Row],[Valor da Venda Real]])/Final[[#This Row],[Valor da Venda Real]],""),"")</f>
        <v/>
      </c>
      <c r="S608" s="61" t="str">
        <f t="shared" si="41"/>
        <v/>
      </c>
      <c r="T608" s="23" t="str">
        <f>IFERROR((R608*Final[[#This Row],[Valor da Venda Real]]*Final[[#This Row],[Quantidade ]]*S608),"")</f>
        <v/>
      </c>
    </row>
    <row r="609" spans="1:20" ht="15.75" x14ac:dyDescent="0.2">
      <c r="A609">
        <f>COUNTIF($C$2:C609,C609)</f>
        <v>608</v>
      </c>
      <c r="B609" s="1" t="str">
        <f t="shared" si="40"/>
        <v>608</v>
      </c>
      <c r="C609" s="1" t="str">
        <f>IFERROR(VLOOKUP(D609,'Planilha de Cadastro - Previsão'!$A$2:$N$1000,14,FALSE()),"")</f>
        <v/>
      </c>
      <c r="D609" s="1">
        <v>608</v>
      </c>
      <c r="F609" s="40" t="str">
        <f t="shared" si="39"/>
        <v/>
      </c>
      <c r="G609" s="40" t="str">
        <f>IF(F609="","",'Prosposta Inicial'!$O$2)</f>
        <v/>
      </c>
      <c r="H609" s="40" t="str">
        <f t="shared" si="38"/>
        <v xml:space="preserve"> </v>
      </c>
      <c r="I609" s="41" t="str">
        <f>IFERROR((VLOOKUP(F609,'Planilha de Cadastro - Previsão'!$A$2:$N$1100,2,FALSE()))," ")</f>
        <v xml:space="preserve"> </v>
      </c>
      <c r="J609" s="40" t="str">
        <f>IFERROR((VLOOKUP(F609,'Planilha de Cadastro - Previsão'!$A$2:$N$1100,3,FALSE()))," ")</f>
        <v xml:space="preserve"> </v>
      </c>
      <c r="K609" s="40"/>
      <c r="L609" s="42" t="str">
        <f>IFERROR((VLOOKUP(F609,'Planilha de Cadastro - Previsão'!$A$2:$N$1100,11,FALSE()))," ")</f>
        <v xml:space="preserve"> </v>
      </c>
      <c r="M609" s="41" t="str">
        <f>IFERROR((IF(VLOOKUP(F609,'Planilha de Cadastro - Previsão'!$A$2:$N$1100,10,FALSE())="","",VLOOKUP(F609,'Planilha de Cadastro - Previsão'!$A$2:$N$1100,10,FALSE()))),"")</f>
        <v/>
      </c>
      <c r="N609" s="41"/>
      <c r="O609" s="41"/>
      <c r="P609" s="41" t="str">
        <f>IFERROR((IF(VLOOKUP(F609,'Acompanhamento da Licitação'!$F$2:$O$1000,10,FALSE())="","",VLOOKUP(F609,'Acompanhamento da Licitação'!$F$2:$O$1000,10,FALSE()))),"")</f>
        <v/>
      </c>
      <c r="R609" s="61" t="str">
        <f>IFERROR(IF(F609&gt;0,(Final[[#This Row],[Valor da Venda Real]]-Final[[#This Row],[Valor de Compra Previsto]]-4%*Final[[#This Row],[Valor da Venda Real]])/Final[[#This Row],[Valor da Venda Real]],""),"")</f>
        <v/>
      </c>
      <c r="S609" s="61" t="str">
        <f t="shared" si="41"/>
        <v/>
      </c>
      <c r="T609" s="23" t="str">
        <f>IFERROR((R609*Final[[#This Row],[Valor da Venda Real]]*Final[[#This Row],[Quantidade ]]*S609),"")</f>
        <v/>
      </c>
    </row>
    <row r="610" spans="1:20" ht="15.75" x14ac:dyDescent="0.2">
      <c r="A610">
        <f>COUNTIF($C$2:C610,C610)</f>
        <v>609</v>
      </c>
      <c r="B610" s="1" t="str">
        <f t="shared" si="40"/>
        <v>609</v>
      </c>
      <c r="C610" s="1" t="str">
        <f>IFERROR(VLOOKUP(D610,'Planilha de Cadastro - Previsão'!$A$2:$N$1000,14,FALSE()),"")</f>
        <v/>
      </c>
      <c r="D610" s="1">
        <v>609</v>
      </c>
      <c r="F610" s="40" t="str">
        <f t="shared" si="39"/>
        <v/>
      </c>
      <c r="G610" s="40" t="str">
        <f>IF(F610="","",'Prosposta Inicial'!$O$2)</f>
        <v/>
      </c>
      <c r="H610" s="40" t="str">
        <f t="shared" si="38"/>
        <v xml:space="preserve"> </v>
      </c>
      <c r="I610" s="41" t="str">
        <f>IFERROR((VLOOKUP(F610,'Planilha de Cadastro - Previsão'!$A$2:$N$1100,2,FALSE()))," ")</f>
        <v xml:space="preserve"> </v>
      </c>
      <c r="J610" s="40" t="str">
        <f>IFERROR((VLOOKUP(F610,'Planilha de Cadastro - Previsão'!$A$2:$N$1100,3,FALSE()))," ")</f>
        <v xml:space="preserve"> </v>
      </c>
      <c r="K610" s="40"/>
      <c r="L610" s="42" t="str">
        <f>IFERROR((VLOOKUP(F610,'Planilha de Cadastro - Previsão'!$A$2:$N$1100,11,FALSE()))," ")</f>
        <v xml:space="preserve"> </v>
      </c>
      <c r="M610" s="41" t="str">
        <f>IFERROR((IF(VLOOKUP(F610,'Planilha de Cadastro - Previsão'!$A$2:$N$1100,10,FALSE())="","",VLOOKUP(F610,'Planilha de Cadastro - Previsão'!$A$2:$N$1100,10,FALSE()))),"")</f>
        <v/>
      </c>
      <c r="N610" s="41"/>
      <c r="O610" s="41"/>
      <c r="P610" s="41" t="str">
        <f>IFERROR((IF(VLOOKUP(F610,'Acompanhamento da Licitação'!$F$2:$O$1000,10,FALSE())="","",VLOOKUP(F610,'Acompanhamento da Licitação'!$F$2:$O$1000,10,FALSE()))),"")</f>
        <v/>
      </c>
      <c r="R610" s="61" t="str">
        <f>IFERROR(IF(F610&gt;0,(Final[[#This Row],[Valor da Venda Real]]-Final[[#This Row],[Valor de Compra Previsto]]-4%*Final[[#This Row],[Valor da Venda Real]])/Final[[#This Row],[Valor da Venda Real]],""),"")</f>
        <v/>
      </c>
      <c r="S610" s="61" t="str">
        <f t="shared" si="41"/>
        <v/>
      </c>
      <c r="T610" s="23" t="str">
        <f>IFERROR((R610*Final[[#This Row],[Valor da Venda Real]]*Final[[#This Row],[Quantidade ]]*S610),"")</f>
        <v/>
      </c>
    </row>
    <row r="611" spans="1:20" ht="15.75" x14ac:dyDescent="0.2">
      <c r="A611">
        <f>COUNTIF($C$2:C611,C611)</f>
        <v>610</v>
      </c>
      <c r="B611" s="1" t="str">
        <f t="shared" si="40"/>
        <v>610</v>
      </c>
      <c r="C611" s="1" t="str">
        <f>IFERROR(VLOOKUP(D611,'Planilha de Cadastro - Previsão'!$A$2:$N$1000,14,FALSE()),"")</f>
        <v/>
      </c>
      <c r="D611" s="1">
        <v>610</v>
      </c>
      <c r="F611" s="40" t="str">
        <f t="shared" si="39"/>
        <v/>
      </c>
      <c r="G611" s="40" t="str">
        <f>IF(F611="","",'Prosposta Inicial'!$O$2)</f>
        <v/>
      </c>
      <c r="H611" s="40" t="str">
        <f t="shared" si="38"/>
        <v xml:space="preserve"> </v>
      </c>
      <c r="I611" s="41" t="str">
        <f>IFERROR((VLOOKUP(F611,'Planilha de Cadastro - Previsão'!$A$2:$N$1100,2,FALSE()))," ")</f>
        <v xml:space="preserve"> </v>
      </c>
      <c r="J611" s="40" t="str">
        <f>IFERROR((VLOOKUP(F611,'Planilha de Cadastro - Previsão'!$A$2:$N$1100,3,FALSE()))," ")</f>
        <v xml:space="preserve"> </v>
      </c>
      <c r="K611" s="40"/>
      <c r="L611" s="42" t="str">
        <f>IFERROR((VLOOKUP(F611,'Planilha de Cadastro - Previsão'!$A$2:$N$1100,11,FALSE()))," ")</f>
        <v xml:space="preserve"> </v>
      </c>
      <c r="M611" s="41" t="str">
        <f>IFERROR((IF(VLOOKUP(F611,'Planilha de Cadastro - Previsão'!$A$2:$N$1100,10,FALSE())="","",VLOOKUP(F611,'Planilha de Cadastro - Previsão'!$A$2:$N$1100,10,FALSE()))),"")</f>
        <v/>
      </c>
      <c r="N611" s="41"/>
      <c r="O611" s="41"/>
      <c r="P611" s="41" t="str">
        <f>IFERROR((IF(VLOOKUP(F611,'Acompanhamento da Licitação'!$F$2:$O$1000,10,FALSE())="","",VLOOKUP(F611,'Acompanhamento da Licitação'!$F$2:$O$1000,10,FALSE()))),"")</f>
        <v/>
      </c>
      <c r="R611" s="61" t="str">
        <f>IFERROR(IF(F611&gt;0,(Final[[#This Row],[Valor da Venda Real]]-Final[[#This Row],[Valor de Compra Previsto]]-4%*Final[[#This Row],[Valor da Venda Real]])/Final[[#This Row],[Valor da Venda Real]],""),"")</f>
        <v/>
      </c>
      <c r="S611" s="61" t="str">
        <f t="shared" si="41"/>
        <v/>
      </c>
      <c r="T611" s="23" t="str">
        <f>IFERROR((R611*Final[[#This Row],[Valor da Venda Real]]*Final[[#This Row],[Quantidade ]]*S611),"")</f>
        <v/>
      </c>
    </row>
    <row r="612" spans="1:20" ht="15.75" x14ac:dyDescent="0.2">
      <c r="A612">
        <f>COUNTIF($C$2:C612,C612)</f>
        <v>611</v>
      </c>
      <c r="B612" s="1" t="str">
        <f t="shared" si="40"/>
        <v>611</v>
      </c>
      <c r="C612" s="1" t="str">
        <f>IFERROR(VLOOKUP(D612,'Planilha de Cadastro - Previsão'!$A$2:$N$1000,14,FALSE()),"")</f>
        <v/>
      </c>
      <c r="D612" s="1">
        <v>611</v>
      </c>
      <c r="F612" s="40" t="str">
        <f t="shared" si="39"/>
        <v/>
      </c>
      <c r="G612" s="40" t="str">
        <f>IF(F612="","",'Prosposta Inicial'!$O$2)</f>
        <v/>
      </c>
      <c r="H612" s="40" t="str">
        <f t="shared" si="38"/>
        <v xml:space="preserve"> </v>
      </c>
      <c r="I612" s="41" t="str">
        <f>IFERROR((VLOOKUP(F612,'Planilha de Cadastro - Previsão'!$A$2:$N$1100,2,FALSE()))," ")</f>
        <v xml:space="preserve"> </v>
      </c>
      <c r="J612" s="40" t="str">
        <f>IFERROR((VLOOKUP(F612,'Planilha de Cadastro - Previsão'!$A$2:$N$1100,3,FALSE()))," ")</f>
        <v xml:space="preserve"> </v>
      </c>
      <c r="K612" s="40"/>
      <c r="L612" s="42" t="str">
        <f>IFERROR((VLOOKUP(F612,'Planilha de Cadastro - Previsão'!$A$2:$N$1100,11,FALSE()))," ")</f>
        <v xml:space="preserve"> </v>
      </c>
      <c r="M612" s="41" t="str">
        <f>IFERROR((IF(VLOOKUP(F612,'Planilha de Cadastro - Previsão'!$A$2:$N$1100,10,FALSE())="","",VLOOKUP(F612,'Planilha de Cadastro - Previsão'!$A$2:$N$1100,10,FALSE()))),"")</f>
        <v/>
      </c>
      <c r="N612" s="41"/>
      <c r="O612" s="41"/>
      <c r="P612" s="41" t="str">
        <f>IFERROR((IF(VLOOKUP(F612,'Acompanhamento da Licitação'!$F$2:$O$1000,10,FALSE())="","",VLOOKUP(F612,'Acompanhamento da Licitação'!$F$2:$O$1000,10,FALSE()))),"")</f>
        <v/>
      </c>
      <c r="R612" s="61" t="str">
        <f>IFERROR(IF(F612&gt;0,(Final[[#This Row],[Valor da Venda Real]]-Final[[#This Row],[Valor de Compra Previsto]]-4%*Final[[#This Row],[Valor da Venda Real]])/Final[[#This Row],[Valor da Venda Real]],""),"")</f>
        <v/>
      </c>
      <c r="S612" s="61" t="str">
        <f t="shared" si="41"/>
        <v/>
      </c>
      <c r="T612" s="23" t="str">
        <f>IFERROR((R612*Final[[#This Row],[Valor da Venda Real]]*Final[[#This Row],[Quantidade ]]*S612),"")</f>
        <v/>
      </c>
    </row>
    <row r="613" spans="1:20" ht="15.75" x14ac:dyDescent="0.2">
      <c r="A613">
        <f>COUNTIF($C$2:C613,C613)</f>
        <v>612</v>
      </c>
      <c r="B613" s="1" t="str">
        <f t="shared" si="40"/>
        <v>612</v>
      </c>
      <c r="C613" s="1" t="str">
        <f>IFERROR(VLOOKUP(D613,'Planilha de Cadastro - Previsão'!$A$2:$N$1000,14,FALSE()),"")</f>
        <v/>
      </c>
      <c r="D613" s="1">
        <v>612</v>
      </c>
      <c r="F613" s="40" t="str">
        <f t="shared" si="39"/>
        <v/>
      </c>
      <c r="G613" s="40" t="str">
        <f>IF(F613="","",'Prosposta Inicial'!$O$2)</f>
        <v/>
      </c>
      <c r="H613" s="40" t="str">
        <f t="shared" ref="H613:H676" si="42">CONCATENATE(F613,G613,I613)</f>
        <v xml:space="preserve"> </v>
      </c>
      <c r="I613" s="41" t="str">
        <f>IFERROR((VLOOKUP(F613,'Planilha de Cadastro - Previsão'!$A$2:$N$1100,2,FALSE()))," ")</f>
        <v xml:space="preserve"> </v>
      </c>
      <c r="J613" s="40" t="str">
        <f>IFERROR((VLOOKUP(F613,'Planilha de Cadastro - Previsão'!$A$2:$N$1100,3,FALSE()))," ")</f>
        <v xml:space="preserve"> </v>
      </c>
      <c r="K613" s="40"/>
      <c r="L613" s="42" t="str">
        <f>IFERROR((VLOOKUP(F613,'Planilha de Cadastro - Previsão'!$A$2:$N$1100,11,FALSE()))," ")</f>
        <v xml:space="preserve"> </v>
      </c>
      <c r="M613" s="41" t="str">
        <f>IFERROR((IF(VLOOKUP(F613,'Planilha de Cadastro - Previsão'!$A$2:$N$1100,10,FALSE())="","",VLOOKUP(F613,'Planilha de Cadastro - Previsão'!$A$2:$N$1100,10,FALSE()))),"")</f>
        <v/>
      </c>
      <c r="N613" s="41"/>
      <c r="O613" s="41"/>
      <c r="P613" s="41" t="str">
        <f>IFERROR((IF(VLOOKUP(F613,'Acompanhamento da Licitação'!$F$2:$O$1000,10,FALSE())="","",VLOOKUP(F613,'Acompanhamento da Licitação'!$F$2:$O$1000,10,FALSE()))),"")</f>
        <v/>
      </c>
      <c r="R613" s="61" t="str">
        <f>IFERROR(IF(F613&gt;0,(Final[[#This Row],[Valor da Venda Real]]-Final[[#This Row],[Valor de Compra Previsto]]-4%*Final[[#This Row],[Valor da Venda Real]])/Final[[#This Row],[Valor da Venda Real]],""),"")</f>
        <v/>
      </c>
      <c r="S613" s="61" t="str">
        <f t="shared" si="41"/>
        <v/>
      </c>
      <c r="T613" s="23" t="str">
        <f>IFERROR((R613*Final[[#This Row],[Valor da Venda Real]]*Final[[#This Row],[Quantidade ]]*S613),"")</f>
        <v/>
      </c>
    </row>
    <row r="614" spans="1:20" ht="15.75" x14ac:dyDescent="0.2">
      <c r="A614">
        <f>COUNTIF($C$2:C614,C614)</f>
        <v>613</v>
      </c>
      <c r="B614" s="1" t="str">
        <f t="shared" si="40"/>
        <v>613</v>
      </c>
      <c r="C614" s="1" t="str">
        <f>IFERROR(VLOOKUP(D614,'Planilha de Cadastro - Previsão'!$A$2:$N$1000,14,FALSE()),"")</f>
        <v/>
      </c>
      <c r="D614" s="1">
        <v>613</v>
      </c>
      <c r="F614" s="40" t="str">
        <f t="shared" si="39"/>
        <v/>
      </c>
      <c r="G614" s="40" t="str">
        <f>IF(F614="","",'Prosposta Inicial'!$O$2)</f>
        <v/>
      </c>
      <c r="H614" s="40" t="str">
        <f t="shared" si="42"/>
        <v xml:space="preserve"> </v>
      </c>
      <c r="I614" s="41" t="str">
        <f>IFERROR((VLOOKUP(F614,'Planilha de Cadastro - Previsão'!$A$2:$N$1100,2,FALSE()))," ")</f>
        <v xml:space="preserve"> </v>
      </c>
      <c r="J614" s="40" t="str">
        <f>IFERROR((VLOOKUP(F614,'Planilha de Cadastro - Previsão'!$A$2:$N$1100,3,FALSE()))," ")</f>
        <v xml:space="preserve"> </v>
      </c>
      <c r="K614" s="40"/>
      <c r="L614" s="42" t="str">
        <f>IFERROR((VLOOKUP(F614,'Planilha de Cadastro - Previsão'!$A$2:$N$1100,11,FALSE()))," ")</f>
        <v xml:space="preserve"> </v>
      </c>
      <c r="M614" s="41" t="str">
        <f>IFERROR((IF(VLOOKUP(F614,'Planilha de Cadastro - Previsão'!$A$2:$N$1100,10,FALSE())="","",VLOOKUP(F614,'Planilha de Cadastro - Previsão'!$A$2:$N$1100,10,FALSE()))),"")</f>
        <v/>
      </c>
      <c r="N614" s="41"/>
      <c r="O614" s="41"/>
      <c r="P614" s="41" t="str">
        <f>IFERROR((IF(VLOOKUP(F614,'Acompanhamento da Licitação'!$F$2:$O$1000,10,FALSE())="","",VLOOKUP(F614,'Acompanhamento da Licitação'!$F$2:$O$1000,10,FALSE()))),"")</f>
        <v/>
      </c>
      <c r="R614" s="61" t="str">
        <f>IFERROR(IF(F614&gt;0,(Final[[#This Row],[Valor da Venda Real]]-Final[[#This Row],[Valor de Compra Previsto]]-4%*Final[[#This Row],[Valor da Venda Real]])/Final[[#This Row],[Valor da Venda Real]],""),"")</f>
        <v/>
      </c>
      <c r="S614" s="61" t="str">
        <f t="shared" si="41"/>
        <v/>
      </c>
      <c r="T614" s="23" t="str">
        <f>IFERROR((R614*Final[[#This Row],[Valor da Venda Real]]*Final[[#This Row],[Quantidade ]]*S614),"")</f>
        <v/>
      </c>
    </row>
    <row r="615" spans="1:20" ht="15.75" x14ac:dyDescent="0.2">
      <c r="A615">
        <f>COUNTIF($C$2:C615,C615)</f>
        <v>614</v>
      </c>
      <c r="B615" s="1" t="str">
        <f t="shared" si="40"/>
        <v>614</v>
      </c>
      <c r="C615" s="1" t="str">
        <f>IFERROR(VLOOKUP(D615,'Planilha de Cadastro - Previsão'!$A$2:$N$1000,14,FALSE()),"")</f>
        <v/>
      </c>
      <c r="D615" s="1">
        <v>614</v>
      </c>
      <c r="F615" s="40" t="str">
        <f t="shared" si="39"/>
        <v/>
      </c>
      <c r="G615" s="40" t="str">
        <f>IF(F615="","",'Prosposta Inicial'!$O$2)</f>
        <v/>
      </c>
      <c r="H615" s="40" t="str">
        <f t="shared" si="42"/>
        <v xml:space="preserve"> </v>
      </c>
      <c r="I615" s="41" t="str">
        <f>IFERROR((VLOOKUP(F615,'Planilha de Cadastro - Previsão'!$A$2:$N$1100,2,FALSE()))," ")</f>
        <v xml:space="preserve"> </v>
      </c>
      <c r="J615" s="40" t="str">
        <f>IFERROR((VLOOKUP(F615,'Planilha de Cadastro - Previsão'!$A$2:$N$1100,3,FALSE()))," ")</f>
        <v xml:space="preserve"> </v>
      </c>
      <c r="K615" s="40"/>
      <c r="L615" s="42" t="str">
        <f>IFERROR((VLOOKUP(F615,'Planilha de Cadastro - Previsão'!$A$2:$N$1100,11,FALSE()))," ")</f>
        <v xml:space="preserve"> </v>
      </c>
      <c r="M615" s="41" t="str">
        <f>IFERROR((IF(VLOOKUP(F615,'Planilha de Cadastro - Previsão'!$A$2:$N$1100,10,FALSE())="","",VLOOKUP(F615,'Planilha de Cadastro - Previsão'!$A$2:$N$1100,10,FALSE()))),"")</f>
        <v/>
      </c>
      <c r="N615" s="41"/>
      <c r="O615" s="41"/>
      <c r="P615" s="41" t="str">
        <f>IFERROR((IF(VLOOKUP(F615,'Acompanhamento da Licitação'!$F$2:$O$1000,10,FALSE())="","",VLOOKUP(F615,'Acompanhamento da Licitação'!$F$2:$O$1000,10,FALSE()))),"")</f>
        <v/>
      </c>
      <c r="R615" s="61" t="str">
        <f>IFERROR(IF(F615&gt;0,(Final[[#This Row],[Valor da Venda Real]]-Final[[#This Row],[Valor de Compra Previsto]]-4%*Final[[#This Row],[Valor da Venda Real]])/Final[[#This Row],[Valor da Venda Real]],""),"")</f>
        <v/>
      </c>
      <c r="S615" s="61" t="str">
        <f t="shared" si="41"/>
        <v/>
      </c>
      <c r="T615" s="23" t="str">
        <f>IFERROR((R615*Final[[#This Row],[Valor da Venda Real]]*Final[[#This Row],[Quantidade ]]*S615),"")</f>
        <v/>
      </c>
    </row>
    <row r="616" spans="1:20" ht="15.75" x14ac:dyDescent="0.2">
      <c r="A616">
        <f>COUNTIF($C$2:C616,C616)</f>
        <v>615</v>
      </c>
      <c r="B616" s="1" t="str">
        <f t="shared" si="40"/>
        <v>615</v>
      </c>
      <c r="C616" s="1" t="str">
        <f>IFERROR(VLOOKUP(D616,'Planilha de Cadastro - Previsão'!$A$2:$N$1000,14,FALSE()),"")</f>
        <v/>
      </c>
      <c r="D616" s="1">
        <v>615</v>
      </c>
      <c r="F616" s="40" t="str">
        <f t="shared" si="39"/>
        <v/>
      </c>
      <c r="G616" s="40" t="str">
        <f>IF(F616="","",'Prosposta Inicial'!$O$2)</f>
        <v/>
      </c>
      <c r="H616" s="40" t="str">
        <f t="shared" si="42"/>
        <v xml:space="preserve"> </v>
      </c>
      <c r="I616" s="41" t="str">
        <f>IFERROR((VLOOKUP(F616,'Planilha de Cadastro - Previsão'!$A$2:$N$1100,2,FALSE()))," ")</f>
        <v xml:space="preserve"> </v>
      </c>
      <c r="J616" s="40" t="str">
        <f>IFERROR((VLOOKUP(F616,'Planilha de Cadastro - Previsão'!$A$2:$N$1100,3,FALSE()))," ")</f>
        <v xml:space="preserve"> </v>
      </c>
      <c r="K616" s="40"/>
      <c r="L616" s="42" t="str">
        <f>IFERROR((VLOOKUP(F616,'Planilha de Cadastro - Previsão'!$A$2:$N$1100,11,FALSE()))," ")</f>
        <v xml:space="preserve"> </v>
      </c>
      <c r="M616" s="41" t="str">
        <f>IFERROR((IF(VLOOKUP(F616,'Planilha de Cadastro - Previsão'!$A$2:$N$1100,10,FALSE())="","",VLOOKUP(F616,'Planilha de Cadastro - Previsão'!$A$2:$N$1100,10,FALSE()))),"")</f>
        <v/>
      </c>
      <c r="N616" s="41"/>
      <c r="O616" s="41"/>
      <c r="P616" s="41" t="str">
        <f>IFERROR((IF(VLOOKUP(F616,'Acompanhamento da Licitação'!$F$2:$O$1000,10,FALSE())="","",VLOOKUP(F616,'Acompanhamento da Licitação'!$F$2:$O$1000,10,FALSE()))),"")</f>
        <v/>
      </c>
      <c r="R616" s="61" t="str">
        <f>IFERROR(IF(F616&gt;0,(Final[[#This Row],[Valor da Venda Real]]-Final[[#This Row],[Valor de Compra Previsto]]-4%*Final[[#This Row],[Valor da Venda Real]])/Final[[#This Row],[Valor da Venda Real]],""),"")</f>
        <v/>
      </c>
      <c r="S616" s="61" t="str">
        <f t="shared" si="41"/>
        <v/>
      </c>
      <c r="T616" s="23" t="str">
        <f>IFERROR((R616*Final[[#This Row],[Valor da Venda Real]]*Final[[#This Row],[Quantidade ]]*S616),"")</f>
        <v/>
      </c>
    </row>
    <row r="617" spans="1:20" ht="15.75" x14ac:dyDescent="0.2">
      <c r="A617">
        <f>COUNTIF($C$2:C617,C617)</f>
        <v>616</v>
      </c>
      <c r="B617" s="1" t="str">
        <f t="shared" si="40"/>
        <v>616</v>
      </c>
      <c r="C617" s="1" t="str">
        <f>IFERROR(VLOOKUP(D617,'Planilha de Cadastro - Previsão'!$A$2:$N$1000,14,FALSE()),"")</f>
        <v/>
      </c>
      <c r="D617" s="1">
        <v>616</v>
      </c>
      <c r="F617" s="40" t="str">
        <f t="shared" si="39"/>
        <v/>
      </c>
      <c r="G617" s="40" t="str">
        <f>IF(F617="","",'Prosposta Inicial'!$O$2)</f>
        <v/>
      </c>
      <c r="H617" s="40" t="str">
        <f t="shared" si="42"/>
        <v xml:space="preserve"> </v>
      </c>
      <c r="I617" s="41" t="str">
        <f>IFERROR((VLOOKUP(F617,'Planilha de Cadastro - Previsão'!$A$2:$N$1100,2,FALSE()))," ")</f>
        <v xml:space="preserve"> </v>
      </c>
      <c r="J617" s="40" t="str">
        <f>IFERROR((VLOOKUP(F617,'Planilha de Cadastro - Previsão'!$A$2:$N$1100,3,FALSE()))," ")</f>
        <v xml:space="preserve"> </v>
      </c>
      <c r="K617" s="40"/>
      <c r="L617" s="42" t="str">
        <f>IFERROR((VLOOKUP(F617,'Planilha de Cadastro - Previsão'!$A$2:$N$1100,11,FALSE()))," ")</f>
        <v xml:space="preserve"> </v>
      </c>
      <c r="M617" s="41" t="str">
        <f>IFERROR((IF(VLOOKUP(F617,'Planilha de Cadastro - Previsão'!$A$2:$N$1100,10,FALSE())="","",VLOOKUP(F617,'Planilha de Cadastro - Previsão'!$A$2:$N$1100,10,FALSE()))),"")</f>
        <v/>
      </c>
      <c r="N617" s="41"/>
      <c r="O617" s="41"/>
      <c r="P617" s="41" t="str">
        <f>IFERROR((IF(VLOOKUP(F617,'Acompanhamento da Licitação'!$F$2:$O$1000,10,FALSE())="","",VLOOKUP(F617,'Acompanhamento da Licitação'!$F$2:$O$1000,10,FALSE()))),"")</f>
        <v/>
      </c>
      <c r="R617" s="61" t="str">
        <f>IFERROR(IF(F617&gt;0,(Final[[#This Row],[Valor da Venda Real]]-Final[[#This Row],[Valor de Compra Previsto]]-4%*Final[[#This Row],[Valor da Venda Real]])/Final[[#This Row],[Valor da Venda Real]],""),"")</f>
        <v/>
      </c>
      <c r="S617" s="61" t="str">
        <f t="shared" si="41"/>
        <v/>
      </c>
      <c r="T617" s="23" t="str">
        <f>IFERROR((R617*Final[[#This Row],[Valor da Venda Real]]*Final[[#This Row],[Quantidade ]]*S617),"")</f>
        <v/>
      </c>
    </row>
    <row r="618" spans="1:20" ht="15.75" x14ac:dyDescent="0.2">
      <c r="A618">
        <f>COUNTIF($C$2:C618,C618)</f>
        <v>617</v>
      </c>
      <c r="B618" s="1" t="str">
        <f t="shared" si="40"/>
        <v>617</v>
      </c>
      <c r="C618" s="1" t="str">
        <f>IFERROR(VLOOKUP(D618,'Planilha de Cadastro - Previsão'!$A$2:$N$1000,14,FALSE()),"")</f>
        <v/>
      </c>
      <c r="D618" s="1">
        <v>617</v>
      </c>
      <c r="F618" s="40" t="str">
        <f t="shared" si="39"/>
        <v/>
      </c>
      <c r="G618" s="40" t="str">
        <f>IF(F618="","",'Prosposta Inicial'!$O$2)</f>
        <v/>
      </c>
      <c r="H618" s="40" t="str">
        <f t="shared" si="42"/>
        <v xml:space="preserve"> </v>
      </c>
      <c r="I618" s="41" t="str">
        <f>IFERROR((VLOOKUP(F618,'Planilha de Cadastro - Previsão'!$A$2:$N$1100,2,FALSE()))," ")</f>
        <v xml:space="preserve"> </v>
      </c>
      <c r="J618" s="40" t="str">
        <f>IFERROR((VLOOKUP(F618,'Planilha de Cadastro - Previsão'!$A$2:$N$1100,3,FALSE()))," ")</f>
        <v xml:space="preserve"> </v>
      </c>
      <c r="K618" s="40"/>
      <c r="L618" s="42" t="str">
        <f>IFERROR((VLOOKUP(F618,'Planilha de Cadastro - Previsão'!$A$2:$N$1100,11,FALSE()))," ")</f>
        <v xml:space="preserve"> </v>
      </c>
      <c r="M618" s="41" t="str">
        <f>IFERROR((IF(VLOOKUP(F618,'Planilha de Cadastro - Previsão'!$A$2:$N$1100,10,FALSE())="","",VLOOKUP(F618,'Planilha de Cadastro - Previsão'!$A$2:$N$1100,10,FALSE()))),"")</f>
        <v/>
      </c>
      <c r="N618" s="41"/>
      <c r="O618" s="41"/>
      <c r="P618" s="41" t="str">
        <f>IFERROR((IF(VLOOKUP(F618,'Acompanhamento da Licitação'!$F$2:$O$1000,10,FALSE())="","",VLOOKUP(F618,'Acompanhamento da Licitação'!$F$2:$O$1000,10,FALSE()))),"")</f>
        <v/>
      </c>
      <c r="R618" s="61" t="str">
        <f>IFERROR(IF(F618&gt;0,(Final[[#This Row],[Valor da Venda Real]]-Final[[#This Row],[Valor de Compra Previsto]]-4%*Final[[#This Row],[Valor da Venda Real]])/Final[[#This Row],[Valor da Venda Real]],""),"")</f>
        <v/>
      </c>
      <c r="S618" s="61" t="str">
        <f t="shared" si="41"/>
        <v/>
      </c>
      <c r="T618" s="23" t="str">
        <f>IFERROR((R618*Final[[#This Row],[Valor da Venda Real]]*Final[[#This Row],[Quantidade ]]*S618),"")</f>
        <v/>
      </c>
    </row>
    <row r="619" spans="1:20" ht="15.75" x14ac:dyDescent="0.2">
      <c r="A619">
        <f>COUNTIF($C$2:C619,C619)</f>
        <v>618</v>
      </c>
      <c r="B619" s="1" t="str">
        <f t="shared" si="40"/>
        <v>618</v>
      </c>
      <c r="C619" s="1" t="str">
        <f>IFERROR(VLOOKUP(D619,'Planilha de Cadastro - Previsão'!$A$2:$N$1000,14,FALSE()),"")</f>
        <v/>
      </c>
      <c r="D619" s="1">
        <v>618</v>
      </c>
      <c r="F619" s="40" t="str">
        <f t="shared" si="39"/>
        <v/>
      </c>
      <c r="G619" s="40" t="str">
        <f>IF(F619="","",'Prosposta Inicial'!$O$2)</f>
        <v/>
      </c>
      <c r="H619" s="40" t="str">
        <f t="shared" si="42"/>
        <v xml:space="preserve"> </v>
      </c>
      <c r="I619" s="41" t="str">
        <f>IFERROR((VLOOKUP(F619,'Planilha de Cadastro - Previsão'!$A$2:$N$1100,2,FALSE()))," ")</f>
        <v xml:space="preserve"> </v>
      </c>
      <c r="J619" s="40" t="str">
        <f>IFERROR((VLOOKUP(F619,'Planilha de Cadastro - Previsão'!$A$2:$N$1100,3,FALSE()))," ")</f>
        <v xml:space="preserve"> </v>
      </c>
      <c r="K619" s="40"/>
      <c r="L619" s="42" t="str">
        <f>IFERROR((VLOOKUP(F619,'Planilha de Cadastro - Previsão'!$A$2:$N$1100,11,FALSE()))," ")</f>
        <v xml:space="preserve"> </v>
      </c>
      <c r="M619" s="41" t="str">
        <f>IFERROR((IF(VLOOKUP(F619,'Planilha de Cadastro - Previsão'!$A$2:$N$1100,10,FALSE())="","",VLOOKUP(F619,'Planilha de Cadastro - Previsão'!$A$2:$N$1100,10,FALSE()))),"")</f>
        <v/>
      </c>
      <c r="N619" s="41"/>
      <c r="O619" s="41"/>
      <c r="P619" s="41" t="str">
        <f>IFERROR((IF(VLOOKUP(F619,'Acompanhamento da Licitação'!$F$2:$O$1000,10,FALSE())="","",VLOOKUP(F619,'Acompanhamento da Licitação'!$F$2:$O$1000,10,FALSE()))),"")</f>
        <v/>
      </c>
      <c r="R619" s="61" t="str">
        <f>IFERROR(IF(F619&gt;0,(Final[[#This Row],[Valor da Venda Real]]-Final[[#This Row],[Valor de Compra Previsto]]-4%*Final[[#This Row],[Valor da Venda Real]])/Final[[#This Row],[Valor da Venda Real]],""),"")</f>
        <v/>
      </c>
      <c r="S619" s="61" t="str">
        <f t="shared" si="41"/>
        <v/>
      </c>
      <c r="T619" s="23" t="str">
        <f>IFERROR((R619*Final[[#This Row],[Valor da Venda Real]]*Final[[#This Row],[Quantidade ]]*S619),"")</f>
        <v/>
      </c>
    </row>
    <row r="620" spans="1:20" ht="15.75" x14ac:dyDescent="0.2">
      <c r="A620">
        <f>COUNTIF($C$2:C620,C620)</f>
        <v>619</v>
      </c>
      <c r="B620" s="1" t="str">
        <f t="shared" si="40"/>
        <v>619</v>
      </c>
      <c r="C620" s="1" t="str">
        <f>IFERROR(VLOOKUP(D620,'Planilha de Cadastro - Previsão'!$A$2:$N$1000,14,FALSE()),"")</f>
        <v/>
      </c>
      <c r="D620" s="1">
        <v>619</v>
      </c>
      <c r="F620" s="40" t="str">
        <f t="shared" si="39"/>
        <v/>
      </c>
      <c r="G620" s="40" t="str">
        <f>IF(F620="","",'Prosposta Inicial'!$O$2)</f>
        <v/>
      </c>
      <c r="H620" s="40" t="str">
        <f t="shared" si="42"/>
        <v xml:space="preserve"> </v>
      </c>
      <c r="I620" s="41" t="str">
        <f>IFERROR((VLOOKUP(F620,'Planilha de Cadastro - Previsão'!$A$2:$N$1100,2,FALSE()))," ")</f>
        <v xml:space="preserve"> </v>
      </c>
      <c r="J620" s="40" t="str">
        <f>IFERROR((VLOOKUP(F620,'Planilha de Cadastro - Previsão'!$A$2:$N$1100,3,FALSE()))," ")</f>
        <v xml:space="preserve"> </v>
      </c>
      <c r="K620" s="40"/>
      <c r="L620" s="42" t="str">
        <f>IFERROR((VLOOKUP(F620,'Planilha de Cadastro - Previsão'!$A$2:$N$1100,11,FALSE()))," ")</f>
        <v xml:space="preserve"> </v>
      </c>
      <c r="M620" s="41" t="str">
        <f>IFERROR((IF(VLOOKUP(F620,'Planilha de Cadastro - Previsão'!$A$2:$N$1100,10,FALSE())="","",VLOOKUP(F620,'Planilha de Cadastro - Previsão'!$A$2:$N$1100,10,FALSE()))),"")</f>
        <v/>
      </c>
      <c r="N620" s="41"/>
      <c r="O620" s="41"/>
      <c r="P620" s="41" t="str">
        <f>IFERROR((IF(VLOOKUP(F620,'Acompanhamento da Licitação'!$F$2:$O$1000,10,FALSE())="","",VLOOKUP(F620,'Acompanhamento da Licitação'!$F$2:$O$1000,10,FALSE()))),"")</f>
        <v/>
      </c>
      <c r="R620" s="61" t="str">
        <f>IFERROR(IF(F620&gt;0,(Final[[#This Row],[Valor da Venda Real]]-Final[[#This Row],[Valor de Compra Previsto]]-4%*Final[[#This Row],[Valor da Venda Real]])/Final[[#This Row],[Valor da Venda Real]],""),"")</f>
        <v/>
      </c>
      <c r="S620" s="61" t="str">
        <f t="shared" si="41"/>
        <v/>
      </c>
      <c r="T620" s="23" t="str">
        <f>IFERROR((R620*Final[[#This Row],[Valor da Venda Real]]*Final[[#This Row],[Quantidade ]]*S620),"")</f>
        <v/>
      </c>
    </row>
    <row r="621" spans="1:20" ht="15.75" x14ac:dyDescent="0.2">
      <c r="A621">
        <f>COUNTIF($C$2:C621,C621)</f>
        <v>620</v>
      </c>
      <c r="B621" s="1" t="str">
        <f t="shared" si="40"/>
        <v>620</v>
      </c>
      <c r="C621" s="1" t="str">
        <f>IFERROR(VLOOKUP(D621,'Planilha de Cadastro - Previsão'!$A$2:$N$1000,14,FALSE()),"")</f>
        <v/>
      </c>
      <c r="D621" s="1">
        <v>620</v>
      </c>
      <c r="F621" s="40" t="str">
        <f t="shared" si="39"/>
        <v/>
      </c>
      <c r="G621" s="40" t="str">
        <f>IF(F621="","",'Prosposta Inicial'!$O$2)</f>
        <v/>
      </c>
      <c r="H621" s="40" t="str">
        <f t="shared" si="42"/>
        <v xml:space="preserve"> </v>
      </c>
      <c r="I621" s="41" t="str">
        <f>IFERROR((VLOOKUP(F621,'Planilha de Cadastro - Previsão'!$A$2:$N$1100,2,FALSE()))," ")</f>
        <v xml:space="preserve"> </v>
      </c>
      <c r="J621" s="40" t="str">
        <f>IFERROR((VLOOKUP(F621,'Planilha de Cadastro - Previsão'!$A$2:$N$1100,3,FALSE()))," ")</f>
        <v xml:space="preserve"> </v>
      </c>
      <c r="K621" s="40"/>
      <c r="L621" s="42" t="str">
        <f>IFERROR((VLOOKUP(F621,'Planilha de Cadastro - Previsão'!$A$2:$N$1100,11,FALSE()))," ")</f>
        <v xml:space="preserve"> </v>
      </c>
      <c r="M621" s="41" t="str">
        <f>IFERROR((IF(VLOOKUP(F621,'Planilha de Cadastro - Previsão'!$A$2:$N$1100,10,FALSE())="","",VLOOKUP(F621,'Planilha de Cadastro - Previsão'!$A$2:$N$1100,10,FALSE()))),"")</f>
        <v/>
      </c>
      <c r="N621" s="41"/>
      <c r="O621" s="41"/>
      <c r="P621" s="41" t="str">
        <f>IFERROR((IF(VLOOKUP(F621,'Acompanhamento da Licitação'!$F$2:$O$1000,10,FALSE())="","",VLOOKUP(F621,'Acompanhamento da Licitação'!$F$2:$O$1000,10,FALSE()))),"")</f>
        <v/>
      </c>
      <c r="R621" s="61" t="str">
        <f>IFERROR(IF(F621&gt;0,(Final[[#This Row],[Valor da Venda Real]]-Final[[#This Row],[Valor de Compra Previsto]]-4%*Final[[#This Row],[Valor da Venda Real]])/Final[[#This Row],[Valor da Venda Real]],""),"")</f>
        <v/>
      </c>
      <c r="S621" s="61" t="str">
        <f t="shared" si="41"/>
        <v/>
      </c>
      <c r="T621" s="23" t="str">
        <f>IFERROR((R621*Final[[#This Row],[Valor da Venda Real]]*Final[[#This Row],[Quantidade ]]*S621),"")</f>
        <v/>
      </c>
    </row>
    <row r="622" spans="1:20" ht="15.75" x14ac:dyDescent="0.2">
      <c r="A622">
        <f>COUNTIF($C$2:C622,C622)</f>
        <v>621</v>
      </c>
      <c r="B622" s="1" t="str">
        <f t="shared" si="40"/>
        <v>621</v>
      </c>
      <c r="C622" s="1" t="str">
        <f>IFERROR(VLOOKUP(D622,'Planilha de Cadastro - Previsão'!$A$2:$N$1000,14,FALSE()),"")</f>
        <v/>
      </c>
      <c r="D622" s="1">
        <v>621</v>
      </c>
      <c r="F622" s="40" t="str">
        <f t="shared" si="39"/>
        <v/>
      </c>
      <c r="G622" s="40" t="str">
        <f>IF(F622="","",'Prosposta Inicial'!$O$2)</f>
        <v/>
      </c>
      <c r="H622" s="40" t="str">
        <f t="shared" si="42"/>
        <v xml:space="preserve"> </v>
      </c>
      <c r="I622" s="41" t="str">
        <f>IFERROR((VLOOKUP(F622,'Planilha de Cadastro - Previsão'!$A$2:$N$1100,2,FALSE()))," ")</f>
        <v xml:space="preserve"> </v>
      </c>
      <c r="J622" s="40" t="str">
        <f>IFERROR((VLOOKUP(F622,'Planilha de Cadastro - Previsão'!$A$2:$N$1100,3,FALSE()))," ")</f>
        <v xml:space="preserve"> </v>
      </c>
      <c r="K622" s="40"/>
      <c r="L622" s="42" t="str">
        <f>IFERROR((VLOOKUP(F622,'Planilha de Cadastro - Previsão'!$A$2:$N$1100,11,FALSE()))," ")</f>
        <v xml:space="preserve"> </v>
      </c>
      <c r="M622" s="41" t="str">
        <f>IFERROR((IF(VLOOKUP(F622,'Planilha de Cadastro - Previsão'!$A$2:$N$1100,10,FALSE())="","",VLOOKUP(F622,'Planilha de Cadastro - Previsão'!$A$2:$N$1100,10,FALSE()))),"")</f>
        <v/>
      </c>
      <c r="N622" s="41"/>
      <c r="O622" s="41"/>
      <c r="P622" s="41" t="str">
        <f>IFERROR((IF(VLOOKUP(F622,'Acompanhamento da Licitação'!$F$2:$O$1000,10,FALSE())="","",VLOOKUP(F622,'Acompanhamento da Licitação'!$F$2:$O$1000,10,FALSE()))),"")</f>
        <v/>
      </c>
      <c r="R622" s="61" t="str">
        <f>IFERROR(IF(F622&gt;0,(Final[[#This Row],[Valor da Venda Real]]-Final[[#This Row],[Valor de Compra Previsto]]-4%*Final[[#This Row],[Valor da Venda Real]])/Final[[#This Row],[Valor da Venda Real]],""),"")</f>
        <v/>
      </c>
      <c r="S622" s="61" t="str">
        <f t="shared" si="41"/>
        <v/>
      </c>
      <c r="T622" s="23" t="str">
        <f>IFERROR((R622*Final[[#This Row],[Valor da Venda Real]]*Final[[#This Row],[Quantidade ]]*S622),"")</f>
        <v/>
      </c>
    </row>
    <row r="623" spans="1:20" ht="15.75" x14ac:dyDescent="0.2">
      <c r="A623">
        <f>COUNTIF($C$2:C623,C623)</f>
        <v>622</v>
      </c>
      <c r="B623" s="1" t="str">
        <f t="shared" si="40"/>
        <v>622</v>
      </c>
      <c r="C623" s="1" t="str">
        <f>IFERROR(VLOOKUP(D623,'Planilha de Cadastro - Previsão'!$A$2:$N$1000,14,FALSE()),"")</f>
        <v/>
      </c>
      <c r="D623" s="1">
        <v>622</v>
      </c>
      <c r="F623" s="40" t="str">
        <f t="shared" si="39"/>
        <v/>
      </c>
      <c r="G623" s="40" t="str">
        <f>IF(F623="","",'Prosposta Inicial'!$O$2)</f>
        <v/>
      </c>
      <c r="H623" s="40" t="str">
        <f t="shared" si="42"/>
        <v xml:space="preserve"> </v>
      </c>
      <c r="I623" s="41" t="str">
        <f>IFERROR((VLOOKUP(F623,'Planilha de Cadastro - Previsão'!$A$2:$N$1100,2,FALSE()))," ")</f>
        <v xml:space="preserve"> </v>
      </c>
      <c r="J623" s="40" t="str">
        <f>IFERROR((VLOOKUP(F623,'Planilha de Cadastro - Previsão'!$A$2:$N$1100,3,FALSE()))," ")</f>
        <v xml:space="preserve"> </v>
      </c>
      <c r="K623" s="40"/>
      <c r="L623" s="42" t="str">
        <f>IFERROR((VLOOKUP(F623,'Planilha de Cadastro - Previsão'!$A$2:$N$1100,11,FALSE()))," ")</f>
        <v xml:space="preserve"> </v>
      </c>
      <c r="M623" s="41" t="str">
        <f>IFERROR((IF(VLOOKUP(F623,'Planilha de Cadastro - Previsão'!$A$2:$N$1100,10,FALSE())="","",VLOOKUP(F623,'Planilha de Cadastro - Previsão'!$A$2:$N$1100,10,FALSE()))),"")</f>
        <v/>
      </c>
      <c r="N623" s="41"/>
      <c r="O623" s="41"/>
      <c r="P623" s="41" t="str">
        <f>IFERROR((IF(VLOOKUP(F623,'Acompanhamento da Licitação'!$F$2:$O$1000,10,FALSE())="","",VLOOKUP(F623,'Acompanhamento da Licitação'!$F$2:$O$1000,10,FALSE()))),"")</f>
        <v/>
      </c>
      <c r="R623" s="61" t="str">
        <f>IFERROR(IF(F623&gt;0,(Final[[#This Row],[Valor da Venda Real]]-Final[[#This Row],[Valor de Compra Previsto]]-4%*Final[[#This Row],[Valor da Venda Real]])/Final[[#This Row],[Valor da Venda Real]],""),"")</f>
        <v/>
      </c>
      <c r="S623" s="61" t="str">
        <f t="shared" si="41"/>
        <v/>
      </c>
      <c r="T623" s="23" t="str">
        <f>IFERROR((R623*Final[[#This Row],[Valor da Venda Real]]*Final[[#This Row],[Quantidade ]]*S623),"")</f>
        <v/>
      </c>
    </row>
    <row r="624" spans="1:20" ht="15.75" x14ac:dyDescent="0.2">
      <c r="A624">
        <f>COUNTIF($C$2:C624,C624)</f>
        <v>623</v>
      </c>
      <c r="B624" s="1" t="str">
        <f t="shared" si="40"/>
        <v>623</v>
      </c>
      <c r="C624" s="1" t="str">
        <f>IFERROR(VLOOKUP(D624,'Planilha de Cadastro - Previsão'!$A$2:$N$1000,14,FALSE()),"")</f>
        <v/>
      </c>
      <c r="D624" s="1">
        <v>623</v>
      </c>
      <c r="F624" s="40" t="str">
        <f t="shared" si="39"/>
        <v/>
      </c>
      <c r="G624" s="40" t="str">
        <f>IF(F624="","",'Prosposta Inicial'!$O$2)</f>
        <v/>
      </c>
      <c r="H624" s="40" t="str">
        <f t="shared" si="42"/>
        <v xml:space="preserve"> </v>
      </c>
      <c r="I624" s="41" t="str">
        <f>IFERROR((VLOOKUP(F624,'Planilha de Cadastro - Previsão'!$A$2:$N$1100,2,FALSE()))," ")</f>
        <v xml:space="preserve"> </v>
      </c>
      <c r="J624" s="40" t="str">
        <f>IFERROR((VLOOKUP(F624,'Planilha de Cadastro - Previsão'!$A$2:$N$1100,3,FALSE()))," ")</f>
        <v xml:space="preserve"> </v>
      </c>
      <c r="K624" s="40"/>
      <c r="L624" s="42" t="str">
        <f>IFERROR((VLOOKUP(F624,'Planilha de Cadastro - Previsão'!$A$2:$N$1100,11,FALSE()))," ")</f>
        <v xml:space="preserve"> </v>
      </c>
      <c r="M624" s="41" t="str">
        <f>IFERROR((IF(VLOOKUP(F624,'Planilha de Cadastro - Previsão'!$A$2:$N$1100,10,FALSE())="","",VLOOKUP(F624,'Planilha de Cadastro - Previsão'!$A$2:$N$1100,10,FALSE()))),"")</f>
        <v/>
      </c>
      <c r="N624" s="41"/>
      <c r="O624" s="41"/>
      <c r="P624" s="41" t="str">
        <f>IFERROR((IF(VLOOKUP(F624,'Acompanhamento da Licitação'!$F$2:$O$1000,10,FALSE())="","",VLOOKUP(F624,'Acompanhamento da Licitação'!$F$2:$O$1000,10,FALSE()))),"")</f>
        <v/>
      </c>
      <c r="R624" s="61" t="str">
        <f>IFERROR(IF(F624&gt;0,(Final[[#This Row],[Valor da Venda Real]]-Final[[#This Row],[Valor de Compra Previsto]]-4%*Final[[#This Row],[Valor da Venda Real]])/Final[[#This Row],[Valor da Venda Real]],""),"")</f>
        <v/>
      </c>
      <c r="S624" s="61" t="str">
        <f t="shared" si="41"/>
        <v/>
      </c>
      <c r="T624" s="23" t="str">
        <f>IFERROR((R624*Final[[#This Row],[Valor da Venda Real]]*Final[[#This Row],[Quantidade ]]*S624),"")</f>
        <v/>
      </c>
    </row>
    <row r="625" spans="1:20" ht="15.75" x14ac:dyDescent="0.2">
      <c r="A625">
        <f>COUNTIF($C$2:C625,C625)</f>
        <v>624</v>
      </c>
      <c r="B625" s="1" t="str">
        <f t="shared" si="40"/>
        <v>624</v>
      </c>
      <c r="C625" s="1" t="str">
        <f>IFERROR(VLOOKUP(D625,'Planilha de Cadastro - Previsão'!$A$2:$N$1000,14,FALSE()),"")</f>
        <v/>
      </c>
      <c r="D625" s="1">
        <v>624</v>
      </c>
      <c r="F625" s="40" t="str">
        <f t="shared" si="39"/>
        <v/>
      </c>
      <c r="G625" s="40" t="str">
        <f>IF(F625="","",'Prosposta Inicial'!$O$2)</f>
        <v/>
      </c>
      <c r="H625" s="40" t="str">
        <f t="shared" si="42"/>
        <v xml:space="preserve"> </v>
      </c>
      <c r="I625" s="41" t="str">
        <f>IFERROR((VLOOKUP(F625,'Planilha de Cadastro - Previsão'!$A$2:$N$1100,2,FALSE()))," ")</f>
        <v xml:space="preserve"> </v>
      </c>
      <c r="J625" s="40" t="str">
        <f>IFERROR((VLOOKUP(F625,'Planilha de Cadastro - Previsão'!$A$2:$N$1100,3,FALSE()))," ")</f>
        <v xml:space="preserve"> </v>
      </c>
      <c r="K625" s="40"/>
      <c r="L625" s="42" t="str">
        <f>IFERROR((VLOOKUP(F625,'Planilha de Cadastro - Previsão'!$A$2:$N$1100,11,FALSE()))," ")</f>
        <v xml:space="preserve"> </v>
      </c>
      <c r="M625" s="41" t="str">
        <f>IFERROR((IF(VLOOKUP(F625,'Planilha de Cadastro - Previsão'!$A$2:$N$1100,10,FALSE())="","",VLOOKUP(F625,'Planilha de Cadastro - Previsão'!$A$2:$N$1100,10,FALSE()))),"")</f>
        <v/>
      </c>
      <c r="N625" s="41"/>
      <c r="O625" s="41"/>
      <c r="P625" s="41" t="str">
        <f>IFERROR((IF(VLOOKUP(F625,'Acompanhamento da Licitação'!$F$2:$O$1000,10,FALSE())="","",VLOOKUP(F625,'Acompanhamento da Licitação'!$F$2:$O$1000,10,FALSE()))),"")</f>
        <v/>
      </c>
      <c r="R625" s="61" t="str">
        <f>IFERROR(IF(F625&gt;0,(Final[[#This Row],[Valor da Venda Real]]-Final[[#This Row],[Valor de Compra Previsto]]-4%*Final[[#This Row],[Valor da Venda Real]])/Final[[#This Row],[Valor da Venda Real]],""),"")</f>
        <v/>
      </c>
      <c r="S625" s="61" t="str">
        <f t="shared" si="41"/>
        <v/>
      </c>
      <c r="T625" s="23" t="str">
        <f>IFERROR((R625*Final[[#This Row],[Valor da Venda Real]]*Final[[#This Row],[Quantidade ]]*S625),"")</f>
        <v/>
      </c>
    </row>
    <row r="626" spans="1:20" ht="15.75" x14ac:dyDescent="0.2">
      <c r="A626">
        <f>COUNTIF($C$2:C626,C626)</f>
        <v>625</v>
      </c>
      <c r="B626" s="1" t="str">
        <f t="shared" si="40"/>
        <v>625</v>
      </c>
      <c r="C626" s="1" t="str">
        <f>IFERROR(VLOOKUP(D626,'Planilha de Cadastro - Previsão'!$A$2:$N$1000,14,FALSE()),"")</f>
        <v/>
      </c>
      <c r="D626" s="1">
        <v>625</v>
      </c>
      <c r="F626" s="40" t="str">
        <f t="shared" si="39"/>
        <v/>
      </c>
      <c r="G626" s="40" t="str">
        <f>IF(F626="","",'Prosposta Inicial'!$O$2)</f>
        <v/>
      </c>
      <c r="H626" s="40" t="str">
        <f t="shared" si="42"/>
        <v xml:space="preserve"> </v>
      </c>
      <c r="I626" s="41" t="str">
        <f>IFERROR((VLOOKUP(F626,'Planilha de Cadastro - Previsão'!$A$2:$N$1100,2,FALSE()))," ")</f>
        <v xml:space="preserve"> </v>
      </c>
      <c r="J626" s="40" t="str">
        <f>IFERROR((VLOOKUP(F626,'Planilha de Cadastro - Previsão'!$A$2:$N$1100,3,FALSE()))," ")</f>
        <v xml:space="preserve"> </v>
      </c>
      <c r="K626" s="40"/>
      <c r="L626" s="42" t="str">
        <f>IFERROR((VLOOKUP(F626,'Planilha de Cadastro - Previsão'!$A$2:$N$1100,11,FALSE()))," ")</f>
        <v xml:space="preserve"> </v>
      </c>
      <c r="M626" s="41" t="str">
        <f>IFERROR((IF(VLOOKUP(F626,'Planilha de Cadastro - Previsão'!$A$2:$N$1100,10,FALSE())="","",VLOOKUP(F626,'Planilha de Cadastro - Previsão'!$A$2:$N$1100,10,FALSE()))),"")</f>
        <v/>
      </c>
      <c r="N626" s="41"/>
      <c r="O626" s="41"/>
      <c r="P626" s="41" t="str">
        <f>IFERROR((IF(VLOOKUP(F626,'Acompanhamento da Licitação'!$F$2:$O$1000,10,FALSE())="","",VLOOKUP(F626,'Acompanhamento da Licitação'!$F$2:$O$1000,10,FALSE()))),"")</f>
        <v/>
      </c>
      <c r="R626" s="61" t="str">
        <f>IFERROR(IF(F626&gt;0,(Final[[#This Row],[Valor da Venda Real]]-Final[[#This Row],[Valor de Compra Previsto]]-4%*Final[[#This Row],[Valor da Venda Real]])/Final[[#This Row],[Valor da Venda Real]],""),"")</f>
        <v/>
      </c>
      <c r="S626" s="61" t="str">
        <f t="shared" si="41"/>
        <v/>
      </c>
      <c r="T626" s="23" t="str">
        <f>IFERROR((R626*Final[[#This Row],[Valor da Venda Real]]*Final[[#This Row],[Quantidade ]]*S626),"")</f>
        <v/>
      </c>
    </row>
    <row r="627" spans="1:20" ht="15.75" x14ac:dyDescent="0.2">
      <c r="A627">
        <f>COUNTIF($C$2:C627,C627)</f>
        <v>626</v>
      </c>
      <c r="B627" s="1" t="str">
        <f t="shared" si="40"/>
        <v>626</v>
      </c>
      <c r="C627" s="1" t="str">
        <f>IFERROR(VLOOKUP(D627,'Planilha de Cadastro - Previsão'!$A$2:$N$1000,14,FALSE()),"")</f>
        <v/>
      </c>
      <c r="D627" s="1">
        <v>626</v>
      </c>
      <c r="F627" s="40" t="str">
        <f t="shared" si="39"/>
        <v/>
      </c>
      <c r="G627" s="40" t="str">
        <f>IF(F627="","",'Prosposta Inicial'!$O$2)</f>
        <v/>
      </c>
      <c r="H627" s="40" t="str">
        <f t="shared" si="42"/>
        <v xml:space="preserve"> </v>
      </c>
      <c r="I627" s="41" t="str">
        <f>IFERROR((VLOOKUP(F627,'Planilha de Cadastro - Previsão'!$A$2:$N$1100,2,FALSE()))," ")</f>
        <v xml:space="preserve"> </v>
      </c>
      <c r="J627" s="40" t="str">
        <f>IFERROR((VLOOKUP(F627,'Planilha de Cadastro - Previsão'!$A$2:$N$1100,3,FALSE()))," ")</f>
        <v xml:space="preserve"> </v>
      </c>
      <c r="K627" s="40"/>
      <c r="L627" s="42" t="str">
        <f>IFERROR((VLOOKUP(F627,'Planilha de Cadastro - Previsão'!$A$2:$N$1100,11,FALSE()))," ")</f>
        <v xml:space="preserve"> </v>
      </c>
      <c r="M627" s="41" t="str">
        <f>IFERROR((IF(VLOOKUP(F627,'Planilha de Cadastro - Previsão'!$A$2:$N$1100,10,FALSE())="","",VLOOKUP(F627,'Planilha de Cadastro - Previsão'!$A$2:$N$1100,10,FALSE()))),"")</f>
        <v/>
      </c>
      <c r="N627" s="41"/>
      <c r="O627" s="41"/>
      <c r="P627" s="41" t="str">
        <f>IFERROR((IF(VLOOKUP(F627,'Acompanhamento da Licitação'!$F$2:$O$1000,10,FALSE())="","",VLOOKUP(F627,'Acompanhamento da Licitação'!$F$2:$O$1000,10,FALSE()))),"")</f>
        <v/>
      </c>
      <c r="R627" s="61" t="str">
        <f>IFERROR(IF(F627&gt;0,(Final[[#This Row],[Valor da Venda Real]]-Final[[#This Row],[Valor de Compra Previsto]]-4%*Final[[#This Row],[Valor da Venda Real]])/Final[[#This Row],[Valor da Venda Real]],""),"")</f>
        <v/>
      </c>
      <c r="S627" s="61" t="str">
        <f t="shared" si="41"/>
        <v/>
      </c>
      <c r="T627" s="23" t="str">
        <f>IFERROR((R627*Final[[#This Row],[Valor da Venda Real]]*Final[[#This Row],[Quantidade ]]*S627),"")</f>
        <v/>
      </c>
    </row>
    <row r="628" spans="1:20" ht="15.75" x14ac:dyDescent="0.2">
      <c r="A628">
        <f>COUNTIF($C$2:C628,C628)</f>
        <v>627</v>
      </c>
      <c r="B628" s="1" t="str">
        <f t="shared" si="40"/>
        <v>627</v>
      </c>
      <c r="C628" s="1" t="str">
        <f>IFERROR(VLOOKUP(D628,'Planilha de Cadastro - Previsão'!$A$2:$N$1000,14,FALSE()),"")</f>
        <v/>
      </c>
      <c r="D628" s="1">
        <v>627</v>
      </c>
      <c r="F628" s="40" t="str">
        <f t="shared" si="39"/>
        <v/>
      </c>
      <c r="G628" s="40" t="str">
        <f>IF(F628="","",'Prosposta Inicial'!$O$2)</f>
        <v/>
      </c>
      <c r="H628" s="40" t="str">
        <f t="shared" si="42"/>
        <v xml:space="preserve"> </v>
      </c>
      <c r="I628" s="41" t="str">
        <f>IFERROR((VLOOKUP(F628,'Planilha de Cadastro - Previsão'!$A$2:$N$1100,2,FALSE()))," ")</f>
        <v xml:space="preserve"> </v>
      </c>
      <c r="J628" s="40" t="str">
        <f>IFERROR((VLOOKUP(F628,'Planilha de Cadastro - Previsão'!$A$2:$N$1100,3,FALSE()))," ")</f>
        <v xml:space="preserve"> </v>
      </c>
      <c r="K628" s="40"/>
      <c r="L628" s="42" t="str">
        <f>IFERROR((VLOOKUP(F628,'Planilha de Cadastro - Previsão'!$A$2:$N$1100,11,FALSE()))," ")</f>
        <v xml:space="preserve"> </v>
      </c>
      <c r="M628" s="41" t="str">
        <f>IFERROR((IF(VLOOKUP(F628,'Planilha de Cadastro - Previsão'!$A$2:$N$1100,10,FALSE())="","",VLOOKUP(F628,'Planilha de Cadastro - Previsão'!$A$2:$N$1100,10,FALSE()))),"")</f>
        <v/>
      </c>
      <c r="N628" s="41"/>
      <c r="O628" s="41"/>
      <c r="P628" s="41" t="str">
        <f>IFERROR((IF(VLOOKUP(F628,'Acompanhamento da Licitação'!$F$2:$O$1000,10,FALSE())="","",VLOOKUP(F628,'Acompanhamento da Licitação'!$F$2:$O$1000,10,FALSE()))),"")</f>
        <v/>
      </c>
      <c r="R628" s="61" t="str">
        <f>IFERROR(IF(F628&gt;0,(Final[[#This Row],[Valor da Venda Real]]-Final[[#This Row],[Valor de Compra Previsto]]-4%*Final[[#This Row],[Valor da Venda Real]])/Final[[#This Row],[Valor da Venda Real]],""),"")</f>
        <v/>
      </c>
      <c r="S628" s="61" t="str">
        <f t="shared" si="41"/>
        <v/>
      </c>
      <c r="T628" s="23" t="str">
        <f>IFERROR((R628*Final[[#This Row],[Valor da Venda Real]]*Final[[#This Row],[Quantidade ]]*S628),"")</f>
        <v/>
      </c>
    </row>
    <row r="629" spans="1:20" ht="15.75" x14ac:dyDescent="0.2">
      <c r="A629">
        <f>COUNTIF($C$2:C629,C629)</f>
        <v>628</v>
      </c>
      <c r="B629" s="1" t="str">
        <f t="shared" si="40"/>
        <v>628</v>
      </c>
      <c r="C629" s="1" t="str">
        <f>IFERROR(VLOOKUP(D629,'Planilha de Cadastro - Previsão'!$A$2:$N$1000,14,FALSE()),"")</f>
        <v/>
      </c>
      <c r="D629" s="1">
        <v>628</v>
      </c>
      <c r="F629" s="40" t="str">
        <f t="shared" si="39"/>
        <v/>
      </c>
      <c r="G629" s="40" t="str">
        <f>IF(F629="","",'Prosposta Inicial'!$O$2)</f>
        <v/>
      </c>
      <c r="H629" s="40" t="str">
        <f t="shared" si="42"/>
        <v xml:space="preserve"> </v>
      </c>
      <c r="I629" s="41" t="str">
        <f>IFERROR((VLOOKUP(F629,'Planilha de Cadastro - Previsão'!$A$2:$N$1100,2,FALSE()))," ")</f>
        <v xml:space="preserve"> </v>
      </c>
      <c r="J629" s="40" t="str">
        <f>IFERROR((VLOOKUP(F629,'Planilha de Cadastro - Previsão'!$A$2:$N$1100,3,FALSE()))," ")</f>
        <v xml:space="preserve"> </v>
      </c>
      <c r="K629" s="40"/>
      <c r="L629" s="42" t="str">
        <f>IFERROR((VLOOKUP(F629,'Planilha de Cadastro - Previsão'!$A$2:$N$1100,11,FALSE()))," ")</f>
        <v xml:space="preserve"> </v>
      </c>
      <c r="M629" s="41" t="str">
        <f>IFERROR((IF(VLOOKUP(F629,'Planilha de Cadastro - Previsão'!$A$2:$N$1100,10,FALSE())="","",VLOOKUP(F629,'Planilha de Cadastro - Previsão'!$A$2:$N$1100,10,FALSE()))),"")</f>
        <v/>
      </c>
      <c r="N629" s="41"/>
      <c r="O629" s="41"/>
      <c r="P629" s="41" t="str">
        <f>IFERROR((IF(VLOOKUP(F629,'Acompanhamento da Licitação'!$F$2:$O$1000,10,FALSE())="","",VLOOKUP(F629,'Acompanhamento da Licitação'!$F$2:$O$1000,10,FALSE()))),"")</f>
        <v/>
      </c>
      <c r="R629" s="61" t="str">
        <f>IFERROR(IF(F629&gt;0,(Final[[#This Row],[Valor da Venda Real]]-Final[[#This Row],[Valor de Compra Previsto]]-4%*Final[[#This Row],[Valor da Venda Real]])/Final[[#This Row],[Valor da Venda Real]],""),"")</f>
        <v/>
      </c>
      <c r="S629" s="61" t="str">
        <f t="shared" si="41"/>
        <v/>
      </c>
      <c r="T629" s="23" t="str">
        <f>IFERROR((R629*Final[[#This Row],[Valor da Venda Real]]*Final[[#This Row],[Quantidade ]]*S629),"")</f>
        <v/>
      </c>
    </row>
    <row r="630" spans="1:20" ht="15.75" x14ac:dyDescent="0.2">
      <c r="A630">
        <f>COUNTIF($C$2:C630,C630)</f>
        <v>629</v>
      </c>
      <c r="B630" s="1" t="str">
        <f t="shared" si="40"/>
        <v>629</v>
      </c>
      <c r="C630" s="1" t="str">
        <f>IFERROR(VLOOKUP(D630,'Planilha de Cadastro - Previsão'!$A$2:$N$1000,14,FALSE()),"")</f>
        <v/>
      </c>
      <c r="D630" s="1">
        <v>629</v>
      </c>
      <c r="F630" s="40" t="str">
        <f t="shared" si="39"/>
        <v/>
      </c>
      <c r="G630" s="40" t="str">
        <f>IF(F630="","",'Prosposta Inicial'!$O$2)</f>
        <v/>
      </c>
      <c r="H630" s="40" t="str">
        <f t="shared" si="42"/>
        <v xml:space="preserve"> </v>
      </c>
      <c r="I630" s="41" t="str">
        <f>IFERROR((VLOOKUP(F630,'Planilha de Cadastro - Previsão'!$A$2:$N$1100,2,FALSE()))," ")</f>
        <v xml:space="preserve"> </v>
      </c>
      <c r="J630" s="40" t="str">
        <f>IFERROR((VLOOKUP(F630,'Planilha de Cadastro - Previsão'!$A$2:$N$1100,3,FALSE()))," ")</f>
        <v xml:space="preserve"> </v>
      </c>
      <c r="K630" s="40"/>
      <c r="L630" s="42" t="str">
        <f>IFERROR((VLOOKUP(F630,'Planilha de Cadastro - Previsão'!$A$2:$N$1100,11,FALSE()))," ")</f>
        <v xml:space="preserve"> </v>
      </c>
      <c r="M630" s="41" t="str">
        <f>IFERROR((IF(VLOOKUP(F630,'Planilha de Cadastro - Previsão'!$A$2:$N$1100,10,FALSE())="","",VLOOKUP(F630,'Planilha de Cadastro - Previsão'!$A$2:$N$1100,10,FALSE()))),"")</f>
        <v/>
      </c>
      <c r="N630" s="41"/>
      <c r="O630" s="41"/>
      <c r="P630" s="41" t="str">
        <f>IFERROR((IF(VLOOKUP(F630,'Acompanhamento da Licitação'!$F$2:$O$1000,10,FALSE())="","",VLOOKUP(F630,'Acompanhamento da Licitação'!$F$2:$O$1000,10,FALSE()))),"")</f>
        <v/>
      </c>
      <c r="R630" s="61" t="str">
        <f>IFERROR(IF(F630&gt;0,(Final[[#This Row],[Valor da Venda Real]]-Final[[#This Row],[Valor de Compra Previsto]]-4%*Final[[#This Row],[Valor da Venda Real]])/Final[[#This Row],[Valor da Venda Real]],""),"")</f>
        <v/>
      </c>
      <c r="S630" s="61" t="str">
        <f t="shared" si="41"/>
        <v/>
      </c>
      <c r="T630" s="23" t="str">
        <f>IFERROR((R630*Final[[#This Row],[Valor da Venda Real]]*Final[[#This Row],[Quantidade ]]*S630),"")</f>
        <v/>
      </c>
    </row>
    <row r="631" spans="1:20" ht="15.75" x14ac:dyDescent="0.2">
      <c r="A631">
        <f>COUNTIF($C$2:C631,C631)</f>
        <v>630</v>
      </c>
      <c r="B631" s="1" t="str">
        <f t="shared" si="40"/>
        <v>630</v>
      </c>
      <c r="C631" s="1" t="str">
        <f>IFERROR(VLOOKUP(D631,'Planilha de Cadastro - Previsão'!$A$2:$N$1000,14,FALSE()),"")</f>
        <v/>
      </c>
      <c r="D631" s="1">
        <v>630</v>
      </c>
      <c r="F631" s="40" t="str">
        <f t="shared" si="39"/>
        <v/>
      </c>
      <c r="G631" s="40" t="str">
        <f>IF(F631="","",'Prosposta Inicial'!$O$2)</f>
        <v/>
      </c>
      <c r="H631" s="40" t="str">
        <f t="shared" si="42"/>
        <v xml:space="preserve"> </v>
      </c>
      <c r="I631" s="41" t="str">
        <f>IFERROR((VLOOKUP(F631,'Planilha de Cadastro - Previsão'!$A$2:$N$1100,2,FALSE()))," ")</f>
        <v xml:space="preserve"> </v>
      </c>
      <c r="J631" s="40" t="str">
        <f>IFERROR((VLOOKUP(F631,'Planilha de Cadastro - Previsão'!$A$2:$N$1100,3,FALSE()))," ")</f>
        <v xml:space="preserve"> </v>
      </c>
      <c r="K631" s="40"/>
      <c r="L631" s="42" t="str">
        <f>IFERROR((VLOOKUP(F631,'Planilha de Cadastro - Previsão'!$A$2:$N$1100,11,FALSE()))," ")</f>
        <v xml:space="preserve"> </v>
      </c>
      <c r="M631" s="41" t="str">
        <f>IFERROR((IF(VLOOKUP(F631,'Planilha de Cadastro - Previsão'!$A$2:$N$1100,10,FALSE())="","",VLOOKUP(F631,'Planilha de Cadastro - Previsão'!$A$2:$N$1100,10,FALSE()))),"")</f>
        <v/>
      </c>
      <c r="N631" s="41"/>
      <c r="O631" s="41"/>
      <c r="P631" s="41" t="str">
        <f>IFERROR((IF(VLOOKUP(F631,'Acompanhamento da Licitação'!$F$2:$O$1000,10,FALSE())="","",VLOOKUP(F631,'Acompanhamento da Licitação'!$F$2:$O$1000,10,FALSE()))),"")</f>
        <v/>
      </c>
      <c r="R631" s="61" t="str">
        <f>IFERROR(IF(F631&gt;0,(Final[[#This Row],[Valor da Venda Real]]-Final[[#This Row],[Valor de Compra Previsto]]-4%*Final[[#This Row],[Valor da Venda Real]])/Final[[#This Row],[Valor da Venda Real]],""),"")</f>
        <v/>
      </c>
      <c r="S631" s="61" t="str">
        <f t="shared" si="41"/>
        <v/>
      </c>
      <c r="T631" s="23" t="str">
        <f>IFERROR((R631*Final[[#This Row],[Valor da Venda Real]]*Final[[#This Row],[Quantidade ]]*S631),"")</f>
        <v/>
      </c>
    </row>
    <row r="632" spans="1:20" ht="15.75" x14ac:dyDescent="0.2">
      <c r="A632">
        <f>COUNTIF($C$2:C632,C632)</f>
        <v>631</v>
      </c>
      <c r="B632" s="1" t="str">
        <f t="shared" si="40"/>
        <v>631</v>
      </c>
      <c r="C632" s="1" t="str">
        <f>IFERROR(VLOOKUP(D632,'Planilha de Cadastro - Previsão'!$A$2:$N$1000,14,FALSE()),"")</f>
        <v/>
      </c>
      <c r="D632" s="1">
        <v>631</v>
      </c>
      <c r="F632" s="40" t="str">
        <f t="shared" si="39"/>
        <v/>
      </c>
      <c r="G632" s="40" t="str">
        <f>IF(F632="","",'Prosposta Inicial'!$O$2)</f>
        <v/>
      </c>
      <c r="H632" s="40" t="str">
        <f t="shared" si="42"/>
        <v xml:space="preserve"> </v>
      </c>
      <c r="I632" s="41" t="str">
        <f>IFERROR((VLOOKUP(F632,'Planilha de Cadastro - Previsão'!$A$2:$N$1100,2,FALSE()))," ")</f>
        <v xml:space="preserve"> </v>
      </c>
      <c r="J632" s="40" t="str">
        <f>IFERROR((VLOOKUP(F632,'Planilha de Cadastro - Previsão'!$A$2:$N$1100,3,FALSE()))," ")</f>
        <v xml:space="preserve"> </v>
      </c>
      <c r="K632" s="40"/>
      <c r="L632" s="42" t="str">
        <f>IFERROR((VLOOKUP(F632,'Planilha de Cadastro - Previsão'!$A$2:$N$1100,11,FALSE()))," ")</f>
        <v xml:space="preserve"> </v>
      </c>
      <c r="M632" s="41" t="str">
        <f>IFERROR((IF(VLOOKUP(F632,'Planilha de Cadastro - Previsão'!$A$2:$N$1100,10,FALSE())="","",VLOOKUP(F632,'Planilha de Cadastro - Previsão'!$A$2:$N$1100,10,FALSE()))),"")</f>
        <v/>
      </c>
      <c r="N632" s="41"/>
      <c r="O632" s="41"/>
      <c r="P632" s="41" t="str">
        <f>IFERROR((IF(VLOOKUP(F632,'Acompanhamento da Licitação'!$F$2:$O$1000,10,FALSE())="","",VLOOKUP(F632,'Acompanhamento da Licitação'!$F$2:$O$1000,10,FALSE()))),"")</f>
        <v/>
      </c>
      <c r="R632" s="61" t="str">
        <f>IFERROR(IF(F632&gt;0,(Final[[#This Row],[Valor da Venda Real]]-Final[[#This Row],[Valor de Compra Previsto]]-4%*Final[[#This Row],[Valor da Venda Real]])/Final[[#This Row],[Valor da Venda Real]],""),"")</f>
        <v/>
      </c>
      <c r="S632" s="61" t="str">
        <f t="shared" si="41"/>
        <v/>
      </c>
      <c r="T632" s="23" t="str">
        <f>IFERROR((R632*Final[[#This Row],[Valor da Venda Real]]*Final[[#This Row],[Quantidade ]]*S632),"")</f>
        <v/>
      </c>
    </row>
    <row r="633" spans="1:20" ht="15.75" x14ac:dyDescent="0.2">
      <c r="A633">
        <f>COUNTIF($C$2:C633,C633)</f>
        <v>632</v>
      </c>
      <c r="B633" s="1" t="str">
        <f t="shared" si="40"/>
        <v>632</v>
      </c>
      <c r="C633" s="1" t="str">
        <f>IFERROR(VLOOKUP(D633,'Planilha de Cadastro - Previsão'!$A$2:$N$1000,14,FALSE()),"")</f>
        <v/>
      </c>
      <c r="D633" s="1">
        <v>632</v>
      </c>
      <c r="F633" s="40" t="str">
        <f t="shared" si="39"/>
        <v/>
      </c>
      <c r="G633" s="40" t="str">
        <f>IF(F633="","",'Prosposta Inicial'!$O$2)</f>
        <v/>
      </c>
      <c r="H633" s="40" t="str">
        <f t="shared" si="42"/>
        <v xml:space="preserve"> </v>
      </c>
      <c r="I633" s="41" t="str">
        <f>IFERROR((VLOOKUP(F633,'Planilha de Cadastro - Previsão'!$A$2:$N$1100,2,FALSE()))," ")</f>
        <v xml:space="preserve"> </v>
      </c>
      <c r="J633" s="40" t="str">
        <f>IFERROR((VLOOKUP(F633,'Planilha de Cadastro - Previsão'!$A$2:$N$1100,3,FALSE()))," ")</f>
        <v xml:space="preserve"> </v>
      </c>
      <c r="K633" s="40"/>
      <c r="L633" s="42" t="str">
        <f>IFERROR((VLOOKUP(F633,'Planilha de Cadastro - Previsão'!$A$2:$N$1100,11,FALSE()))," ")</f>
        <v xml:space="preserve"> </v>
      </c>
      <c r="M633" s="41" t="str">
        <f>IFERROR((IF(VLOOKUP(F633,'Planilha de Cadastro - Previsão'!$A$2:$N$1100,10,FALSE())="","",VLOOKUP(F633,'Planilha de Cadastro - Previsão'!$A$2:$N$1100,10,FALSE()))),"")</f>
        <v/>
      </c>
      <c r="N633" s="41"/>
      <c r="O633" s="41"/>
      <c r="P633" s="41" t="str">
        <f>IFERROR((IF(VLOOKUP(F633,'Acompanhamento da Licitação'!$F$2:$O$1000,10,FALSE())="","",VLOOKUP(F633,'Acompanhamento da Licitação'!$F$2:$O$1000,10,FALSE()))),"")</f>
        <v/>
      </c>
      <c r="R633" s="61" t="str">
        <f>IFERROR(IF(F633&gt;0,(Final[[#This Row],[Valor da Venda Real]]-Final[[#This Row],[Valor de Compra Previsto]]-4%*Final[[#This Row],[Valor da Venda Real]])/Final[[#This Row],[Valor da Venda Real]],""),"")</f>
        <v/>
      </c>
      <c r="S633" s="61" t="str">
        <f t="shared" si="41"/>
        <v/>
      </c>
      <c r="T633" s="23" t="str">
        <f>IFERROR((R633*Final[[#This Row],[Valor da Venda Real]]*Final[[#This Row],[Quantidade ]]*S633),"")</f>
        <v/>
      </c>
    </row>
    <row r="634" spans="1:20" ht="15.75" x14ac:dyDescent="0.2">
      <c r="A634">
        <f>COUNTIF($C$2:C634,C634)</f>
        <v>633</v>
      </c>
      <c r="B634" s="1" t="str">
        <f t="shared" si="40"/>
        <v>633</v>
      </c>
      <c r="C634" s="1" t="str">
        <f>IFERROR(VLOOKUP(D634,'Planilha de Cadastro - Previsão'!$A$2:$N$1000,14,FALSE()),"")</f>
        <v/>
      </c>
      <c r="D634" s="1">
        <v>633</v>
      </c>
      <c r="F634" s="40" t="str">
        <f t="shared" si="39"/>
        <v/>
      </c>
      <c r="G634" s="40" t="str">
        <f>IF(F634="","",'Prosposta Inicial'!$O$2)</f>
        <v/>
      </c>
      <c r="H634" s="40" t="str">
        <f t="shared" si="42"/>
        <v xml:space="preserve"> </v>
      </c>
      <c r="I634" s="41" t="str">
        <f>IFERROR((VLOOKUP(F634,'Planilha de Cadastro - Previsão'!$A$2:$N$1100,2,FALSE()))," ")</f>
        <v xml:space="preserve"> </v>
      </c>
      <c r="J634" s="40" t="str">
        <f>IFERROR((VLOOKUP(F634,'Planilha de Cadastro - Previsão'!$A$2:$N$1100,3,FALSE()))," ")</f>
        <v xml:space="preserve"> </v>
      </c>
      <c r="K634" s="40"/>
      <c r="L634" s="42" t="str">
        <f>IFERROR((VLOOKUP(F634,'Planilha de Cadastro - Previsão'!$A$2:$N$1100,11,FALSE()))," ")</f>
        <v xml:space="preserve"> </v>
      </c>
      <c r="M634" s="41" t="str">
        <f>IFERROR((IF(VLOOKUP(F634,'Planilha de Cadastro - Previsão'!$A$2:$N$1100,10,FALSE())="","",VLOOKUP(F634,'Planilha de Cadastro - Previsão'!$A$2:$N$1100,10,FALSE()))),"")</f>
        <v/>
      </c>
      <c r="N634" s="41"/>
      <c r="O634" s="41"/>
      <c r="P634" s="41" t="str">
        <f>IFERROR((IF(VLOOKUP(F634,'Acompanhamento da Licitação'!$F$2:$O$1000,10,FALSE())="","",VLOOKUP(F634,'Acompanhamento da Licitação'!$F$2:$O$1000,10,FALSE()))),"")</f>
        <v/>
      </c>
      <c r="R634" s="61" t="str">
        <f>IFERROR(IF(F634&gt;0,(Final[[#This Row],[Valor da Venda Real]]-Final[[#This Row],[Valor de Compra Previsto]]-4%*Final[[#This Row],[Valor da Venda Real]])/Final[[#This Row],[Valor da Venda Real]],""),"")</f>
        <v/>
      </c>
      <c r="S634" s="61" t="str">
        <f t="shared" si="41"/>
        <v/>
      </c>
      <c r="T634" s="23" t="str">
        <f>IFERROR((R634*Final[[#This Row],[Valor da Venda Real]]*Final[[#This Row],[Quantidade ]]*S634),"")</f>
        <v/>
      </c>
    </row>
    <row r="635" spans="1:20" ht="15.75" x14ac:dyDescent="0.2">
      <c r="A635">
        <f>COUNTIF($C$2:C635,C635)</f>
        <v>634</v>
      </c>
      <c r="B635" s="1" t="str">
        <f t="shared" si="40"/>
        <v>634</v>
      </c>
      <c r="C635" s="1" t="str">
        <f>IFERROR(VLOOKUP(D635,'Planilha de Cadastro - Previsão'!$A$2:$N$1000,14,FALSE()),"")</f>
        <v/>
      </c>
      <c r="D635" s="1">
        <v>634</v>
      </c>
      <c r="F635" s="40" t="str">
        <f t="shared" si="39"/>
        <v/>
      </c>
      <c r="G635" s="40" t="str">
        <f>IF(F635="","",'Prosposta Inicial'!$O$2)</f>
        <v/>
      </c>
      <c r="H635" s="40" t="str">
        <f t="shared" si="42"/>
        <v xml:space="preserve"> </v>
      </c>
      <c r="I635" s="41" t="str">
        <f>IFERROR((VLOOKUP(F635,'Planilha de Cadastro - Previsão'!$A$2:$N$1100,2,FALSE()))," ")</f>
        <v xml:space="preserve"> </v>
      </c>
      <c r="J635" s="40" t="str">
        <f>IFERROR((VLOOKUP(F635,'Planilha de Cadastro - Previsão'!$A$2:$N$1100,3,FALSE()))," ")</f>
        <v xml:space="preserve"> </v>
      </c>
      <c r="K635" s="40"/>
      <c r="L635" s="42" t="str">
        <f>IFERROR((VLOOKUP(F635,'Planilha de Cadastro - Previsão'!$A$2:$N$1100,11,FALSE()))," ")</f>
        <v xml:space="preserve"> </v>
      </c>
      <c r="M635" s="41" t="str">
        <f>IFERROR((IF(VLOOKUP(F635,'Planilha de Cadastro - Previsão'!$A$2:$N$1100,10,FALSE())="","",VLOOKUP(F635,'Planilha de Cadastro - Previsão'!$A$2:$N$1100,10,FALSE()))),"")</f>
        <v/>
      </c>
      <c r="N635" s="41"/>
      <c r="O635" s="41"/>
      <c r="P635" s="41" t="str">
        <f>IFERROR((IF(VLOOKUP(F635,'Acompanhamento da Licitação'!$F$2:$O$1000,10,FALSE())="","",VLOOKUP(F635,'Acompanhamento da Licitação'!$F$2:$O$1000,10,FALSE()))),"")</f>
        <v/>
      </c>
      <c r="R635" s="61" t="str">
        <f>IFERROR(IF(F635&gt;0,(Final[[#This Row],[Valor da Venda Real]]-Final[[#This Row],[Valor de Compra Previsto]]-4%*Final[[#This Row],[Valor da Venda Real]])/Final[[#This Row],[Valor da Venda Real]],""),"")</f>
        <v/>
      </c>
      <c r="S635" s="61" t="str">
        <f t="shared" si="41"/>
        <v/>
      </c>
      <c r="T635" s="23" t="str">
        <f>IFERROR((R635*Final[[#This Row],[Valor da Venda Real]]*Final[[#This Row],[Quantidade ]]*S635),"")</f>
        <v/>
      </c>
    </row>
    <row r="636" spans="1:20" ht="15.75" x14ac:dyDescent="0.2">
      <c r="A636">
        <f>COUNTIF($C$2:C636,C636)</f>
        <v>635</v>
      </c>
      <c r="B636" s="1" t="str">
        <f t="shared" si="40"/>
        <v>635</v>
      </c>
      <c r="C636" s="1" t="str">
        <f>IFERROR(VLOOKUP(D636,'Planilha de Cadastro - Previsão'!$A$2:$N$1000,14,FALSE()),"")</f>
        <v/>
      </c>
      <c r="D636" s="1">
        <v>635</v>
      </c>
      <c r="F636" s="40" t="str">
        <f t="shared" si="39"/>
        <v/>
      </c>
      <c r="G636" s="40" t="str">
        <f>IF(F636="","",'Prosposta Inicial'!$O$2)</f>
        <v/>
      </c>
      <c r="H636" s="40" t="str">
        <f t="shared" si="42"/>
        <v xml:space="preserve"> </v>
      </c>
      <c r="I636" s="41" t="str">
        <f>IFERROR((VLOOKUP(F636,'Planilha de Cadastro - Previsão'!$A$2:$N$1100,2,FALSE()))," ")</f>
        <v xml:space="preserve"> </v>
      </c>
      <c r="J636" s="40" t="str">
        <f>IFERROR((VLOOKUP(F636,'Planilha de Cadastro - Previsão'!$A$2:$N$1100,3,FALSE()))," ")</f>
        <v xml:space="preserve"> </v>
      </c>
      <c r="K636" s="40"/>
      <c r="L636" s="42" t="str">
        <f>IFERROR((VLOOKUP(F636,'Planilha de Cadastro - Previsão'!$A$2:$N$1100,11,FALSE()))," ")</f>
        <v xml:space="preserve"> </v>
      </c>
      <c r="M636" s="41" t="str">
        <f>IFERROR((IF(VLOOKUP(F636,'Planilha de Cadastro - Previsão'!$A$2:$N$1100,10,FALSE())="","",VLOOKUP(F636,'Planilha de Cadastro - Previsão'!$A$2:$N$1100,10,FALSE()))),"")</f>
        <v/>
      </c>
      <c r="N636" s="41"/>
      <c r="O636" s="41"/>
      <c r="P636" s="41" t="str">
        <f>IFERROR((IF(VLOOKUP(F636,'Acompanhamento da Licitação'!$F$2:$O$1000,10,FALSE())="","",VLOOKUP(F636,'Acompanhamento da Licitação'!$F$2:$O$1000,10,FALSE()))),"")</f>
        <v/>
      </c>
      <c r="R636" s="61" t="str">
        <f>IFERROR(IF(F636&gt;0,(Final[[#This Row],[Valor da Venda Real]]-Final[[#This Row],[Valor de Compra Previsto]]-4%*Final[[#This Row],[Valor da Venda Real]])/Final[[#This Row],[Valor da Venda Real]],""),"")</f>
        <v/>
      </c>
      <c r="S636" s="61" t="str">
        <f t="shared" si="41"/>
        <v/>
      </c>
      <c r="T636" s="23" t="str">
        <f>IFERROR((R636*Final[[#This Row],[Valor da Venda Real]]*Final[[#This Row],[Quantidade ]]*S636),"")</f>
        <v/>
      </c>
    </row>
    <row r="637" spans="1:20" ht="15.75" x14ac:dyDescent="0.2">
      <c r="A637">
        <f>COUNTIF($C$2:C637,C637)</f>
        <v>636</v>
      </c>
      <c r="B637" s="1" t="str">
        <f t="shared" si="40"/>
        <v>636</v>
      </c>
      <c r="C637" s="1" t="str">
        <f>IFERROR(VLOOKUP(D637,'Planilha de Cadastro - Previsão'!$A$2:$N$1000,14,FALSE()),"")</f>
        <v/>
      </c>
      <c r="D637" s="1">
        <v>636</v>
      </c>
      <c r="F637" s="40" t="str">
        <f t="shared" si="39"/>
        <v/>
      </c>
      <c r="G637" s="40" t="str">
        <f>IF(F637="","",'Prosposta Inicial'!$O$2)</f>
        <v/>
      </c>
      <c r="H637" s="40" t="str">
        <f t="shared" si="42"/>
        <v xml:space="preserve"> </v>
      </c>
      <c r="I637" s="41" t="str">
        <f>IFERROR((VLOOKUP(F637,'Planilha de Cadastro - Previsão'!$A$2:$N$1100,2,FALSE()))," ")</f>
        <v xml:space="preserve"> </v>
      </c>
      <c r="J637" s="40" t="str">
        <f>IFERROR((VLOOKUP(F637,'Planilha de Cadastro - Previsão'!$A$2:$N$1100,3,FALSE()))," ")</f>
        <v xml:space="preserve"> </v>
      </c>
      <c r="K637" s="40"/>
      <c r="L637" s="42" t="str">
        <f>IFERROR((VLOOKUP(F637,'Planilha de Cadastro - Previsão'!$A$2:$N$1100,11,FALSE()))," ")</f>
        <v xml:space="preserve"> </v>
      </c>
      <c r="M637" s="41" t="str">
        <f>IFERROR((IF(VLOOKUP(F637,'Planilha de Cadastro - Previsão'!$A$2:$N$1100,10,FALSE())="","",VLOOKUP(F637,'Planilha de Cadastro - Previsão'!$A$2:$N$1100,10,FALSE()))),"")</f>
        <v/>
      </c>
      <c r="N637" s="41"/>
      <c r="O637" s="41"/>
      <c r="P637" s="41" t="str">
        <f>IFERROR((IF(VLOOKUP(F637,'Acompanhamento da Licitação'!$F$2:$O$1000,10,FALSE())="","",VLOOKUP(F637,'Acompanhamento da Licitação'!$F$2:$O$1000,10,FALSE()))),"")</f>
        <v/>
      </c>
      <c r="R637" s="61" t="str">
        <f>IFERROR(IF(F637&gt;0,(Final[[#This Row],[Valor da Venda Real]]-Final[[#This Row],[Valor de Compra Previsto]]-4%*Final[[#This Row],[Valor da Venda Real]])/Final[[#This Row],[Valor da Venda Real]],""),"")</f>
        <v/>
      </c>
      <c r="S637" s="61" t="str">
        <f t="shared" si="41"/>
        <v/>
      </c>
      <c r="T637" s="23" t="str">
        <f>IFERROR((R637*Final[[#This Row],[Valor da Venda Real]]*Final[[#This Row],[Quantidade ]]*S637),"")</f>
        <v/>
      </c>
    </row>
    <row r="638" spans="1:20" ht="15.75" x14ac:dyDescent="0.2">
      <c r="A638">
        <f>COUNTIF($C$2:C638,C638)</f>
        <v>637</v>
      </c>
      <c r="B638" s="1" t="str">
        <f t="shared" si="40"/>
        <v>637</v>
      </c>
      <c r="C638" s="1" t="str">
        <f>IFERROR(VLOOKUP(D638,'Planilha de Cadastro - Previsão'!$A$2:$N$1000,14,FALSE()),"")</f>
        <v/>
      </c>
      <c r="D638" s="1">
        <v>637</v>
      </c>
      <c r="F638" s="40" t="str">
        <f t="shared" si="39"/>
        <v/>
      </c>
      <c r="G638" s="40" t="str">
        <f>IF(F638="","",'Prosposta Inicial'!$O$2)</f>
        <v/>
      </c>
      <c r="H638" s="40" t="str">
        <f t="shared" si="42"/>
        <v xml:space="preserve"> </v>
      </c>
      <c r="I638" s="41" t="str">
        <f>IFERROR((VLOOKUP(F638,'Planilha de Cadastro - Previsão'!$A$2:$N$1100,2,FALSE()))," ")</f>
        <v xml:space="preserve"> </v>
      </c>
      <c r="J638" s="40" t="str">
        <f>IFERROR((VLOOKUP(F638,'Planilha de Cadastro - Previsão'!$A$2:$N$1100,3,FALSE()))," ")</f>
        <v xml:space="preserve"> </v>
      </c>
      <c r="K638" s="40"/>
      <c r="L638" s="42" t="str">
        <f>IFERROR((VLOOKUP(F638,'Planilha de Cadastro - Previsão'!$A$2:$N$1100,11,FALSE()))," ")</f>
        <v xml:space="preserve"> </v>
      </c>
      <c r="M638" s="41" t="str">
        <f>IFERROR((IF(VLOOKUP(F638,'Planilha de Cadastro - Previsão'!$A$2:$N$1100,10,FALSE())="","",VLOOKUP(F638,'Planilha de Cadastro - Previsão'!$A$2:$N$1100,10,FALSE()))),"")</f>
        <v/>
      </c>
      <c r="N638" s="41"/>
      <c r="O638" s="41"/>
      <c r="P638" s="41" t="str">
        <f>IFERROR((IF(VLOOKUP(F638,'Acompanhamento da Licitação'!$F$2:$O$1000,10,FALSE())="","",VLOOKUP(F638,'Acompanhamento da Licitação'!$F$2:$O$1000,10,FALSE()))),"")</f>
        <v/>
      </c>
      <c r="R638" s="61" t="str">
        <f>IFERROR(IF(F638&gt;0,(Final[[#This Row],[Valor da Venda Real]]-Final[[#This Row],[Valor de Compra Previsto]]-4%*Final[[#This Row],[Valor da Venda Real]])/Final[[#This Row],[Valor da Venda Real]],""),"")</f>
        <v/>
      </c>
      <c r="S638" s="61" t="str">
        <f t="shared" si="41"/>
        <v/>
      </c>
      <c r="T638" s="23" t="str">
        <f>IFERROR((R638*Final[[#This Row],[Valor da Venda Real]]*Final[[#This Row],[Quantidade ]]*S638),"")</f>
        <v/>
      </c>
    </row>
    <row r="639" spans="1:20" ht="15.75" x14ac:dyDescent="0.2">
      <c r="A639">
        <f>COUNTIF($C$2:C639,C639)</f>
        <v>638</v>
      </c>
      <c r="B639" s="1" t="str">
        <f t="shared" si="40"/>
        <v>638</v>
      </c>
      <c r="C639" s="1" t="str">
        <f>IFERROR(VLOOKUP(D639,'Planilha de Cadastro - Previsão'!$A$2:$N$1000,14,FALSE()),"")</f>
        <v/>
      </c>
      <c r="D639" s="1">
        <v>638</v>
      </c>
      <c r="F639" s="40" t="str">
        <f t="shared" si="39"/>
        <v/>
      </c>
      <c r="G639" s="40" t="str">
        <f>IF(F639="","",'Prosposta Inicial'!$O$2)</f>
        <v/>
      </c>
      <c r="H639" s="40" t="str">
        <f t="shared" si="42"/>
        <v xml:space="preserve"> </v>
      </c>
      <c r="I639" s="41" t="str">
        <f>IFERROR((VLOOKUP(F639,'Planilha de Cadastro - Previsão'!$A$2:$N$1100,2,FALSE()))," ")</f>
        <v xml:space="preserve"> </v>
      </c>
      <c r="J639" s="40" t="str">
        <f>IFERROR((VLOOKUP(F639,'Planilha de Cadastro - Previsão'!$A$2:$N$1100,3,FALSE()))," ")</f>
        <v xml:space="preserve"> </v>
      </c>
      <c r="K639" s="40"/>
      <c r="L639" s="42" t="str">
        <f>IFERROR((VLOOKUP(F639,'Planilha de Cadastro - Previsão'!$A$2:$N$1100,11,FALSE()))," ")</f>
        <v xml:space="preserve"> </v>
      </c>
      <c r="M639" s="41" t="str">
        <f>IFERROR((IF(VLOOKUP(F639,'Planilha de Cadastro - Previsão'!$A$2:$N$1100,10,FALSE())="","",VLOOKUP(F639,'Planilha de Cadastro - Previsão'!$A$2:$N$1100,10,FALSE()))),"")</f>
        <v/>
      </c>
      <c r="N639" s="41"/>
      <c r="O639" s="41"/>
      <c r="P639" s="41" t="str">
        <f>IFERROR((IF(VLOOKUP(F639,'Acompanhamento da Licitação'!$F$2:$O$1000,10,FALSE())="","",VLOOKUP(F639,'Acompanhamento da Licitação'!$F$2:$O$1000,10,FALSE()))),"")</f>
        <v/>
      </c>
      <c r="R639" s="61" t="str">
        <f>IFERROR(IF(F639&gt;0,(Final[[#This Row],[Valor da Venda Real]]-Final[[#This Row],[Valor de Compra Previsto]]-4%*Final[[#This Row],[Valor da Venda Real]])/Final[[#This Row],[Valor da Venda Real]],""),"")</f>
        <v/>
      </c>
      <c r="S639" s="61" t="str">
        <f t="shared" si="41"/>
        <v/>
      </c>
      <c r="T639" s="23" t="str">
        <f>IFERROR((R639*Final[[#This Row],[Valor da Venda Real]]*Final[[#This Row],[Quantidade ]]*S639),"")</f>
        <v/>
      </c>
    </row>
    <row r="640" spans="1:20" ht="15.75" x14ac:dyDescent="0.2">
      <c r="A640">
        <f>COUNTIF($C$2:C640,C640)</f>
        <v>639</v>
      </c>
      <c r="B640" s="1" t="str">
        <f t="shared" si="40"/>
        <v>639</v>
      </c>
      <c r="C640" s="1" t="str">
        <f>IFERROR(VLOOKUP(D640,'Planilha de Cadastro - Previsão'!$A$2:$N$1000,14,FALSE()),"")</f>
        <v/>
      </c>
      <c r="D640" s="1">
        <v>639</v>
      </c>
      <c r="F640" s="40" t="str">
        <f t="shared" si="39"/>
        <v/>
      </c>
      <c r="G640" s="40" t="str">
        <f>IF(F640="","",'Prosposta Inicial'!$O$2)</f>
        <v/>
      </c>
      <c r="H640" s="40" t="str">
        <f t="shared" si="42"/>
        <v xml:space="preserve"> </v>
      </c>
      <c r="I640" s="41" t="str">
        <f>IFERROR((VLOOKUP(F640,'Planilha de Cadastro - Previsão'!$A$2:$N$1100,2,FALSE()))," ")</f>
        <v xml:space="preserve"> </v>
      </c>
      <c r="J640" s="40" t="str">
        <f>IFERROR((VLOOKUP(F640,'Planilha de Cadastro - Previsão'!$A$2:$N$1100,3,FALSE()))," ")</f>
        <v xml:space="preserve"> </v>
      </c>
      <c r="K640" s="40"/>
      <c r="L640" s="42" t="str">
        <f>IFERROR((VLOOKUP(F640,'Planilha de Cadastro - Previsão'!$A$2:$N$1100,11,FALSE()))," ")</f>
        <v xml:space="preserve"> </v>
      </c>
      <c r="M640" s="41" t="str">
        <f>IFERROR((IF(VLOOKUP(F640,'Planilha de Cadastro - Previsão'!$A$2:$N$1100,10,FALSE())="","",VLOOKUP(F640,'Planilha de Cadastro - Previsão'!$A$2:$N$1100,10,FALSE()))),"")</f>
        <v/>
      </c>
      <c r="N640" s="41"/>
      <c r="O640" s="41"/>
      <c r="P640" s="41" t="str">
        <f>IFERROR((IF(VLOOKUP(F640,'Acompanhamento da Licitação'!$F$2:$O$1000,10,FALSE())="","",VLOOKUP(F640,'Acompanhamento da Licitação'!$F$2:$O$1000,10,FALSE()))),"")</f>
        <v/>
      </c>
      <c r="R640" s="61" t="str">
        <f>IFERROR(IF(F640&gt;0,(Final[[#This Row],[Valor da Venda Real]]-Final[[#This Row],[Valor de Compra Previsto]]-4%*Final[[#This Row],[Valor da Venda Real]])/Final[[#This Row],[Valor da Venda Real]],""),"")</f>
        <v/>
      </c>
      <c r="S640" s="61" t="str">
        <f t="shared" si="41"/>
        <v/>
      </c>
      <c r="T640" s="23" t="str">
        <f>IFERROR((R640*Final[[#This Row],[Valor da Venda Real]]*Final[[#This Row],[Quantidade ]]*S640),"")</f>
        <v/>
      </c>
    </row>
    <row r="641" spans="1:20" ht="15.75" x14ac:dyDescent="0.2">
      <c r="A641">
        <f>COUNTIF($C$2:C641,C641)</f>
        <v>640</v>
      </c>
      <c r="B641" s="1" t="str">
        <f t="shared" si="40"/>
        <v>640</v>
      </c>
      <c r="C641" s="1" t="str">
        <f>IFERROR(VLOOKUP(D641,'Planilha de Cadastro - Previsão'!$A$2:$N$1000,14,FALSE()),"")</f>
        <v/>
      </c>
      <c r="D641" s="1">
        <v>640</v>
      </c>
      <c r="F641" s="40" t="str">
        <f t="shared" si="39"/>
        <v/>
      </c>
      <c r="G641" s="40" t="str">
        <f>IF(F641="","",'Prosposta Inicial'!$O$2)</f>
        <v/>
      </c>
      <c r="H641" s="40" t="str">
        <f t="shared" si="42"/>
        <v xml:space="preserve"> </v>
      </c>
      <c r="I641" s="41" t="str">
        <f>IFERROR((VLOOKUP(F641,'Planilha de Cadastro - Previsão'!$A$2:$N$1100,2,FALSE()))," ")</f>
        <v xml:space="preserve"> </v>
      </c>
      <c r="J641" s="40" t="str">
        <f>IFERROR((VLOOKUP(F641,'Planilha de Cadastro - Previsão'!$A$2:$N$1100,3,FALSE()))," ")</f>
        <v xml:space="preserve"> </v>
      </c>
      <c r="K641" s="40"/>
      <c r="L641" s="42" t="str">
        <f>IFERROR((VLOOKUP(F641,'Planilha de Cadastro - Previsão'!$A$2:$N$1100,11,FALSE()))," ")</f>
        <v xml:space="preserve"> </v>
      </c>
      <c r="M641" s="41" t="str">
        <f>IFERROR((IF(VLOOKUP(F641,'Planilha de Cadastro - Previsão'!$A$2:$N$1100,10,FALSE())="","",VLOOKUP(F641,'Planilha de Cadastro - Previsão'!$A$2:$N$1100,10,FALSE()))),"")</f>
        <v/>
      </c>
      <c r="N641" s="41"/>
      <c r="O641" s="41"/>
      <c r="P641" s="41" t="str">
        <f>IFERROR((IF(VLOOKUP(F641,'Acompanhamento da Licitação'!$F$2:$O$1000,10,FALSE())="","",VLOOKUP(F641,'Acompanhamento da Licitação'!$F$2:$O$1000,10,FALSE()))),"")</f>
        <v/>
      </c>
      <c r="R641" s="61" t="str">
        <f>IFERROR(IF(F641&gt;0,(Final[[#This Row],[Valor da Venda Real]]-Final[[#This Row],[Valor de Compra Previsto]]-4%*Final[[#This Row],[Valor da Venda Real]])/Final[[#This Row],[Valor da Venda Real]],""),"")</f>
        <v/>
      </c>
      <c r="S641" s="61" t="str">
        <f t="shared" si="41"/>
        <v/>
      </c>
      <c r="T641" s="23" t="str">
        <f>IFERROR((R641*Final[[#This Row],[Valor da Venda Real]]*Final[[#This Row],[Quantidade ]]*S641),"")</f>
        <v/>
      </c>
    </row>
    <row r="642" spans="1:20" ht="15.75" x14ac:dyDescent="0.2">
      <c r="A642">
        <f>COUNTIF($C$2:C642,C642)</f>
        <v>641</v>
      </c>
      <c r="B642" s="1" t="str">
        <f t="shared" si="40"/>
        <v>641</v>
      </c>
      <c r="C642" s="1" t="str">
        <f>IFERROR(VLOOKUP(D642,'Planilha de Cadastro - Previsão'!$A$2:$N$1000,14,FALSE()),"")</f>
        <v/>
      </c>
      <c r="D642" s="1">
        <v>641</v>
      </c>
      <c r="F642" s="40" t="str">
        <f t="shared" ref="F642:F705" si="43">IFERROR((VLOOKUP(CONCATENATE("Sim",D642),$B$2:$D$1000,3,FALSE())),"")</f>
        <v/>
      </c>
      <c r="G642" s="40" t="str">
        <f>IF(F642="","",'Prosposta Inicial'!$O$2)</f>
        <v/>
      </c>
      <c r="H642" s="40" t="str">
        <f t="shared" si="42"/>
        <v xml:space="preserve"> </v>
      </c>
      <c r="I642" s="41" t="str">
        <f>IFERROR((VLOOKUP(F642,'Planilha de Cadastro - Previsão'!$A$2:$N$1100,2,FALSE()))," ")</f>
        <v xml:space="preserve"> </v>
      </c>
      <c r="J642" s="40" t="str">
        <f>IFERROR((VLOOKUP(F642,'Planilha de Cadastro - Previsão'!$A$2:$N$1100,3,FALSE()))," ")</f>
        <v xml:space="preserve"> </v>
      </c>
      <c r="K642" s="40"/>
      <c r="L642" s="42" t="str">
        <f>IFERROR((VLOOKUP(F642,'Planilha de Cadastro - Previsão'!$A$2:$N$1100,11,FALSE()))," ")</f>
        <v xml:space="preserve"> </v>
      </c>
      <c r="M642" s="41" t="str">
        <f>IFERROR((IF(VLOOKUP(F642,'Planilha de Cadastro - Previsão'!$A$2:$N$1100,10,FALSE())="","",VLOOKUP(F642,'Planilha de Cadastro - Previsão'!$A$2:$N$1100,10,FALSE()))),"")</f>
        <v/>
      </c>
      <c r="N642" s="41"/>
      <c r="O642" s="41"/>
      <c r="P642" s="41" t="str">
        <f>IFERROR((IF(VLOOKUP(F642,'Acompanhamento da Licitação'!$F$2:$O$1000,10,FALSE())="","",VLOOKUP(F642,'Acompanhamento da Licitação'!$F$2:$O$1000,10,FALSE()))),"")</f>
        <v/>
      </c>
      <c r="R642" s="61" t="str">
        <f>IFERROR(IF(F642&gt;0,(Final[[#This Row],[Valor da Venda Real]]-Final[[#This Row],[Valor de Compra Previsto]]-4%*Final[[#This Row],[Valor da Venda Real]])/Final[[#This Row],[Valor da Venda Real]],""),"")</f>
        <v/>
      </c>
      <c r="S642" s="61" t="str">
        <f t="shared" si="41"/>
        <v/>
      </c>
      <c r="T642" s="23" t="str">
        <f>IFERROR((R642*Final[[#This Row],[Valor da Venda Real]]*Final[[#This Row],[Quantidade ]]*S642),"")</f>
        <v/>
      </c>
    </row>
    <row r="643" spans="1:20" ht="15.75" x14ac:dyDescent="0.2">
      <c r="A643">
        <f>COUNTIF($C$2:C643,C643)</f>
        <v>642</v>
      </c>
      <c r="B643" s="1" t="str">
        <f t="shared" ref="B643:B706" si="44">IFERROR(CONCATENATE(C643,A643),"")</f>
        <v>642</v>
      </c>
      <c r="C643" s="1" t="str">
        <f>IFERROR(VLOOKUP(D643,'Planilha de Cadastro - Previsão'!$A$2:$N$1000,14,FALSE()),"")</f>
        <v/>
      </c>
      <c r="D643" s="1">
        <v>642</v>
      </c>
      <c r="F643" s="40" t="str">
        <f t="shared" si="43"/>
        <v/>
      </c>
      <c r="G643" s="40" t="str">
        <f>IF(F643="","",'Prosposta Inicial'!$O$2)</f>
        <v/>
      </c>
      <c r="H643" s="40" t="str">
        <f t="shared" si="42"/>
        <v xml:space="preserve"> </v>
      </c>
      <c r="I643" s="41" t="str">
        <f>IFERROR((VLOOKUP(F643,'Planilha de Cadastro - Previsão'!$A$2:$N$1100,2,FALSE()))," ")</f>
        <v xml:space="preserve"> </v>
      </c>
      <c r="J643" s="40" t="str">
        <f>IFERROR((VLOOKUP(F643,'Planilha de Cadastro - Previsão'!$A$2:$N$1100,3,FALSE()))," ")</f>
        <v xml:space="preserve"> </v>
      </c>
      <c r="K643" s="40"/>
      <c r="L643" s="42" t="str">
        <f>IFERROR((VLOOKUP(F643,'Planilha de Cadastro - Previsão'!$A$2:$N$1100,11,FALSE()))," ")</f>
        <v xml:space="preserve"> </v>
      </c>
      <c r="M643" s="41" t="str">
        <f>IFERROR((IF(VLOOKUP(F643,'Planilha de Cadastro - Previsão'!$A$2:$N$1100,10,FALSE())="","",VLOOKUP(F643,'Planilha de Cadastro - Previsão'!$A$2:$N$1100,10,FALSE()))),"")</f>
        <v/>
      </c>
      <c r="N643" s="41"/>
      <c r="O643" s="41"/>
      <c r="P643" s="41" t="str">
        <f>IFERROR((IF(VLOOKUP(F643,'Acompanhamento da Licitação'!$F$2:$O$1000,10,FALSE())="","",VLOOKUP(F643,'Acompanhamento da Licitação'!$F$2:$O$1000,10,FALSE()))),"")</f>
        <v/>
      </c>
      <c r="R643" s="61" t="str">
        <f>IFERROR(IF(F643&gt;0,(Final[[#This Row],[Valor da Venda Real]]-Final[[#This Row],[Valor de Compra Previsto]]-4%*Final[[#This Row],[Valor da Venda Real]])/Final[[#This Row],[Valor da Venda Real]],""),"")</f>
        <v/>
      </c>
      <c r="S643" s="61" t="str">
        <f t="shared" ref="S643:S706" si="45">IF(R643="","",IF(R643&lt;0.2,0.05,IF(R643&lt;0.25,0.1,IF(R643&lt;0.3,0.15,IF(R643&lt;0.35,0.2,IF(R643&lt;0.45,0.25,IF(R643&lt;0.5,0.3,IF(R643&lt;0.6,0.35,0.4))))))))</f>
        <v/>
      </c>
      <c r="T643" s="23" t="str">
        <f>IFERROR((R643*Final[[#This Row],[Valor da Venda Real]]*Final[[#This Row],[Quantidade ]]*S643),"")</f>
        <v/>
      </c>
    </row>
    <row r="644" spans="1:20" ht="15.75" x14ac:dyDescent="0.2">
      <c r="A644">
        <f>COUNTIF($C$2:C644,C644)</f>
        <v>643</v>
      </c>
      <c r="B644" s="1" t="str">
        <f t="shared" si="44"/>
        <v>643</v>
      </c>
      <c r="C644" s="1" t="str">
        <f>IFERROR(VLOOKUP(D644,'Planilha de Cadastro - Previsão'!$A$2:$N$1000,14,FALSE()),"")</f>
        <v/>
      </c>
      <c r="D644" s="1">
        <v>643</v>
      </c>
      <c r="F644" s="40" t="str">
        <f t="shared" si="43"/>
        <v/>
      </c>
      <c r="G644" s="40" t="str">
        <f>IF(F644="","",'Prosposta Inicial'!$O$2)</f>
        <v/>
      </c>
      <c r="H644" s="40" t="str">
        <f t="shared" si="42"/>
        <v xml:space="preserve"> </v>
      </c>
      <c r="I644" s="41" t="str">
        <f>IFERROR((VLOOKUP(F644,'Planilha de Cadastro - Previsão'!$A$2:$N$1100,2,FALSE()))," ")</f>
        <v xml:space="preserve"> </v>
      </c>
      <c r="J644" s="40" t="str">
        <f>IFERROR((VLOOKUP(F644,'Planilha de Cadastro - Previsão'!$A$2:$N$1100,3,FALSE()))," ")</f>
        <v xml:space="preserve"> </v>
      </c>
      <c r="K644" s="40"/>
      <c r="L644" s="42" t="str">
        <f>IFERROR((VLOOKUP(F644,'Planilha de Cadastro - Previsão'!$A$2:$N$1100,11,FALSE()))," ")</f>
        <v xml:space="preserve"> </v>
      </c>
      <c r="M644" s="41" t="str">
        <f>IFERROR((IF(VLOOKUP(F644,'Planilha de Cadastro - Previsão'!$A$2:$N$1100,10,FALSE())="","",VLOOKUP(F644,'Planilha de Cadastro - Previsão'!$A$2:$N$1100,10,FALSE()))),"")</f>
        <v/>
      </c>
      <c r="N644" s="41"/>
      <c r="O644" s="41"/>
      <c r="P644" s="41" t="str">
        <f>IFERROR((IF(VLOOKUP(F644,'Acompanhamento da Licitação'!$F$2:$O$1000,10,FALSE())="","",VLOOKUP(F644,'Acompanhamento da Licitação'!$F$2:$O$1000,10,FALSE()))),"")</f>
        <v/>
      </c>
      <c r="R644" s="61" t="str">
        <f>IFERROR(IF(F644&gt;0,(Final[[#This Row],[Valor da Venda Real]]-Final[[#This Row],[Valor de Compra Previsto]]-4%*Final[[#This Row],[Valor da Venda Real]])/Final[[#This Row],[Valor da Venda Real]],""),"")</f>
        <v/>
      </c>
      <c r="S644" s="61" t="str">
        <f t="shared" si="45"/>
        <v/>
      </c>
      <c r="T644" s="23" t="str">
        <f>IFERROR((R644*Final[[#This Row],[Valor da Venda Real]]*Final[[#This Row],[Quantidade ]]*S644),"")</f>
        <v/>
      </c>
    </row>
    <row r="645" spans="1:20" ht="15.75" x14ac:dyDescent="0.2">
      <c r="A645">
        <f>COUNTIF($C$2:C645,C645)</f>
        <v>644</v>
      </c>
      <c r="B645" s="1" t="str">
        <f t="shared" si="44"/>
        <v>644</v>
      </c>
      <c r="C645" s="1" t="str">
        <f>IFERROR(VLOOKUP(D645,'Planilha de Cadastro - Previsão'!$A$2:$N$1000,14,FALSE()),"")</f>
        <v/>
      </c>
      <c r="D645" s="1">
        <v>644</v>
      </c>
      <c r="F645" s="40" t="str">
        <f t="shared" si="43"/>
        <v/>
      </c>
      <c r="G645" s="40" t="str">
        <f>IF(F645="","",'Prosposta Inicial'!$O$2)</f>
        <v/>
      </c>
      <c r="H645" s="40" t="str">
        <f t="shared" si="42"/>
        <v xml:space="preserve"> </v>
      </c>
      <c r="I645" s="41" t="str">
        <f>IFERROR((VLOOKUP(F645,'Planilha de Cadastro - Previsão'!$A$2:$N$1100,2,FALSE()))," ")</f>
        <v xml:space="preserve"> </v>
      </c>
      <c r="J645" s="40" t="str">
        <f>IFERROR((VLOOKUP(F645,'Planilha de Cadastro - Previsão'!$A$2:$N$1100,3,FALSE()))," ")</f>
        <v xml:space="preserve"> </v>
      </c>
      <c r="K645" s="40"/>
      <c r="L645" s="42" t="str">
        <f>IFERROR((VLOOKUP(F645,'Planilha de Cadastro - Previsão'!$A$2:$N$1100,11,FALSE()))," ")</f>
        <v xml:space="preserve"> </v>
      </c>
      <c r="M645" s="41" t="str">
        <f>IFERROR((IF(VLOOKUP(F645,'Planilha de Cadastro - Previsão'!$A$2:$N$1100,10,FALSE())="","",VLOOKUP(F645,'Planilha de Cadastro - Previsão'!$A$2:$N$1100,10,FALSE()))),"")</f>
        <v/>
      </c>
      <c r="N645" s="41"/>
      <c r="O645" s="41"/>
      <c r="P645" s="41" t="str">
        <f>IFERROR((IF(VLOOKUP(F645,'Acompanhamento da Licitação'!$F$2:$O$1000,10,FALSE())="","",VLOOKUP(F645,'Acompanhamento da Licitação'!$F$2:$O$1000,10,FALSE()))),"")</f>
        <v/>
      </c>
      <c r="R645" s="61" t="str">
        <f>IFERROR(IF(F645&gt;0,(Final[[#This Row],[Valor da Venda Real]]-Final[[#This Row],[Valor de Compra Previsto]]-4%*Final[[#This Row],[Valor da Venda Real]])/Final[[#This Row],[Valor da Venda Real]],""),"")</f>
        <v/>
      </c>
      <c r="S645" s="61" t="str">
        <f t="shared" si="45"/>
        <v/>
      </c>
      <c r="T645" s="23" t="str">
        <f>IFERROR((R645*Final[[#This Row],[Valor da Venda Real]]*Final[[#This Row],[Quantidade ]]*S645),"")</f>
        <v/>
      </c>
    </row>
    <row r="646" spans="1:20" ht="15.75" x14ac:dyDescent="0.2">
      <c r="A646">
        <f>COUNTIF($C$2:C646,C646)</f>
        <v>645</v>
      </c>
      <c r="B646" s="1" t="str">
        <f t="shared" si="44"/>
        <v>645</v>
      </c>
      <c r="C646" s="1" t="str">
        <f>IFERROR(VLOOKUP(D646,'Planilha de Cadastro - Previsão'!$A$2:$N$1000,14,FALSE()),"")</f>
        <v/>
      </c>
      <c r="D646" s="1">
        <v>645</v>
      </c>
      <c r="F646" s="40" t="str">
        <f t="shared" si="43"/>
        <v/>
      </c>
      <c r="G646" s="40" t="str">
        <f>IF(F646="","",'Prosposta Inicial'!$O$2)</f>
        <v/>
      </c>
      <c r="H646" s="40" t="str">
        <f t="shared" si="42"/>
        <v xml:space="preserve"> </v>
      </c>
      <c r="I646" s="41" t="str">
        <f>IFERROR((VLOOKUP(F646,'Planilha de Cadastro - Previsão'!$A$2:$N$1100,2,FALSE()))," ")</f>
        <v xml:space="preserve"> </v>
      </c>
      <c r="J646" s="40" t="str">
        <f>IFERROR((VLOOKUP(F646,'Planilha de Cadastro - Previsão'!$A$2:$N$1100,3,FALSE()))," ")</f>
        <v xml:space="preserve"> </v>
      </c>
      <c r="K646" s="40"/>
      <c r="L646" s="42" t="str">
        <f>IFERROR((VLOOKUP(F646,'Planilha de Cadastro - Previsão'!$A$2:$N$1100,11,FALSE()))," ")</f>
        <v xml:space="preserve"> </v>
      </c>
      <c r="M646" s="41" t="str">
        <f>IFERROR((IF(VLOOKUP(F646,'Planilha de Cadastro - Previsão'!$A$2:$N$1100,10,FALSE())="","",VLOOKUP(F646,'Planilha de Cadastro - Previsão'!$A$2:$N$1100,10,FALSE()))),"")</f>
        <v/>
      </c>
      <c r="N646" s="41"/>
      <c r="O646" s="41"/>
      <c r="P646" s="41" t="str">
        <f>IFERROR((IF(VLOOKUP(F646,'Acompanhamento da Licitação'!$F$2:$O$1000,10,FALSE())="","",VLOOKUP(F646,'Acompanhamento da Licitação'!$F$2:$O$1000,10,FALSE()))),"")</f>
        <v/>
      </c>
      <c r="R646" s="61" t="str">
        <f>IFERROR(IF(F646&gt;0,(Final[[#This Row],[Valor da Venda Real]]-Final[[#This Row],[Valor de Compra Previsto]]-4%*Final[[#This Row],[Valor da Venda Real]])/Final[[#This Row],[Valor da Venda Real]],""),"")</f>
        <v/>
      </c>
      <c r="S646" s="61" t="str">
        <f t="shared" si="45"/>
        <v/>
      </c>
      <c r="T646" s="23" t="str">
        <f>IFERROR((R646*Final[[#This Row],[Valor da Venda Real]]*Final[[#This Row],[Quantidade ]]*S646),"")</f>
        <v/>
      </c>
    </row>
    <row r="647" spans="1:20" ht="15.75" x14ac:dyDescent="0.2">
      <c r="A647">
        <f>COUNTIF($C$2:C647,C647)</f>
        <v>646</v>
      </c>
      <c r="B647" s="1" t="str">
        <f t="shared" si="44"/>
        <v>646</v>
      </c>
      <c r="C647" s="1" t="str">
        <f>IFERROR(VLOOKUP(D647,'Planilha de Cadastro - Previsão'!$A$2:$N$1000,14,FALSE()),"")</f>
        <v/>
      </c>
      <c r="D647" s="1">
        <v>646</v>
      </c>
      <c r="F647" s="40" t="str">
        <f t="shared" si="43"/>
        <v/>
      </c>
      <c r="G647" s="40" t="str">
        <f>IF(F647="","",'Prosposta Inicial'!$O$2)</f>
        <v/>
      </c>
      <c r="H647" s="40" t="str">
        <f t="shared" si="42"/>
        <v xml:space="preserve"> </v>
      </c>
      <c r="I647" s="41" t="str">
        <f>IFERROR((VLOOKUP(F647,'Planilha de Cadastro - Previsão'!$A$2:$N$1100,2,FALSE()))," ")</f>
        <v xml:space="preserve"> </v>
      </c>
      <c r="J647" s="40" t="str">
        <f>IFERROR((VLOOKUP(F647,'Planilha de Cadastro - Previsão'!$A$2:$N$1100,3,FALSE()))," ")</f>
        <v xml:space="preserve"> </v>
      </c>
      <c r="K647" s="40"/>
      <c r="L647" s="42" t="str">
        <f>IFERROR((VLOOKUP(F647,'Planilha de Cadastro - Previsão'!$A$2:$N$1100,11,FALSE()))," ")</f>
        <v xml:space="preserve"> </v>
      </c>
      <c r="M647" s="41" t="str">
        <f>IFERROR((IF(VLOOKUP(F647,'Planilha de Cadastro - Previsão'!$A$2:$N$1100,10,FALSE())="","",VLOOKUP(F647,'Planilha de Cadastro - Previsão'!$A$2:$N$1100,10,FALSE()))),"")</f>
        <v/>
      </c>
      <c r="N647" s="41"/>
      <c r="O647" s="41"/>
      <c r="P647" s="41" t="str">
        <f>IFERROR((IF(VLOOKUP(F647,'Acompanhamento da Licitação'!$F$2:$O$1000,10,FALSE())="","",VLOOKUP(F647,'Acompanhamento da Licitação'!$F$2:$O$1000,10,FALSE()))),"")</f>
        <v/>
      </c>
      <c r="R647" s="61" t="str">
        <f>IFERROR(IF(F647&gt;0,(Final[[#This Row],[Valor da Venda Real]]-Final[[#This Row],[Valor de Compra Previsto]]-4%*Final[[#This Row],[Valor da Venda Real]])/Final[[#This Row],[Valor da Venda Real]],""),"")</f>
        <v/>
      </c>
      <c r="S647" s="61" t="str">
        <f t="shared" si="45"/>
        <v/>
      </c>
      <c r="T647" s="23" t="str">
        <f>IFERROR((R647*Final[[#This Row],[Valor da Venda Real]]*Final[[#This Row],[Quantidade ]]*S647),"")</f>
        <v/>
      </c>
    </row>
    <row r="648" spans="1:20" ht="15.75" x14ac:dyDescent="0.2">
      <c r="A648">
        <f>COUNTIF($C$2:C648,C648)</f>
        <v>647</v>
      </c>
      <c r="B648" s="1" t="str">
        <f t="shared" si="44"/>
        <v>647</v>
      </c>
      <c r="C648" s="1" t="str">
        <f>IFERROR(VLOOKUP(D648,'Planilha de Cadastro - Previsão'!$A$2:$N$1000,14,FALSE()),"")</f>
        <v/>
      </c>
      <c r="D648" s="1">
        <v>647</v>
      </c>
      <c r="F648" s="40" t="str">
        <f t="shared" si="43"/>
        <v/>
      </c>
      <c r="G648" s="40" t="str">
        <f>IF(F648="","",'Prosposta Inicial'!$O$2)</f>
        <v/>
      </c>
      <c r="H648" s="40" t="str">
        <f t="shared" si="42"/>
        <v xml:space="preserve"> </v>
      </c>
      <c r="I648" s="41" t="str">
        <f>IFERROR((VLOOKUP(F648,'Planilha de Cadastro - Previsão'!$A$2:$N$1100,2,FALSE()))," ")</f>
        <v xml:space="preserve"> </v>
      </c>
      <c r="J648" s="40" t="str">
        <f>IFERROR((VLOOKUP(F648,'Planilha de Cadastro - Previsão'!$A$2:$N$1100,3,FALSE()))," ")</f>
        <v xml:space="preserve"> </v>
      </c>
      <c r="K648" s="40"/>
      <c r="L648" s="42" t="str">
        <f>IFERROR((VLOOKUP(F648,'Planilha de Cadastro - Previsão'!$A$2:$N$1100,11,FALSE()))," ")</f>
        <v xml:space="preserve"> </v>
      </c>
      <c r="M648" s="41" t="str">
        <f>IFERROR((IF(VLOOKUP(F648,'Planilha de Cadastro - Previsão'!$A$2:$N$1100,10,FALSE())="","",VLOOKUP(F648,'Planilha de Cadastro - Previsão'!$A$2:$N$1100,10,FALSE()))),"")</f>
        <v/>
      </c>
      <c r="N648" s="41"/>
      <c r="O648" s="41"/>
      <c r="P648" s="41" t="str">
        <f>IFERROR((IF(VLOOKUP(F648,'Acompanhamento da Licitação'!$F$2:$O$1000,10,FALSE())="","",VLOOKUP(F648,'Acompanhamento da Licitação'!$F$2:$O$1000,10,FALSE()))),"")</f>
        <v/>
      </c>
      <c r="R648" s="61" t="str">
        <f>IFERROR(IF(F648&gt;0,(Final[[#This Row],[Valor da Venda Real]]-Final[[#This Row],[Valor de Compra Previsto]]-4%*Final[[#This Row],[Valor da Venda Real]])/Final[[#This Row],[Valor da Venda Real]],""),"")</f>
        <v/>
      </c>
      <c r="S648" s="61" t="str">
        <f t="shared" si="45"/>
        <v/>
      </c>
      <c r="T648" s="23" t="str">
        <f>IFERROR((R648*Final[[#This Row],[Valor da Venda Real]]*Final[[#This Row],[Quantidade ]]*S648),"")</f>
        <v/>
      </c>
    </row>
    <row r="649" spans="1:20" ht="15.75" x14ac:dyDescent="0.2">
      <c r="A649">
        <f>COUNTIF($C$2:C649,C649)</f>
        <v>648</v>
      </c>
      <c r="B649" s="1" t="str">
        <f t="shared" si="44"/>
        <v>648</v>
      </c>
      <c r="C649" s="1" t="str">
        <f>IFERROR(VLOOKUP(D649,'Planilha de Cadastro - Previsão'!$A$2:$N$1000,14,FALSE()),"")</f>
        <v/>
      </c>
      <c r="D649" s="1">
        <v>648</v>
      </c>
      <c r="F649" s="40" t="str">
        <f t="shared" si="43"/>
        <v/>
      </c>
      <c r="G649" s="40" t="str">
        <f>IF(F649="","",'Prosposta Inicial'!$O$2)</f>
        <v/>
      </c>
      <c r="H649" s="40" t="str">
        <f t="shared" si="42"/>
        <v xml:space="preserve"> </v>
      </c>
      <c r="I649" s="41" t="str">
        <f>IFERROR((VLOOKUP(F649,'Planilha de Cadastro - Previsão'!$A$2:$N$1100,2,FALSE()))," ")</f>
        <v xml:space="preserve"> </v>
      </c>
      <c r="J649" s="40" t="str">
        <f>IFERROR((VLOOKUP(F649,'Planilha de Cadastro - Previsão'!$A$2:$N$1100,3,FALSE()))," ")</f>
        <v xml:space="preserve"> </v>
      </c>
      <c r="K649" s="40"/>
      <c r="L649" s="42" t="str">
        <f>IFERROR((VLOOKUP(F649,'Planilha de Cadastro - Previsão'!$A$2:$N$1100,11,FALSE()))," ")</f>
        <v xml:space="preserve"> </v>
      </c>
      <c r="M649" s="41" t="str">
        <f>IFERROR((IF(VLOOKUP(F649,'Planilha de Cadastro - Previsão'!$A$2:$N$1100,10,FALSE())="","",VLOOKUP(F649,'Planilha de Cadastro - Previsão'!$A$2:$N$1100,10,FALSE()))),"")</f>
        <v/>
      </c>
      <c r="N649" s="41"/>
      <c r="O649" s="41"/>
      <c r="P649" s="41" t="str">
        <f>IFERROR((IF(VLOOKUP(F649,'Acompanhamento da Licitação'!$F$2:$O$1000,10,FALSE())="","",VLOOKUP(F649,'Acompanhamento da Licitação'!$F$2:$O$1000,10,FALSE()))),"")</f>
        <v/>
      </c>
      <c r="R649" s="61" t="str">
        <f>IFERROR(IF(F649&gt;0,(Final[[#This Row],[Valor da Venda Real]]-Final[[#This Row],[Valor de Compra Previsto]]-4%*Final[[#This Row],[Valor da Venda Real]])/Final[[#This Row],[Valor da Venda Real]],""),"")</f>
        <v/>
      </c>
      <c r="S649" s="61" t="str">
        <f t="shared" si="45"/>
        <v/>
      </c>
      <c r="T649" s="23" t="str">
        <f>IFERROR((R649*Final[[#This Row],[Valor da Venda Real]]*Final[[#This Row],[Quantidade ]]*S649),"")</f>
        <v/>
      </c>
    </row>
    <row r="650" spans="1:20" ht="15.75" x14ac:dyDescent="0.2">
      <c r="A650">
        <f>COUNTIF($C$2:C650,C650)</f>
        <v>649</v>
      </c>
      <c r="B650" s="1" t="str">
        <f t="shared" si="44"/>
        <v>649</v>
      </c>
      <c r="C650" s="1" t="str">
        <f>IFERROR(VLOOKUP(D650,'Planilha de Cadastro - Previsão'!$A$2:$N$1000,14,FALSE()),"")</f>
        <v/>
      </c>
      <c r="D650" s="1">
        <v>649</v>
      </c>
      <c r="F650" s="40" t="str">
        <f t="shared" si="43"/>
        <v/>
      </c>
      <c r="G650" s="40" t="str">
        <f>IF(F650="","",'Prosposta Inicial'!$O$2)</f>
        <v/>
      </c>
      <c r="H650" s="40" t="str">
        <f t="shared" si="42"/>
        <v xml:space="preserve"> </v>
      </c>
      <c r="I650" s="41" t="str">
        <f>IFERROR((VLOOKUP(F650,'Planilha de Cadastro - Previsão'!$A$2:$N$1100,2,FALSE()))," ")</f>
        <v xml:space="preserve"> </v>
      </c>
      <c r="J650" s="40" t="str">
        <f>IFERROR((VLOOKUP(F650,'Planilha de Cadastro - Previsão'!$A$2:$N$1100,3,FALSE()))," ")</f>
        <v xml:space="preserve"> </v>
      </c>
      <c r="K650" s="40"/>
      <c r="L650" s="42" t="str">
        <f>IFERROR((VLOOKUP(F650,'Planilha de Cadastro - Previsão'!$A$2:$N$1100,11,FALSE()))," ")</f>
        <v xml:space="preserve"> </v>
      </c>
      <c r="M650" s="41" t="str">
        <f>IFERROR((IF(VLOOKUP(F650,'Planilha de Cadastro - Previsão'!$A$2:$N$1100,10,FALSE())="","",VLOOKUP(F650,'Planilha de Cadastro - Previsão'!$A$2:$N$1100,10,FALSE()))),"")</f>
        <v/>
      </c>
      <c r="N650" s="41"/>
      <c r="O650" s="41"/>
      <c r="P650" s="41" t="str">
        <f>IFERROR((IF(VLOOKUP(F650,'Acompanhamento da Licitação'!$F$2:$O$1000,10,FALSE())="","",VLOOKUP(F650,'Acompanhamento da Licitação'!$F$2:$O$1000,10,FALSE()))),"")</f>
        <v/>
      </c>
      <c r="R650" s="61" t="str">
        <f>IFERROR(IF(F650&gt;0,(Final[[#This Row],[Valor da Venda Real]]-Final[[#This Row],[Valor de Compra Previsto]]-4%*Final[[#This Row],[Valor da Venda Real]])/Final[[#This Row],[Valor da Venda Real]],""),"")</f>
        <v/>
      </c>
      <c r="S650" s="61" t="str">
        <f t="shared" si="45"/>
        <v/>
      </c>
      <c r="T650" s="23" t="str">
        <f>IFERROR((R650*Final[[#This Row],[Valor da Venda Real]]*Final[[#This Row],[Quantidade ]]*S650),"")</f>
        <v/>
      </c>
    </row>
    <row r="651" spans="1:20" ht="15.75" x14ac:dyDescent="0.2">
      <c r="A651">
        <f>COUNTIF($C$2:C651,C651)</f>
        <v>650</v>
      </c>
      <c r="B651" s="1" t="str">
        <f t="shared" si="44"/>
        <v>650</v>
      </c>
      <c r="C651" s="1" t="str">
        <f>IFERROR(VLOOKUP(D651,'Planilha de Cadastro - Previsão'!$A$2:$N$1000,14,FALSE()),"")</f>
        <v/>
      </c>
      <c r="D651" s="1">
        <v>650</v>
      </c>
      <c r="F651" s="40" t="str">
        <f t="shared" si="43"/>
        <v/>
      </c>
      <c r="G651" s="40" t="str">
        <f>IF(F651="","",'Prosposta Inicial'!$O$2)</f>
        <v/>
      </c>
      <c r="H651" s="40" t="str">
        <f t="shared" si="42"/>
        <v xml:space="preserve"> </v>
      </c>
      <c r="I651" s="41" t="str">
        <f>IFERROR((VLOOKUP(F651,'Planilha de Cadastro - Previsão'!$A$2:$N$1100,2,FALSE()))," ")</f>
        <v xml:space="preserve"> </v>
      </c>
      <c r="J651" s="40" t="str">
        <f>IFERROR((VLOOKUP(F651,'Planilha de Cadastro - Previsão'!$A$2:$N$1100,3,FALSE()))," ")</f>
        <v xml:space="preserve"> </v>
      </c>
      <c r="K651" s="40"/>
      <c r="L651" s="42" t="str">
        <f>IFERROR((VLOOKUP(F651,'Planilha de Cadastro - Previsão'!$A$2:$N$1100,11,FALSE()))," ")</f>
        <v xml:space="preserve"> </v>
      </c>
      <c r="M651" s="41" t="str">
        <f>IFERROR((IF(VLOOKUP(F651,'Planilha de Cadastro - Previsão'!$A$2:$N$1100,10,FALSE())="","",VLOOKUP(F651,'Planilha de Cadastro - Previsão'!$A$2:$N$1100,10,FALSE()))),"")</f>
        <v/>
      </c>
      <c r="N651" s="41"/>
      <c r="O651" s="41"/>
      <c r="P651" s="41" t="str">
        <f>IFERROR((IF(VLOOKUP(F651,'Acompanhamento da Licitação'!$F$2:$O$1000,10,FALSE())="","",VLOOKUP(F651,'Acompanhamento da Licitação'!$F$2:$O$1000,10,FALSE()))),"")</f>
        <v/>
      </c>
      <c r="R651" s="61" t="str">
        <f>IFERROR(IF(F651&gt;0,(Final[[#This Row],[Valor da Venda Real]]-Final[[#This Row],[Valor de Compra Previsto]]-4%*Final[[#This Row],[Valor da Venda Real]])/Final[[#This Row],[Valor da Venda Real]],""),"")</f>
        <v/>
      </c>
      <c r="S651" s="61" t="str">
        <f t="shared" si="45"/>
        <v/>
      </c>
      <c r="T651" s="23" t="str">
        <f>IFERROR((R651*Final[[#This Row],[Valor da Venda Real]]*Final[[#This Row],[Quantidade ]]*S651),"")</f>
        <v/>
      </c>
    </row>
    <row r="652" spans="1:20" ht="15.75" x14ac:dyDescent="0.2">
      <c r="A652">
        <f>COUNTIF($C$2:C652,C652)</f>
        <v>651</v>
      </c>
      <c r="B652" s="1" t="str">
        <f t="shared" si="44"/>
        <v>651</v>
      </c>
      <c r="C652" s="1" t="str">
        <f>IFERROR(VLOOKUP(D652,'Planilha de Cadastro - Previsão'!$A$2:$N$1000,14,FALSE()),"")</f>
        <v/>
      </c>
      <c r="D652" s="1">
        <v>651</v>
      </c>
      <c r="F652" s="40" t="str">
        <f t="shared" si="43"/>
        <v/>
      </c>
      <c r="G652" s="40" t="str">
        <f>IF(F652="","",'Prosposta Inicial'!$O$2)</f>
        <v/>
      </c>
      <c r="H652" s="40" t="str">
        <f t="shared" si="42"/>
        <v xml:space="preserve"> </v>
      </c>
      <c r="I652" s="41" t="str">
        <f>IFERROR((VLOOKUP(F652,'Planilha de Cadastro - Previsão'!$A$2:$N$1100,2,FALSE()))," ")</f>
        <v xml:space="preserve"> </v>
      </c>
      <c r="J652" s="40" t="str">
        <f>IFERROR((VLOOKUP(F652,'Planilha de Cadastro - Previsão'!$A$2:$N$1100,3,FALSE()))," ")</f>
        <v xml:space="preserve"> </v>
      </c>
      <c r="K652" s="40"/>
      <c r="L652" s="42" t="str">
        <f>IFERROR((VLOOKUP(F652,'Planilha de Cadastro - Previsão'!$A$2:$N$1100,11,FALSE()))," ")</f>
        <v xml:space="preserve"> </v>
      </c>
      <c r="M652" s="41" t="str">
        <f>IFERROR((IF(VLOOKUP(F652,'Planilha de Cadastro - Previsão'!$A$2:$N$1100,10,FALSE())="","",VLOOKUP(F652,'Planilha de Cadastro - Previsão'!$A$2:$N$1100,10,FALSE()))),"")</f>
        <v/>
      </c>
      <c r="N652" s="41"/>
      <c r="O652" s="41"/>
      <c r="P652" s="41" t="str">
        <f>IFERROR((IF(VLOOKUP(F652,'Acompanhamento da Licitação'!$F$2:$O$1000,10,FALSE())="","",VLOOKUP(F652,'Acompanhamento da Licitação'!$F$2:$O$1000,10,FALSE()))),"")</f>
        <v/>
      </c>
      <c r="R652" s="61" t="str">
        <f>IFERROR(IF(F652&gt;0,(Final[[#This Row],[Valor da Venda Real]]-Final[[#This Row],[Valor de Compra Previsto]]-4%*Final[[#This Row],[Valor da Venda Real]])/Final[[#This Row],[Valor da Venda Real]],""),"")</f>
        <v/>
      </c>
      <c r="S652" s="61" t="str">
        <f t="shared" si="45"/>
        <v/>
      </c>
      <c r="T652" s="23" t="str">
        <f>IFERROR((R652*Final[[#This Row],[Valor da Venda Real]]*Final[[#This Row],[Quantidade ]]*S652),"")</f>
        <v/>
      </c>
    </row>
    <row r="653" spans="1:20" ht="15.75" x14ac:dyDescent="0.2">
      <c r="A653">
        <f>COUNTIF($C$2:C653,C653)</f>
        <v>652</v>
      </c>
      <c r="B653" s="1" t="str">
        <f t="shared" si="44"/>
        <v>652</v>
      </c>
      <c r="C653" s="1" t="str">
        <f>IFERROR(VLOOKUP(D653,'Planilha de Cadastro - Previsão'!$A$2:$N$1000,14,FALSE()),"")</f>
        <v/>
      </c>
      <c r="D653" s="1">
        <v>652</v>
      </c>
      <c r="F653" s="40" t="str">
        <f t="shared" si="43"/>
        <v/>
      </c>
      <c r="G653" s="40" t="str">
        <f>IF(F653="","",'Prosposta Inicial'!$O$2)</f>
        <v/>
      </c>
      <c r="H653" s="40" t="str">
        <f t="shared" si="42"/>
        <v xml:space="preserve"> </v>
      </c>
      <c r="I653" s="41" t="str">
        <f>IFERROR((VLOOKUP(F653,'Planilha de Cadastro - Previsão'!$A$2:$N$1100,2,FALSE()))," ")</f>
        <v xml:space="preserve"> </v>
      </c>
      <c r="J653" s="40" t="str">
        <f>IFERROR((VLOOKUP(F653,'Planilha de Cadastro - Previsão'!$A$2:$N$1100,3,FALSE()))," ")</f>
        <v xml:space="preserve"> </v>
      </c>
      <c r="K653" s="40"/>
      <c r="L653" s="42" t="str">
        <f>IFERROR((VLOOKUP(F653,'Planilha de Cadastro - Previsão'!$A$2:$N$1100,11,FALSE()))," ")</f>
        <v xml:space="preserve"> </v>
      </c>
      <c r="M653" s="41" t="str">
        <f>IFERROR((IF(VLOOKUP(F653,'Planilha de Cadastro - Previsão'!$A$2:$N$1100,10,FALSE())="","",VLOOKUP(F653,'Planilha de Cadastro - Previsão'!$A$2:$N$1100,10,FALSE()))),"")</f>
        <v/>
      </c>
      <c r="N653" s="41"/>
      <c r="O653" s="41"/>
      <c r="P653" s="41" t="str">
        <f>IFERROR((IF(VLOOKUP(F653,'Acompanhamento da Licitação'!$F$2:$O$1000,10,FALSE())="","",VLOOKUP(F653,'Acompanhamento da Licitação'!$F$2:$O$1000,10,FALSE()))),"")</f>
        <v/>
      </c>
      <c r="R653" s="61" t="str">
        <f>IFERROR(IF(F653&gt;0,(Final[[#This Row],[Valor da Venda Real]]-Final[[#This Row],[Valor de Compra Previsto]]-4%*Final[[#This Row],[Valor da Venda Real]])/Final[[#This Row],[Valor da Venda Real]],""),"")</f>
        <v/>
      </c>
      <c r="S653" s="61" t="str">
        <f t="shared" si="45"/>
        <v/>
      </c>
      <c r="T653" s="23" t="str">
        <f>IFERROR((R653*Final[[#This Row],[Valor da Venda Real]]*Final[[#This Row],[Quantidade ]]*S653),"")</f>
        <v/>
      </c>
    </row>
    <row r="654" spans="1:20" ht="15.75" x14ac:dyDescent="0.2">
      <c r="A654">
        <f>COUNTIF($C$2:C654,C654)</f>
        <v>653</v>
      </c>
      <c r="B654" s="1" t="str">
        <f t="shared" si="44"/>
        <v>653</v>
      </c>
      <c r="C654" s="1" t="str">
        <f>IFERROR(VLOOKUP(D654,'Planilha de Cadastro - Previsão'!$A$2:$N$1000,14,FALSE()),"")</f>
        <v/>
      </c>
      <c r="D654" s="1">
        <v>653</v>
      </c>
      <c r="F654" s="40" t="str">
        <f t="shared" si="43"/>
        <v/>
      </c>
      <c r="G654" s="40" t="str">
        <f>IF(F654="","",'Prosposta Inicial'!$O$2)</f>
        <v/>
      </c>
      <c r="H654" s="40" t="str">
        <f t="shared" si="42"/>
        <v xml:space="preserve"> </v>
      </c>
      <c r="I654" s="41" t="str">
        <f>IFERROR((VLOOKUP(F654,'Planilha de Cadastro - Previsão'!$A$2:$N$1100,2,FALSE()))," ")</f>
        <v xml:space="preserve"> </v>
      </c>
      <c r="J654" s="40" t="str">
        <f>IFERROR((VLOOKUP(F654,'Planilha de Cadastro - Previsão'!$A$2:$N$1100,3,FALSE()))," ")</f>
        <v xml:space="preserve"> </v>
      </c>
      <c r="K654" s="40"/>
      <c r="L654" s="42" t="str">
        <f>IFERROR((VLOOKUP(F654,'Planilha de Cadastro - Previsão'!$A$2:$N$1100,11,FALSE()))," ")</f>
        <v xml:space="preserve"> </v>
      </c>
      <c r="M654" s="41" t="str">
        <f>IFERROR((IF(VLOOKUP(F654,'Planilha de Cadastro - Previsão'!$A$2:$N$1100,10,FALSE())="","",VLOOKUP(F654,'Planilha de Cadastro - Previsão'!$A$2:$N$1100,10,FALSE()))),"")</f>
        <v/>
      </c>
      <c r="N654" s="41"/>
      <c r="O654" s="41"/>
      <c r="P654" s="41" t="str">
        <f>IFERROR((IF(VLOOKUP(F654,'Acompanhamento da Licitação'!$F$2:$O$1000,10,FALSE())="","",VLOOKUP(F654,'Acompanhamento da Licitação'!$F$2:$O$1000,10,FALSE()))),"")</f>
        <v/>
      </c>
      <c r="R654" s="61" t="str">
        <f>IFERROR(IF(F654&gt;0,(Final[[#This Row],[Valor da Venda Real]]-Final[[#This Row],[Valor de Compra Previsto]]-4%*Final[[#This Row],[Valor da Venda Real]])/Final[[#This Row],[Valor da Venda Real]],""),"")</f>
        <v/>
      </c>
      <c r="S654" s="61" t="str">
        <f t="shared" si="45"/>
        <v/>
      </c>
      <c r="T654" s="23" t="str">
        <f>IFERROR((R654*Final[[#This Row],[Valor da Venda Real]]*Final[[#This Row],[Quantidade ]]*S654),"")</f>
        <v/>
      </c>
    </row>
    <row r="655" spans="1:20" ht="15.75" x14ac:dyDescent="0.2">
      <c r="A655">
        <f>COUNTIF($C$2:C655,C655)</f>
        <v>654</v>
      </c>
      <c r="B655" s="1" t="str">
        <f t="shared" si="44"/>
        <v>654</v>
      </c>
      <c r="C655" s="1" t="str">
        <f>IFERROR(VLOOKUP(D655,'Planilha de Cadastro - Previsão'!$A$2:$N$1000,14,FALSE()),"")</f>
        <v/>
      </c>
      <c r="D655" s="1">
        <v>654</v>
      </c>
      <c r="F655" s="40" t="str">
        <f t="shared" si="43"/>
        <v/>
      </c>
      <c r="G655" s="40" t="str">
        <f>IF(F655="","",'Prosposta Inicial'!$O$2)</f>
        <v/>
      </c>
      <c r="H655" s="40" t="str">
        <f t="shared" si="42"/>
        <v xml:space="preserve"> </v>
      </c>
      <c r="I655" s="41" t="str">
        <f>IFERROR((VLOOKUP(F655,'Planilha de Cadastro - Previsão'!$A$2:$N$1100,2,FALSE()))," ")</f>
        <v xml:space="preserve"> </v>
      </c>
      <c r="J655" s="40" t="str">
        <f>IFERROR((VLOOKUP(F655,'Planilha de Cadastro - Previsão'!$A$2:$N$1100,3,FALSE()))," ")</f>
        <v xml:space="preserve"> </v>
      </c>
      <c r="K655" s="40"/>
      <c r="L655" s="42" t="str">
        <f>IFERROR((VLOOKUP(F655,'Planilha de Cadastro - Previsão'!$A$2:$N$1100,11,FALSE()))," ")</f>
        <v xml:space="preserve"> </v>
      </c>
      <c r="M655" s="41" t="str">
        <f>IFERROR((IF(VLOOKUP(F655,'Planilha de Cadastro - Previsão'!$A$2:$N$1100,10,FALSE())="","",VLOOKUP(F655,'Planilha de Cadastro - Previsão'!$A$2:$N$1100,10,FALSE()))),"")</f>
        <v/>
      </c>
      <c r="N655" s="41"/>
      <c r="O655" s="41"/>
      <c r="P655" s="41" t="str">
        <f>IFERROR((IF(VLOOKUP(F655,'Acompanhamento da Licitação'!$F$2:$O$1000,10,FALSE())="","",VLOOKUP(F655,'Acompanhamento da Licitação'!$F$2:$O$1000,10,FALSE()))),"")</f>
        <v/>
      </c>
      <c r="R655" s="61" t="str">
        <f>IFERROR(IF(F655&gt;0,(Final[[#This Row],[Valor da Venda Real]]-Final[[#This Row],[Valor de Compra Previsto]]-4%*Final[[#This Row],[Valor da Venda Real]])/Final[[#This Row],[Valor da Venda Real]],""),"")</f>
        <v/>
      </c>
      <c r="S655" s="61" t="str">
        <f t="shared" si="45"/>
        <v/>
      </c>
      <c r="T655" s="23" t="str">
        <f>IFERROR((R655*Final[[#This Row],[Valor da Venda Real]]*Final[[#This Row],[Quantidade ]]*S655),"")</f>
        <v/>
      </c>
    </row>
    <row r="656" spans="1:20" ht="15.75" x14ac:dyDescent="0.2">
      <c r="A656">
        <f>COUNTIF($C$2:C656,C656)</f>
        <v>655</v>
      </c>
      <c r="B656" s="1" t="str">
        <f t="shared" si="44"/>
        <v>655</v>
      </c>
      <c r="C656" s="1" t="str">
        <f>IFERROR(VLOOKUP(D656,'Planilha de Cadastro - Previsão'!$A$2:$N$1000,14,FALSE()),"")</f>
        <v/>
      </c>
      <c r="D656" s="1">
        <v>655</v>
      </c>
      <c r="F656" s="40" t="str">
        <f t="shared" si="43"/>
        <v/>
      </c>
      <c r="G656" s="40" t="str">
        <f>IF(F656="","",'Prosposta Inicial'!$O$2)</f>
        <v/>
      </c>
      <c r="H656" s="40" t="str">
        <f t="shared" si="42"/>
        <v xml:space="preserve"> </v>
      </c>
      <c r="I656" s="41" t="str">
        <f>IFERROR((VLOOKUP(F656,'Planilha de Cadastro - Previsão'!$A$2:$N$1100,2,FALSE()))," ")</f>
        <v xml:space="preserve"> </v>
      </c>
      <c r="J656" s="40" t="str">
        <f>IFERROR((VLOOKUP(F656,'Planilha de Cadastro - Previsão'!$A$2:$N$1100,3,FALSE()))," ")</f>
        <v xml:space="preserve"> </v>
      </c>
      <c r="K656" s="40"/>
      <c r="L656" s="42" t="str">
        <f>IFERROR((VLOOKUP(F656,'Planilha de Cadastro - Previsão'!$A$2:$N$1100,11,FALSE()))," ")</f>
        <v xml:space="preserve"> </v>
      </c>
      <c r="M656" s="41" t="str">
        <f>IFERROR((IF(VLOOKUP(F656,'Planilha de Cadastro - Previsão'!$A$2:$N$1100,10,FALSE())="","",VLOOKUP(F656,'Planilha de Cadastro - Previsão'!$A$2:$N$1100,10,FALSE()))),"")</f>
        <v/>
      </c>
      <c r="N656" s="41"/>
      <c r="O656" s="41"/>
      <c r="P656" s="41" t="str">
        <f>IFERROR((IF(VLOOKUP(F656,'Acompanhamento da Licitação'!$F$2:$O$1000,10,FALSE())="","",VLOOKUP(F656,'Acompanhamento da Licitação'!$F$2:$O$1000,10,FALSE()))),"")</f>
        <v/>
      </c>
      <c r="R656" s="61" t="str">
        <f>IFERROR(IF(F656&gt;0,(Final[[#This Row],[Valor da Venda Real]]-Final[[#This Row],[Valor de Compra Previsto]]-4%*Final[[#This Row],[Valor da Venda Real]])/Final[[#This Row],[Valor da Venda Real]],""),"")</f>
        <v/>
      </c>
      <c r="S656" s="61" t="str">
        <f t="shared" si="45"/>
        <v/>
      </c>
      <c r="T656" s="23" t="str">
        <f>IFERROR((R656*Final[[#This Row],[Valor da Venda Real]]*Final[[#This Row],[Quantidade ]]*S656),"")</f>
        <v/>
      </c>
    </row>
    <row r="657" spans="1:20" ht="15.75" x14ac:dyDescent="0.2">
      <c r="A657">
        <f>COUNTIF($C$2:C657,C657)</f>
        <v>656</v>
      </c>
      <c r="B657" s="1" t="str">
        <f t="shared" si="44"/>
        <v>656</v>
      </c>
      <c r="C657" s="1" t="str">
        <f>IFERROR(VLOOKUP(D657,'Planilha de Cadastro - Previsão'!$A$2:$N$1000,14,FALSE()),"")</f>
        <v/>
      </c>
      <c r="D657" s="1">
        <v>656</v>
      </c>
      <c r="F657" s="40" t="str">
        <f t="shared" si="43"/>
        <v/>
      </c>
      <c r="G657" s="40" t="str">
        <f>IF(F657="","",'Prosposta Inicial'!$O$2)</f>
        <v/>
      </c>
      <c r="H657" s="40" t="str">
        <f t="shared" si="42"/>
        <v xml:space="preserve"> </v>
      </c>
      <c r="I657" s="41" t="str">
        <f>IFERROR((VLOOKUP(F657,'Planilha de Cadastro - Previsão'!$A$2:$N$1100,2,FALSE()))," ")</f>
        <v xml:space="preserve"> </v>
      </c>
      <c r="J657" s="40" t="str">
        <f>IFERROR((VLOOKUP(F657,'Planilha de Cadastro - Previsão'!$A$2:$N$1100,3,FALSE()))," ")</f>
        <v xml:space="preserve"> </v>
      </c>
      <c r="K657" s="40"/>
      <c r="L657" s="42" t="str">
        <f>IFERROR((VLOOKUP(F657,'Planilha de Cadastro - Previsão'!$A$2:$N$1100,11,FALSE()))," ")</f>
        <v xml:space="preserve"> </v>
      </c>
      <c r="M657" s="41" t="str">
        <f>IFERROR((IF(VLOOKUP(F657,'Planilha de Cadastro - Previsão'!$A$2:$N$1100,10,FALSE())="","",VLOOKUP(F657,'Planilha de Cadastro - Previsão'!$A$2:$N$1100,10,FALSE()))),"")</f>
        <v/>
      </c>
      <c r="N657" s="41"/>
      <c r="O657" s="41"/>
      <c r="P657" s="41" t="str">
        <f>IFERROR((IF(VLOOKUP(F657,'Acompanhamento da Licitação'!$F$2:$O$1000,10,FALSE())="","",VLOOKUP(F657,'Acompanhamento da Licitação'!$F$2:$O$1000,10,FALSE()))),"")</f>
        <v/>
      </c>
      <c r="R657" s="61" t="str">
        <f>IFERROR(IF(F657&gt;0,(Final[[#This Row],[Valor da Venda Real]]-Final[[#This Row],[Valor de Compra Previsto]]-4%*Final[[#This Row],[Valor da Venda Real]])/Final[[#This Row],[Valor da Venda Real]],""),"")</f>
        <v/>
      </c>
      <c r="S657" s="61" t="str">
        <f t="shared" si="45"/>
        <v/>
      </c>
      <c r="T657" s="23" t="str">
        <f>IFERROR((R657*Final[[#This Row],[Valor da Venda Real]]*Final[[#This Row],[Quantidade ]]*S657),"")</f>
        <v/>
      </c>
    </row>
    <row r="658" spans="1:20" ht="15.75" x14ac:dyDescent="0.2">
      <c r="A658">
        <f>COUNTIF($C$2:C658,C658)</f>
        <v>657</v>
      </c>
      <c r="B658" s="1" t="str">
        <f t="shared" si="44"/>
        <v>657</v>
      </c>
      <c r="C658" s="1" t="str">
        <f>IFERROR(VLOOKUP(D658,'Planilha de Cadastro - Previsão'!$A$2:$N$1000,14,FALSE()),"")</f>
        <v/>
      </c>
      <c r="D658" s="1">
        <v>657</v>
      </c>
      <c r="F658" s="40" t="str">
        <f t="shared" si="43"/>
        <v/>
      </c>
      <c r="G658" s="40" t="str">
        <f>IF(F658="","",'Prosposta Inicial'!$O$2)</f>
        <v/>
      </c>
      <c r="H658" s="40" t="str">
        <f t="shared" si="42"/>
        <v xml:space="preserve"> </v>
      </c>
      <c r="I658" s="41" t="str">
        <f>IFERROR((VLOOKUP(F658,'Planilha de Cadastro - Previsão'!$A$2:$N$1100,2,FALSE()))," ")</f>
        <v xml:space="preserve"> </v>
      </c>
      <c r="J658" s="40" t="str">
        <f>IFERROR((VLOOKUP(F658,'Planilha de Cadastro - Previsão'!$A$2:$N$1100,3,FALSE()))," ")</f>
        <v xml:space="preserve"> </v>
      </c>
      <c r="K658" s="40"/>
      <c r="L658" s="42" t="str">
        <f>IFERROR((VLOOKUP(F658,'Planilha de Cadastro - Previsão'!$A$2:$N$1100,11,FALSE()))," ")</f>
        <v xml:space="preserve"> </v>
      </c>
      <c r="M658" s="41" t="str">
        <f>IFERROR((IF(VLOOKUP(F658,'Planilha de Cadastro - Previsão'!$A$2:$N$1100,10,FALSE())="","",VLOOKUP(F658,'Planilha de Cadastro - Previsão'!$A$2:$N$1100,10,FALSE()))),"")</f>
        <v/>
      </c>
      <c r="N658" s="41"/>
      <c r="O658" s="41"/>
      <c r="P658" s="41" t="str">
        <f>IFERROR((IF(VLOOKUP(F658,'Acompanhamento da Licitação'!$F$2:$O$1000,10,FALSE())="","",VLOOKUP(F658,'Acompanhamento da Licitação'!$F$2:$O$1000,10,FALSE()))),"")</f>
        <v/>
      </c>
      <c r="R658" s="61" t="str">
        <f>IFERROR(IF(F658&gt;0,(Final[[#This Row],[Valor da Venda Real]]-Final[[#This Row],[Valor de Compra Previsto]]-4%*Final[[#This Row],[Valor da Venda Real]])/Final[[#This Row],[Valor da Venda Real]],""),"")</f>
        <v/>
      </c>
      <c r="S658" s="61" t="str">
        <f t="shared" si="45"/>
        <v/>
      </c>
      <c r="T658" s="23" t="str">
        <f>IFERROR((R658*Final[[#This Row],[Valor da Venda Real]]*Final[[#This Row],[Quantidade ]]*S658),"")</f>
        <v/>
      </c>
    </row>
    <row r="659" spans="1:20" ht="15.75" x14ac:dyDescent="0.2">
      <c r="A659">
        <f>COUNTIF($C$2:C659,C659)</f>
        <v>658</v>
      </c>
      <c r="B659" s="1" t="str">
        <f t="shared" si="44"/>
        <v>658</v>
      </c>
      <c r="C659" s="1" t="str">
        <f>IFERROR(VLOOKUP(D659,'Planilha de Cadastro - Previsão'!$A$2:$N$1000,14,FALSE()),"")</f>
        <v/>
      </c>
      <c r="D659" s="1">
        <v>658</v>
      </c>
      <c r="F659" s="40" t="str">
        <f t="shared" si="43"/>
        <v/>
      </c>
      <c r="G659" s="40" t="str">
        <f>IF(F659="","",'Prosposta Inicial'!$O$2)</f>
        <v/>
      </c>
      <c r="H659" s="40" t="str">
        <f t="shared" si="42"/>
        <v xml:space="preserve"> </v>
      </c>
      <c r="I659" s="41" t="str">
        <f>IFERROR((VLOOKUP(F659,'Planilha de Cadastro - Previsão'!$A$2:$N$1100,2,FALSE()))," ")</f>
        <v xml:space="preserve"> </v>
      </c>
      <c r="J659" s="40" t="str">
        <f>IFERROR((VLOOKUP(F659,'Planilha de Cadastro - Previsão'!$A$2:$N$1100,3,FALSE()))," ")</f>
        <v xml:space="preserve"> </v>
      </c>
      <c r="K659" s="40"/>
      <c r="L659" s="42" t="str">
        <f>IFERROR((VLOOKUP(F659,'Planilha de Cadastro - Previsão'!$A$2:$N$1100,11,FALSE()))," ")</f>
        <v xml:space="preserve"> </v>
      </c>
      <c r="M659" s="41" t="str">
        <f>IFERROR((IF(VLOOKUP(F659,'Planilha de Cadastro - Previsão'!$A$2:$N$1100,10,FALSE())="","",VLOOKUP(F659,'Planilha de Cadastro - Previsão'!$A$2:$N$1100,10,FALSE()))),"")</f>
        <v/>
      </c>
      <c r="N659" s="41"/>
      <c r="O659" s="41"/>
      <c r="P659" s="41" t="str">
        <f>IFERROR((IF(VLOOKUP(F659,'Acompanhamento da Licitação'!$F$2:$O$1000,10,FALSE())="","",VLOOKUP(F659,'Acompanhamento da Licitação'!$F$2:$O$1000,10,FALSE()))),"")</f>
        <v/>
      </c>
      <c r="R659" s="61" t="str">
        <f>IFERROR(IF(F659&gt;0,(Final[[#This Row],[Valor da Venda Real]]-Final[[#This Row],[Valor de Compra Previsto]]-4%*Final[[#This Row],[Valor da Venda Real]])/Final[[#This Row],[Valor da Venda Real]],""),"")</f>
        <v/>
      </c>
      <c r="S659" s="61" t="str">
        <f t="shared" si="45"/>
        <v/>
      </c>
      <c r="T659" s="23" t="str">
        <f>IFERROR((R659*Final[[#This Row],[Valor da Venda Real]]*Final[[#This Row],[Quantidade ]]*S659),"")</f>
        <v/>
      </c>
    </row>
    <row r="660" spans="1:20" ht="15.75" x14ac:dyDescent="0.2">
      <c r="A660">
        <f>COUNTIF($C$2:C660,C660)</f>
        <v>659</v>
      </c>
      <c r="B660" s="1" t="str">
        <f t="shared" si="44"/>
        <v>659</v>
      </c>
      <c r="C660" s="1" t="str">
        <f>IFERROR(VLOOKUP(D660,'Planilha de Cadastro - Previsão'!$A$2:$N$1000,14,FALSE()),"")</f>
        <v/>
      </c>
      <c r="D660" s="1">
        <v>659</v>
      </c>
      <c r="F660" s="40" t="str">
        <f t="shared" si="43"/>
        <v/>
      </c>
      <c r="G660" s="40" t="str">
        <f>IF(F660="","",'Prosposta Inicial'!$O$2)</f>
        <v/>
      </c>
      <c r="H660" s="40" t="str">
        <f t="shared" si="42"/>
        <v xml:space="preserve"> </v>
      </c>
      <c r="I660" s="41" t="str">
        <f>IFERROR((VLOOKUP(F660,'Planilha de Cadastro - Previsão'!$A$2:$N$1100,2,FALSE()))," ")</f>
        <v xml:space="preserve"> </v>
      </c>
      <c r="J660" s="40" t="str">
        <f>IFERROR((VLOOKUP(F660,'Planilha de Cadastro - Previsão'!$A$2:$N$1100,3,FALSE()))," ")</f>
        <v xml:space="preserve"> </v>
      </c>
      <c r="K660" s="40"/>
      <c r="L660" s="42" t="str">
        <f>IFERROR((VLOOKUP(F660,'Planilha de Cadastro - Previsão'!$A$2:$N$1100,11,FALSE()))," ")</f>
        <v xml:space="preserve"> </v>
      </c>
      <c r="M660" s="41" t="str">
        <f>IFERROR((IF(VLOOKUP(F660,'Planilha de Cadastro - Previsão'!$A$2:$N$1100,10,FALSE())="","",VLOOKUP(F660,'Planilha de Cadastro - Previsão'!$A$2:$N$1100,10,FALSE()))),"")</f>
        <v/>
      </c>
      <c r="N660" s="41"/>
      <c r="O660" s="41"/>
      <c r="P660" s="41" t="str">
        <f>IFERROR((IF(VLOOKUP(F660,'Acompanhamento da Licitação'!$F$2:$O$1000,10,FALSE())="","",VLOOKUP(F660,'Acompanhamento da Licitação'!$F$2:$O$1000,10,FALSE()))),"")</f>
        <v/>
      </c>
      <c r="R660" s="61" t="str">
        <f>IFERROR(IF(F660&gt;0,(Final[[#This Row],[Valor da Venda Real]]-Final[[#This Row],[Valor de Compra Previsto]]-4%*Final[[#This Row],[Valor da Venda Real]])/Final[[#This Row],[Valor da Venda Real]],""),"")</f>
        <v/>
      </c>
      <c r="S660" s="61" t="str">
        <f t="shared" si="45"/>
        <v/>
      </c>
      <c r="T660" s="23" t="str">
        <f>IFERROR((R660*Final[[#This Row],[Valor da Venda Real]]*Final[[#This Row],[Quantidade ]]*S660),"")</f>
        <v/>
      </c>
    </row>
    <row r="661" spans="1:20" ht="15.75" x14ac:dyDescent="0.2">
      <c r="A661">
        <f>COUNTIF($C$2:C661,C661)</f>
        <v>660</v>
      </c>
      <c r="B661" s="1" t="str">
        <f t="shared" si="44"/>
        <v>660</v>
      </c>
      <c r="C661" s="1" t="str">
        <f>IFERROR(VLOOKUP(D661,'Planilha de Cadastro - Previsão'!$A$2:$N$1000,14,FALSE()),"")</f>
        <v/>
      </c>
      <c r="D661" s="1">
        <v>660</v>
      </c>
      <c r="F661" s="40" t="str">
        <f t="shared" si="43"/>
        <v/>
      </c>
      <c r="G661" s="40" t="str">
        <f>IF(F661="","",'Prosposta Inicial'!$O$2)</f>
        <v/>
      </c>
      <c r="H661" s="40" t="str">
        <f t="shared" si="42"/>
        <v xml:space="preserve"> </v>
      </c>
      <c r="I661" s="41" t="str">
        <f>IFERROR((VLOOKUP(F661,'Planilha de Cadastro - Previsão'!$A$2:$N$1100,2,FALSE()))," ")</f>
        <v xml:space="preserve"> </v>
      </c>
      <c r="J661" s="40" t="str">
        <f>IFERROR((VLOOKUP(F661,'Planilha de Cadastro - Previsão'!$A$2:$N$1100,3,FALSE()))," ")</f>
        <v xml:space="preserve"> </v>
      </c>
      <c r="K661" s="40"/>
      <c r="L661" s="42" t="str">
        <f>IFERROR((VLOOKUP(F661,'Planilha de Cadastro - Previsão'!$A$2:$N$1100,11,FALSE()))," ")</f>
        <v xml:space="preserve"> </v>
      </c>
      <c r="M661" s="41" t="str">
        <f>IFERROR((IF(VLOOKUP(F661,'Planilha de Cadastro - Previsão'!$A$2:$N$1100,10,FALSE())="","",VLOOKUP(F661,'Planilha de Cadastro - Previsão'!$A$2:$N$1100,10,FALSE()))),"")</f>
        <v/>
      </c>
      <c r="N661" s="41"/>
      <c r="O661" s="41"/>
      <c r="P661" s="41" t="str">
        <f>IFERROR((IF(VLOOKUP(F661,'Acompanhamento da Licitação'!$F$2:$O$1000,10,FALSE())="","",VLOOKUP(F661,'Acompanhamento da Licitação'!$F$2:$O$1000,10,FALSE()))),"")</f>
        <v/>
      </c>
      <c r="R661" s="61" t="str">
        <f>IFERROR(IF(F661&gt;0,(Final[[#This Row],[Valor da Venda Real]]-Final[[#This Row],[Valor de Compra Previsto]]-4%*Final[[#This Row],[Valor da Venda Real]])/Final[[#This Row],[Valor da Venda Real]],""),"")</f>
        <v/>
      </c>
      <c r="S661" s="61" t="str">
        <f t="shared" si="45"/>
        <v/>
      </c>
      <c r="T661" s="23" t="str">
        <f>IFERROR((R661*Final[[#This Row],[Valor da Venda Real]]*Final[[#This Row],[Quantidade ]]*S661),"")</f>
        <v/>
      </c>
    </row>
    <row r="662" spans="1:20" ht="15.75" x14ac:dyDescent="0.2">
      <c r="A662">
        <f>COUNTIF($C$2:C662,C662)</f>
        <v>661</v>
      </c>
      <c r="B662" s="1" t="str">
        <f t="shared" si="44"/>
        <v>661</v>
      </c>
      <c r="C662" s="1" t="str">
        <f>IFERROR(VLOOKUP(D662,'Planilha de Cadastro - Previsão'!$A$2:$N$1000,14,FALSE()),"")</f>
        <v/>
      </c>
      <c r="D662" s="1">
        <v>661</v>
      </c>
      <c r="F662" s="40" t="str">
        <f t="shared" si="43"/>
        <v/>
      </c>
      <c r="G662" s="40" t="str">
        <f>IF(F662="","",'Prosposta Inicial'!$O$2)</f>
        <v/>
      </c>
      <c r="H662" s="40" t="str">
        <f t="shared" si="42"/>
        <v xml:space="preserve"> </v>
      </c>
      <c r="I662" s="41" t="str">
        <f>IFERROR((VLOOKUP(F662,'Planilha de Cadastro - Previsão'!$A$2:$N$1100,2,FALSE()))," ")</f>
        <v xml:space="preserve"> </v>
      </c>
      <c r="J662" s="40" t="str">
        <f>IFERROR((VLOOKUP(F662,'Planilha de Cadastro - Previsão'!$A$2:$N$1100,3,FALSE()))," ")</f>
        <v xml:space="preserve"> </v>
      </c>
      <c r="K662" s="40"/>
      <c r="L662" s="42" t="str">
        <f>IFERROR((VLOOKUP(F662,'Planilha de Cadastro - Previsão'!$A$2:$N$1100,11,FALSE()))," ")</f>
        <v xml:space="preserve"> </v>
      </c>
      <c r="M662" s="41" t="str">
        <f>IFERROR((IF(VLOOKUP(F662,'Planilha de Cadastro - Previsão'!$A$2:$N$1100,10,FALSE())="","",VLOOKUP(F662,'Planilha de Cadastro - Previsão'!$A$2:$N$1100,10,FALSE()))),"")</f>
        <v/>
      </c>
      <c r="N662" s="41"/>
      <c r="O662" s="41"/>
      <c r="P662" s="41" t="str">
        <f>IFERROR((IF(VLOOKUP(F662,'Acompanhamento da Licitação'!$F$2:$O$1000,10,FALSE())="","",VLOOKUP(F662,'Acompanhamento da Licitação'!$F$2:$O$1000,10,FALSE()))),"")</f>
        <v/>
      </c>
      <c r="R662" s="61" t="str">
        <f>IFERROR(IF(F662&gt;0,(Final[[#This Row],[Valor da Venda Real]]-Final[[#This Row],[Valor de Compra Previsto]]-4%*Final[[#This Row],[Valor da Venda Real]])/Final[[#This Row],[Valor da Venda Real]],""),"")</f>
        <v/>
      </c>
      <c r="S662" s="61" t="str">
        <f t="shared" si="45"/>
        <v/>
      </c>
      <c r="T662" s="23" t="str">
        <f>IFERROR((R662*Final[[#This Row],[Valor da Venda Real]]*Final[[#This Row],[Quantidade ]]*S662),"")</f>
        <v/>
      </c>
    </row>
    <row r="663" spans="1:20" ht="15.75" x14ac:dyDescent="0.2">
      <c r="A663">
        <f>COUNTIF($C$2:C663,C663)</f>
        <v>662</v>
      </c>
      <c r="B663" s="1" t="str">
        <f t="shared" si="44"/>
        <v>662</v>
      </c>
      <c r="C663" s="1" t="str">
        <f>IFERROR(VLOOKUP(D663,'Planilha de Cadastro - Previsão'!$A$2:$N$1000,14,FALSE()),"")</f>
        <v/>
      </c>
      <c r="D663" s="1">
        <v>662</v>
      </c>
      <c r="F663" s="40" t="str">
        <f t="shared" si="43"/>
        <v/>
      </c>
      <c r="G663" s="40" t="str">
        <f>IF(F663="","",'Prosposta Inicial'!$O$2)</f>
        <v/>
      </c>
      <c r="H663" s="40" t="str">
        <f t="shared" si="42"/>
        <v xml:space="preserve"> </v>
      </c>
      <c r="I663" s="41" t="str">
        <f>IFERROR((VLOOKUP(F663,'Planilha de Cadastro - Previsão'!$A$2:$N$1100,2,FALSE()))," ")</f>
        <v xml:space="preserve"> </v>
      </c>
      <c r="J663" s="40" t="str">
        <f>IFERROR((VLOOKUP(F663,'Planilha de Cadastro - Previsão'!$A$2:$N$1100,3,FALSE()))," ")</f>
        <v xml:space="preserve"> </v>
      </c>
      <c r="K663" s="40"/>
      <c r="L663" s="42" t="str">
        <f>IFERROR((VLOOKUP(F663,'Planilha de Cadastro - Previsão'!$A$2:$N$1100,11,FALSE()))," ")</f>
        <v xml:space="preserve"> </v>
      </c>
      <c r="M663" s="41" t="str">
        <f>IFERROR((IF(VLOOKUP(F663,'Planilha de Cadastro - Previsão'!$A$2:$N$1100,10,FALSE())="","",VLOOKUP(F663,'Planilha de Cadastro - Previsão'!$A$2:$N$1100,10,FALSE()))),"")</f>
        <v/>
      </c>
      <c r="N663" s="41"/>
      <c r="O663" s="41"/>
      <c r="P663" s="41" t="str">
        <f>IFERROR((IF(VLOOKUP(F663,'Acompanhamento da Licitação'!$F$2:$O$1000,10,FALSE())="","",VLOOKUP(F663,'Acompanhamento da Licitação'!$F$2:$O$1000,10,FALSE()))),"")</f>
        <v/>
      </c>
      <c r="R663" s="61" t="str">
        <f>IFERROR(IF(F663&gt;0,(Final[[#This Row],[Valor da Venda Real]]-Final[[#This Row],[Valor de Compra Previsto]]-4%*Final[[#This Row],[Valor da Venda Real]])/Final[[#This Row],[Valor da Venda Real]],""),"")</f>
        <v/>
      </c>
      <c r="S663" s="61" t="str">
        <f t="shared" si="45"/>
        <v/>
      </c>
      <c r="T663" s="23" t="str">
        <f>IFERROR((R663*Final[[#This Row],[Valor da Venda Real]]*Final[[#This Row],[Quantidade ]]*S663),"")</f>
        <v/>
      </c>
    </row>
    <row r="664" spans="1:20" ht="15.75" x14ac:dyDescent="0.2">
      <c r="A664">
        <f>COUNTIF($C$2:C664,C664)</f>
        <v>663</v>
      </c>
      <c r="B664" s="1" t="str">
        <f t="shared" si="44"/>
        <v>663</v>
      </c>
      <c r="C664" s="1" t="str">
        <f>IFERROR(VLOOKUP(D664,'Planilha de Cadastro - Previsão'!$A$2:$N$1000,14,FALSE()),"")</f>
        <v/>
      </c>
      <c r="D664" s="1">
        <v>663</v>
      </c>
      <c r="F664" s="40" t="str">
        <f t="shared" si="43"/>
        <v/>
      </c>
      <c r="G664" s="40" t="str">
        <f>IF(F664="","",'Prosposta Inicial'!$O$2)</f>
        <v/>
      </c>
      <c r="H664" s="40" t="str">
        <f t="shared" si="42"/>
        <v xml:space="preserve"> </v>
      </c>
      <c r="I664" s="41" t="str">
        <f>IFERROR((VLOOKUP(F664,'Planilha de Cadastro - Previsão'!$A$2:$N$1100,2,FALSE()))," ")</f>
        <v xml:space="preserve"> </v>
      </c>
      <c r="J664" s="40" t="str">
        <f>IFERROR((VLOOKUP(F664,'Planilha de Cadastro - Previsão'!$A$2:$N$1100,3,FALSE()))," ")</f>
        <v xml:space="preserve"> </v>
      </c>
      <c r="K664" s="40"/>
      <c r="L664" s="42" t="str">
        <f>IFERROR((VLOOKUP(F664,'Planilha de Cadastro - Previsão'!$A$2:$N$1100,11,FALSE()))," ")</f>
        <v xml:space="preserve"> </v>
      </c>
      <c r="M664" s="41" t="str">
        <f>IFERROR((IF(VLOOKUP(F664,'Planilha de Cadastro - Previsão'!$A$2:$N$1100,10,FALSE())="","",VLOOKUP(F664,'Planilha de Cadastro - Previsão'!$A$2:$N$1100,10,FALSE()))),"")</f>
        <v/>
      </c>
      <c r="N664" s="41"/>
      <c r="O664" s="41"/>
      <c r="P664" s="41" t="str">
        <f>IFERROR((IF(VLOOKUP(F664,'Acompanhamento da Licitação'!$F$2:$O$1000,10,FALSE())="","",VLOOKUP(F664,'Acompanhamento da Licitação'!$F$2:$O$1000,10,FALSE()))),"")</f>
        <v/>
      </c>
      <c r="R664" s="61" t="str">
        <f>IFERROR(IF(F664&gt;0,(Final[[#This Row],[Valor da Venda Real]]-Final[[#This Row],[Valor de Compra Previsto]]-4%*Final[[#This Row],[Valor da Venda Real]])/Final[[#This Row],[Valor da Venda Real]],""),"")</f>
        <v/>
      </c>
      <c r="S664" s="61" t="str">
        <f t="shared" si="45"/>
        <v/>
      </c>
      <c r="T664" s="23" t="str">
        <f>IFERROR((R664*Final[[#This Row],[Valor da Venda Real]]*Final[[#This Row],[Quantidade ]]*S664),"")</f>
        <v/>
      </c>
    </row>
    <row r="665" spans="1:20" ht="15.75" x14ac:dyDescent="0.2">
      <c r="A665">
        <f>COUNTIF($C$2:C665,C665)</f>
        <v>664</v>
      </c>
      <c r="B665" s="1" t="str">
        <f t="shared" si="44"/>
        <v>664</v>
      </c>
      <c r="C665" s="1" t="str">
        <f>IFERROR(VLOOKUP(D665,'Planilha de Cadastro - Previsão'!$A$2:$N$1000,14,FALSE()),"")</f>
        <v/>
      </c>
      <c r="D665" s="1">
        <v>664</v>
      </c>
      <c r="F665" s="40" t="str">
        <f t="shared" si="43"/>
        <v/>
      </c>
      <c r="G665" s="40" t="str">
        <f>IF(F665="","",'Prosposta Inicial'!$O$2)</f>
        <v/>
      </c>
      <c r="H665" s="40" t="str">
        <f t="shared" si="42"/>
        <v xml:space="preserve"> </v>
      </c>
      <c r="I665" s="41" t="str">
        <f>IFERROR((VLOOKUP(F665,'Planilha de Cadastro - Previsão'!$A$2:$N$1100,2,FALSE()))," ")</f>
        <v xml:space="preserve"> </v>
      </c>
      <c r="J665" s="40" t="str">
        <f>IFERROR((VLOOKUP(F665,'Planilha de Cadastro - Previsão'!$A$2:$N$1100,3,FALSE()))," ")</f>
        <v xml:space="preserve"> </v>
      </c>
      <c r="K665" s="40"/>
      <c r="L665" s="42" t="str">
        <f>IFERROR((VLOOKUP(F665,'Planilha de Cadastro - Previsão'!$A$2:$N$1100,11,FALSE()))," ")</f>
        <v xml:space="preserve"> </v>
      </c>
      <c r="M665" s="41" t="str">
        <f>IFERROR((IF(VLOOKUP(F665,'Planilha de Cadastro - Previsão'!$A$2:$N$1100,10,FALSE())="","",VLOOKUP(F665,'Planilha de Cadastro - Previsão'!$A$2:$N$1100,10,FALSE()))),"")</f>
        <v/>
      </c>
      <c r="N665" s="41"/>
      <c r="O665" s="41"/>
      <c r="P665" s="41" t="str">
        <f>IFERROR((IF(VLOOKUP(F665,'Acompanhamento da Licitação'!$F$2:$O$1000,10,FALSE())="","",VLOOKUP(F665,'Acompanhamento da Licitação'!$F$2:$O$1000,10,FALSE()))),"")</f>
        <v/>
      </c>
      <c r="R665" s="61" t="str">
        <f>IFERROR(IF(F665&gt;0,(Final[[#This Row],[Valor da Venda Real]]-Final[[#This Row],[Valor de Compra Previsto]]-4%*Final[[#This Row],[Valor da Venda Real]])/Final[[#This Row],[Valor da Venda Real]],""),"")</f>
        <v/>
      </c>
      <c r="S665" s="61" t="str">
        <f t="shared" si="45"/>
        <v/>
      </c>
      <c r="T665" s="23" t="str">
        <f>IFERROR((R665*Final[[#This Row],[Valor da Venda Real]]*Final[[#This Row],[Quantidade ]]*S665),"")</f>
        <v/>
      </c>
    </row>
    <row r="666" spans="1:20" ht="15.75" x14ac:dyDescent="0.2">
      <c r="A666">
        <f>COUNTIF($C$2:C666,C666)</f>
        <v>665</v>
      </c>
      <c r="B666" s="1" t="str">
        <f t="shared" si="44"/>
        <v>665</v>
      </c>
      <c r="C666" s="1" t="str">
        <f>IFERROR(VLOOKUP(D666,'Planilha de Cadastro - Previsão'!$A$2:$N$1000,14,FALSE()),"")</f>
        <v/>
      </c>
      <c r="D666" s="1">
        <v>665</v>
      </c>
      <c r="F666" s="40" t="str">
        <f t="shared" si="43"/>
        <v/>
      </c>
      <c r="G666" s="40" t="str">
        <f>IF(F666="","",'Prosposta Inicial'!$O$2)</f>
        <v/>
      </c>
      <c r="H666" s="40" t="str">
        <f t="shared" si="42"/>
        <v xml:space="preserve"> </v>
      </c>
      <c r="I666" s="41" t="str">
        <f>IFERROR((VLOOKUP(F666,'Planilha de Cadastro - Previsão'!$A$2:$N$1100,2,FALSE()))," ")</f>
        <v xml:space="preserve"> </v>
      </c>
      <c r="J666" s="40" t="str">
        <f>IFERROR((VLOOKUP(F666,'Planilha de Cadastro - Previsão'!$A$2:$N$1100,3,FALSE()))," ")</f>
        <v xml:space="preserve"> </v>
      </c>
      <c r="K666" s="40"/>
      <c r="L666" s="42" t="str">
        <f>IFERROR((VLOOKUP(F666,'Planilha de Cadastro - Previsão'!$A$2:$N$1100,11,FALSE()))," ")</f>
        <v xml:space="preserve"> </v>
      </c>
      <c r="M666" s="41" t="str">
        <f>IFERROR((IF(VLOOKUP(F666,'Planilha de Cadastro - Previsão'!$A$2:$N$1100,10,FALSE())="","",VLOOKUP(F666,'Planilha de Cadastro - Previsão'!$A$2:$N$1100,10,FALSE()))),"")</f>
        <v/>
      </c>
      <c r="N666" s="41"/>
      <c r="O666" s="41"/>
      <c r="P666" s="41" t="str">
        <f>IFERROR((IF(VLOOKUP(F666,'Acompanhamento da Licitação'!$F$2:$O$1000,10,FALSE())="","",VLOOKUP(F666,'Acompanhamento da Licitação'!$F$2:$O$1000,10,FALSE()))),"")</f>
        <v/>
      </c>
      <c r="R666" s="61" t="str">
        <f>IFERROR(IF(F666&gt;0,(Final[[#This Row],[Valor da Venda Real]]-Final[[#This Row],[Valor de Compra Previsto]]-4%*Final[[#This Row],[Valor da Venda Real]])/Final[[#This Row],[Valor da Venda Real]],""),"")</f>
        <v/>
      </c>
      <c r="S666" s="61" t="str">
        <f t="shared" si="45"/>
        <v/>
      </c>
      <c r="T666" s="23" t="str">
        <f>IFERROR((R666*Final[[#This Row],[Valor da Venda Real]]*Final[[#This Row],[Quantidade ]]*S666),"")</f>
        <v/>
      </c>
    </row>
    <row r="667" spans="1:20" ht="15.75" x14ac:dyDescent="0.2">
      <c r="A667">
        <f>COUNTIF($C$2:C667,C667)</f>
        <v>666</v>
      </c>
      <c r="B667" s="1" t="str">
        <f t="shared" si="44"/>
        <v>666</v>
      </c>
      <c r="C667" s="1" t="str">
        <f>IFERROR(VLOOKUP(D667,'Planilha de Cadastro - Previsão'!$A$2:$N$1000,14,FALSE()),"")</f>
        <v/>
      </c>
      <c r="D667" s="1">
        <v>666</v>
      </c>
      <c r="F667" s="40" t="str">
        <f t="shared" si="43"/>
        <v/>
      </c>
      <c r="G667" s="40" t="str">
        <f>IF(F667="","",'Prosposta Inicial'!$O$2)</f>
        <v/>
      </c>
      <c r="H667" s="40" t="str">
        <f t="shared" si="42"/>
        <v xml:space="preserve"> </v>
      </c>
      <c r="I667" s="41" t="str">
        <f>IFERROR((VLOOKUP(F667,'Planilha de Cadastro - Previsão'!$A$2:$N$1100,2,FALSE()))," ")</f>
        <v xml:space="preserve"> </v>
      </c>
      <c r="J667" s="40" t="str">
        <f>IFERROR((VLOOKUP(F667,'Planilha de Cadastro - Previsão'!$A$2:$N$1100,3,FALSE()))," ")</f>
        <v xml:space="preserve"> </v>
      </c>
      <c r="K667" s="40"/>
      <c r="L667" s="42" t="str">
        <f>IFERROR((VLOOKUP(F667,'Planilha de Cadastro - Previsão'!$A$2:$N$1100,11,FALSE()))," ")</f>
        <v xml:space="preserve"> </v>
      </c>
      <c r="M667" s="41" t="str">
        <f>IFERROR((IF(VLOOKUP(F667,'Planilha de Cadastro - Previsão'!$A$2:$N$1100,10,FALSE())="","",VLOOKUP(F667,'Planilha de Cadastro - Previsão'!$A$2:$N$1100,10,FALSE()))),"")</f>
        <v/>
      </c>
      <c r="N667" s="41"/>
      <c r="O667" s="41"/>
      <c r="P667" s="41" t="str">
        <f>IFERROR((IF(VLOOKUP(F667,'Acompanhamento da Licitação'!$F$2:$O$1000,10,FALSE())="","",VLOOKUP(F667,'Acompanhamento da Licitação'!$F$2:$O$1000,10,FALSE()))),"")</f>
        <v/>
      </c>
      <c r="R667" s="61" t="str">
        <f>IFERROR(IF(F667&gt;0,(Final[[#This Row],[Valor da Venda Real]]-Final[[#This Row],[Valor de Compra Previsto]]-4%*Final[[#This Row],[Valor da Venda Real]])/Final[[#This Row],[Valor da Venda Real]],""),"")</f>
        <v/>
      </c>
      <c r="S667" s="61" t="str">
        <f t="shared" si="45"/>
        <v/>
      </c>
      <c r="T667" s="23" t="str">
        <f>IFERROR((R667*Final[[#This Row],[Valor da Venda Real]]*Final[[#This Row],[Quantidade ]]*S667),"")</f>
        <v/>
      </c>
    </row>
    <row r="668" spans="1:20" ht="15.75" x14ac:dyDescent="0.2">
      <c r="A668">
        <f>COUNTIF($C$2:C668,C668)</f>
        <v>667</v>
      </c>
      <c r="B668" s="1" t="str">
        <f t="shared" si="44"/>
        <v>667</v>
      </c>
      <c r="C668" s="1" t="str">
        <f>IFERROR(VLOOKUP(D668,'Planilha de Cadastro - Previsão'!$A$2:$N$1000,14,FALSE()),"")</f>
        <v/>
      </c>
      <c r="D668" s="1">
        <v>667</v>
      </c>
      <c r="F668" s="40" t="str">
        <f t="shared" si="43"/>
        <v/>
      </c>
      <c r="G668" s="40" t="str">
        <f>IF(F668="","",'Prosposta Inicial'!$O$2)</f>
        <v/>
      </c>
      <c r="H668" s="40" t="str">
        <f t="shared" si="42"/>
        <v xml:space="preserve"> </v>
      </c>
      <c r="I668" s="41" t="str">
        <f>IFERROR((VLOOKUP(F668,'Planilha de Cadastro - Previsão'!$A$2:$N$1100,2,FALSE()))," ")</f>
        <v xml:space="preserve"> </v>
      </c>
      <c r="J668" s="40" t="str">
        <f>IFERROR((VLOOKUP(F668,'Planilha de Cadastro - Previsão'!$A$2:$N$1100,3,FALSE()))," ")</f>
        <v xml:space="preserve"> </v>
      </c>
      <c r="K668" s="40"/>
      <c r="L668" s="42" t="str">
        <f>IFERROR((VLOOKUP(F668,'Planilha de Cadastro - Previsão'!$A$2:$N$1100,11,FALSE()))," ")</f>
        <v xml:space="preserve"> </v>
      </c>
      <c r="M668" s="41" t="str">
        <f>IFERROR((IF(VLOOKUP(F668,'Planilha de Cadastro - Previsão'!$A$2:$N$1100,10,FALSE())="","",VLOOKUP(F668,'Planilha de Cadastro - Previsão'!$A$2:$N$1100,10,FALSE()))),"")</f>
        <v/>
      </c>
      <c r="N668" s="41"/>
      <c r="O668" s="41"/>
      <c r="P668" s="41" t="str">
        <f>IFERROR((IF(VLOOKUP(F668,'Acompanhamento da Licitação'!$F$2:$O$1000,10,FALSE())="","",VLOOKUP(F668,'Acompanhamento da Licitação'!$F$2:$O$1000,10,FALSE()))),"")</f>
        <v/>
      </c>
      <c r="R668" s="61" t="str">
        <f>IFERROR(IF(F668&gt;0,(Final[[#This Row],[Valor da Venda Real]]-Final[[#This Row],[Valor de Compra Previsto]]-4%*Final[[#This Row],[Valor da Venda Real]])/Final[[#This Row],[Valor da Venda Real]],""),"")</f>
        <v/>
      </c>
      <c r="S668" s="61" t="str">
        <f t="shared" si="45"/>
        <v/>
      </c>
      <c r="T668" s="23" t="str">
        <f>IFERROR((R668*Final[[#This Row],[Valor da Venda Real]]*Final[[#This Row],[Quantidade ]]*S668),"")</f>
        <v/>
      </c>
    </row>
    <row r="669" spans="1:20" ht="15.75" x14ac:dyDescent="0.2">
      <c r="A669">
        <f>COUNTIF($C$2:C669,C669)</f>
        <v>668</v>
      </c>
      <c r="B669" s="1" t="str">
        <f t="shared" si="44"/>
        <v>668</v>
      </c>
      <c r="C669" s="1" t="str">
        <f>IFERROR(VLOOKUP(D669,'Planilha de Cadastro - Previsão'!$A$2:$N$1000,14,FALSE()),"")</f>
        <v/>
      </c>
      <c r="D669" s="1">
        <v>668</v>
      </c>
      <c r="F669" s="40" t="str">
        <f t="shared" si="43"/>
        <v/>
      </c>
      <c r="G669" s="40" t="str">
        <f>IF(F669="","",'Prosposta Inicial'!$O$2)</f>
        <v/>
      </c>
      <c r="H669" s="40" t="str">
        <f t="shared" si="42"/>
        <v xml:space="preserve"> </v>
      </c>
      <c r="I669" s="41" t="str">
        <f>IFERROR((VLOOKUP(F669,'Planilha de Cadastro - Previsão'!$A$2:$N$1100,2,FALSE()))," ")</f>
        <v xml:space="preserve"> </v>
      </c>
      <c r="J669" s="40" t="str">
        <f>IFERROR((VLOOKUP(F669,'Planilha de Cadastro - Previsão'!$A$2:$N$1100,3,FALSE()))," ")</f>
        <v xml:space="preserve"> </v>
      </c>
      <c r="K669" s="40"/>
      <c r="L669" s="42" t="str">
        <f>IFERROR((VLOOKUP(F669,'Planilha de Cadastro - Previsão'!$A$2:$N$1100,11,FALSE()))," ")</f>
        <v xml:space="preserve"> </v>
      </c>
      <c r="M669" s="41" t="str">
        <f>IFERROR((IF(VLOOKUP(F669,'Planilha de Cadastro - Previsão'!$A$2:$N$1100,10,FALSE())="","",VLOOKUP(F669,'Planilha de Cadastro - Previsão'!$A$2:$N$1100,10,FALSE()))),"")</f>
        <v/>
      </c>
      <c r="N669" s="41"/>
      <c r="O669" s="41"/>
      <c r="P669" s="41" t="str">
        <f>IFERROR((IF(VLOOKUP(F669,'Acompanhamento da Licitação'!$F$2:$O$1000,10,FALSE())="","",VLOOKUP(F669,'Acompanhamento da Licitação'!$F$2:$O$1000,10,FALSE()))),"")</f>
        <v/>
      </c>
      <c r="R669" s="61" t="str">
        <f>IFERROR(IF(F669&gt;0,(Final[[#This Row],[Valor da Venda Real]]-Final[[#This Row],[Valor de Compra Previsto]]-4%*Final[[#This Row],[Valor da Venda Real]])/Final[[#This Row],[Valor da Venda Real]],""),"")</f>
        <v/>
      </c>
      <c r="S669" s="61" t="str">
        <f t="shared" si="45"/>
        <v/>
      </c>
      <c r="T669" s="23" t="str">
        <f>IFERROR((R669*Final[[#This Row],[Valor da Venda Real]]*Final[[#This Row],[Quantidade ]]*S669),"")</f>
        <v/>
      </c>
    </row>
    <row r="670" spans="1:20" ht="15.75" x14ac:dyDescent="0.2">
      <c r="A670">
        <f>COUNTIF($C$2:C670,C670)</f>
        <v>669</v>
      </c>
      <c r="B670" s="1" t="str">
        <f t="shared" si="44"/>
        <v>669</v>
      </c>
      <c r="C670" s="1" t="str">
        <f>IFERROR(VLOOKUP(D670,'Planilha de Cadastro - Previsão'!$A$2:$N$1000,14,FALSE()),"")</f>
        <v/>
      </c>
      <c r="D670" s="1">
        <v>669</v>
      </c>
      <c r="F670" s="40" t="str">
        <f t="shared" si="43"/>
        <v/>
      </c>
      <c r="G670" s="40" t="str">
        <f>IF(F670="","",'Prosposta Inicial'!$O$2)</f>
        <v/>
      </c>
      <c r="H670" s="40" t="str">
        <f t="shared" si="42"/>
        <v xml:space="preserve"> </v>
      </c>
      <c r="I670" s="41" t="str">
        <f>IFERROR((VLOOKUP(F670,'Planilha de Cadastro - Previsão'!$A$2:$N$1100,2,FALSE()))," ")</f>
        <v xml:space="preserve"> </v>
      </c>
      <c r="J670" s="40" t="str">
        <f>IFERROR((VLOOKUP(F670,'Planilha de Cadastro - Previsão'!$A$2:$N$1100,3,FALSE()))," ")</f>
        <v xml:space="preserve"> </v>
      </c>
      <c r="K670" s="40"/>
      <c r="L670" s="42" t="str">
        <f>IFERROR((VLOOKUP(F670,'Planilha de Cadastro - Previsão'!$A$2:$N$1100,11,FALSE()))," ")</f>
        <v xml:space="preserve"> </v>
      </c>
      <c r="M670" s="41" t="str">
        <f>IFERROR((IF(VLOOKUP(F670,'Planilha de Cadastro - Previsão'!$A$2:$N$1100,10,FALSE())="","",VLOOKUP(F670,'Planilha de Cadastro - Previsão'!$A$2:$N$1100,10,FALSE()))),"")</f>
        <v/>
      </c>
      <c r="N670" s="41"/>
      <c r="O670" s="41"/>
      <c r="P670" s="41" t="str">
        <f>IFERROR((IF(VLOOKUP(F670,'Acompanhamento da Licitação'!$F$2:$O$1000,10,FALSE())="","",VLOOKUP(F670,'Acompanhamento da Licitação'!$F$2:$O$1000,10,FALSE()))),"")</f>
        <v/>
      </c>
      <c r="R670" s="61" t="str">
        <f>IFERROR(IF(F670&gt;0,(Final[[#This Row],[Valor da Venda Real]]-Final[[#This Row],[Valor de Compra Previsto]]-4%*Final[[#This Row],[Valor da Venda Real]])/Final[[#This Row],[Valor da Venda Real]],""),"")</f>
        <v/>
      </c>
      <c r="S670" s="61" t="str">
        <f t="shared" si="45"/>
        <v/>
      </c>
      <c r="T670" s="23" t="str">
        <f>IFERROR((R670*Final[[#This Row],[Valor da Venda Real]]*Final[[#This Row],[Quantidade ]]*S670),"")</f>
        <v/>
      </c>
    </row>
    <row r="671" spans="1:20" ht="15.75" x14ac:dyDescent="0.2">
      <c r="A671">
        <f>COUNTIF($C$2:C671,C671)</f>
        <v>670</v>
      </c>
      <c r="B671" s="1" t="str">
        <f t="shared" si="44"/>
        <v>670</v>
      </c>
      <c r="C671" s="1" t="str">
        <f>IFERROR(VLOOKUP(D671,'Planilha de Cadastro - Previsão'!$A$2:$N$1000,14,FALSE()),"")</f>
        <v/>
      </c>
      <c r="D671" s="1">
        <v>670</v>
      </c>
      <c r="F671" s="40" t="str">
        <f t="shared" si="43"/>
        <v/>
      </c>
      <c r="G671" s="40" t="str">
        <f>IF(F671="","",'Prosposta Inicial'!$O$2)</f>
        <v/>
      </c>
      <c r="H671" s="40" t="str">
        <f t="shared" si="42"/>
        <v xml:space="preserve"> </v>
      </c>
      <c r="I671" s="41" t="str">
        <f>IFERROR((VLOOKUP(F671,'Planilha de Cadastro - Previsão'!$A$2:$N$1100,2,FALSE()))," ")</f>
        <v xml:space="preserve"> </v>
      </c>
      <c r="J671" s="40" t="str">
        <f>IFERROR((VLOOKUP(F671,'Planilha de Cadastro - Previsão'!$A$2:$N$1100,3,FALSE()))," ")</f>
        <v xml:space="preserve"> </v>
      </c>
      <c r="K671" s="40"/>
      <c r="L671" s="42" t="str">
        <f>IFERROR((VLOOKUP(F671,'Planilha de Cadastro - Previsão'!$A$2:$N$1100,11,FALSE()))," ")</f>
        <v xml:space="preserve"> </v>
      </c>
      <c r="M671" s="41" t="str">
        <f>IFERROR((IF(VLOOKUP(F671,'Planilha de Cadastro - Previsão'!$A$2:$N$1100,10,FALSE())="","",VLOOKUP(F671,'Planilha de Cadastro - Previsão'!$A$2:$N$1100,10,FALSE()))),"")</f>
        <v/>
      </c>
      <c r="N671" s="41"/>
      <c r="O671" s="41"/>
      <c r="P671" s="41" t="str">
        <f>IFERROR((IF(VLOOKUP(F671,'Acompanhamento da Licitação'!$F$2:$O$1000,10,FALSE())="","",VLOOKUP(F671,'Acompanhamento da Licitação'!$F$2:$O$1000,10,FALSE()))),"")</f>
        <v/>
      </c>
      <c r="R671" s="61" t="str">
        <f>IFERROR(IF(F671&gt;0,(Final[[#This Row],[Valor da Venda Real]]-Final[[#This Row],[Valor de Compra Previsto]]-4%*Final[[#This Row],[Valor da Venda Real]])/Final[[#This Row],[Valor da Venda Real]],""),"")</f>
        <v/>
      </c>
      <c r="S671" s="61" t="str">
        <f t="shared" si="45"/>
        <v/>
      </c>
      <c r="T671" s="23" t="str">
        <f>IFERROR((R671*Final[[#This Row],[Valor da Venda Real]]*Final[[#This Row],[Quantidade ]]*S671),"")</f>
        <v/>
      </c>
    </row>
    <row r="672" spans="1:20" ht="15.75" x14ac:dyDescent="0.2">
      <c r="A672">
        <f>COUNTIF($C$2:C672,C672)</f>
        <v>671</v>
      </c>
      <c r="B672" s="1" t="str">
        <f t="shared" si="44"/>
        <v>671</v>
      </c>
      <c r="C672" s="1" t="str">
        <f>IFERROR(VLOOKUP(D672,'Planilha de Cadastro - Previsão'!$A$2:$N$1000,14,FALSE()),"")</f>
        <v/>
      </c>
      <c r="D672" s="1">
        <v>671</v>
      </c>
      <c r="F672" s="40" t="str">
        <f t="shared" si="43"/>
        <v/>
      </c>
      <c r="G672" s="40" t="str">
        <f>IF(F672="","",'Prosposta Inicial'!$O$2)</f>
        <v/>
      </c>
      <c r="H672" s="40" t="str">
        <f t="shared" si="42"/>
        <v xml:space="preserve"> </v>
      </c>
      <c r="I672" s="41" t="str">
        <f>IFERROR((VLOOKUP(F672,'Planilha de Cadastro - Previsão'!$A$2:$N$1100,2,FALSE()))," ")</f>
        <v xml:space="preserve"> </v>
      </c>
      <c r="J672" s="40" t="str">
        <f>IFERROR((VLOOKUP(F672,'Planilha de Cadastro - Previsão'!$A$2:$N$1100,3,FALSE()))," ")</f>
        <v xml:space="preserve"> </v>
      </c>
      <c r="K672" s="40"/>
      <c r="L672" s="42" t="str">
        <f>IFERROR((VLOOKUP(F672,'Planilha de Cadastro - Previsão'!$A$2:$N$1100,11,FALSE()))," ")</f>
        <v xml:space="preserve"> </v>
      </c>
      <c r="M672" s="41" t="str">
        <f>IFERROR((IF(VLOOKUP(F672,'Planilha de Cadastro - Previsão'!$A$2:$N$1100,10,FALSE())="","",VLOOKUP(F672,'Planilha de Cadastro - Previsão'!$A$2:$N$1100,10,FALSE()))),"")</f>
        <v/>
      </c>
      <c r="N672" s="41"/>
      <c r="O672" s="41"/>
      <c r="P672" s="41" t="str">
        <f>IFERROR((IF(VLOOKUP(F672,'Acompanhamento da Licitação'!$F$2:$O$1000,10,FALSE())="","",VLOOKUP(F672,'Acompanhamento da Licitação'!$F$2:$O$1000,10,FALSE()))),"")</f>
        <v/>
      </c>
      <c r="R672" s="61" t="str">
        <f>IFERROR(IF(F672&gt;0,(Final[[#This Row],[Valor da Venda Real]]-Final[[#This Row],[Valor de Compra Previsto]]-4%*Final[[#This Row],[Valor da Venda Real]])/Final[[#This Row],[Valor da Venda Real]],""),"")</f>
        <v/>
      </c>
      <c r="S672" s="61" t="str">
        <f t="shared" si="45"/>
        <v/>
      </c>
      <c r="T672" s="23" t="str">
        <f>IFERROR((R672*Final[[#This Row],[Valor da Venda Real]]*Final[[#This Row],[Quantidade ]]*S672),"")</f>
        <v/>
      </c>
    </row>
    <row r="673" spans="1:20" ht="15.75" x14ac:dyDescent="0.2">
      <c r="A673">
        <f>COUNTIF($C$2:C673,C673)</f>
        <v>672</v>
      </c>
      <c r="B673" s="1" t="str">
        <f t="shared" si="44"/>
        <v>672</v>
      </c>
      <c r="C673" s="1" t="str">
        <f>IFERROR(VLOOKUP(D673,'Planilha de Cadastro - Previsão'!$A$2:$N$1000,14,FALSE()),"")</f>
        <v/>
      </c>
      <c r="D673" s="1">
        <v>672</v>
      </c>
      <c r="F673" s="40" t="str">
        <f t="shared" si="43"/>
        <v/>
      </c>
      <c r="G673" s="40" t="str">
        <f>IF(F673="","",'Prosposta Inicial'!$O$2)</f>
        <v/>
      </c>
      <c r="H673" s="40" t="str">
        <f t="shared" si="42"/>
        <v xml:space="preserve"> </v>
      </c>
      <c r="I673" s="41" t="str">
        <f>IFERROR((VLOOKUP(F673,'Planilha de Cadastro - Previsão'!$A$2:$N$1100,2,FALSE()))," ")</f>
        <v xml:space="preserve"> </v>
      </c>
      <c r="J673" s="40" t="str">
        <f>IFERROR((VLOOKUP(F673,'Planilha de Cadastro - Previsão'!$A$2:$N$1100,3,FALSE()))," ")</f>
        <v xml:space="preserve"> </v>
      </c>
      <c r="K673" s="40"/>
      <c r="L673" s="42" t="str">
        <f>IFERROR((VLOOKUP(F673,'Planilha de Cadastro - Previsão'!$A$2:$N$1100,11,FALSE()))," ")</f>
        <v xml:space="preserve"> </v>
      </c>
      <c r="M673" s="41" t="str">
        <f>IFERROR((IF(VLOOKUP(F673,'Planilha de Cadastro - Previsão'!$A$2:$N$1100,10,FALSE())="","",VLOOKUP(F673,'Planilha de Cadastro - Previsão'!$A$2:$N$1100,10,FALSE()))),"")</f>
        <v/>
      </c>
      <c r="N673" s="41"/>
      <c r="O673" s="41"/>
      <c r="P673" s="41" t="str">
        <f>IFERROR((IF(VLOOKUP(F673,'Acompanhamento da Licitação'!$F$2:$O$1000,10,FALSE())="","",VLOOKUP(F673,'Acompanhamento da Licitação'!$F$2:$O$1000,10,FALSE()))),"")</f>
        <v/>
      </c>
      <c r="R673" s="61" t="str">
        <f>IFERROR(IF(F673&gt;0,(Final[[#This Row],[Valor da Venda Real]]-Final[[#This Row],[Valor de Compra Previsto]]-4%*Final[[#This Row],[Valor da Venda Real]])/Final[[#This Row],[Valor da Venda Real]],""),"")</f>
        <v/>
      </c>
      <c r="S673" s="61" t="str">
        <f t="shared" si="45"/>
        <v/>
      </c>
      <c r="T673" s="23" t="str">
        <f>IFERROR((R673*Final[[#This Row],[Valor da Venda Real]]*Final[[#This Row],[Quantidade ]]*S673),"")</f>
        <v/>
      </c>
    </row>
    <row r="674" spans="1:20" ht="15.75" x14ac:dyDescent="0.2">
      <c r="A674">
        <f>COUNTIF($C$2:C674,C674)</f>
        <v>673</v>
      </c>
      <c r="B674" s="1" t="str">
        <f t="shared" si="44"/>
        <v>673</v>
      </c>
      <c r="C674" s="1" t="str">
        <f>IFERROR(VLOOKUP(D674,'Planilha de Cadastro - Previsão'!$A$2:$N$1000,14,FALSE()),"")</f>
        <v/>
      </c>
      <c r="D674" s="1">
        <v>673</v>
      </c>
      <c r="F674" s="40" t="str">
        <f t="shared" si="43"/>
        <v/>
      </c>
      <c r="G674" s="40" t="str">
        <f>IF(F674="","",'Prosposta Inicial'!$O$2)</f>
        <v/>
      </c>
      <c r="H674" s="40" t="str">
        <f t="shared" si="42"/>
        <v xml:space="preserve"> </v>
      </c>
      <c r="I674" s="41" t="str">
        <f>IFERROR((VLOOKUP(F674,'Planilha de Cadastro - Previsão'!$A$2:$N$1100,2,FALSE()))," ")</f>
        <v xml:space="preserve"> </v>
      </c>
      <c r="J674" s="40" t="str">
        <f>IFERROR((VLOOKUP(F674,'Planilha de Cadastro - Previsão'!$A$2:$N$1100,3,FALSE()))," ")</f>
        <v xml:space="preserve"> </v>
      </c>
      <c r="K674" s="40"/>
      <c r="L674" s="42" t="str">
        <f>IFERROR((VLOOKUP(F674,'Planilha de Cadastro - Previsão'!$A$2:$N$1100,11,FALSE()))," ")</f>
        <v xml:space="preserve"> </v>
      </c>
      <c r="M674" s="41" t="str">
        <f>IFERROR((IF(VLOOKUP(F674,'Planilha de Cadastro - Previsão'!$A$2:$N$1100,10,FALSE())="","",VLOOKUP(F674,'Planilha de Cadastro - Previsão'!$A$2:$N$1100,10,FALSE()))),"")</f>
        <v/>
      </c>
      <c r="N674" s="41"/>
      <c r="O674" s="41"/>
      <c r="P674" s="41" t="str">
        <f>IFERROR((IF(VLOOKUP(F674,'Acompanhamento da Licitação'!$F$2:$O$1000,10,FALSE())="","",VLOOKUP(F674,'Acompanhamento da Licitação'!$F$2:$O$1000,10,FALSE()))),"")</f>
        <v/>
      </c>
      <c r="R674" s="61" t="str">
        <f>IFERROR(IF(F674&gt;0,(Final[[#This Row],[Valor da Venda Real]]-Final[[#This Row],[Valor de Compra Previsto]]-4%*Final[[#This Row],[Valor da Venda Real]])/Final[[#This Row],[Valor da Venda Real]],""),"")</f>
        <v/>
      </c>
      <c r="S674" s="61" t="str">
        <f t="shared" si="45"/>
        <v/>
      </c>
      <c r="T674" s="23" t="str">
        <f>IFERROR((R674*Final[[#This Row],[Valor da Venda Real]]*Final[[#This Row],[Quantidade ]]*S674),"")</f>
        <v/>
      </c>
    </row>
    <row r="675" spans="1:20" ht="15.75" x14ac:dyDescent="0.2">
      <c r="A675">
        <f>COUNTIF($C$2:C675,C675)</f>
        <v>674</v>
      </c>
      <c r="B675" s="1" t="str">
        <f t="shared" si="44"/>
        <v>674</v>
      </c>
      <c r="C675" s="1" t="str">
        <f>IFERROR(VLOOKUP(D675,'Planilha de Cadastro - Previsão'!$A$2:$N$1000,14,FALSE()),"")</f>
        <v/>
      </c>
      <c r="D675" s="1">
        <v>674</v>
      </c>
      <c r="F675" s="40" t="str">
        <f t="shared" si="43"/>
        <v/>
      </c>
      <c r="G675" s="40" t="str">
        <f>IF(F675="","",'Prosposta Inicial'!$O$2)</f>
        <v/>
      </c>
      <c r="H675" s="40" t="str">
        <f t="shared" si="42"/>
        <v xml:space="preserve"> </v>
      </c>
      <c r="I675" s="41" t="str">
        <f>IFERROR((VLOOKUP(F675,'Planilha de Cadastro - Previsão'!$A$2:$N$1100,2,FALSE()))," ")</f>
        <v xml:space="preserve"> </v>
      </c>
      <c r="J675" s="40" t="str">
        <f>IFERROR((VLOOKUP(F675,'Planilha de Cadastro - Previsão'!$A$2:$N$1100,3,FALSE()))," ")</f>
        <v xml:space="preserve"> </v>
      </c>
      <c r="K675" s="40"/>
      <c r="L675" s="42" t="str">
        <f>IFERROR((VLOOKUP(F675,'Planilha de Cadastro - Previsão'!$A$2:$N$1100,11,FALSE()))," ")</f>
        <v xml:space="preserve"> </v>
      </c>
      <c r="M675" s="41" t="str">
        <f>IFERROR((IF(VLOOKUP(F675,'Planilha de Cadastro - Previsão'!$A$2:$N$1100,10,FALSE())="","",VLOOKUP(F675,'Planilha de Cadastro - Previsão'!$A$2:$N$1100,10,FALSE()))),"")</f>
        <v/>
      </c>
      <c r="N675" s="41"/>
      <c r="O675" s="41"/>
      <c r="P675" s="41" t="str">
        <f>IFERROR((IF(VLOOKUP(F675,'Acompanhamento da Licitação'!$F$2:$O$1000,10,FALSE())="","",VLOOKUP(F675,'Acompanhamento da Licitação'!$F$2:$O$1000,10,FALSE()))),"")</f>
        <v/>
      </c>
      <c r="R675" s="61" t="str">
        <f>IFERROR(IF(F675&gt;0,(Final[[#This Row],[Valor da Venda Real]]-Final[[#This Row],[Valor de Compra Previsto]]-4%*Final[[#This Row],[Valor da Venda Real]])/Final[[#This Row],[Valor da Venda Real]],""),"")</f>
        <v/>
      </c>
      <c r="S675" s="61" t="str">
        <f t="shared" si="45"/>
        <v/>
      </c>
      <c r="T675" s="23" t="str">
        <f>IFERROR((R675*Final[[#This Row],[Valor da Venda Real]]*Final[[#This Row],[Quantidade ]]*S675),"")</f>
        <v/>
      </c>
    </row>
    <row r="676" spans="1:20" ht="15.75" x14ac:dyDescent="0.2">
      <c r="A676">
        <f>COUNTIF($C$2:C676,C676)</f>
        <v>675</v>
      </c>
      <c r="B676" s="1" t="str">
        <f t="shared" si="44"/>
        <v>675</v>
      </c>
      <c r="C676" s="1" t="str">
        <f>IFERROR(VLOOKUP(D676,'Planilha de Cadastro - Previsão'!$A$2:$N$1000,14,FALSE()),"")</f>
        <v/>
      </c>
      <c r="D676" s="1">
        <v>675</v>
      </c>
      <c r="F676" s="40" t="str">
        <f t="shared" si="43"/>
        <v/>
      </c>
      <c r="G676" s="40" t="str">
        <f>IF(F676="","",'Prosposta Inicial'!$O$2)</f>
        <v/>
      </c>
      <c r="H676" s="40" t="str">
        <f t="shared" si="42"/>
        <v xml:space="preserve"> </v>
      </c>
      <c r="I676" s="41" t="str">
        <f>IFERROR((VLOOKUP(F676,'Planilha de Cadastro - Previsão'!$A$2:$N$1100,2,FALSE()))," ")</f>
        <v xml:space="preserve"> </v>
      </c>
      <c r="J676" s="40" t="str">
        <f>IFERROR((VLOOKUP(F676,'Planilha de Cadastro - Previsão'!$A$2:$N$1100,3,FALSE()))," ")</f>
        <v xml:space="preserve"> </v>
      </c>
      <c r="K676" s="40"/>
      <c r="L676" s="42" t="str">
        <f>IFERROR((VLOOKUP(F676,'Planilha de Cadastro - Previsão'!$A$2:$N$1100,11,FALSE()))," ")</f>
        <v xml:space="preserve"> </v>
      </c>
      <c r="M676" s="41" t="str">
        <f>IFERROR((IF(VLOOKUP(F676,'Planilha de Cadastro - Previsão'!$A$2:$N$1100,10,FALSE())="","",VLOOKUP(F676,'Planilha de Cadastro - Previsão'!$A$2:$N$1100,10,FALSE()))),"")</f>
        <v/>
      </c>
      <c r="N676" s="41"/>
      <c r="O676" s="41"/>
      <c r="P676" s="41" t="str">
        <f>IFERROR((IF(VLOOKUP(F676,'Acompanhamento da Licitação'!$F$2:$O$1000,10,FALSE())="","",VLOOKUP(F676,'Acompanhamento da Licitação'!$F$2:$O$1000,10,FALSE()))),"")</f>
        <v/>
      </c>
      <c r="R676" s="61" t="str">
        <f>IFERROR(IF(F676&gt;0,(Final[[#This Row],[Valor da Venda Real]]-Final[[#This Row],[Valor de Compra Previsto]]-4%*Final[[#This Row],[Valor da Venda Real]])/Final[[#This Row],[Valor da Venda Real]],""),"")</f>
        <v/>
      </c>
      <c r="S676" s="61" t="str">
        <f t="shared" si="45"/>
        <v/>
      </c>
      <c r="T676" s="23" t="str">
        <f>IFERROR((R676*Final[[#This Row],[Valor da Venda Real]]*Final[[#This Row],[Quantidade ]]*S676),"")</f>
        <v/>
      </c>
    </row>
    <row r="677" spans="1:20" ht="15.75" x14ac:dyDescent="0.2">
      <c r="A677">
        <f>COUNTIF($C$2:C677,C677)</f>
        <v>676</v>
      </c>
      <c r="B677" s="1" t="str">
        <f t="shared" si="44"/>
        <v>676</v>
      </c>
      <c r="C677" s="1" t="str">
        <f>IFERROR(VLOOKUP(D677,'Planilha de Cadastro - Previsão'!$A$2:$N$1000,14,FALSE()),"")</f>
        <v/>
      </c>
      <c r="D677" s="1">
        <v>676</v>
      </c>
      <c r="F677" s="40" t="str">
        <f t="shared" si="43"/>
        <v/>
      </c>
      <c r="G677" s="40" t="str">
        <f>IF(F677="","",'Prosposta Inicial'!$O$2)</f>
        <v/>
      </c>
      <c r="H677" s="40" t="str">
        <f t="shared" ref="H677:H740" si="46">CONCATENATE(F677,G677,I677)</f>
        <v xml:space="preserve"> </v>
      </c>
      <c r="I677" s="41" t="str">
        <f>IFERROR((VLOOKUP(F677,'Planilha de Cadastro - Previsão'!$A$2:$N$1100,2,FALSE()))," ")</f>
        <v xml:space="preserve"> </v>
      </c>
      <c r="J677" s="40" t="str">
        <f>IFERROR((VLOOKUP(F677,'Planilha de Cadastro - Previsão'!$A$2:$N$1100,3,FALSE()))," ")</f>
        <v xml:space="preserve"> </v>
      </c>
      <c r="K677" s="40"/>
      <c r="L677" s="42" t="str">
        <f>IFERROR((VLOOKUP(F677,'Planilha de Cadastro - Previsão'!$A$2:$N$1100,11,FALSE()))," ")</f>
        <v xml:space="preserve"> </v>
      </c>
      <c r="M677" s="41" t="str">
        <f>IFERROR((IF(VLOOKUP(F677,'Planilha de Cadastro - Previsão'!$A$2:$N$1100,10,FALSE())="","",VLOOKUP(F677,'Planilha de Cadastro - Previsão'!$A$2:$N$1100,10,FALSE()))),"")</f>
        <v/>
      </c>
      <c r="N677" s="41"/>
      <c r="O677" s="41"/>
      <c r="P677" s="41" t="str">
        <f>IFERROR((IF(VLOOKUP(F677,'Acompanhamento da Licitação'!$F$2:$O$1000,10,FALSE())="","",VLOOKUP(F677,'Acompanhamento da Licitação'!$F$2:$O$1000,10,FALSE()))),"")</f>
        <v/>
      </c>
      <c r="R677" s="61" t="str">
        <f>IFERROR(IF(F677&gt;0,(Final[[#This Row],[Valor da Venda Real]]-Final[[#This Row],[Valor de Compra Previsto]]-4%*Final[[#This Row],[Valor da Venda Real]])/Final[[#This Row],[Valor da Venda Real]],""),"")</f>
        <v/>
      </c>
      <c r="S677" s="61" t="str">
        <f t="shared" si="45"/>
        <v/>
      </c>
      <c r="T677" s="23" t="str">
        <f>IFERROR((R677*Final[[#This Row],[Valor da Venda Real]]*Final[[#This Row],[Quantidade ]]*S677),"")</f>
        <v/>
      </c>
    </row>
    <row r="678" spans="1:20" ht="15.75" x14ac:dyDescent="0.2">
      <c r="A678">
        <f>COUNTIF($C$2:C678,C678)</f>
        <v>677</v>
      </c>
      <c r="B678" s="1" t="str">
        <f t="shared" si="44"/>
        <v>677</v>
      </c>
      <c r="C678" s="1" t="str">
        <f>IFERROR(VLOOKUP(D678,'Planilha de Cadastro - Previsão'!$A$2:$N$1000,14,FALSE()),"")</f>
        <v/>
      </c>
      <c r="D678" s="1">
        <v>677</v>
      </c>
      <c r="F678" s="40" t="str">
        <f t="shared" si="43"/>
        <v/>
      </c>
      <c r="G678" s="40" t="str">
        <f>IF(F678="","",'Prosposta Inicial'!$O$2)</f>
        <v/>
      </c>
      <c r="H678" s="40" t="str">
        <f t="shared" si="46"/>
        <v xml:space="preserve"> </v>
      </c>
      <c r="I678" s="41" t="str">
        <f>IFERROR((VLOOKUP(F678,'Planilha de Cadastro - Previsão'!$A$2:$N$1100,2,FALSE()))," ")</f>
        <v xml:space="preserve"> </v>
      </c>
      <c r="J678" s="40" t="str">
        <f>IFERROR((VLOOKUP(F678,'Planilha de Cadastro - Previsão'!$A$2:$N$1100,3,FALSE()))," ")</f>
        <v xml:space="preserve"> </v>
      </c>
      <c r="K678" s="40"/>
      <c r="L678" s="42" t="str">
        <f>IFERROR((VLOOKUP(F678,'Planilha de Cadastro - Previsão'!$A$2:$N$1100,11,FALSE()))," ")</f>
        <v xml:space="preserve"> </v>
      </c>
      <c r="M678" s="41" t="str">
        <f>IFERROR((IF(VLOOKUP(F678,'Planilha de Cadastro - Previsão'!$A$2:$N$1100,10,FALSE())="","",VLOOKUP(F678,'Planilha de Cadastro - Previsão'!$A$2:$N$1100,10,FALSE()))),"")</f>
        <v/>
      </c>
      <c r="N678" s="41"/>
      <c r="O678" s="41"/>
      <c r="P678" s="41" t="str">
        <f>IFERROR((IF(VLOOKUP(F678,'Acompanhamento da Licitação'!$F$2:$O$1000,10,FALSE())="","",VLOOKUP(F678,'Acompanhamento da Licitação'!$F$2:$O$1000,10,FALSE()))),"")</f>
        <v/>
      </c>
      <c r="R678" s="61" t="str">
        <f>IFERROR(IF(F678&gt;0,(Final[[#This Row],[Valor da Venda Real]]-Final[[#This Row],[Valor de Compra Previsto]]-4%*Final[[#This Row],[Valor da Venda Real]])/Final[[#This Row],[Valor da Venda Real]],""),"")</f>
        <v/>
      </c>
      <c r="S678" s="61" t="str">
        <f t="shared" si="45"/>
        <v/>
      </c>
      <c r="T678" s="23" t="str">
        <f>IFERROR((R678*Final[[#This Row],[Valor da Venda Real]]*Final[[#This Row],[Quantidade ]]*S678),"")</f>
        <v/>
      </c>
    </row>
    <row r="679" spans="1:20" ht="15.75" x14ac:dyDescent="0.2">
      <c r="A679">
        <f>COUNTIF($C$2:C679,C679)</f>
        <v>678</v>
      </c>
      <c r="B679" s="1" t="str">
        <f t="shared" si="44"/>
        <v>678</v>
      </c>
      <c r="C679" s="1" t="str">
        <f>IFERROR(VLOOKUP(D679,'Planilha de Cadastro - Previsão'!$A$2:$N$1000,14,FALSE()),"")</f>
        <v/>
      </c>
      <c r="D679" s="1">
        <v>678</v>
      </c>
      <c r="F679" s="40" t="str">
        <f t="shared" si="43"/>
        <v/>
      </c>
      <c r="G679" s="40" t="str">
        <f>IF(F679="","",'Prosposta Inicial'!$O$2)</f>
        <v/>
      </c>
      <c r="H679" s="40" t="str">
        <f t="shared" si="46"/>
        <v xml:space="preserve"> </v>
      </c>
      <c r="I679" s="41" t="str">
        <f>IFERROR((VLOOKUP(F679,'Planilha de Cadastro - Previsão'!$A$2:$N$1100,2,FALSE()))," ")</f>
        <v xml:space="preserve"> </v>
      </c>
      <c r="J679" s="40" t="str">
        <f>IFERROR((VLOOKUP(F679,'Planilha de Cadastro - Previsão'!$A$2:$N$1100,3,FALSE()))," ")</f>
        <v xml:space="preserve"> </v>
      </c>
      <c r="K679" s="40"/>
      <c r="L679" s="42" t="str">
        <f>IFERROR((VLOOKUP(F679,'Planilha de Cadastro - Previsão'!$A$2:$N$1100,11,FALSE()))," ")</f>
        <v xml:space="preserve"> </v>
      </c>
      <c r="M679" s="41" t="str">
        <f>IFERROR((IF(VLOOKUP(F679,'Planilha de Cadastro - Previsão'!$A$2:$N$1100,10,FALSE())="","",VLOOKUP(F679,'Planilha de Cadastro - Previsão'!$A$2:$N$1100,10,FALSE()))),"")</f>
        <v/>
      </c>
      <c r="N679" s="41"/>
      <c r="O679" s="41"/>
      <c r="P679" s="41" t="str">
        <f>IFERROR((IF(VLOOKUP(F679,'Acompanhamento da Licitação'!$F$2:$O$1000,10,FALSE())="","",VLOOKUP(F679,'Acompanhamento da Licitação'!$F$2:$O$1000,10,FALSE()))),"")</f>
        <v/>
      </c>
      <c r="R679" s="61" t="str">
        <f>IFERROR(IF(F679&gt;0,(Final[[#This Row],[Valor da Venda Real]]-Final[[#This Row],[Valor de Compra Previsto]]-4%*Final[[#This Row],[Valor da Venda Real]])/Final[[#This Row],[Valor da Venda Real]],""),"")</f>
        <v/>
      </c>
      <c r="S679" s="61" t="str">
        <f t="shared" si="45"/>
        <v/>
      </c>
      <c r="T679" s="23" t="str">
        <f>IFERROR((R679*Final[[#This Row],[Valor da Venda Real]]*Final[[#This Row],[Quantidade ]]*S679),"")</f>
        <v/>
      </c>
    </row>
    <row r="680" spans="1:20" ht="15.75" x14ac:dyDescent="0.2">
      <c r="A680">
        <f>COUNTIF($C$2:C680,C680)</f>
        <v>679</v>
      </c>
      <c r="B680" s="1" t="str">
        <f t="shared" si="44"/>
        <v>679</v>
      </c>
      <c r="C680" s="1" t="str">
        <f>IFERROR(VLOOKUP(D680,'Planilha de Cadastro - Previsão'!$A$2:$N$1000,14,FALSE()),"")</f>
        <v/>
      </c>
      <c r="D680" s="1">
        <v>679</v>
      </c>
      <c r="F680" s="40" t="str">
        <f t="shared" si="43"/>
        <v/>
      </c>
      <c r="G680" s="40" t="str">
        <f>IF(F680="","",'Prosposta Inicial'!$O$2)</f>
        <v/>
      </c>
      <c r="H680" s="40" t="str">
        <f t="shared" si="46"/>
        <v xml:space="preserve"> </v>
      </c>
      <c r="I680" s="41" t="str">
        <f>IFERROR((VLOOKUP(F680,'Planilha de Cadastro - Previsão'!$A$2:$N$1100,2,FALSE()))," ")</f>
        <v xml:space="preserve"> </v>
      </c>
      <c r="J680" s="40" t="str">
        <f>IFERROR((VLOOKUP(F680,'Planilha de Cadastro - Previsão'!$A$2:$N$1100,3,FALSE()))," ")</f>
        <v xml:space="preserve"> </v>
      </c>
      <c r="K680" s="40"/>
      <c r="L680" s="42" t="str">
        <f>IFERROR((VLOOKUP(F680,'Planilha de Cadastro - Previsão'!$A$2:$N$1100,11,FALSE()))," ")</f>
        <v xml:space="preserve"> </v>
      </c>
      <c r="M680" s="41" t="str">
        <f>IFERROR((IF(VLOOKUP(F680,'Planilha de Cadastro - Previsão'!$A$2:$N$1100,10,FALSE())="","",VLOOKUP(F680,'Planilha de Cadastro - Previsão'!$A$2:$N$1100,10,FALSE()))),"")</f>
        <v/>
      </c>
      <c r="N680" s="41"/>
      <c r="O680" s="41"/>
      <c r="P680" s="41" t="str">
        <f>IFERROR((IF(VLOOKUP(F680,'Acompanhamento da Licitação'!$F$2:$O$1000,10,FALSE())="","",VLOOKUP(F680,'Acompanhamento da Licitação'!$F$2:$O$1000,10,FALSE()))),"")</f>
        <v/>
      </c>
      <c r="R680" s="61" t="str">
        <f>IFERROR(IF(F680&gt;0,(Final[[#This Row],[Valor da Venda Real]]-Final[[#This Row],[Valor de Compra Previsto]]-4%*Final[[#This Row],[Valor da Venda Real]])/Final[[#This Row],[Valor da Venda Real]],""),"")</f>
        <v/>
      </c>
      <c r="S680" s="61" t="str">
        <f t="shared" si="45"/>
        <v/>
      </c>
      <c r="T680" s="23" t="str">
        <f>IFERROR((R680*Final[[#This Row],[Valor da Venda Real]]*Final[[#This Row],[Quantidade ]]*S680),"")</f>
        <v/>
      </c>
    </row>
    <row r="681" spans="1:20" ht="15.75" x14ac:dyDescent="0.2">
      <c r="A681">
        <f>COUNTIF($C$2:C681,C681)</f>
        <v>680</v>
      </c>
      <c r="B681" s="1" t="str">
        <f t="shared" si="44"/>
        <v>680</v>
      </c>
      <c r="C681" s="1" t="str">
        <f>IFERROR(VLOOKUP(D681,'Planilha de Cadastro - Previsão'!$A$2:$N$1000,14,FALSE()),"")</f>
        <v/>
      </c>
      <c r="D681" s="1">
        <v>680</v>
      </c>
      <c r="F681" s="40" t="str">
        <f t="shared" si="43"/>
        <v/>
      </c>
      <c r="G681" s="40" t="str">
        <f>IF(F681="","",'Prosposta Inicial'!$O$2)</f>
        <v/>
      </c>
      <c r="H681" s="40" t="str">
        <f t="shared" si="46"/>
        <v xml:space="preserve"> </v>
      </c>
      <c r="I681" s="41" t="str">
        <f>IFERROR((VLOOKUP(F681,'Planilha de Cadastro - Previsão'!$A$2:$N$1100,2,FALSE()))," ")</f>
        <v xml:space="preserve"> </v>
      </c>
      <c r="J681" s="40" t="str">
        <f>IFERROR((VLOOKUP(F681,'Planilha de Cadastro - Previsão'!$A$2:$N$1100,3,FALSE()))," ")</f>
        <v xml:space="preserve"> </v>
      </c>
      <c r="K681" s="40"/>
      <c r="L681" s="42" t="str">
        <f>IFERROR((VLOOKUP(F681,'Planilha de Cadastro - Previsão'!$A$2:$N$1100,11,FALSE()))," ")</f>
        <v xml:space="preserve"> </v>
      </c>
      <c r="M681" s="41" t="str">
        <f>IFERROR((IF(VLOOKUP(F681,'Planilha de Cadastro - Previsão'!$A$2:$N$1100,10,FALSE())="","",VLOOKUP(F681,'Planilha de Cadastro - Previsão'!$A$2:$N$1100,10,FALSE()))),"")</f>
        <v/>
      </c>
      <c r="N681" s="41"/>
      <c r="O681" s="41"/>
      <c r="P681" s="41" t="str">
        <f>IFERROR((IF(VLOOKUP(F681,'Acompanhamento da Licitação'!$F$2:$O$1000,10,FALSE())="","",VLOOKUP(F681,'Acompanhamento da Licitação'!$F$2:$O$1000,10,FALSE()))),"")</f>
        <v/>
      </c>
      <c r="R681" s="61" t="str">
        <f>IFERROR(IF(F681&gt;0,(Final[[#This Row],[Valor da Venda Real]]-Final[[#This Row],[Valor de Compra Previsto]]-4%*Final[[#This Row],[Valor da Venda Real]])/Final[[#This Row],[Valor da Venda Real]],""),"")</f>
        <v/>
      </c>
      <c r="S681" s="61" t="str">
        <f t="shared" si="45"/>
        <v/>
      </c>
      <c r="T681" s="23" t="str">
        <f>IFERROR((R681*Final[[#This Row],[Valor da Venda Real]]*Final[[#This Row],[Quantidade ]]*S681),"")</f>
        <v/>
      </c>
    </row>
    <row r="682" spans="1:20" ht="15.75" x14ac:dyDescent="0.2">
      <c r="A682">
        <f>COUNTIF($C$2:C682,C682)</f>
        <v>681</v>
      </c>
      <c r="B682" s="1" t="str">
        <f t="shared" si="44"/>
        <v>681</v>
      </c>
      <c r="C682" s="1" t="str">
        <f>IFERROR(VLOOKUP(D682,'Planilha de Cadastro - Previsão'!$A$2:$N$1000,14,FALSE()),"")</f>
        <v/>
      </c>
      <c r="D682" s="1">
        <v>681</v>
      </c>
      <c r="F682" s="40" t="str">
        <f t="shared" si="43"/>
        <v/>
      </c>
      <c r="G682" s="40" t="str">
        <f>IF(F682="","",'Prosposta Inicial'!$O$2)</f>
        <v/>
      </c>
      <c r="H682" s="40" t="str">
        <f t="shared" si="46"/>
        <v xml:space="preserve"> </v>
      </c>
      <c r="I682" s="41" t="str">
        <f>IFERROR((VLOOKUP(F682,'Planilha de Cadastro - Previsão'!$A$2:$N$1100,2,FALSE()))," ")</f>
        <v xml:space="preserve"> </v>
      </c>
      <c r="J682" s="40" t="str">
        <f>IFERROR((VLOOKUP(F682,'Planilha de Cadastro - Previsão'!$A$2:$N$1100,3,FALSE()))," ")</f>
        <v xml:space="preserve"> </v>
      </c>
      <c r="K682" s="40"/>
      <c r="L682" s="42" t="str">
        <f>IFERROR((VLOOKUP(F682,'Planilha de Cadastro - Previsão'!$A$2:$N$1100,11,FALSE()))," ")</f>
        <v xml:space="preserve"> </v>
      </c>
      <c r="M682" s="41" t="str">
        <f>IFERROR((IF(VLOOKUP(F682,'Planilha de Cadastro - Previsão'!$A$2:$N$1100,10,FALSE())="","",VLOOKUP(F682,'Planilha de Cadastro - Previsão'!$A$2:$N$1100,10,FALSE()))),"")</f>
        <v/>
      </c>
      <c r="N682" s="41"/>
      <c r="O682" s="41"/>
      <c r="P682" s="41" t="str">
        <f>IFERROR((IF(VLOOKUP(F682,'Acompanhamento da Licitação'!$F$2:$O$1000,10,FALSE())="","",VLOOKUP(F682,'Acompanhamento da Licitação'!$F$2:$O$1000,10,FALSE()))),"")</f>
        <v/>
      </c>
      <c r="R682" s="61" t="str">
        <f>IFERROR(IF(F682&gt;0,(Final[[#This Row],[Valor da Venda Real]]-Final[[#This Row],[Valor de Compra Previsto]]-4%*Final[[#This Row],[Valor da Venda Real]])/Final[[#This Row],[Valor da Venda Real]],""),"")</f>
        <v/>
      </c>
      <c r="S682" s="61" t="str">
        <f t="shared" si="45"/>
        <v/>
      </c>
      <c r="T682" s="23" t="str">
        <f>IFERROR((R682*Final[[#This Row],[Valor da Venda Real]]*Final[[#This Row],[Quantidade ]]*S682),"")</f>
        <v/>
      </c>
    </row>
    <row r="683" spans="1:20" ht="15.75" x14ac:dyDescent="0.2">
      <c r="A683">
        <f>COUNTIF($C$2:C683,C683)</f>
        <v>682</v>
      </c>
      <c r="B683" s="1" t="str">
        <f t="shared" si="44"/>
        <v>682</v>
      </c>
      <c r="C683" s="1" t="str">
        <f>IFERROR(VLOOKUP(D683,'Planilha de Cadastro - Previsão'!$A$2:$N$1000,14,FALSE()),"")</f>
        <v/>
      </c>
      <c r="D683" s="1">
        <v>682</v>
      </c>
      <c r="F683" s="40" t="str">
        <f t="shared" si="43"/>
        <v/>
      </c>
      <c r="G683" s="40" t="str">
        <f>IF(F683="","",'Prosposta Inicial'!$O$2)</f>
        <v/>
      </c>
      <c r="H683" s="40" t="str">
        <f t="shared" si="46"/>
        <v xml:space="preserve"> </v>
      </c>
      <c r="I683" s="41" t="str">
        <f>IFERROR((VLOOKUP(F683,'Planilha de Cadastro - Previsão'!$A$2:$N$1100,2,FALSE()))," ")</f>
        <v xml:space="preserve"> </v>
      </c>
      <c r="J683" s="40" t="str">
        <f>IFERROR((VLOOKUP(F683,'Planilha de Cadastro - Previsão'!$A$2:$N$1100,3,FALSE()))," ")</f>
        <v xml:space="preserve"> </v>
      </c>
      <c r="K683" s="40"/>
      <c r="L683" s="42" t="str">
        <f>IFERROR((VLOOKUP(F683,'Planilha de Cadastro - Previsão'!$A$2:$N$1100,11,FALSE()))," ")</f>
        <v xml:space="preserve"> </v>
      </c>
      <c r="M683" s="41" t="str">
        <f>IFERROR((IF(VLOOKUP(F683,'Planilha de Cadastro - Previsão'!$A$2:$N$1100,10,FALSE())="","",VLOOKUP(F683,'Planilha de Cadastro - Previsão'!$A$2:$N$1100,10,FALSE()))),"")</f>
        <v/>
      </c>
      <c r="N683" s="41"/>
      <c r="O683" s="41"/>
      <c r="P683" s="41" t="str">
        <f>IFERROR((IF(VLOOKUP(F683,'Acompanhamento da Licitação'!$F$2:$O$1000,10,FALSE())="","",VLOOKUP(F683,'Acompanhamento da Licitação'!$F$2:$O$1000,10,FALSE()))),"")</f>
        <v/>
      </c>
      <c r="R683" s="61" t="str">
        <f>IFERROR(IF(F683&gt;0,(Final[[#This Row],[Valor da Venda Real]]-Final[[#This Row],[Valor de Compra Previsto]]-4%*Final[[#This Row],[Valor da Venda Real]])/Final[[#This Row],[Valor da Venda Real]],""),"")</f>
        <v/>
      </c>
      <c r="S683" s="61" t="str">
        <f t="shared" si="45"/>
        <v/>
      </c>
      <c r="T683" s="23" t="str">
        <f>IFERROR((R683*Final[[#This Row],[Valor da Venda Real]]*Final[[#This Row],[Quantidade ]]*S683),"")</f>
        <v/>
      </c>
    </row>
    <row r="684" spans="1:20" ht="15.75" x14ac:dyDescent="0.2">
      <c r="A684">
        <f>COUNTIF($C$2:C684,C684)</f>
        <v>683</v>
      </c>
      <c r="B684" s="1" t="str">
        <f t="shared" si="44"/>
        <v>683</v>
      </c>
      <c r="C684" s="1" t="str">
        <f>IFERROR(VLOOKUP(D684,'Planilha de Cadastro - Previsão'!$A$2:$N$1000,14,FALSE()),"")</f>
        <v/>
      </c>
      <c r="D684" s="1">
        <v>683</v>
      </c>
      <c r="F684" s="40" t="str">
        <f t="shared" si="43"/>
        <v/>
      </c>
      <c r="G684" s="40" t="str">
        <f>IF(F684="","",'Prosposta Inicial'!$O$2)</f>
        <v/>
      </c>
      <c r="H684" s="40" t="str">
        <f t="shared" si="46"/>
        <v xml:space="preserve"> </v>
      </c>
      <c r="I684" s="41" t="str">
        <f>IFERROR((VLOOKUP(F684,'Planilha de Cadastro - Previsão'!$A$2:$N$1100,2,FALSE()))," ")</f>
        <v xml:space="preserve"> </v>
      </c>
      <c r="J684" s="40" t="str">
        <f>IFERROR((VLOOKUP(F684,'Planilha de Cadastro - Previsão'!$A$2:$N$1100,3,FALSE()))," ")</f>
        <v xml:space="preserve"> </v>
      </c>
      <c r="K684" s="40"/>
      <c r="L684" s="42" t="str">
        <f>IFERROR((VLOOKUP(F684,'Planilha de Cadastro - Previsão'!$A$2:$N$1100,11,FALSE()))," ")</f>
        <v xml:space="preserve"> </v>
      </c>
      <c r="M684" s="41" t="str">
        <f>IFERROR((IF(VLOOKUP(F684,'Planilha de Cadastro - Previsão'!$A$2:$N$1100,10,FALSE())="","",VLOOKUP(F684,'Planilha de Cadastro - Previsão'!$A$2:$N$1100,10,FALSE()))),"")</f>
        <v/>
      </c>
      <c r="N684" s="41"/>
      <c r="O684" s="41"/>
      <c r="P684" s="41" t="str">
        <f>IFERROR((IF(VLOOKUP(F684,'Acompanhamento da Licitação'!$F$2:$O$1000,10,FALSE())="","",VLOOKUP(F684,'Acompanhamento da Licitação'!$F$2:$O$1000,10,FALSE()))),"")</f>
        <v/>
      </c>
      <c r="R684" s="61" t="str">
        <f>IFERROR(IF(F684&gt;0,(Final[[#This Row],[Valor da Venda Real]]-Final[[#This Row],[Valor de Compra Previsto]]-4%*Final[[#This Row],[Valor da Venda Real]])/Final[[#This Row],[Valor da Venda Real]],""),"")</f>
        <v/>
      </c>
      <c r="S684" s="61" t="str">
        <f t="shared" si="45"/>
        <v/>
      </c>
      <c r="T684" s="23" t="str">
        <f>IFERROR((R684*Final[[#This Row],[Valor da Venda Real]]*Final[[#This Row],[Quantidade ]]*S684),"")</f>
        <v/>
      </c>
    </row>
    <row r="685" spans="1:20" ht="15.75" x14ac:dyDescent="0.2">
      <c r="A685">
        <f>COUNTIF($C$2:C685,C685)</f>
        <v>684</v>
      </c>
      <c r="B685" s="1" t="str">
        <f t="shared" si="44"/>
        <v>684</v>
      </c>
      <c r="C685" s="1" t="str">
        <f>IFERROR(VLOOKUP(D685,'Planilha de Cadastro - Previsão'!$A$2:$N$1000,14,FALSE()),"")</f>
        <v/>
      </c>
      <c r="D685" s="1">
        <v>684</v>
      </c>
      <c r="F685" s="40" t="str">
        <f t="shared" si="43"/>
        <v/>
      </c>
      <c r="G685" s="40" t="str">
        <f>IF(F685="","",'Prosposta Inicial'!$O$2)</f>
        <v/>
      </c>
      <c r="H685" s="40" t="str">
        <f t="shared" si="46"/>
        <v xml:space="preserve"> </v>
      </c>
      <c r="I685" s="41" t="str">
        <f>IFERROR((VLOOKUP(F685,'Planilha de Cadastro - Previsão'!$A$2:$N$1100,2,FALSE()))," ")</f>
        <v xml:space="preserve"> </v>
      </c>
      <c r="J685" s="40" t="str">
        <f>IFERROR((VLOOKUP(F685,'Planilha de Cadastro - Previsão'!$A$2:$N$1100,3,FALSE()))," ")</f>
        <v xml:space="preserve"> </v>
      </c>
      <c r="K685" s="40"/>
      <c r="L685" s="42" t="str">
        <f>IFERROR((VLOOKUP(F685,'Planilha de Cadastro - Previsão'!$A$2:$N$1100,11,FALSE()))," ")</f>
        <v xml:space="preserve"> </v>
      </c>
      <c r="M685" s="41" t="str">
        <f>IFERROR((IF(VLOOKUP(F685,'Planilha de Cadastro - Previsão'!$A$2:$N$1100,10,FALSE())="","",VLOOKUP(F685,'Planilha de Cadastro - Previsão'!$A$2:$N$1100,10,FALSE()))),"")</f>
        <v/>
      </c>
      <c r="N685" s="41"/>
      <c r="O685" s="41"/>
      <c r="P685" s="41" t="str">
        <f>IFERROR((IF(VLOOKUP(F685,'Acompanhamento da Licitação'!$F$2:$O$1000,10,FALSE())="","",VLOOKUP(F685,'Acompanhamento da Licitação'!$F$2:$O$1000,10,FALSE()))),"")</f>
        <v/>
      </c>
      <c r="R685" s="61" t="str">
        <f>IFERROR(IF(F685&gt;0,(Final[[#This Row],[Valor da Venda Real]]-Final[[#This Row],[Valor de Compra Previsto]]-4%*Final[[#This Row],[Valor da Venda Real]])/Final[[#This Row],[Valor da Venda Real]],""),"")</f>
        <v/>
      </c>
      <c r="S685" s="61" t="str">
        <f t="shared" si="45"/>
        <v/>
      </c>
      <c r="T685" s="23" t="str">
        <f>IFERROR((R685*Final[[#This Row],[Valor da Venda Real]]*Final[[#This Row],[Quantidade ]]*S685),"")</f>
        <v/>
      </c>
    </row>
    <row r="686" spans="1:20" ht="15.75" x14ac:dyDescent="0.2">
      <c r="A686">
        <f>COUNTIF($C$2:C686,C686)</f>
        <v>685</v>
      </c>
      <c r="B686" s="1" t="str">
        <f t="shared" si="44"/>
        <v>685</v>
      </c>
      <c r="C686" s="1" t="str">
        <f>IFERROR(VLOOKUP(D686,'Planilha de Cadastro - Previsão'!$A$2:$N$1000,14,FALSE()),"")</f>
        <v/>
      </c>
      <c r="D686" s="1">
        <v>685</v>
      </c>
      <c r="F686" s="40" t="str">
        <f t="shared" si="43"/>
        <v/>
      </c>
      <c r="G686" s="40" t="str">
        <f>IF(F686="","",'Prosposta Inicial'!$O$2)</f>
        <v/>
      </c>
      <c r="H686" s="40" t="str">
        <f t="shared" si="46"/>
        <v xml:space="preserve"> </v>
      </c>
      <c r="I686" s="41" t="str">
        <f>IFERROR((VLOOKUP(F686,'Planilha de Cadastro - Previsão'!$A$2:$N$1100,2,FALSE()))," ")</f>
        <v xml:space="preserve"> </v>
      </c>
      <c r="J686" s="40" t="str">
        <f>IFERROR((VLOOKUP(F686,'Planilha de Cadastro - Previsão'!$A$2:$N$1100,3,FALSE()))," ")</f>
        <v xml:space="preserve"> </v>
      </c>
      <c r="K686" s="40"/>
      <c r="L686" s="42" t="str">
        <f>IFERROR((VLOOKUP(F686,'Planilha de Cadastro - Previsão'!$A$2:$N$1100,11,FALSE()))," ")</f>
        <v xml:space="preserve"> </v>
      </c>
      <c r="M686" s="41" t="str">
        <f>IFERROR((IF(VLOOKUP(F686,'Planilha de Cadastro - Previsão'!$A$2:$N$1100,10,FALSE())="","",VLOOKUP(F686,'Planilha de Cadastro - Previsão'!$A$2:$N$1100,10,FALSE()))),"")</f>
        <v/>
      </c>
      <c r="N686" s="41"/>
      <c r="O686" s="41"/>
      <c r="P686" s="41" t="str">
        <f>IFERROR((IF(VLOOKUP(F686,'Acompanhamento da Licitação'!$F$2:$O$1000,10,FALSE())="","",VLOOKUP(F686,'Acompanhamento da Licitação'!$F$2:$O$1000,10,FALSE()))),"")</f>
        <v/>
      </c>
      <c r="R686" s="61" t="str">
        <f>IFERROR(IF(F686&gt;0,(Final[[#This Row],[Valor da Venda Real]]-Final[[#This Row],[Valor de Compra Previsto]]-4%*Final[[#This Row],[Valor da Venda Real]])/Final[[#This Row],[Valor da Venda Real]],""),"")</f>
        <v/>
      </c>
      <c r="S686" s="61" t="str">
        <f t="shared" si="45"/>
        <v/>
      </c>
      <c r="T686" s="23" t="str">
        <f>IFERROR((R686*Final[[#This Row],[Valor da Venda Real]]*Final[[#This Row],[Quantidade ]]*S686),"")</f>
        <v/>
      </c>
    </row>
    <row r="687" spans="1:20" ht="15.75" x14ac:dyDescent="0.2">
      <c r="A687">
        <f>COUNTIF($C$2:C687,C687)</f>
        <v>686</v>
      </c>
      <c r="B687" s="1" t="str">
        <f t="shared" si="44"/>
        <v>686</v>
      </c>
      <c r="C687" s="1" t="str">
        <f>IFERROR(VLOOKUP(D687,'Planilha de Cadastro - Previsão'!$A$2:$N$1000,14,FALSE()),"")</f>
        <v/>
      </c>
      <c r="D687" s="1">
        <v>686</v>
      </c>
      <c r="F687" s="40" t="str">
        <f t="shared" si="43"/>
        <v/>
      </c>
      <c r="G687" s="40" t="str">
        <f>IF(F687="","",'Prosposta Inicial'!$O$2)</f>
        <v/>
      </c>
      <c r="H687" s="40" t="str">
        <f t="shared" si="46"/>
        <v xml:space="preserve"> </v>
      </c>
      <c r="I687" s="41" t="str">
        <f>IFERROR((VLOOKUP(F687,'Planilha de Cadastro - Previsão'!$A$2:$N$1100,2,FALSE()))," ")</f>
        <v xml:space="preserve"> </v>
      </c>
      <c r="J687" s="40" t="str">
        <f>IFERROR((VLOOKUP(F687,'Planilha de Cadastro - Previsão'!$A$2:$N$1100,3,FALSE()))," ")</f>
        <v xml:space="preserve"> </v>
      </c>
      <c r="K687" s="40"/>
      <c r="L687" s="42" t="str">
        <f>IFERROR((VLOOKUP(F687,'Planilha de Cadastro - Previsão'!$A$2:$N$1100,11,FALSE()))," ")</f>
        <v xml:space="preserve"> </v>
      </c>
      <c r="M687" s="41" t="str">
        <f>IFERROR((IF(VLOOKUP(F687,'Planilha de Cadastro - Previsão'!$A$2:$N$1100,10,FALSE())="","",VLOOKUP(F687,'Planilha de Cadastro - Previsão'!$A$2:$N$1100,10,FALSE()))),"")</f>
        <v/>
      </c>
      <c r="N687" s="41"/>
      <c r="O687" s="41"/>
      <c r="P687" s="41" t="str">
        <f>IFERROR((IF(VLOOKUP(F687,'Acompanhamento da Licitação'!$F$2:$O$1000,10,FALSE())="","",VLOOKUP(F687,'Acompanhamento da Licitação'!$F$2:$O$1000,10,FALSE()))),"")</f>
        <v/>
      </c>
      <c r="R687" s="61" t="str">
        <f>IFERROR(IF(F687&gt;0,(Final[[#This Row],[Valor da Venda Real]]-Final[[#This Row],[Valor de Compra Previsto]]-4%*Final[[#This Row],[Valor da Venda Real]])/Final[[#This Row],[Valor da Venda Real]],""),"")</f>
        <v/>
      </c>
      <c r="S687" s="61" t="str">
        <f t="shared" si="45"/>
        <v/>
      </c>
      <c r="T687" s="23" t="str">
        <f>IFERROR((R687*Final[[#This Row],[Valor da Venda Real]]*Final[[#This Row],[Quantidade ]]*S687),"")</f>
        <v/>
      </c>
    </row>
    <row r="688" spans="1:20" ht="15.75" x14ac:dyDescent="0.2">
      <c r="A688">
        <f>COUNTIF($C$2:C688,C688)</f>
        <v>687</v>
      </c>
      <c r="B688" s="1" t="str">
        <f t="shared" si="44"/>
        <v>687</v>
      </c>
      <c r="C688" s="1" t="str">
        <f>IFERROR(VLOOKUP(D688,'Planilha de Cadastro - Previsão'!$A$2:$N$1000,14,FALSE()),"")</f>
        <v/>
      </c>
      <c r="D688" s="1">
        <v>687</v>
      </c>
      <c r="F688" s="40" t="str">
        <f t="shared" si="43"/>
        <v/>
      </c>
      <c r="G688" s="40" t="str">
        <f>IF(F688="","",'Prosposta Inicial'!$O$2)</f>
        <v/>
      </c>
      <c r="H688" s="40" t="str">
        <f t="shared" si="46"/>
        <v xml:space="preserve"> </v>
      </c>
      <c r="I688" s="41" t="str">
        <f>IFERROR((VLOOKUP(F688,'Planilha de Cadastro - Previsão'!$A$2:$N$1100,2,FALSE()))," ")</f>
        <v xml:space="preserve"> </v>
      </c>
      <c r="J688" s="40" t="str">
        <f>IFERROR((VLOOKUP(F688,'Planilha de Cadastro - Previsão'!$A$2:$N$1100,3,FALSE()))," ")</f>
        <v xml:space="preserve"> </v>
      </c>
      <c r="K688" s="40"/>
      <c r="L688" s="42" t="str">
        <f>IFERROR((VLOOKUP(F688,'Planilha de Cadastro - Previsão'!$A$2:$N$1100,11,FALSE()))," ")</f>
        <v xml:space="preserve"> </v>
      </c>
      <c r="M688" s="41" t="str">
        <f>IFERROR((IF(VLOOKUP(F688,'Planilha de Cadastro - Previsão'!$A$2:$N$1100,10,FALSE())="","",VLOOKUP(F688,'Planilha de Cadastro - Previsão'!$A$2:$N$1100,10,FALSE()))),"")</f>
        <v/>
      </c>
      <c r="N688" s="41"/>
      <c r="O688" s="41"/>
      <c r="P688" s="41" t="str">
        <f>IFERROR((IF(VLOOKUP(F688,'Acompanhamento da Licitação'!$F$2:$O$1000,10,FALSE())="","",VLOOKUP(F688,'Acompanhamento da Licitação'!$F$2:$O$1000,10,FALSE()))),"")</f>
        <v/>
      </c>
      <c r="R688" s="61" t="str">
        <f>IFERROR(IF(F688&gt;0,(Final[[#This Row],[Valor da Venda Real]]-Final[[#This Row],[Valor de Compra Previsto]]-4%*Final[[#This Row],[Valor da Venda Real]])/Final[[#This Row],[Valor da Venda Real]],""),"")</f>
        <v/>
      </c>
      <c r="S688" s="61" t="str">
        <f t="shared" si="45"/>
        <v/>
      </c>
      <c r="T688" s="23" t="str">
        <f>IFERROR((R688*Final[[#This Row],[Valor da Venda Real]]*Final[[#This Row],[Quantidade ]]*S688),"")</f>
        <v/>
      </c>
    </row>
    <row r="689" spans="1:20" ht="15.75" x14ac:dyDescent="0.2">
      <c r="A689">
        <f>COUNTIF($C$2:C689,C689)</f>
        <v>688</v>
      </c>
      <c r="B689" s="1" t="str">
        <f t="shared" si="44"/>
        <v>688</v>
      </c>
      <c r="C689" s="1" t="str">
        <f>IFERROR(VLOOKUP(D689,'Planilha de Cadastro - Previsão'!$A$2:$N$1000,14,FALSE()),"")</f>
        <v/>
      </c>
      <c r="D689" s="1">
        <v>688</v>
      </c>
      <c r="F689" s="40" t="str">
        <f t="shared" si="43"/>
        <v/>
      </c>
      <c r="G689" s="40" t="str">
        <f>IF(F689="","",'Prosposta Inicial'!$O$2)</f>
        <v/>
      </c>
      <c r="H689" s="40" t="str">
        <f t="shared" si="46"/>
        <v xml:space="preserve"> </v>
      </c>
      <c r="I689" s="41" t="str">
        <f>IFERROR((VLOOKUP(F689,'Planilha de Cadastro - Previsão'!$A$2:$N$1100,2,FALSE()))," ")</f>
        <v xml:space="preserve"> </v>
      </c>
      <c r="J689" s="40" t="str">
        <f>IFERROR((VLOOKUP(F689,'Planilha de Cadastro - Previsão'!$A$2:$N$1100,3,FALSE()))," ")</f>
        <v xml:space="preserve"> </v>
      </c>
      <c r="K689" s="40"/>
      <c r="L689" s="42" t="str">
        <f>IFERROR((VLOOKUP(F689,'Planilha de Cadastro - Previsão'!$A$2:$N$1100,11,FALSE()))," ")</f>
        <v xml:space="preserve"> </v>
      </c>
      <c r="M689" s="41" t="str">
        <f>IFERROR((IF(VLOOKUP(F689,'Planilha de Cadastro - Previsão'!$A$2:$N$1100,10,FALSE())="","",VLOOKUP(F689,'Planilha de Cadastro - Previsão'!$A$2:$N$1100,10,FALSE()))),"")</f>
        <v/>
      </c>
      <c r="N689" s="41"/>
      <c r="O689" s="41"/>
      <c r="P689" s="41" t="str">
        <f>IFERROR((IF(VLOOKUP(F689,'Acompanhamento da Licitação'!$F$2:$O$1000,10,FALSE())="","",VLOOKUP(F689,'Acompanhamento da Licitação'!$F$2:$O$1000,10,FALSE()))),"")</f>
        <v/>
      </c>
      <c r="R689" s="61" t="str">
        <f>IFERROR(IF(F689&gt;0,(Final[[#This Row],[Valor da Venda Real]]-Final[[#This Row],[Valor de Compra Previsto]]-4%*Final[[#This Row],[Valor da Venda Real]])/Final[[#This Row],[Valor da Venda Real]],""),"")</f>
        <v/>
      </c>
      <c r="S689" s="61" t="str">
        <f t="shared" si="45"/>
        <v/>
      </c>
      <c r="T689" s="23" t="str">
        <f>IFERROR((R689*Final[[#This Row],[Valor da Venda Real]]*Final[[#This Row],[Quantidade ]]*S689),"")</f>
        <v/>
      </c>
    </row>
    <row r="690" spans="1:20" ht="15.75" x14ac:dyDescent="0.2">
      <c r="A690">
        <f>COUNTIF($C$2:C690,C690)</f>
        <v>689</v>
      </c>
      <c r="B690" s="1" t="str">
        <f t="shared" si="44"/>
        <v>689</v>
      </c>
      <c r="C690" s="1" t="str">
        <f>IFERROR(VLOOKUP(D690,'Planilha de Cadastro - Previsão'!$A$2:$N$1000,14,FALSE()),"")</f>
        <v/>
      </c>
      <c r="D690" s="1">
        <v>689</v>
      </c>
      <c r="F690" s="40" t="str">
        <f t="shared" si="43"/>
        <v/>
      </c>
      <c r="G690" s="40" t="str">
        <f>IF(F690="","",'Prosposta Inicial'!$O$2)</f>
        <v/>
      </c>
      <c r="H690" s="40" t="str">
        <f t="shared" si="46"/>
        <v xml:space="preserve"> </v>
      </c>
      <c r="I690" s="41" t="str">
        <f>IFERROR((VLOOKUP(F690,'Planilha de Cadastro - Previsão'!$A$2:$N$1100,2,FALSE()))," ")</f>
        <v xml:space="preserve"> </v>
      </c>
      <c r="J690" s="40" t="str">
        <f>IFERROR((VLOOKUP(F690,'Planilha de Cadastro - Previsão'!$A$2:$N$1100,3,FALSE()))," ")</f>
        <v xml:space="preserve"> </v>
      </c>
      <c r="K690" s="40"/>
      <c r="L690" s="42" t="str">
        <f>IFERROR((VLOOKUP(F690,'Planilha de Cadastro - Previsão'!$A$2:$N$1100,11,FALSE()))," ")</f>
        <v xml:space="preserve"> </v>
      </c>
      <c r="M690" s="41" t="str">
        <f>IFERROR((IF(VLOOKUP(F690,'Planilha de Cadastro - Previsão'!$A$2:$N$1100,10,FALSE())="","",VLOOKUP(F690,'Planilha de Cadastro - Previsão'!$A$2:$N$1100,10,FALSE()))),"")</f>
        <v/>
      </c>
      <c r="N690" s="41"/>
      <c r="O690" s="41"/>
      <c r="P690" s="41" t="str">
        <f>IFERROR((IF(VLOOKUP(F690,'Acompanhamento da Licitação'!$F$2:$O$1000,10,FALSE())="","",VLOOKUP(F690,'Acompanhamento da Licitação'!$F$2:$O$1000,10,FALSE()))),"")</f>
        <v/>
      </c>
      <c r="R690" s="61" t="str">
        <f>IFERROR(IF(F690&gt;0,(Final[[#This Row],[Valor da Venda Real]]-Final[[#This Row],[Valor de Compra Previsto]]-4%*Final[[#This Row],[Valor da Venda Real]])/Final[[#This Row],[Valor da Venda Real]],""),"")</f>
        <v/>
      </c>
      <c r="S690" s="61" t="str">
        <f t="shared" si="45"/>
        <v/>
      </c>
      <c r="T690" s="23" t="str">
        <f>IFERROR((R690*Final[[#This Row],[Valor da Venda Real]]*Final[[#This Row],[Quantidade ]]*S690),"")</f>
        <v/>
      </c>
    </row>
    <row r="691" spans="1:20" ht="15.75" x14ac:dyDescent="0.2">
      <c r="A691">
        <f>COUNTIF($C$2:C691,C691)</f>
        <v>690</v>
      </c>
      <c r="B691" s="1" t="str">
        <f t="shared" si="44"/>
        <v>690</v>
      </c>
      <c r="C691" s="1" t="str">
        <f>IFERROR(VLOOKUP(D691,'Planilha de Cadastro - Previsão'!$A$2:$N$1000,14,FALSE()),"")</f>
        <v/>
      </c>
      <c r="D691" s="1">
        <v>690</v>
      </c>
      <c r="F691" s="40" t="str">
        <f t="shared" si="43"/>
        <v/>
      </c>
      <c r="G691" s="40" t="str">
        <f>IF(F691="","",'Prosposta Inicial'!$O$2)</f>
        <v/>
      </c>
      <c r="H691" s="40" t="str">
        <f t="shared" si="46"/>
        <v xml:space="preserve"> </v>
      </c>
      <c r="I691" s="41" t="str">
        <f>IFERROR((VLOOKUP(F691,'Planilha de Cadastro - Previsão'!$A$2:$N$1100,2,FALSE()))," ")</f>
        <v xml:space="preserve"> </v>
      </c>
      <c r="J691" s="40" t="str">
        <f>IFERROR((VLOOKUP(F691,'Planilha de Cadastro - Previsão'!$A$2:$N$1100,3,FALSE()))," ")</f>
        <v xml:space="preserve"> </v>
      </c>
      <c r="K691" s="40"/>
      <c r="L691" s="42" t="str">
        <f>IFERROR((VLOOKUP(F691,'Planilha de Cadastro - Previsão'!$A$2:$N$1100,11,FALSE()))," ")</f>
        <v xml:space="preserve"> </v>
      </c>
      <c r="M691" s="41" t="str">
        <f>IFERROR((IF(VLOOKUP(F691,'Planilha de Cadastro - Previsão'!$A$2:$N$1100,10,FALSE())="","",VLOOKUP(F691,'Planilha de Cadastro - Previsão'!$A$2:$N$1100,10,FALSE()))),"")</f>
        <v/>
      </c>
      <c r="N691" s="41"/>
      <c r="O691" s="41"/>
      <c r="P691" s="41" t="str">
        <f>IFERROR((IF(VLOOKUP(F691,'Acompanhamento da Licitação'!$F$2:$O$1000,10,FALSE())="","",VLOOKUP(F691,'Acompanhamento da Licitação'!$F$2:$O$1000,10,FALSE()))),"")</f>
        <v/>
      </c>
      <c r="R691" s="61" t="str">
        <f>IFERROR(IF(F691&gt;0,(Final[[#This Row],[Valor da Venda Real]]-Final[[#This Row],[Valor de Compra Previsto]]-4%*Final[[#This Row],[Valor da Venda Real]])/Final[[#This Row],[Valor da Venda Real]],""),"")</f>
        <v/>
      </c>
      <c r="S691" s="61" t="str">
        <f t="shared" si="45"/>
        <v/>
      </c>
      <c r="T691" s="23" t="str">
        <f>IFERROR((R691*Final[[#This Row],[Valor da Venda Real]]*Final[[#This Row],[Quantidade ]]*S691),"")</f>
        <v/>
      </c>
    </row>
    <row r="692" spans="1:20" ht="15.75" x14ac:dyDescent="0.2">
      <c r="A692">
        <f>COUNTIF($C$2:C692,C692)</f>
        <v>691</v>
      </c>
      <c r="B692" s="1" t="str">
        <f t="shared" si="44"/>
        <v>691</v>
      </c>
      <c r="C692" s="1" t="str">
        <f>IFERROR(VLOOKUP(D692,'Planilha de Cadastro - Previsão'!$A$2:$N$1000,14,FALSE()),"")</f>
        <v/>
      </c>
      <c r="D692" s="1">
        <v>691</v>
      </c>
      <c r="F692" s="40" t="str">
        <f t="shared" si="43"/>
        <v/>
      </c>
      <c r="G692" s="40" t="str">
        <f>IF(F692="","",'Prosposta Inicial'!$O$2)</f>
        <v/>
      </c>
      <c r="H692" s="40" t="str">
        <f t="shared" si="46"/>
        <v xml:space="preserve"> </v>
      </c>
      <c r="I692" s="41" t="str">
        <f>IFERROR((VLOOKUP(F692,'Planilha de Cadastro - Previsão'!$A$2:$N$1100,2,FALSE()))," ")</f>
        <v xml:space="preserve"> </v>
      </c>
      <c r="J692" s="40" t="str">
        <f>IFERROR((VLOOKUP(F692,'Planilha de Cadastro - Previsão'!$A$2:$N$1100,3,FALSE()))," ")</f>
        <v xml:space="preserve"> </v>
      </c>
      <c r="K692" s="40"/>
      <c r="L692" s="42" t="str">
        <f>IFERROR((VLOOKUP(F692,'Planilha de Cadastro - Previsão'!$A$2:$N$1100,11,FALSE()))," ")</f>
        <v xml:space="preserve"> </v>
      </c>
      <c r="M692" s="41" t="str">
        <f>IFERROR((IF(VLOOKUP(F692,'Planilha de Cadastro - Previsão'!$A$2:$N$1100,10,FALSE())="","",VLOOKUP(F692,'Planilha de Cadastro - Previsão'!$A$2:$N$1100,10,FALSE()))),"")</f>
        <v/>
      </c>
      <c r="N692" s="41"/>
      <c r="O692" s="41"/>
      <c r="P692" s="41" t="str">
        <f>IFERROR((IF(VLOOKUP(F692,'Acompanhamento da Licitação'!$F$2:$O$1000,10,FALSE())="","",VLOOKUP(F692,'Acompanhamento da Licitação'!$F$2:$O$1000,10,FALSE()))),"")</f>
        <v/>
      </c>
      <c r="R692" s="61" t="str">
        <f>IFERROR(IF(F692&gt;0,(Final[[#This Row],[Valor da Venda Real]]-Final[[#This Row],[Valor de Compra Previsto]]-4%*Final[[#This Row],[Valor da Venda Real]])/Final[[#This Row],[Valor da Venda Real]],""),"")</f>
        <v/>
      </c>
      <c r="S692" s="61" t="str">
        <f t="shared" si="45"/>
        <v/>
      </c>
      <c r="T692" s="23" t="str">
        <f>IFERROR((R692*Final[[#This Row],[Valor da Venda Real]]*Final[[#This Row],[Quantidade ]]*S692),"")</f>
        <v/>
      </c>
    </row>
    <row r="693" spans="1:20" ht="15.75" x14ac:dyDescent="0.2">
      <c r="A693">
        <f>COUNTIF($C$2:C693,C693)</f>
        <v>692</v>
      </c>
      <c r="B693" s="1" t="str">
        <f t="shared" si="44"/>
        <v>692</v>
      </c>
      <c r="C693" s="1" t="str">
        <f>IFERROR(VLOOKUP(D693,'Planilha de Cadastro - Previsão'!$A$2:$N$1000,14,FALSE()),"")</f>
        <v/>
      </c>
      <c r="D693" s="1">
        <v>692</v>
      </c>
      <c r="F693" s="40" t="str">
        <f t="shared" si="43"/>
        <v/>
      </c>
      <c r="G693" s="40" t="str">
        <f>IF(F693="","",'Prosposta Inicial'!$O$2)</f>
        <v/>
      </c>
      <c r="H693" s="40" t="str">
        <f t="shared" si="46"/>
        <v xml:space="preserve"> </v>
      </c>
      <c r="I693" s="41" t="str">
        <f>IFERROR((VLOOKUP(F693,'Planilha de Cadastro - Previsão'!$A$2:$N$1100,2,FALSE()))," ")</f>
        <v xml:space="preserve"> </v>
      </c>
      <c r="J693" s="40" t="str">
        <f>IFERROR((VLOOKUP(F693,'Planilha de Cadastro - Previsão'!$A$2:$N$1100,3,FALSE()))," ")</f>
        <v xml:space="preserve"> </v>
      </c>
      <c r="K693" s="40"/>
      <c r="L693" s="42" t="str">
        <f>IFERROR((VLOOKUP(F693,'Planilha de Cadastro - Previsão'!$A$2:$N$1100,11,FALSE()))," ")</f>
        <v xml:space="preserve"> </v>
      </c>
      <c r="M693" s="41" t="str">
        <f>IFERROR((IF(VLOOKUP(F693,'Planilha de Cadastro - Previsão'!$A$2:$N$1100,10,FALSE())="","",VLOOKUP(F693,'Planilha de Cadastro - Previsão'!$A$2:$N$1100,10,FALSE()))),"")</f>
        <v/>
      </c>
      <c r="N693" s="41"/>
      <c r="O693" s="41"/>
      <c r="P693" s="41" t="str">
        <f>IFERROR((IF(VLOOKUP(F693,'Acompanhamento da Licitação'!$F$2:$O$1000,10,FALSE())="","",VLOOKUP(F693,'Acompanhamento da Licitação'!$F$2:$O$1000,10,FALSE()))),"")</f>
        <v/>
      </c>
      <c r="R693" s="61" t="str">
        <f>IFERROR(IF(F693&gt;0,(Final[[#This Row],[Valor da Venda Real]]-Final[[#This Row],[Valor de Compra Previsto]]-4%*Final[[#This Row],[Valor da Venda Real]])/Final[[#This Row],[Valor da Venda Real]],""),"")</f>
        <v/>
      </c>
      <c r="S693" s="61" t="str">
        <f t="shared" si="45"/>
        <v/>
      </c>
      <c r="T693" s="23" t="str">
        <f>IFERROR((R693*Final[[#This Row],[Valor da Venda Real]]*Final[[#This Row],[Quantidade ]]*S693),"")</f>
        <v/>
      </c>
    </row>
    <row r="694" spans="1:20" ht="15.75" x14ac:dyDescent="0.2">
      <c r="A694">
        <f>COUNTIF($C$2:C694,C694)</f>
        <v>693</v>
      </c>
      <c r="B694" s="1" t="str">
        <f t="shared" si="44"/>
        <v>693</v>
      </c>
      <c r="C694" s="1" t="str">
        <f>IFERROR(VLOOKUP(D694,'Planilha de Cadastro - Previsão'!$A$2:$N$1000,14,FALSE()),"")</f>
        <v/>
      </c>
      <c r="D694" s="1">
        <v>693</v>
      </c>
      <c r="F694" s="40" t="str">
        <f t="shared" si="43"/>
        <v/>
      </c>
      <c r="G694" s="40" t="str">
        <f>IF(F694="","",'Prosposta Inicial'!$O$2)</f>
        <v/>
      </c>
      <c r="H694" s="40" t="str">
        <f t="shared" si="46"/>
        <v xml:space="preserve"> </v>
      </c>
      <c r="I694" s="41" t="str">
        <f>IFERROR((VLOOKUP(F694,'Planilha de Cadastro - Previsão'!$A$2:$N$1100,2,FALSE()))," ")</f>
        <v xml:space="preserve"> </v>
      </c>
      <c r="J694" s="40" t="str">
        <f>IFERROR((VLOOKUP(F694,'Planilha de Cadastro - Previsão'!$A$2:$N$1100,3,FALSE()))," ")</f>
        <v xml:space="preserve"> </v>
      </c>
      <c r="K694" s="40"/>
      <c r="L694" s="42" t="str">
        <f>IFERROR((VLOOKUP(F694,'Planilha de Cadastro - Previsão'!$A$2:$N$1100,11,FALSE()))," ")</f>
        <v xml:space="preserve"> </v>
      </c>
      <c r="M694" s="41" t="str">
        <f>IFERROR((IF(VLOOKUP(F694,'Planilha de Cadastro - Previsão'!$A$2:$N$1100,10,FALSE())="","",VLOOKUP(F694,'Planilha de Cadastro - Previsão'!$A$2:$N$1100,10,FALSE()))),"")</f>
        <v/>
      </c>
      <c r="N694" s="41"/>
      <c r="O694" s="41"/>
      <c r="P694" s="41" t="str">
        <f>IFERROR((IF(VLOOKUP(F694,'Acompanhamento da Licitação'!$F$2:$O$1000,10,FALSE())="","",VLOOKUP(F694,'Acompanhamento da Licitação'!$F$2:$O$1000,10,FALSE()))),"")</f>
        <v/>
      </c>
      <c r="R694" s="61" t="str">
        <f>IFERROR(IF(F694&gt;0,(Final[[#This Row],[Valor da Venda Real]]-Final[[#This Row],[Valor de Compra Previsto]]-4%*Final[[#This Row],[Valor da Venda Real]])/Final[[#This Row],[Valor da Venda Real]],""),"")</f>
        <v/>
      </c>
      <c r="S694" s="61" t="str">
        <f t="shared" si="45"/>
        <v/>
      </c>
      <c r="T694" s="23" t="str">
        <f>IFERROR((R694*Final[[#This Row],[Valor da Venda Real]]*Final[[#This Row],[Quantidade ]]*S694),"")</f>
        <v/>
      </c>
    </row>
    <row r="695" spans="1:20" ht="15.75" x14ac:dyDescent="0.2">
      <c r="A695">
        <f>COUNTIF($C$2:C695,C695)</f>
        <v>694</v>
      </c>
      <c r="B695" s="1" t="str">
        <f t="shared" si="44"/>
        <v>694</v>
      </c>
      <c r="C695" s="1" t="str">
        <f>IFERROR(VLOOKUP(D695,'Planilha de Cadastro - Previsão'!$A$2:$N$1000,14,FALSE()),"")</f>
        <v/>
      </c>
      <c r="D695" s="1">
        <v>694</v>
      </c>
      <c r="F695" s="40" t="str">
        <f t="shared" si="43"/>
        <v/>
      </c>
      <c r="G695" s="40" t="str">
        <f>IF(F695="","",'Prosposta Inicial'!$O$2)</f>
        <v/>
      </c>
      <c r="H695" s="40" t="str">
        <f t="shared" si="46"/>
        <v xml:space="preserve"> </v>
      </c>
      <c r="I695" s="41" t="str">
        <f>IFERROR((VLOOKUP(F695,'Planilha de Cadastro - Previsão'!$A$2:$N$1100,2,FALSE()))," ")</f>
        <v xml:space="preserve"> </v>
      </c>
      <c r="J695" s="40" t="str">
        <f>IFERROR((VLOOKUP(F695,'Planilha de Cadastro - Previsão'!$A$2:$N$1100,3,FALSE()))," ")</f>
        <v xml:space="preserve"> </v>
      </c>
      <c r="K695" s="40"/>
      <c r="L695" s="42" t="str">
        <f>IFERROR((VLOOKUP(F695,'Planilha de Cadastro - Previsão'!$A$2:$N$1100,11,FALSE()))," ")</f>
        <v xml:space="preserve"> </v>
      </c>
      <c r="M695" s="41" t="str">
        <f>IFERROR((IF(VLOOKUP(F695,'Planilha de Cadastro - Previsão'!$A$2:$N$1100,10,FALSE())="","",VLOOKUP(F695,'Planilha de Cadastro - Previsão'!$A$2:$N$1100,10,FALSE()))),"")</f>
        <v/>
      </c>
      <c r="N695" s="41"/>
      <c r="O695" s="41"/>
      <c r="P695" s="41" t="str">
        <f>IFERROR((IF(VLOOKUP(F695,'Acompanhamento da Licitação'!$F$2:$O$1000,10,FALSE())="","",VLOOKUP(F695,'Acompanhamento da Licitação'!$F$2:$O$1000,10,FALSE()))),"")</f>
        <v/>
      </c>
      <c r="R695" s="61" t="str">
        <f>IFERROR(IF(F695&gt;0,(Final[[#This Row],[Valor da Venda Real]]-Final[[#This Row],[Valor de Compra Previsto]]-4%*Final[[#This Row],[Valor da Venda Real]])/Final[[#This Row],[Valor da Venda Real]],""),"")</f>
        <v/>
      </c>
      <c r="S695" s="61" t="str">
        <f t="shared" si="45"/>
        <v/>
      </c>
      <c r="T695" s="23" t="str">
        <f>IFERROR((R695*Final[[#This Row],[Valor da Venda Real]]*Final[[#This Row],[Quantidade ]]*S695),"")</f>
        <v/>
      </c>
    </row>
    <row r="696" spans="1:20" ht="15.75" x14ac:dyDescent="0.2">
      <c r="A696">
        <f>COUNTIF($C$2:C696,C696)</f>
        <v>695</v>
      </c>
      <c r="B696" s="1" t="str">
        <f t="shared" si="44"/>
        <v>695</v>
      </c>
      <c r="C696" s="1" t="str">
        <f>IFERROR(VLOOKUP(D696,'Planilha de Cadastro - Previsão'!$A$2:$N$1000,14,FALSE()),"")</f>
        <v/>
      </c>
      <c r="D696" s="1">
        <v>695</v>
      </c>
      <c r="F696" s="40" t="str">
        <f t="shared" si="43"/>
        <v/>
      </c>
      <c r="G696" s="40" t="str">
        <f>IF(F696="","",'Prosposta Inicial'!$O$2)</f>
        <v/>
      </c>
      <c r="H696" s="40" t="str">
        <f t="shared" si="46"/>
        <v xml:space="preserve"> </v>
      </c>
      <c r="I696" s="41" t="str">
        <f>IFERROR((VLOOKUP(F696,'Planilha de Cadastro - Previsão'!$A$2:$N$1100,2,FALSE()))," ")</f>
        <v xml:space="preserve"> </v>
      </c>
      <c r="J696" s="40" t="str">
        <f>IFERROR((VLOOKUP(F696,'Planilha de Cadastro - Previsão'!$A$2:$N$1100,3,FALSE()))," ")</f>
        <v xml:space="preserve"> </v>
      </c>
      <c r="K696" s="40"/>
      <c r="L696" s="42" t="str">
        <f>IFERROR((VLOOKUP(F696,'Planilha de Cadastro - Previsão'!$A$2:$N$1100,11,FALSE()))," ")</f>
        <v xml:space="preserve"> </v>
      </c>
      <c r="M696" s="41" t="str">
        <f>IFERROR((IF(VLOOKUP(F696,'Planilha de Cadastro - Previsão'!$A$2:$N$1100,10,FALSE())="","",VLOOKUP(F696,'Planilha de Cadastro - Previsão'!$A$2:$N$1100,10,FALSE()))),"")</f>
        <v/>
      </c>
      <c r="N696" s="41"/>
      <c r="O696" s="41"/>
      <c r="P696" s="41" t="str">
        <f>IFERROR((IF(VLOOKUP(F696,'Acompanhamento da Licitação'!$F$2:$O$1000,10,FALSE())="","",VLOOKUP(F696,'Acompanhamento da Licitação'!$F$2:$O$1000,10,FALSE()))),"")</f>
        <v/>
      </c>
      <c r="R696" s="61" t="str">
        <f>IFERROR(IF(F696&gt;0,(Final[[#This Row],[Valor da Venda Real]]-Final[[#This Row],[Valor de Compra Previsto]]-4%*Final[[#This Row],[Valor da Venda Real]])/Final[[#This Row],[Valor da Venda Real]],""),"")</f>
        <v/>
      </c>
      <c r="S696" s="61" t="str">
        <f t="shared" si="45"/>
        <v/>
      </c>
      <c r="T696" s="23" t="str">
        <f>IFERROR((R696*Final[[#This Row],[Valor da Venda Real]]*Final[[#This Row],[Quantidade ]]*S696),"")</f>
        <v/>
      </c>
    </row>
    <row r="697" spans="1:20" ht="15.75" x14ac:dyDescent="0.2">
      <c r="A697">
        <f>COUNTIF($C$2:C697,C697)</f>
        <v>696</v>
      </c>
      <c r="B697" s="1" t="str">
        <f t="shared" si="44"/>
        <v>696</v>
      </c>
      <c r="C697" s="1" t="str">
        <f>IFERROR(VLOOKUP(D697,'Planilha de Cadastro - Previsão'!$A$2:$N$1000,14,FALSE()),"")</f>
        <v/>
      </c>
      <c r="D697" s="1">
        <v>696</v>
      </c>
      <c r="F697" s="40" t="str">
        <f t="shared" si="43"/>
        <v/>
      </c>
      <c r="G697" s="40" t="str">
        <f>IF(F697="","",'Prosposta Inicial'!$O$2)</f>
        <v/>
      </c>
      <c r="H697" s="40" t="str">
        <f t="shared" si="46"/>
        <v xml:space="preserve"> </v>
      </c>
      <c r="I697" s="41" t="str">
        <f>IFERROR((VLOOKUP(F697,'Planilha de Cadastro - Previsão'!$A$2:$N$1100,2,FALSE()))," ")</f>
        <v xml:space="preserve"> </v>
      </c>
      <c r="J697" s="40" t="str">
        <f>IFERROR((VLOOKUP(F697,'Planilha de Cadastro - Previsão'!$A$2:$N$1100,3,FALSE()))," ")</f>
        <v xml:space="preserve"> </v>
      </c>
      <c r="K697" s="40"/>
      <c r="L697" s="42" t="str">
        <f>IFERROR((VLOOKUP(F697,'Planilha de Cadastro - Previsão'!$A$2:$N$1100,11,FALSE()))," ")</f>
        <v xml:space="preserve"> </v>
      </c>
      <c r="M697" s="41" t="str">
        <f>IFERROR((IF(VLOOKUP(F697,'Planilha de Cadastro - Previsão'!$A$2:$N$1100,10,FALSE())="","",VLOOKUP(F697,'Planilha de Cadastro - Previsão'!$A$2:$N$1100,10,FALSE()))),"")</f>
        <v/>
      </c>
      <c r="N697" s="41"/>
      <c r="O697" s="41"/>
      <c r="P697" s="41" t="str">
        <f>IFERROR((IF(VLOOKUP(F697,'Acompanhamento da Licitação'!$F$2:$O$1000,10,FALSE())="","",VLOOKUP(F697,'Acompanhamento da Licitação'!$F$2:$O$1000,10,FALSE()))),"")</f>
        <v/>
      </c>
      <c r="R697" s="61" t="str">
        <f>IFERROR(IF(F697&gt;0,(Final[[#This Row],[Valor da Venda Real]]-Final[[#This Row],[Valor de Compra Previsto]]-4%*Final[[#This Row],[Valor da Venda Real]])/Final[[#This Row],[Valor da Venda Real]],""),"")</f>
        <v/>
      </c>
      <c r="S697" s="61" t="str">
        <f t="shared" si="45"/>
        <v/>
      </c>
      <c r="T697" s="23" t="str">
        <f>IFERROR((R697*Final[[#This Row],[Valor da Venda Real]]*Final[[#This Row],[Quantidade ]]*S697),"")</f>
        <v/>
      </c>
    </row>
    <row r="698" spans="1:20" ht="15.75" x14ac:dyDescent="0.2">
      <c r="A698">
        <f>COUNTIF($C$2:C698,C698)</f>
        <v>697</v>
      </c>
      <c r="B698" s="1" t="str">
        <f t="shared" si="44"/>
        <v>697</v>
      </c>
      <c r="C698" s="1" t="str">
        <f>IFERROR(VLOOKUP(D698,'Planilha de Cadastro - Previsão'!$A$2:$N$1000,14,FALSE()),"")</f>
        <v/>
      </c>
      <c r="D698" s="1">
        <v>697</v>
      </c>
      <c r="F698" s="40" t="str">
        <f t="shared" si="43"/>
        <v/>
      </c>
      <c r="G698" s="40" t="str">
        <f>IF(F698="","",'Prosposta Inicial'!$O$2)</f>
        <v/>
      </c>
      <c r="H698" s="40" t="str">
        <f t="shared" si="46"/>
        <v xml:space="preserve"> </v>
      </c>
      <c r="I698" s="41" t="str">
        <f>IFERROR((VLOOKUP(F698,'Planilha de Cadastro - Previsão'!$A$2:$N$1100,2,FALSE()))," ")</f>
        <v xml:space="preserve"> </v>
      </c>
      <c r="J698" s="40" t="str">
        <f>IFERROR((VLOOKUP(F698,'Planilha de Cadastro - Previsão'!$A$2:$N$1100,3,FALSE()))," ")</f>
        <v xml:space="preserve"> </v>
      </c>
      <c r="K698" s="40"/>
      <c r="L698" s="42" t="str">
        <f>IFERROR((VLOOKUP(F698,'Planilha de Cadastro - Previsão'!$A$2:$N$1100,11,FALSE()))," ")</f>
        <v xml:space="preserve"> </v>
      </c>
      <c r="M698" s="41" t="str">
        <f>IFERROR((IF(VLOOKUP(F698,'Planilha de Cadastro - Previsão'!$A$2:$N$1100,10,FALSE())="","",VLOOKUP(F698,'Planilha de Cadastro - Previsão'!$A$2:$N$1100,10,FALSE()))),"")</f>
        <v/>
      </c>
      <c r="N698" s="41"/>
      <c r="O698" s="41"/>
      <c r="P698" s="41" t="str">
        <f>IFERROR((IF(VLOOKUP(F698,'Acompanhamento da Licitação'!$F$2:$O$1000,10,FALSE())="","",VLOOKUP(F698,'Acompanhamento da Licitação'!$F$2:$O$1000,10,FALSE()))),"")</f>
        <v/>
      </c>
      <c r="R698" s="61" t="str">
        <f>IFERROR(IF(F698&gt;0,(Final[[#This Row],[Valor da Venda Real]]-Final[[#This Row],[Valor de Compra Previsto]]-4%*Final[[#This Row],[Valor da Venda Real]])/Final[[#This Row],[Valor da Venda Real]],""),"")</f>
        <v/>
      </c>
      <c r="S698" s="61" t="str">
        <f t="shared" si="45"/>
        <v/>
      </c>
      <c r="T698" s="23" t="str">
        <f>IFERROR((R698*Final[[#This Row],[Valor da Venda Real]]*Final[[#This Row],[Quantidade ]]*S698),"")</f>
        <v/>
      </c>
    </row>
    <row r="699" spans="1:20" ht="15.75" x14ac:dyDescent="0.2">
      <c r="A699">
        <f>COUNTIF($C$2:C699,C699)</f>
        <v>698</v>
      </c>
      <c r="B699" s="1" t="str">
        <f t="shared" si="44"/>
        <v>698</v>
      </c>
      <c r="C699" s="1" t="str">
        <f>IFERROR(VLOOKUP(D699,'Planilha de Cadastro - Previsão'!$A$2:$N$1000,14,FALSE()),"")</f>
        <v/>
      </c>
      <c r="D699" s="1">
        <v>698</v>
      </c>
      <c r="F699" s="40" t="str">
        <f t="shared" si="43"/>
        <v/>
      </c>
      <c r="G699" s="40" t="str">
        <f>IF(F699="","",'Prosposta Inicial'!$O$2)</f>
        <v/>
      </c>
      <c r="H699" s="40" t="str">
        <f t="shared" si="46"/>
        <v xml:space="preserve"> </v>
      </c>
      <c r="I699" s="41" t="str">
        <f>IFERROR((VLOOKUP(F699,'Planilha de Cadastro - Previsão'!$A$2:$N$1100,2,FALSE()))," ")</f>
        <v xml:space="preserve"> </v>
      </c>
      <c r="J699" s="40" t="str">
        <f>IFERROR((VLOOKUP(F699,'Planilha de Cadastro - Previsão'!$A$2:$N$1100,3,FALSE()))," ")</f>
        <v xml:space="preserve"> </v>
      </c>
      <c r="K699" s="40"/>
      <c r="L699" s="42" t="str">
        <f>IFERROR((VLOOKUP(F699,'Planilha de Cadastro - Previsão'!$A$2:$N$1100,11,FALSE()))," ")</f>
        <v xml:space="preserve"> </v>
      </c>
      <c r="M699" s="41" t="str">
        <f>IFERROR((IF(VLOOKUP(F699,'Planilha de Cadastro - Previsão'!$A$2:$N$1100,10,FALSE())="","",VLOOKUP(F699,'Planilha de Cadastro - Previsão'!$A$2:$N$1100,10,FALSE()))),"")</f>
        <v/>
      </c>
      <c r="N699" s="41"/>
      <c r="O699" s="41"/>
      <c r="P699" s="41" t="str">
        <f>IFERROR((IF(VLOOKUP(F699,'Acompanhamento da Licitação'!$F$2:$O$1000,10,FALSE())="","",VLOOKUP(F699,'Acompanhamento da Licitação'!$F$2:$O$1000,10,FALSE()))),"")</f>
        <v/>
      </c>
      <c r="R699" s="61" t="str">
        <f>IFERROR(IF(F699&gt;0,(Final[[#This Row],[Valor da Venda Real]]-Final[[#This Row],[Valor de Compra Previsto]]-4%*Final[[#This Row],[Valor da Venda Real]])/Final[[#This Row],[Valor da Venda Real]],""),"")</f>
        <v/>
      </c>
      <c r="S699" s="61" t="str">
        <f t="shared" si="45"/>
        <v/>
      </c>
      <c r="T699" s="23" t="str">
        <f>IFERROR((R699*Final[[#This Row],[Valor da Venda Real]]*Final[[#This Row],[Quantidade ]]*S699),"")</f>
        <v/>
      </c>
    </row>
    <row r="700" spans="1:20" ht="15.75" x14ac:dyDescent="0.2">
      <c r="A700">
        <f>COUNTIF($C$2:C700,C700)</f>
        <v>699</v>
      </c>
      <c r="B700" s="1" t="str">
        <f t="shared" si="44"/>
        <v>699</v>
      </c>
      <c r="C700" s="1" t="str">
        <f>IFERROR(VLOOKUP(D700,'Planilha de Cadastro - Previsão'!$A$2:$N$1000,14,FALSE()),"")</f>
        <v/>
      </c>
      <c r="D700" s="1">
        <v>699</v>
      </c>
      <c r="F700" s="40" t="str">
        <f t="shared" si="43"/>
        <v/>
      </c>
      <c r="G700" s="40" t="str">
        <f>IF(F700="","",'Prosposta Inicial'!$O$2)</f>
        <v/>
      </c>
      <c r="H700" s="40" t="str">
        <f t="shared" si="46"/>
        <v xml:space="preserve"> </v>
      </c>
      <c r="I700" s="41" t="str">
        <f>IFERROR((VLOOKUP(F700,'Planilha de Cadastro - Previsão'!$A$2:$N$1100,2,FALSE()))," ")</f>
        <v xml:space="preserve"> </v>
      </c>
      <c r="J700" s="40" t="str">
        <f>IFERROR((VLOOKUP(F700,'Planilha de Cadastro - Previsão'!$A$2:$N$1100,3,FALSE()))," ")</f>
        <v xml:space="preserve"> </v>
      </c>
      <c r="K700" s="40"/>
      <c r="L700" s="42" t="str">
        <f>IFERROR((VLOOKUP(F700,'Planilha de Cadastro - Previsão'!$A$2:$N$1100,11,FALSE()))," ")</f>
        <v xml:space="preserve"> </v>
      </c>
      <c r="M700" s="41" t="str">
        <f>IFERROR((IF(VLOOKUP(F700,'Planilha de Cadastro - Previsão'!$A$2:$N$1100,10,FALSE())="","",VLOOKUP(F700,'Planilha de Cadastro - Previsão'!$A$2:$N$1100,10,FALSE()))),"")</f>
        <v/>
      </c>
      <c r="N700" s="41"/>
      <c r="O700" s="41"/>
      <c r="P700" s="41" t="str">
        <f>IFERROR((IF(VLOOKUP(F700,'Acompanhamento da Licitação'!$F$2:$O$1000,10,FALSE())="","",VLOOKUP(F700,'Acompanhamento da Licitação'!$F$2:$O$1000,10,FALSE()))),"")</f>
        <v/>
      </c>
      <c r="R700" s="61" t="str">
        <f>IFERROR(IF(F700&gt;0,(Final[[#This Row],[Valor da Venda Real]]-Final[[#This Row],[Valor de Compra Previsto]]-4%*Final[[#This Row],[Valor da Venda Real]])/Final[[#This Row],[Valor da Venda Real]],""),"")</f>
        <v/>
      </c>
      <c r="S700" s="61" t="str">
        <f t="shared" si="45"/>
        <v/>
      </c>
      <c r="T700" s="23" t="str">
        <f>IFERROR((R700*Final[[#This Row],[Valor da Venda Real]]*Final[[#This Row],[Quantidade ]]*S700),"")</f>
        <v/>
      </c>
    </row>
    <row r="701" spans="1:20" ht="15.75" x14ac:dyDescent="0.2">
      <c r="A701">
        <f>COUNTIF($C$2:C701,C701)</f>
        <v>700</v>
      </c>
      <c r="B701" s="1" t="str">
        <f t="shared" si="44"/>
        <v>700</v>
      </c>
      <c r="C701" s="1" t="str">
        <f>IFERROR(VLOOKUP(D701,'Planilha de Cadastro - Previsão'!$A$2:$N$1000,14,FALSE()),"")</f>
        <v/>
      </c>
      <c r="D701" s="1">
        <v>700</v>
      </c>
      <c r="F701" s="40" t="str">
        <f t="shared" si="43"/>
        <v/>
      </c>
      <c r="G701" s="40" t="str">
        <f>IF(F701="","",'Prosposta Inicial'!$O$2)</f>
        <v/>
      </c>
      <c r="H701" s="40" t="str">
        <f t="shared" si="46"/>
        <v xml:space="preserve"> </v>
      </c>
      <c r="I701" s="41" t="str">
        <f>IFERROR((VLOOKUP(F701,'Planilha de Cadastro - Previsão'!$A$2:$N$1100,2,FALSE()))," ")</f>
        <v xml:space="preserve"> </v>
      </c>
      <c r="J701" s="40" t="str">
        <f>IFERROR((VLOOKUP(F701,'Planilha de Cadastro - Previsão'!$A$2:$N$1100,3,FALSE()))," ")</f>
        <v xml:space="preserve"> </v>
      </c>
      <c r="K701" s="40"/>
      <c r="L701" s="42" t="str">
        <f>IFERROR((VLOOKUP(F701,'Planilha de Cadastro - Previsão'!$A$2:$N$1100,11,FALSE()))," ")</f>
        <v xml:space="preserve"> </v>
      </c>
      <c r="M701" s="41" t="str">
        <f>IFERROR((IF(VLOOKUP(F701,'Planilha de Cadastro - Previsão'!$A$2:$N$1100,10,FALSE())="","",VLOOKUP(F701,'Planilha de Cadastro - Previsão'!$A$2:$N$1100,10,FALSE()))),"")</f>
        <v/>
      </c>
      <c r="N701" s="41"/>
      <c r="O701" s="41"/>
      <c r="P701" s="41" t="str">
        <f>IFERROR((IF(VLOOKUP(F701,'Acompanhamento da Licitação'!$F$2:$O$1000,10,FALSE())="","",VLOOKUP(F701,'Acompanhamento da Licitação'!$F$2:$O$1000,10,FALSE()))),"")</f>
        <v/>
      </c>
      <c r="R701" s="61" t="str">
        <f>IFERROR(IF(F701&gt;0,(Final[[#This Row],[Valor da Venda Real]]-Final[[#This Row],[Valor de Compra Previsto]]-4%*Final[[#This Row],[Valor da Venda Real]])/Final[[#This Row],[Valor da Venda Real]],""),"")</f>
        <v/>
      </c>
      <c r="S701" s="61" t="str">
        <f t="shared" si="45"/>
        <v/>
      </c>
      <c r="T701" s="23" t="str">
        <f>IFERROR((R701*Final[[#This Row],[Valor da Venda Real]]*Final[[#This Row],[Quantidade ]]*S701),"")</f>
        <v/>
      </c>
    </row>
    <row r="702" spans="1:20" ht="15.75" x14ac:dyDescent="0.2">
      <c r="A702">
        <f>COUNTIF($C$2:C702,C702)</f>
        <v>701</v>
      </c>
      <c r="B702" s="1" t="str">
        <f t="shared" si="44"/>
        <v>701</v>
      </c>
      <c r="C702" s="1" t="str">
        <f>IFERROR(VLOOKUP(D702,'Planilha de Cadastro - Previsão'!$A$2:$N$1000,14,FALSE()),"")</f>
        <v/>
      </c>
      <c r="D702" s="1">
        <v>701</v>
      </c>
      <c r="F702" s="40" t="str">
        <f t="shared" si="43"/>
        <v/>
      </c>
      <c r="G702" s="40" t="str">
        <f>IF(F702="","",'Prosposta Inicial'!$O$2)</f>
        <v/>
      </c>
      <c r="H702" s="40" t="str">
        <f t="shared" si="46"/>
        <v xml:space="preserve"> </v>
      </c>
      <c r="I702" s="41" t="str">
        <f>IFERROR((VLOOKUP(F702,'Planilha de Cadastro - Previsão'!$A$2:$N$1100,2,FALSE()))," ")</f>
        <v xml:space="preserve"> </v>
      </c>
      <c r="J702" s="40" t="str">
        <f>IFERROR((VLOOKUP(F702,'Planilha de Cadastro - Previsão'!$A$2:$N$1100,3,FALSE()))," ")</f>
        <v xml:space="preserve"> </v>
      </c>
      <c r="K702" s="40"/>
      <c r="L702" s="42" t="str">
        <f>IFERROR((VLOOKUP(F702,'Planilha de Cadastro - Previsão'!$A$2:$N$1100,11,FALSE()))," ")</f>
        <v xml:space="preserve"> </v>
      </c>
      <c r="M702" s="41" t="str">
        <f>IFERROR((IF(VLOOKUP(F702,'Planilha de Cadastro - Previsão'!$A$2:$N$1100,10,FALSE())="","",VLOOKUP(F702,'Planilha de Cadastro - Previsão'!$A$2:$N$1100,10,FALSE()))),"")</f>
        <v/>
      </c>
      <c r="N702" s="41"/>
      <c r="O702" s="41"/>
      <c r="P702" s="41" t="str">
        <f>IFERROR((IF(VLOOKUP(F702,'Acompanhamento da Licitação'!$F$2:$O$1000,10,FALSE())="","",VLOOKUP(F702,'Acompanhamento da Licitação'!$F$2:$O$1000,10,FALSE()))),"")</f>
        <v/>
      </c>
      <c r="R702" s="61" t="str">
        <f>IFERROR(IF(F702&gt;0,(Final[[#This Row],[Valor da Venda Real]]-Final[[#This Row],[Valor de Compra Previsto]]-4%*Final[[#This Row],[Valor da Venda Real]])/Final[[#This Row],[Valor da Venda Real]],""),"")</f>
        <v/>
      </c>
      <c r="S702" s="61" t="str">
        <f t="shared" si="45"/>
        <v/>
      </c>
      <c r="T702" s="23" t="str">
        <f>IFERROR((R702*Final[[#This Row],[Valor da Venda Real]]*Final[[#This Row],[Quantidade ]]*S702),"")</f>
        <v/>
      </c>
    </row>
    <row r="703" spans="1:20" ht="15.75" x14ac:dyDescent="0.2">
      <c r="A703">
        <f>COUNTIF($C$2:C703,C703)</f>
        <v>702</v>
      </c>
      <c r="B703" s="1" t="str">
        <f t="shared" si="44"/>
        <v>702</v>
      </c>
      <c r="C703" s="1" t="str">
        <f>IFERROR(VLOOKUP(D703,'Planilha de Cadastro - Previsão'!$A$2:$N$1000,14,FALSE()),"")</f>
        <v/>
      </c>
      <c r="D703" s="1">
        <v>702</v>
      </c>
      <c r="F703" s="40" t="str">
        <f t="shared" si="43"/>
        <v/>
      </c>
      <c r="G703" s="40" t="str">
        <f>IF(F703="","",'Prosposta Inicial'!$O$2)</f>
        <v/>
      </c>
      <c r="H703" s="40" t="str">
        <f t="shared" si="46"/>
        <v xml:space="preserve"> </v>
      </c>
      <c r="I703" s="41" t="str">
        <f>IFERROR((VLOOKUP(F703,'Planilha de Cadastro - Previsão'!$A$2:$N$1100,2,FALSE()))," ")</f>
        <v xml:space="preserve"> </v>
      </c>
      <c r="J703" s="40" t="str">
        <f>IFERROR((VLOOKUP(F703,'Planilha de Cadastro - Previsão'!$A$2:$N$1100,3,FALSE()))," ")</f>
        <v xml:space="preserve"> </v>
      </c>
      <c r="K703" s="40"/>
      <c r="L703" s="42" t="str">
        <f>IFERROR((VLOOKUP(F703,'Planilha de Cadastro - Previsão'!$A$2:$N$1100,11,FALSE()))," ")</f>
        <v xml:space="preserve"> </v>
      </c>
      <c r="M703" s="41" t="str">
        <f>IFERROR((IF(VLOOKUP(F703,'Planilha de Cadastro - Previsão'!$A$2:$N$1100,10,FALSE())="","",VLOOKUP(F703,'Planilha de Cadastro - Previsão'!$A$2:$N$1100,10,FALSE()))),"")</f>
        <v/>
      </c>
      <c r="N703" s="41"/>
      <c r="O703" s="41"/>
      <c r="P703" s="41" t="str">
        <f>IFERROR((IF(VLOOKUP(F703,'Acompanhamento da Licitação'!$F$2:$O$1000,10,FALSE())="","",VLOOKUP(F703,'Acompanhamento da Licitação'!$F$2:$O$1000,10,FALSE()))),"")</f>
        <v/>
      </c>
      <c r="R703" s="61" t="str">
        <f>IFERROR(IF(F703&gt;0,(Final[[#This Row],[Valor da Venda Real]]-Final[[#This Row],[Valor de Compra Previsto]]-4%*Final[[#This Row],[Valor da Venda Real]])/Final[[#This Row],[Valor da Venda Real]],""),"")</f>
        <v/>
      </c>
      <c r="S703" s="61" t="str">
        <f t="shared" si="45"/>
        <v/>
      </c>
      <c r="T703" s="23" t="str">
        <f>IFERROR((R703*Final[[#This Row],[Valor da Venda Real]]*Final[[#This Row],[Quantidade ]]*S703),"")</f>
        <v/>
      </c>
    </row>
    <row r="704" spans="1:20" ht="15.75" x14ac:dyDescent="0.2">
      <c r="A704">
        <f>COUNTIF($C$2:C704,C704)</f>
        <v>703</v>
      </c>
      <c r="B704" s="1" t="str">
        <f t="shared" si="44"/>
        <v>703</v>
      </c>
      <c r="C704" s="1" t="str">
        <f>IFERROR(VLOOKUP(D704,'Planilha de Cadastro - Previsão'!$A$2:$N$1000,14,FALSE()),"")</f>
        <v/>
      </c>
      <c r="D704" s="1">
        <v>703</v>
      </c>
      <c r="F704" s="40" t="str">
        <f t="shared" si="43"/>
        <v/>
      </c>
      <c r="G704" s="40" t="str">
        <f>IF(F704="","",'Prosposta Inicial'!$O$2)</f>
        <v/>
      </c>
      <c r="H704" s="40" t="str">
        <f t="shared" si="46"/>
        <v xml:space="preserve"> </v>
      </c>
      <c r="I704" s="41" t="str">
        <f>IFERROR((VLOOKUP(F704,'Planilha de Cadastro - Previsão'!$A$2:$N$1100,2,FALSE()))," ")</f>
        <v xml:space="preserve"> </v>
      </c>
      <c r="J704" s="40" t="str">
        <f>IFERROR((VLOOKUP(F704,'Planilha de Cadastro - Previsão'!$A$2:$N$1100,3,FALSE()))," ")</f>
        <v xml:space="preserve"> </v>
      </c>
      <c r="K704" s="40"/>
      <c r="L704" s="42" t="str">
        <f>IFERROR((VLOOKUP(F704,'Planilha de Cadastro - Previsão'!$A$2:$N$1100,11,FALSE()))," ")</f>
        <v xml:space="preserve"> </v>
      </c>
      <c r="M704" s="41" t="str">
        <f>IFERROR((IF(VLOOKUP(F704,'Planilha de Cadastro - Previsão'!$A$2:$N$1100,10,FALSE())="","",VLOOKUP(F704,'Planilha de Cadastro - Previsão'!$A$2:$N$1100,10,FALSE()))),"")</f>
        <v/>
      </c>
      <c r="N704" s="41"/>
      <c r="O704" s="41"/>
      <c r="P704" s="41" t="str">
        <f>IFERROR((IF(VLOOKUP(F704,'Acompanhamento da Licitação'!$F$2:$O$1000,10,FALSE())="","",VLOOKUP(F704,'Acompanhamento da Licitação'!$F$2:$O$1000,10,FALSE()))),"")</f>
        <v/>
      </c>
      <c r="R704" s="61" t="str">
        <f>IFERROR(IF(F704&gt;0,(Final[[#This Row],[Valor da Venda Real]]-Final[[#This Row],[Valor de Compra Previsto]]-4%*Final[[#This Row],[Valor da Venda Real]])/Final[[#This Row],[Valor da Venda Real]],""),"")</f>
        <v/>
      </c>
      <c r="S704" s="61" t="str">
        <f t="shared" si="45"/>
        <v/>
      </c>
      <c r="T704" s="23" t="str">
        <f>IFERROR((R704*Final[[#This Row],[Valor da Venda Real]]*Final[[#This Row],[Quantidade ]]*S704),"")</f>
        <v/>
      </c>
    </row>
    <row r="705" spans="1:20" ht="15.75" x14ac:dyDescent="0.2">
      <c r="A705">
        <f>COUNTIF($C$2:C705,C705)</f>
        <v>704</v>
      </c>
      <c r="B705" s="1" t="str">
        <f t="shared" si="44"/>
        <v>704</v>
      </c>
      <c r="C705" s="1" t="str">
        <f>IFERROR(VLOOKUP(D705,'Planilha de Cadastro - Previsão'!$A$2:$N$1000,14,FALSE()),"")</f>
        <v/>
      </c>
      <c r="D705" s="1">
        <v>704</v>
      </c>
      <c r="F705" s="40" t="str">
        <f t="shared" si="43"/>
        <v/>
      </c>
      <c r="G705" s="40" t="str">
        <f>IF(F705="","",'Prosposta Inicial'!$O$2)</f>
        <v/>
      </c>
      <c r="H705" s="40" t="str">
        <f t="shared" si="46"/>
        <v xml:space="preserve"> </v>
      </c>
      <c r="I705" s="41" t="str">
        <f>IFERROR((VLOOKUP(F705,'Planilha de Cadastro - Previsão'!$A$2:$N$1100,2,FALSE()))," ")</f>
        <v xml:space="preserve"> </v>
      </c>
      <c r="J705" s="40" t="str">
        <f>IFERROR((VLOOKUP(F705,'Planilha de Cadastro - Previsão'!$A$2:$N$1100,3,FALSE()))," ")</f>
        <v xml:space="preserve"> </v>
      </c>
      <c r="K705" s="40"/>
      <c r="L705" s="42" t="str">
        <f>IFERROR((VLOOKUP(F705,'Planilha de Cadastro - Previsão'!$A$2:$N$1100,11,FALSE()))," ")</f>
        <v xml:space="preserve"> </v>
      </c>
      <c r="M705" s="41" t="str">
        <f>IFERROR((IF(VLOOKUP(F705,'Planilha de Cadastro - Previsão'!$A$2:$N$1100,10,FALSE())="","",VLOOKUP(F705,'Planilha de Cadastro - Previsão'!$A$2:$N$1100,10,FALSE()))),"")</f>
        <v/>
      </c>
      <c r="N705" s="41"/>
      <c r="O705" s="41"/>
      <c r="P705" s="41" t="str">
        <f>IFERROR((IF(VLOOKUP(F705,'Acompanhamento da Licitação'!$F$2:$O$1000,10,FALSE())="","",VLOOKUP(F705,'Acompanhamento da Licitação'!$F$2:$O$1000,10,FALSE()))),"")</f>
        <v/>
      </c>
      <c r="R705" s="61" t="str">
        <f>IFERROR(IF(F705&gt;0,(Final[[#This Row],[Valor da Venda Real]]-Final[[#This Row],[Valor de Compra Previsto]]-4%*Final[[#This Row],[Valor da Venda Real]])/Final[[#This Row],[Valor da Venda Real]],""),"")</f>
        <v/>
      </c>
      <c r="S705" s="61" t="str">
        <f t="shared" si="45"/>
        <v/>
      </c>
      <c r="T705" s="23" t="str">
        <f>IFERROR((R705*Final[[#This Row],[Valor da Venda Real]]*Final[[#This Row],[Quantidade ]]*S705),"")</f>
        <v/>
      </c>
    </row>
    <row r="706" spans="1:20" ht="15.75" x14ac:dyDescent="0.2">
      <c r="A706">
        <f>COUNTIF($C$2:C706,C706)</f>
        <v>705</v>
      </c>
      <c r="B706" s="1" t="str">
        <f t="shared" si="44"/>
        <v>705</v>
      </c>
      <c r="C706" s="1" t="str">
        <f>IFERROR(VLOOKUP(D706,'Planilha de Cadastro - Previsão'!$A$2:$N$1000,14,FALSE()),"")</f>
        <v/>
      </c>
      <c r="D706" s="1">
        <v>705</v>
      </c>
      <c r="F706" s="40" t="str">
        <f t="shared" ref="F706:F769" si="47">IFERROR((VLOOKUP(CONCATENATE("Sim",D706),$B$2:$D$1000,3,FALSE())),"")</f>
        <v/>
      </c>
      <c r="G706" s="40" t="str">
        <f>IF(F706="","",'Prosposta Inicial'!$O$2)</f>
        <v/>
      </c>
      <c r="H706" s="40" t="str">
        <f t="shared" si="46"/>
        <v xml:space="preserve"> </v>
      </c>
      <c r="I706" s="41" t="str">
        <f>IFERROR((VLOOKUP(F706,'Planilha de Cadastro - Previsão'!$A$2:$N$1100,2,FALSE()))," ")</f>
        <v xml:space="preserve"> </v>
      </c>
      <c r="J706" s="40" t="str">
        <f>IFERROR((VLOOKUP(F706,'Planilha de Cadastro - Previsão'!$A$2:$N$1100,3,FALSE()))," ")</f>
        <v xml:space="preserve"> </v>
      </c>
      <c r="K706" s="40"/>
      <c r="L706" s="42" t="str">
        <f>IFERROR((VLOOKUP(F706,'Planilha de Cadastro - Previsão'!$A$2:$N$1100,11,FALSE()))," ")</f>
        <v xml:space="preserve"> </v>
      </c>
      <c r="M706" s="41" t="str">
        <f>IFERROR((IF(VLOOKUP(F706,'Planilha de Cadastro - Previsão'!$A$2:$N$1100,10,FALSE())="","",VLOOKUP(F706,'Planilha de Cadastro - Previsão'!$A$2:$N$1100,10,FALSE()))),"")</f>
        <v/>
      </c>
      <c r="N706" s="41"/>
      <c r="O706" s="41"/>
      <c r="P706" s="41" t="str">
        <f>IFERROR((IF(VLOOKUP(F706,'Acompanhamento da Licitação'!$F$2:$O$1000,10,FALSE())="","",VLOOKUP(F706,'Acompanhamento da Licitação'!$F$2:$O$1000,10,FALSE()))),"")</f>
        <v/>
      </c>
      <c r="R706" s="61" t="str">
        <f>IFERROR(IF(F706&gt;0,(Final[[#This Row],[Valor da Venda Real]]-Final[[#This Row],[Valor de Compra Previsto]]-4%*Final[[#This Row],[Valor da Venda Real]])/Final[[#This Row],[Valor da Venda Real]],""),"")</f>
        <v/>
      </c>
      <c r="S706" s="61" t="str">
        <f t="shared" si="45"/>
        <v/>
      </c>
      <c r="T706" s="23" t="str">
        <f>IFERROR((R706*Final[[#This Row],[Valor da Venda Real]]*Final[[#This Row],[Quantidade ]]*S706),"")</f>
        <v/>
      </c>
    </row>
    <row r="707" spans="1:20" ht="15.75" x14ac:dyDescent="0.2">
      <c r="A707">
        <f>COUNTIF($C$2:C707,C707)</f>
        <v>706</v>
      </c>
      <c r="B707" s="1" t="str">
        <f t="shared" ref="B707:B770" si="48">IFERROR(CONCATENATE(C707,A707),"")</f>
        <v>706</v>
      </c>
      <c r="C707" s="1" t="str">
        <f>IFERROR(VLOOKUP(D707,'Planilha de Cadastro - Previsão'!$A$2:$N$1000,14,FALSE()),"")</f>
        <v/>
      </c>
      <c r="D707" s="1">
        <v>706</v>
      </c>
      <c r="F707" s="40" t="str">
        <f t="shared" si="47"/>
        <v/>
      </c>
      <c r="G707" s="40" t="str">
        <f>IF(F707="","",'Prosposta Inicial'!$O$2)</f>
        <v/>
      </c>
      <c r="H707" s="40" t="str">
        <f t="shared" si="46"/>
        <v xml:space="preserve"> </v>
      </c>
      <c r="I707" s="41" t="str">
        <f>IFERROR((VLOOKUP(F707,'Planilha de Cadastro - Previsão'!$A$2:$N$1100,2,FALSE()))," ")</f>
        <v xml:space="preserve"> </v>
      </c>
      <c r="J707" s="40" t="str">
        <f>IFERROR((VLOOKUP(F707,'Planilha de Cadastro - Previsão'!$A$2:$N$1100,3,FALSE()))," ")</f>
        <v xml:space="preserve"> </v>
      </c>
      <c r="K707" s="40"/>
      <c r="L707" s="42" t="str">
        <f>IFERROR((VLOOKUP(F707,'Planilha de Cadastro - Previsão'!$A$2:$N$1100,11,FALSE()))," ")</f>
        <v xml:space="preserve"> </v>
      </c>
      <c r="M707" s="41" t="str">
        <f>IFERROR((IF(VLOOKUP(F707,'Planilha de Cadastro - Previsão'!$A$2:$N$1100,10,FALSE())="","",VLOOKUP(F707,'Planilha de Cadastro - Previsão'!$A$2:$N$1100,10,FALSE()))),"")</f>
        <v/>
      </c>
      <c r="N707" s="41"/>
      <c r="O707" s="41"/>
      <c r="P707" s="41" t="str">
        <f>IFERROR((IF(VLOOKUP(F707,'Acompanhamento da Licitação'!$F$2:$O$1000,10,FALSE())="","",VLOOKUP(F707,'Acompanhamento da Licitação'!$F$2:$O$1000,10,FALSE()))),"")</f>
        <v/>
      </c>
      <c r="R707" s="61" t="str">
        <f>IFERROR(IF(F707&gt;0,(Final[[#This Row],[Valor da Venda Real]]-Final[[#This Row],[Valor de Compra Previsto]]-4%*Final[[#This Row],[Valor da Venda Real]])/Final[[#This Row],[Valor da Venda Real]],""),"")</f>
        <v/>
      </c>
      <c r="S707" s="61" t="str">
        <f t="shared" ref="S707:S770" si="49">IF(R707="","",IF(R707&lt;0.2,0.05,IF(R707&lt;0.25,0.1,IF(R707&lt;0.3,0.15,IF(R707&lt;0.35,0.2,IF(R707&lt;0.45,0.25,IF(R707&lt;0.5,0.3,IF(R707&lt;0.6,0.35,0.4))))))))</f>
        <v/>
      </c>
      <c r="T707" s="23" t="str">
        <f>IFERROR((R707*Final[[#This Row],[Valor da Venda Real]]*Final[[#This Row],[Quantidade ]]*S707),"")</f>
        <v/>
      </c>
    </row>
    <row r="708" spans="1:20" ht="15.75" x14ac:dyDescent="0.2">
      <c r="A708">
        <f>COUNTIF($C$2:C708,C708)</f>
        <v>707</v>
      </c>
      <c r="B708" s="1" t="str">
        <f t="shared" si="48"/>
        <v>707</v>
      </c>
      <c r="C708" s="1" t="str">
        <f>IFERROR(VLOOKUP(D708,'Planilha de Cadastro - Previsão'!$A$2:$N$1000,14,FALSE()),"")</f>
        <v/>
      </c>
      <c r="D708" s="1">
        <v>707</v>
      </c>
      <c r="F708" s="40" t="str">
        <f t="shared" si="47"/>
        <v/>
      </c>
      <c r="G708" s="40" t="str">
        <f>IF(F708="","",'Prosposta Inicial'!$O$2)</f>
        <v/>
      </c>
      <c r="H708" s="40" t="str">
        <f t="shared" si="46"/>
        <v xml:space="preserve"> </v>
      </c>
      <c r="I708" s="41" t="str">
        <f>IFERROR((VLOOKUP(F708,'Planilha de Cadastro - Previsão'!$A$2:$N$1100,2,FALSE()))," ")</f>
        <v xml:space="preserve"> </v>
      </c>
      <c r="J708" s="40" t="str">
        <f>IFERROR((VLOOKUP(F708,'Planilha de Cadastro - Previsão'!$A$2:$N$1100,3,FALSE()))," ")</f>
        <v xml:space="preserve"> </v>
      </c>
      <c r="K708" s="40"/>
      <c r="L708" s="42" t="str">
        <f>IFERROR((VLOOKUP(F708,'Planilha de Cadastro - Previsão'!$A$2:$N$1100,11,FALSE()))," ")</f>
        <v xml:space="preserve"> </v>
      </c>
      <c r="M708" s="41" t="str">
        <f>IFERROR((IF(VLOOKUP(F708,'Planilha de Cadastro - Previsão'!$A$2:$N$1100,10,FALSE())="","",VLOOKUP(F708,'Planilha de Cadastro - Previsão'!$A$2:$N$1100,10,FALSE()))),"")</f>
        <v/>
      </c>
      <c r="N708" s="41"/>
      <c r="O708" s="41"/>
      <c r="P708" s="41" t="str">
        <f>IFERROR((IF(VLOOKUP(F708,'Acompanhamento da Licitação'!$F$2:$O$1000,10,FALSE())="","",VLOOKUP(F708,'Acompanhamento da Licitação'!$F$2:$O$1000,10,FALSE()))),"")</f>
        <v/>
      </c>
      <c r="R708" s="61" t="str">
        <f>IFERROR(IF(F708&gt;0,(Final[[#This Row],[Valor da Venda Real]]-Final[[#This Row],[Valor de Compra Previsto]]-4%*Final[[#This Row],[Valor da Venda Real]])/Final[[#This Row],[Valor da Venda Real]],""),"")</f>
        <v/>
      </c>
      <c r="S708" s="61" t="str">
        <f t="shared" si="49"/>
        <v/>
      </c>
      <c r="T708" s="23" t="str">
        <f>IFERROR((R708*Final[[#This Row],[Valor da Venda Real]]*Final[[#This Row],[Quantidade ]]*S708),"")</f>
        <v/>
      </c>
    </row>
    <row r="709" spans="1:20" ht="15.75" x14ac:dyDescent="0.2">
      <c r="A709">
        <f>COUNTIF($C$2:C709,C709)</f>
        <v>708</v>
      </c>
      <c r="B709" s="1" t="str">
        <f t="shared" si="48"/>
        <v>708</v>
      </c>
      <c r="C709" s="1" t="str">
        <f>IFERROR(VLOOKUP(D709,'Planilha de Cadastro - Previsão'!$A$2:$N$1000,14,FALSE()),"")</f>
        <v/>
      </c>
      <c r="D709" s="1">
        <v>708</v>
      </c>
      <c r="F709" s="40" t="str">
        <f t="shared" si="47"/>
        <v/>
      </c>
      <c r="G709" s="40" t="str">
        <f>IF(F709="","",'Prosposta Inicial'!$O$2)</f>
        <v/>
      </c>
      <c r="H709" s="40" t="str">
        <f t="shared" si="46"/>
        <v xml:space="preserve"> </v>
      </c>
      <c r="I709" s="41" t="str">
        <f>IFERROR((VLOOKUP(F709,'Planilha de Cadastro - Previsão'!$A$2:$N$1100,2,FALSE()))," ")</f>
        <v xml:space="preserve"> </v>
      </c>
      <c r="J709" s="40" t="str">
        <f>IFERROR((VLOOKUP(F709,'Planilha de Cadastro - Previsão'!$A$2:$N$1100,3,FALSE()))," ")</f>
        <v xml:space="preserve"> </v>
      </c>
      <c r="K709" s="40"/>
      <c r="L709" s="42" t="str">
        <f>IFERROR((VLOOKUP(F709,'Planilha de Cadastro - Previsão'!$A$2:$N$1100,11,FALSE()))," ")</f>
        <v xml:space="preserve"> </v>
      </c>
      <c r="M709" s="41" t="str">
        <f>IFERROR((IF(VLOOKUP(F709,'Planilha de Cadastro - Previsão'!$A$2:$N$1100,10,FALSE())="","",VLOOKUP(F709,'Planilha de Cadastro - Previsão'!$A$2:$N$1100,10,FALSE()))),"")</f>
        <v/>
      </c>
      <c r="N709" s="41"/>
      <c r="O709" s="41"/>
      <c r="P709" s="41" t="str">
        <f>IFERROR((IF(VLOOKUP(F709,'Acompanhamento da Licitação'!$F$2:$O$1000,10,FALSE())="","",VLOOKUP(F709,'Acompanhamento da Licitação'!$F$2:$O$1000,10,FALSE()))),"")</f>
        <v/>
      </c>
      <c r="R709" s="61" t="str">
        <f>IFERROR(IF(F709&gt;0,(Final[[#This Row],[Valor da Venda Real]]-Final[[#This Row],[Valor de Compra Previsto]]-4%*Final[[#This Row],[Valor da Venda Real]])/Final[[#This Row],[Valor da Venda Real]],""),"")</f>
        <v/>
      </c>
      <c r="S709" s="61" t="str">
        <f t="shared" si="49"/>
        <v/>
      </c>
      <c r="T709" s="23" t="str">
        <f>IFERROR((R709*Final[[#This Row],[Valor da Venda Real]]*Final[[#This Row],[Quantidade ]]*S709),"")</f>
        <v/>
      </c>
    </row>
    <row r="710" spans="1:20" ht="15.75" x14ac:dyDescent="0.2">
      <c r="A710">
        <f>COUNTIF($C$2:C710,C710)</f>
        <v>709</v>
      </c>
      <c r="B710" s="1" t="str">
        <f t="shared" si="48"/>
        <v>709</v>
      </c>
      <c r="C710" s="1" t="str">
        <f>IFERROR(VLOOKUP(D710,'Planilha de Cadastro - Previsão'!$A$2:$N$1000,14,FALSE()),"")</f>
        <v/>
      </c>
      <c r="D710" s="1">
        <v>709</v>
      </c>
      <c r="F710" s="40" t="str">
        <f t="shared" si="47"/>
        <v/>
      </c>
      <c r="G710" s="40" t="str">
        <f>IF(F710="","",'Prosposta Inicial'!$O$2)</f>
        <v/>
      </c>
      <c r="H710" s="40" t="str">
        <f t="shared" si="46"/>
        <v xml:space="preserve"> </v>
      </c>
      <c r="I710" s="41" t="str">
        <f>IFERROR((VLOOKUP(F710,'Planilha de Cadastro - Previsão'!$A$2:$N$1100,2,FALSE()))," ")</f>
        <v xml:space="preserve"> </v>
      </c>
      <c r="J710" s="40" t="str">
        <f>IFERROR((VLOOKUP(F710,'Planilha de Cadastro - Previsão'!$A$2:$N$1100,3,FALSE()))," ")</f>
        <v xml:space="preserve"> </v>
      </c>
      <c r="K710" s="40"/>
      <c r="L710" s="42" t="str">
        <f>IFERROR((VLOOKUP(F710,'Planilha de Cadastro - Previsão'!$A$2:$N$1100,11,FALSE()))," ")</f>
        <v xml:space="preserve"> </v>
      </c>
      <c r="M710" s="41" t="str">
        <f>IFERROR((IF(VLOOKUP(F710,'Planilha de Cadastro - Previsão'!$A$2:$N$1100,10,FALSE())="","",VLOOKUP(F710,'Planilha de Cadastro - Previsão'!$A$2:$N$1100,10,FALSE()))),"")</f>
        <v/>
      </c>
      <c r="N710" s="41"/>
      <c r="O710" s="41"/>
      <c r="P710" s="41" t="str">
        <f>IFERROR((IF(VLOOKUP(F710,'Acompanhamento da Licitação'!$F$2:$O$1000,10,FALSE())="","",VLOOKUP(F710,'Acompanhamento da Licitação'!$F$2:$O$1000,10,FALSE()))),"")</f>
        <v/>
      </c>
      <c r="R710" s="61" t="str">
        <f>IFERROR(IF(F710&gt;0,(Final[[#This Row],[Valor da Venda Real]]-Final[[#This Row],[Valor de Compra Previsto]]-4%*Final[[#This Row],[Valor da Venda Real]])/Final[[#This Row],[Valor da Venda Real]],""),"")</f>
        <v/>
      </c>
      <c r="S710" s="61" t="str">
        <f t="shared" si="49"/>
        <v/>
      </c>
      <c r="T710" s="23" t="str">
        <f>IFERROR((R710*Final[[#This Row],[Valor da Venda Real]]*Final[[#This Row],[Quantidade ]]*S710),"")</f>
        <v/>
      </c>
    </row>
    <row r="711" spans="1:20" ht="15.75" x14ac:dyDescent="0.2">
      <c r="A711">
        <f>COUNTIF($C$2:C711,C711)</f>
        <v>710</v>
      </c>
      <c r="B711" s="1" t="str">
        <f t="shared" si="48"/>
        <v>710</v>
      </c>
      <c r="C711" s="1" t="str">
        <f>IFERROR(VLOOKUP(D711,'Planilha de Cadastro - Previsão'!$A$2:$N$1000,14,FALSE()),"")</f>
        <v/>
      </c>
      <c r="D711" s="1">
        <v>710</v>
      </c>
      <c r="F711" s="40" t="str">
        <f t="shared" si="47"/>
        <v/>
      </c>
      <c r="G711" s="40" t="str">
        <f>IF(F711="","",'Prosposta Inicial'!$O$2)</f>
        <v/>
      </c>
      <c r="H711" s="40" t="str">
        <f t="shared" si="46"/>
        <v xml:space="preserve"> </v>
      </c>
      <c r="I711" s="41" t="str">
        <f>IFERROR((VLOOKUP(F711,'Planilha de Cadastro - Previsão'!$A$2:$N$1100,2,FALSE()))," ")</f>
        <v xml:space="preserve"> </v>
      </c>
      <c r="J711" s="40" t="str">
        <f>IFERROR((VLOOKUP(F711,'Planilha de Cadastro - Previsão'!$A$2:$N$1100,3,FALSE()))," ")</f>
        <v xml:space="preserve"> </v>
      </c>
      <c r="K711" s="40"/>
      <c r="L711" s="42" t="str">
        <f>IFERROR((VLOOKUP(F711,'Planilha de Cadastro - Previsão'!$A$2:$N$1100,11,FALSE()))," ")</f>
        <v xml:space="preserve"> </v>
      </c>
      <c r="M711" s="41" t="str">
        <f>IFERROR((IF(VLOOKUP(F711,'Planilha de Cadastro - Previsão'!$A$2:$N$1100,10,FALSE())="","",VLOOKUP(F711,'Planilha de Cadastro - Previsão'!$A$2:$N$1100,10,FALSE()))),"")</f>
        <v/>
      </c>
      <c r="N711" s="41"/>
      <c r="O711" s="41"/>
      <c r="P711" s="41" t="str">
        <f>IFERROR((IF(VLOOKUP(F711,'Acompanhamento da Licitação'!$F$2:$O$1000,10,FALSE())="","",VLOOKUP(F711,'Acompanhamento da Licitação'!$F$2:$O$1000,10,FALSE()))),"")</f>
        <v/>
      </c>
      <c r="R711" s="61" t="str">
        <f>IFERROR(IF(F711&gt;0,(Final[[#This Row],[Valor da Venda Real]]-Final[[#This Row],[Valor de Compra Previsto]]-4%*Final[[#This Row],[Valor da Venda Real]])/Final[[#This Row],[Valor da Venda Real]],""),"")</f>
        <v/>
      </c>
      <c r="S711" s="61" t="str">
        <f t="shared" si="49"/>
        <v/>
      </c>
      <c r="T711" s="23" t="str">
        <f>IFERROR((R711*Final[[#This Row],[Valor da Venda Real]]*Final[[#This Row],[Quantidade ]]*S711),"")</f>
        <v/>
      </c>
    </row>
    <row r="712" spans="1:20" ht="15.75" x14ac:dyDescent="0.2">
      <c r="A712">
        <f>COUNTIF($C$2:C712,C712)</f>
        <v>711</v>
      </c>
      <c r="B712" s="1" t="str">
        <f t="shared" si="48"/>
        <v>711</v>
      </c>
      <c r="C712" s="1" t="str">
        <f>IFERROR(VLOOKUP(D712,'Planilha de Cadastro - Previsão'!$A$2:$N$1000,14,FALSE()),"")</f>
        <v/>
      </c>
      <c r="D712" s="1">
        <v>711</v>
      </c>
      <c r="F712" s="40" t="str">
        <f t="shared" si="47"/>
        <v/>
      </c>
      <c r="G712" s="40" t="str">
        <f>IF(F712="","",'Prosposta Inicial'!$O$2)</f>
        <v/>
      </c>
      <c r="H712" s="40" t="str">
        <f t="shared" si="46"/>
        <v xml:space="preserve"> </v>
      </c>
      <c r="I712" s="41" t="str">
        <f>IFERROR((VLOOKUP(F712,'Planilha de Cadastro - Previsão'!$A$2:$N$1100,2,FALSE()))," ")</f>
        <v xml:space="preserve"> </v>
      </c>
      <c r="J712" s="40" t="str">
        <f>IFERROR((VLOOKUP(F712,'Planilha de Cadastro - Previsão'!$A$2:$N$1100,3,FALSE()))," ")</f>
        <v xml:space="preserve"> </v>
      </c>
      <c r="K712" s="40"/>
      <c r="L712" s="42" t="str">
        <f>IFERROR((VLOOKUP(F712,'Planilha de Cadastro - Previsão'!$A$2:$N$1100,11,FALSE()))," ")</f>
        <v xml:space="preserve"> </v>
      </c>
      <c r="M712" s="41" t="str">
        <f>IFERROR((IF(VLOOKUP(F712,'Planilha de Cadastro - Previsão'!$A$2:$N$1100,10,FALSE())="","",VLOOKUP(F712,'Planilha de Cadastro - Previsão'!$A$2:$N$1100,10,FALSE()))),"")</f>
        <v/>
      </c>
      <c r="N712" s="41"/>
      <c r="O712" s="41"/>
      <c r="P712" s="41" t="str">
        <f>IFERROR((IF(VLOOKUP(F712,'Acompanhamento da Licitação'!$F$2:$O$1000,10,FALSE())="","",VLOOKUP(F712,'Acompanhamento da Licitação'!$F$2:$O$1000,10,FALSE()))),"")</f>
        <v/>
      </c>
      <c r="R712" s="61" t="str">
        <f>IFERROR(IF(F712&gt;0,(Final[[#This Row],[Valor da Venda Real]]-Final[[#This Row],[Valor de Compra Previsto]]-4%*Final[[#This Row],[Valor da Venda Real]])/Final[[#This Row],[Valor da Venda Real]],""),"")</f>
        <v/>
      </c>
      <c r="S712" s="61" t="str">
        <f t="shared" si="49"/>
        <v/>
      </c>
      <c r="T712" s="23" t="str">
        <f>IFERROR((R712*Final[[#This Row],[Valor da Venda Real]]*Final[[#This Row],[Quantidade ]]*S712),"")</f>
        <v/>
      </c>
    </row>
    <row r="713" spans="1:20" ht="15.75" x14ac:dyDescent="0.2">
      <c r="A713">
        <f>COUNTIF($C$2:C713,C713)</f>
        <v>712</v>
      </c>
      <c r="B713" s="1" t="str">
        <f t="shared" si="48"/>
        <v>712</v>
      </c>
      <c r="C713" s="1" t="str">
        <f>IFERROR(VLOOKUP(D713,'Planilha de Cadastro - Previsão'!$A$2:$N$1000,14,FALSE()),"")</f>
        <v/>
      </c>
      <c r="D713" s="1">
        <v>712</v>
      </c>
      <c r="F713" s="40" t="str">
        <f t="shared" si="47"/>
        <v/>
      </c>
      <c r="G713" s="40" t="str">
        <f>IF(F713="","",'Prosposta Inicial'!$O$2)</f>
        <v/>
      </c>
      <c r="H713" s="40" t="str">
        <f t="shared" si="46"/>
        <v xml:space="preserve"> </v>
      </c>
      <c r="I713" s="41" t="str">
        <f>IFERROR((VLOOKUP(F713,'Planilha de Cadastro - Previsão'!$A$2:$N$1100,2,FALSE()))," ")</f>
        <v xml:space="preserve"> </v>
      </c>
      <c r="J713" s="40" t="str">
        <f>IFERROR((VLOOKUP(F713,'Planilha de Cadastro - Previsão'!$A$2:$N$1100,3,FALSE()))," ")</f>
        <v xml:space="preserve"> </v>
      </c>
      <c r="K713" s="40"/>
      <c r="L713" s="42" t="str">
        <f>IFERROR((VLOOKUP(F713,'Planilha de Cadastro - Previsão'!$A$2:$N$1100,11,FALSE()))," ")</f>
        <v xml:space="preserve"> </v>
      </c>
      <c r="M713" s="41" t="str">
        <f>IFERROR((IF(VLOOKUP(F713,'Planilha de Cadastro - Previsão'!$A$2:$N$1100,10,FALSE())="","",VLOOKUP(F713,'Planilha de Cadastro - Previsão'!$A$2:$N$1100,10,FALSE()))),"")</f>
        <v/>
      </c>
      <c r="N713" s="41"/>
      <c r="O713" s="41"/>
      <c r="P713" s="41" t="str">
        <f>IFERROR((IF(VLOOKUP(F713,'Acompanhamento da Licitação'!$F$2:$O$1000,10,FALSE())="","",VLOOKUP(F713,'Acompanhamento da Licitação'!$F$2:$O$1000,10,FALSE()))),"")</f>
        <v/>
      </c>
      <c r="R713" s="61" t="str">
        <f>IFERROR(IF(F713&gt;0,(Final[[#This Row],[Valor da Venda Real]]-Final[[#This Row],[Valor de Compra Previsto]]-4%*Final[[#This Row],[Valor da Venda Real]])/Final[[#This Row],[Valor da Venda Real]],""),"")</f>
        <v/>
      </c>
      <c r="S713" s="61" t="str">
        <f t="shared" si="49"/>
        <v/>
      </c>
      <c r="T713" s="23" t="str">
        <f>IFERROR((R713*Final[[#This Row],[Valor da Venda Real]]*Final[[#This Row],[Quantidade ]]*S713),"")</f>
        <v/>
      </c>
    </row>
    <row r="714" spans="1:20" ht="15.75" x14ac:dyDescent="0.2">
      <c r="A714">
        <f>COUNTIF($C$2:C714,C714)</f>
        <v>713</v>
      </c>
      <c r="B714" s="1" t="str">
        <f t="shared" si="48"/>
        <v>713</v>
      </c>
      <c r="C714" s="1" t="str">
        <f>IFERROR(VLOOKUP(D714,'Planilha de Cadastro - Previsão'!$A$2:$N$1000,14,FALSE()),"")</f>
        <v/>
      </c>
      <c r="D714" s="1">
        <v>713</v>
      </c>
      <c r="F714" s="40" t="str">
        <f t="shared" si="47"/>
        <v/>
      </c>
      <c r="G714" s="40" t="str">
        <f>IF(F714="","",'Prosposta Inicial'!$O$2)</f>
        <v/>
      </c>
      <c r="H714" s="40" t="str">
        <f t="shared" si="46"/>
        <v xml:space="preserve"> </v>
      </c>
      <c r="I714" s="41" t="str">
        <f>IFERROR((VLOOKUP(F714,'Planilha de Cadastro - Previsão'!$A$2:$N$1100,2,FALSE()))," ")</f>
        <v xml:space="preserve"> </v>
      </c>
      <c r="J714" s="40" t="str">
        <f>IFERROR((VLOOKUP(F714,'Planilha de Cadastro - Previsão'!$A$2:$N$1100,3,FALSE()))," ")</f>
        <v xml:space="preserve"> </v>
      </c>
      <c r="K714" s="40"/>
      <c r="L714" s="42" t="str">
        <f>IFERROR((VLOOKUP(F714,'Planilha de Cadastro - Previsão'!$A$2:$N$1100,11,FALSE()))," ")</f>
        <v xml:space="preserve"> </v>
      </c>
      <c r="M714" s="41" t="str">
        <f>IFERROR((IF(VLOOKUP(F714,'Planilha de Cadastro - Previsão'!$A$2:$N$1100,10,FALSE())="","",VLOOKUP(F714,'Planilha de Cadastro - Previsão'!$A$2:$N$1100,10,FALSE()))),"")</f>
        <v/>
      </c>
      <c r="N714" s="41"/>
      <c r="O714" s="41"/>
      <c r="P714" s="41" t="str">
        <f>IFERROR((IF(VLOOKUP(F714,'Acompanhamento da Licitação'!$F$2:$O$1000,10,FALSE())="","",VLOOKUP(F714,'Acompanhamento da Licitação'!$F$2:$O$1000,10,FALSE()))),"")</f>
        <v/>
      </c>
      <c r="R714" s="61" t="str">
        <f>IFERROR(IF(F714&gt;0,(Final[[#This Row],[Valor da Venda Real]]-Final[[#This Row],[Valor de Compra Previsto]]-4%*Final[[#This Row],[Valor da Venda Real]])/Final[[#This Row],[Valor da Venda Real]],""),"")</f>
        <v/>
      </c>
      <c r="S714" s="61" t="str">
        <f t="shared" si="49"/>
        <v/>
      </c>
      <c r="T714" s="23" t="str">
        <f>IFERROR((R714*Final[[#This Row],[Valor da Venda Real]]*Final[[#This Row],[Quantidade ]]*S714),"")</f>
        <v/>
      </c>
    </row>
    <row r="715" spans="1:20" ht="15.75" x14ac:dyDescent="0.2">
      <c r="A715">
        <f>COUNTIF($C$2:C715,C715)</f>
        <v>714</v>
      </c>
      <c r="B715" s="1" t="str">
        <f t="shared" si="48"/>
        <v>714</v>
      </c>
      <c r="C715" s="1" t="str">
        <f>IFERROR(VLOOKUP(D715,'Planilha de Cadastro - Previsão'!$A$2:$N$1000,14,FALSE()),"")</f>
        <v/>
      </c>
      <c r="D715" s="1">
        <v>714</v>
      </c>
      <c r="F715" s="40" t="str">
        <f t="shared" si="47"/>
        <v/>
      </c>
      <c r="G715" s="40" t="str">
        <f>IF(F715="","",'Prosposta Inicial'!$O$2)</f>
        <v/>
      </c>
      <c r="H715" s="40" t="str">
        <f t="shared" si="46"/>
        <v xml:space="preserve"> </v>
      </c>
      <c r="I715" s="41" t="str">
        <f>IFERROR((VLOOKUP(F715,'Planilha de Cadastro - Previsão'!$A$2:$N$1100,2,FALSE()))," ")</f>
        <v xml:space="preserve"> </v>
      </c>
      <c r="J715" s="40" t="str">
        <f>IFERROR((VLOOKUP(F715,'Planilha de Cadastro - Previsão'!$A$2:$N$1100,3,FALSE()))," ")</f>
        <v xml:space="preserve"> </v>
      </c>
      <c r="K715" s="40"/>
      <c r="L715" s="42" t="str">
        <f>IFERROR((VLOOKUP(F715,'Planilha de Cadastro - Previsão'!$A$2:$N$1100,11,FALSE()))," ")</f>
        <v xml:space="preserve"> </v>
      </c>
      <c r="M715" s="41" t="str">
        <f>IFERROR((IF(VLOOKUP(F715,'Planilha de Cadastro - Previsão'!$A$2:$N$1100,10,FALSE())="","",VLOOKUP(F715,'Planilha de Cadastro - Previsão'!$A$2:$N$1100,10,FALSE()))),"")</f>
        <v/>
      </c>
      <c r="N715" s="41"/>
      <c r="O715" s="41"/>
      <c r="P715" s="41" t="str">
        <f>IFERROR((IF(VLOOKUP(F715,'Acompanhamento da Licitação'!$F$2:$O$1000,10,FALSE())="","",VLOOKUP(F715,'Acompanhamento da Licitação'!$F$2:$O$1000,10,FALSE()))),"")</f>
        <v/>
      </c>
      <c r="R715" s="61" t="str">
        <f>IFERROR(IF(F715&gt;0,(Final[[#This Row],[Valor da Venda Real]]-Final[[#This Row],[Valor de Compra Previsto]]-4%*Final[[#This Row],[Valor da Venda Real]])/Final[[#This Row],[Valor da Venda Real]],""),"")</f>
        <v/>
      </c>
      <c r="S715" s="61" t="str">
        <f t="shared" si="49"/>
        <v/>
      </c>
      <c r="T715" s="23" t="str">
        <f>IFERROR((R715*Final[[#This Row],[Valor da Venda Real]]*Final[[#This Row],[Quantidade ]]*S715),"")</f>
        <v/>
      </c>
    </row>
    <row r="716" spans="1:20" ht="15.75" x14ac:dyDescent="0.2">
      <c r="A716">
        <f>COUNTIF($C$2:C716,C716)</f>
        <v>715</v>
      </c>
      <c r="B716" s="1" t="str">
        <f t="shared" si="48"/>
        <v>715</v>
      </c>
      <c r="C716" s="1" t="str">
        <f>IFERROR(VLOOKUP(D716,'Planilha de Cadastro - Previsão'!$A$2:$N$1000,14,FALSE()),"")</f>
        <v/>
      </c>
      <c r="D716" s="1">
        <v>715</v>
      </c>
      <c r="F716" s="40" t="str">
        <f t="shared" si="47"/>
        <v/>
      </c>
      <c r="G716" s="40" t="str">
        <f>IF(F716="","",'Prosposta Inicial'!$O$2)</f>
        <v/>
      </c>
      <c r="H716" s="40" t="str">
        <f t="shared" si="46"/>
        <v xml:space="preserve"> </v>
      </c>
      <c r="I716" s="41" t="str">
        <f>IFERROR((VLOOKUP(F716,'Planilha de Cadastro - Previsão'!$A$2:$N$1100,2,FALSE()))," ")</f>
        <v xml:space="preserve"> </v>
      </c>
      <c r="J716" s="40" t="str">
        <f>IFERROR((VLOOKUP(F716,'Planilha de Cadastro - Previsão'!$A$2:$N$1100,3,FALSE()))," ")</f>
        <v xml:space="preserve"> </v>
      </c>
      <c r="K716" s="40"/>
      <c r="L716" s="42" t="str">
        <f>IFERROR((VLOOKUP(F716,'Planilha de Cadastro - Previsão'!$A$2:$N$1100,11,FALSE()))," ")</f>
        <v xml:space="preserve"> </v>
      </c>
      <c r="M716" s="41" t="str">
        <f>IFERROR((IF(VLOOKUP(F716,'Planilha de Cadastro - Previsão'!$A$2:$N$1100,10,FALSE())="","",VLOOKUP(F716,'Planilha de Cadastro - Previsão'!$A$2:$N$1100,10,FALSE()))),"")</f>
        <v/>
      </c>
      <c r="N716" s="41"/>
      <c r="O716" s="41"/>
      <c r="P716" s="41" t="str">
        <f>IFERROR((IF(VLOOKUP(F716,'Acompanhamento da Licitação'!$F$2:$O$1000,10,FALSE())="","",VLOOKUP(F716,'Acompanhamento da Licitação'!$F$2:$O$1000,10,FALSE()))),"")</f>
        <v/>
      </c>
      <c r="R716" s="61" t="str">
        <f>IFERROR(IF(F716&gt;0,(Final[[#This Row],[Valor da Venda Real]]-Final[[#This Row],[Valor de Compra Previsto]]-4%*Final[[#This Row],[Valor da Venda Real]])/Final[[#This Row],[Valor da Venda Real]],""),"")</f>
        <v/>
      </c>
      <c r="S716" s="61" t="str">
        <f t="shared" si="49"/>
        <v/>
      </c>
      <c r="T716" s="23" t="str">
        <f>IFERROR((R716*Final[[#This Row],[Valor da Venda Real]]*Final[[#This Row],[Quantidade ]]*S716),"")</f>
        <v/>
      </c>
    </row>
    <row r="717" spans="1:20" ht="15.75" x14ac:dyDescent="0.2">
      <c r="A717">
        <f>COUNTIF($C$2:C717,C717)</f>
        <v>716</v>
      </c>
      <c r="B717" s="1" t="str">
        <f t="shared" si="48"/>
        <v>716</v>
      </c>
      <c r="C717" s="1" t="str">
        <f>IFERROR(VLOOKUP(D717,'Planilha de Cadastro - Previsão'!$A$2:$N$1000,14,FALSE()),"")</f>
        <v/>
      </c>
      <c r="D717" s="1">
        <v>716</v>
      </c>
      <c r="F717" s="40" t="str">
        <f t="shared" si="47"/>
        <v/>
      </c>
      <c r="G717" s="40" t="str">
        <f>IF(F717="","",'Prosposta Inicial'!$O$2)</f>
        <v/>
      </c>
      <c r="H717" s="40" t="str">
        <f t="shared" si="46"/>
        <v xml:space="preserve"> </v>
      </c>
      <c r="I717" s="41" t="str">
        <f>IFERROR((VLOOKUP(F717,'Planilha de Cadastro - Previsão'!$A$2:$N$1100,2,FALSE()))," ")</f>
        <v xml:space="preserve"> </v>
      </c>
      <c r="J717" s="40" t="str">
        <f>IFERROR((VLOOKUP(F717,'Planilha de Cadastro - Previsão'!$A$2:$N$1100,3,FALSE()))," ")</f>
        <v xml:space="preserve"> </v>
      </c>
      <c r="K717" s="40"/>
      <c r="L717" s="42" t="str">
        <f>IFERROR((VLOOKUP(F717,'Planilha de Cadastro - Previsão'!$A$2:$N$1100,11,FALSE()))," ")</f>
        <v xml:space="preserve"> </v>
      </c>
      <c r="M717" s="41" t="str">
        <f>IFERROR((IF(VLOOKUP(F717,'Planilha de Cadastro - Previsão'!$A$2:$N$1100,10,FALSE())="","",VLOOKUP(F717,'Planilha de Cadastro - Previsão'!$A$2:$N$1100,10,FALSE()))),"")</f>
        <v/>
      </c>
      <c r="N717" s="41"/>
      <c r="O717" s="41"/>
      <c r="P717" s="41" t="str">
        <f>IFERROR((IF(VLOOKUP(F717,'Acompanhamento da Licitação'!$F$2:$O$1000,10,FALSE())="","",VLOOKUP(F717,'Acompanhamento da Licitação'!$F$2:$O$1000,10,FALSE()))),"")</f>
        <v/>
      </c>
      <c r="R717" s="61" t="str">
        <f>IFERROR(IF(F717&gt;0,(Final[[#This Row],[Valor da Venda Real]]-Final[[#This Row],[Valor de Compra Previsto]]-4%*Final[[#This Row],[Valor da Venda Real]])/Final[[#This Row],[Valor da Venda Real]],""),"")</f>
        <v/>
      </c>
      <c r="S717" s="61" t="str">
        <f t="shared" si="49"/>
        <v/>
      </c>
      <c r="T717" s="23" t="str">
        <f>IFERROR((R717*Final[[#This Row],[Valor da Venda Real]]*Final[[#This Row],[Quantidade ]]*S717),"")</f>
        <v/>
      </c>
    </row>
    <row r="718" spans="1:20" ht="15.75" x14ac:dyDescent="0.2">
      <c r="A718">
        <f>COUNTIF($C$2:C718,C718)</f>
        <v>717</v>
      </c>
      <c r="B718" s="1" t="str">
        <f t="shared" si="48"/>
        <v>717</v>
      </c>
      <c r="C718" s="1" t="str">
        <f>IFERROR(VLOOKUP(D718,'Planilha de Cadastro - Previsão'!$A$2:$N$1000,14,FALSE()),"")</f>
        <v/>
      </c>
      <c r="D718" s="1">
        <v>717</v>
      </c>
      <c r="F718" s="40" t="str">
        <f t="shared" si="47"/>
        <v/>
      </c>
      <c r="G718" s="40" t="str">
        <f>IF(F718="","",'Prosposta Inicial'!$O$2)</f>
        <v/>
      </c>
      <c r="H718" s="40" t="str">
        <f t="shared" si="46"/>
        <v xml:space="preserve"> </v>
      </c>
      <c r="I718" s="41" t="str">
        <f>IFERROR((VLOOKUP(F718,'Planilha de Cadastro - Previsão'!$A$2:$N$1100,2,FALSE()))," ")</f>
        <v xml:space="preserve"> </v>
      </c>
      <c r="J718" s="40" t="str">
        <f>IFERROR((VLOOKUP(F718,'Planilha de Cadastro - Previsão'!$A$2:$N$1100,3,FALSE()))," ")</f>
        <v xml:space="preserve"> </v>
      </c>
      <c r="K718" s="40"/>
      <c r="L718" s="42" t="str">
        <f>IFERROR((VLOOKUP(F718,'Planilha de Cadastro - Previsão'!$A$2:$N$1100,11,FALSE()))," ")</f>
        <v xml:space="preserve"> </v>
      </c>
      <c r="M718" s="41" t="str">
        <f>IFERROR((IF(VLOOKUP(F718,'Planilha de Cadastro - Previsão'!$A$2:$N$1100,10,FALSE())="","",VLOOKUP(F718,'Planilha de Cadastro - Previsão'!$A$2:$N$1100,10,FALSE()))),"")</f>
        <v/>
      </c>
      <c r="N718" s="41"/>
      <c r="O718" s="41"/>
      <c r="P718" s="41" t="str">
        <f>IFERROR((IF(VLOOKUP(F718,'Acompanhamento da Licitação'!$F$2:$O$1000,10,FALSE())="","",VLOOKUP(F718,'Acompanhamento da Licitação'!$F$2:$O$1000,10,FALSE()))),"")</f>
        <v/>
      </c>
      <c r="R718" s="61" t="str">
        <f>IFERROR(IF(F718&gt;0,(Final[[#This Row],[Valor da Venda Real]]-Final[[#This Row],[Valor de Compra Previsto]]-4%*Final[[#This Row],[Valor da Venda Real]])/Final[[#This Row],[Valor da Venda Real]],""),"")</f>
        <v/>
      </c>
      <c r="S718" s="61" t="str">
        <f t="shared" si="49"/>
        <v/>
      </c>
      <c r="T718" s="23" t="str">
        <f>IFERROR((R718*Final[[#This Row],[Valor da Venda Real]]*Final[[#This Row],[Quantidade ]]*S718),"")</f>
        <v/>
      </c>
    </row>
    <row r="719" spans="1:20" ht="15.75" x14ac:dyDescent="0.2">
      <c r="A719">
        <f>COUNTIF($C$2:C719,C719)</f>
        <v>718</v>
      </c>
      <c r="B719" s="1" t="str">
        <f t="shared" si="48"/>
        <v>718</v>
      </c>
      <c r="C719" s="1" t="str">
        <f>IFERROR(VLOOKUP(D719,'Planilha de Cadastro - Previsão'!$A$2:$N$1000,14,FALSE()),"")</f>
        <v/>
      </c>
      <c r="D719" s="1">
        <v>718</v>
      </c>
      <c r="F719" s="40" t="str">
        <f t="shared" si="47"/>
        <v/>
      </c>
      <c r="G719" s="40" t="str">
        <f>IF(F719="","",'Prosposta Inicial'!$O$2)</f>
        <v/>
      </c>
      <c r="H719" s="40" t="str">
        <f t="shared" si="46"/>
        <v xml:space="preserve"> </v>
      </c>
      <c r="I719" s="41" t="str">
        <f>IFERROR((VLOOKUP(F719,'Planilha de Cadastro - Previsão'!$A$2:$N$1100,2,FALSE()))," ")</f>
        <v xml:space="preserve"> </v>
      </c>
      <c r="J719" s="40" t="str">
        <f>IFERROR((VLOOKUP(F719,'Planilha de Cadastro - Previsão'!$A$2:$N$1100,3,FALSE()))," ")</f>
        <v xml:space="preserve"> </v>
      </c>
      <c r="K719" s="40"/>
      <c r="L719" s="42" t="str">
        <f>IFERROR((VLOOKUP(F719,'Planilha de Cadastro - Previsão'!$A$2:$N$1100,11,FALSE()))," ")</f>
        <v xml:space="preserve"> </v>
      </c>
      <c r="M719" s="41" t="str">
        <f>IFERROR((IF(VLOOKUP(F719,'Planilha de Cadastro - Previsão'!$A$2:$N$1100,10,FALSE())="","",VLOOKUP(F719,'Planilha de Cadastro - Previsão'!$A$2:$N$1100,10,FALSE()))),"")</f>
        <v/>
      </c>
      <c r="N719" s="41"/>
      <c r="O719" s="41"/>
      <c r="P719" s="41" t="str">
        <f>IFERROR((IF(VLOOKUP(F719,'Acompanhamento da Licitação'!$F$2:$O$1000,10,FALSE())="","",VLOOKUP(F719,'Acompanhamento da Licitação'!$F$2:$O$1000,10,FALSE()))),"")</f>
        <v/>
      </c>
      <c r="R719" s="61" t="str">
        <f>IFERROR(IF(F719&gt;0,(Final[[#This Row],[Valor da Venda Real]]-Final[[#This Row],[Valor de Compra Previsto]]-4%*Final[[#This Row],[Valor da Venda Real]])/Final[[#This Row],[Valor da Venda Real]],""),"")</f>
        <v/>
      </c>
      <c r="S719" s="61" t="str">
        <f t="shared" si="49"/>
        <v/>
      </c>
      <c r="T719" s="23" t="str">
        <f>IFERROR((R719*Final[[#This Row],[Valor da Venda Real]]*Final[[#This Row],[Quantidade ]]*S719),"")</f>
        <v/>
      </c>
    </row>
    <row r="720" spans="1:20" ht="15.75" x14ac:dyDescent="0.2">
      <c r="A720">
        <f>COUNTIF($C$2:C720,C720)</f>
        <v>719</v>
      </c>
      <c r="B720" s="1" t="str">
        <f t="shared" si="48"/>
        <v>719</v>
      </c>
      <c r="C720" s="1" t="str">
        <f>IFERROR(VLOOKUP(D720,'Planilha de Cadastro - Previsão'!$A$2:$N$1000,14,FALSE()),"")</f>
        <v/>
      </c>
      <c r="D720" s="1">
        <v>719</v>
      </c>
      <c r="F720" s="40" t="str">
        <f t="shared" si="47"/>
        <v/>
      </c>
      <c r="G720" s="40" t="str">
        <f>IF(F720="","",'Prosposta Inicial'!$O$2)</f>
        <v/>
      </c>
      <c r="H720" s="40" t="str">
        <f t="shared" si="46"/>
        <v xml:space="preserve"> </v>
      </c>
      <c r="I720" s="41" t="str">
        <f>IFERROR((VLOOKUP(F720,'Planilha de Cadastro - Previsão'!$A$2:$N$1100,2,FALSE()))," ")</f>
        <v xml:space="preserve"> </v>
      </c>
      <c r="J720" s="40" t="str">
        <f>IFERROR((VLOOKUP(F720,'Planilha de Cadastro - Previsão'!$A$2:$N$1100,3,FALSE()))," ")</f>
        <v xml:space="preserve"> </v>
      </c>
      <c r="K720" s="40"/>
      <c r="L720" s="42" t="str">
        <f>IFERROR((VLOOKUP(F720,'Planilha de Cadastro - Previsão'!$A$2:$N$1100,11,FALSE()))," ")</f>
        <v xml:space="preserve"> </v>
      </c>
      <c r="M720" s="41" t="str">
        <f>IFERROR((IF(VLOOKUP(F720,'Planilha de Cadastro - Previsão'!$A$2:$N$1100,10,FALSE())="","",VLOOKUP(F720,'Planilha de Cadastro - Previsão'!$A$2:$N$1100,10,FALSE()))),"")</f>
        <v/>
      </c>
      <c r="N720" s="41"/>
      <c r="O720" s="41"/>
      <c r="P720" s="41" t="str">
        <f>IFERROR((IF(VLOOKUP(F720,'Acompanhamento da Licitação'!$F$2:$O$1000,10,FALSE())="","",VLOOKUP(F720,'Acompanhamento da Licitação'!$F$2:$O$1000,10,FALSE()))),"")</f>
        <v/>
      </c>
      <c r="R720" s="61" t="str">
        <f>IFERROR(IF(F720&gt;0,(Final[[#This Row],[Valor da Venda Real]]-Final[[#This Row],[Valor de Compra Previsto]]-4%*Final[[#This Row],[Valor da Venda Real]])/Final[[#This Row],[Valor da Venda Real]],""),"")</f>
        <v/>
      </c>
      <c r="S720" s="61" t="str">
        <f t="shared" si="49"/>
        <v/>
      </c>
      <c r="T720" s="23" t="str">
        <f>IFERROR((R720*Final[[#This Row],[Valor da Venda Real]]*Final[[#This Row],[Quantidade ]]*S720),"")</f>
        <v/>
      </c>
    </row>
    <row r="721" spans="1:20" ht="15.75" x14ac:dyDescent="0.2">
      <c r="A721">
        <f>COUNTIF($C$2:C721,C721)</f>
        <v>720</v>
      </c>
      <c r="B721" s="1" t="str">
        <f t="shared" si="48"/>
        <v>720</v>
      </c>
      <c r="C721" s="1" t="str">
        <f>IFERROR(VLOOKUP(D721,'Planilha de Cadastro - Previsão'!$A$2:$N$1000,14,FALSE()),"")</f>
        <v/>
      </c>
      <c r="D721" s="1">
        <v>720</v>
      </c>
      <c r="F721" s="40" t="str">
        <f t="shared" si="47"/>
        <v/>
      </c>
      <c r="G721" s="40" t="str">
        <f>IF(F721="","",'Prosposta Inicial'!$O$2)</f>
        <v/>
      </c>
      <c r="H721" s="40" t="str">
        <f t="shared" si="46"/>
        <v xml:space="preserve"> </v>
      </c>
      <c r="I721" s="41" t="str">
        <f>IFERROR((VLOOKUP(F721,'Planilha de Cadastro - Previsão'!$A$2:$N$1100,2,FALSE()))," ")</f>
        <v xml:space="preserve"> </v>
      </c>
      <c r="J721" s="40" t="str">
        <f>IFERROR((VLOOKUP(F721,'Planilha de Cadastro - Previsão'!$A$2:$N$1100,3,FALSE()))," ")</f>
        <v xml:space="preserve"> </v>
      </c>
      <c r="K721" s="40"/>
      <c r="L721" s="42" t="str">
        <f>IFERROR((VLOOKUP(F721,'Planilha de Cadastro - Previsão'!$A$2:$N$1100,11,FALSE()))," ")</f>
        <v xml:space="preserve"> </v>
      </c>
      <c r="M721" s="41" t="str">
        <f>IFERROR((IF(VLOOKUP(F721,'Planilha de Cadastro - Previsão'!$A$2:$N$1100,10,FALSE())="","",VLOOKUP(F721,'Planilha de Cadastro - Previsão'!$A$2:$N$1100,10,FALSE()))),"")</f>
        <v/>
      </c>
      <c r="N721" s="41"/>
      <c r="O721" s="41"/>
      <c r="P721" s="41" t="str">
        <f>IFERROR((IF(VLOOKUP(F721,'Acompanhamento da Licitação'!$F$2:$O$1000,10,FALSE())="","",VLOOKUP(F721,'Acompanhamento da Licitação'!$F$2:$O$1000,10,FALSE()))),"")</f>
        <v/>
      </c>
      <c r="R721" s="61" t="str">
        <f>IFERROR(IF(F721&gt;0,(Final[[#This Row],[Valor da Venda Real]]-Final[[#This Row],[Valor de Compra Previsto]]-4%*Final[[#This Row],[Valor da Venda Real]])/Final[[#This Row],[Valor da Venda Real]],""),"")</f>
        <v/>
      </c>
      <c r="S721" s="61" t="str">
        <f t="shared" si="49"/>
        <v/>
      </c>
      <c r="T721" s="23" t="str">
        <f>IFERROR((R721*Final[[#This Row],[Valor da Venda Real]]*Final[[#This Row],[Quantidade ]]*S721),"")</f>
        <v/>
      </c>
    </row>
    <row r="722" spans="1:20" ht="15.75" x14ac:dyDescent="0.2">
      <c r="A722">
        <f>COUNTIF($C$2:C722,C722)</f>
        <v>721</v>
      </c>
      <c r="B722" s="1" t="str">
        <f t="shared" si="48"/>
        <v>721</v>
      </c>
      <c r="C722" s="1" t="str">
        <f>IFERROR(VLOOKUP(D722,'Planilha de Cadastro - Previsão'!$A$2:$N$1000,14,FALSE()),"")</f>
        <v/>
      </c>
      <c r="D722" s="1">
        <v>721</v>
      </c>
      <c r="F722" s="40" t="str">
        <f t="shared" si="47"/>
        <v/>
      </c>
      <c r="G722" s="40" t="str">
        <f>IF(F722="","",'Prosposta Inicial'!$O$2)</f>
        <v/>
      </c>
      <c r="H722" s="40" t="str">
        <f t="shared" si="46"/>
        <v xml:space="preserve"> </v>
      </c>
      <c r="I722" s="41" t="str">
        <f>IFERROR((VLOOKUP(F722,'Planilha de Cadastro - Previsão'!$A$2:$N$1100,2,FALSE()))," ")</f>
        <v xml:space="preserve"> </v>
      </c>
      <c r="J722" s="40" t="str">
        <f>IFERROR((VLOOKUP(F722,'Planilha de Cadastro - Previsão'!$A$2:$N$1100,3,FALSE()))," ")</f>
        <v xml:space="preserve"> </v>
      </c>
      <c r="K722" s="40"/>
      <c r="L722" s="42" t="str">
        <f>IFERROR((VLOOKUP(F722,'Planilha de Cadastro - Previsão'!$A$2:$N$1100,11,FALSE()))," ")</f>
        <v xml:space="preserve"> </v>
      </c>
      <c r="M722" s="41" t="str">
        <f>IFERROR((IF(VLOOKUP(F722,'Planilha de Cadastro - Previsão'!$A$2:$N$1100,10,FALSE())="","",VLOOKUP(F722,'Planilha de Cadastro - Previsão'!$A$2:$N$1100,10,FALSE()))),"")</f>
        <v/>
      </c>
      <c r="N722" s="41"/>
      <c r="O722" s="41"/>
      <c r="P722" s="41" t="str">
        <f>IFERROR((IF(VLOOKUP(F722,'Acompanhamento da Licitação'!$F$2:$O$1000,10,FALSE())="","",VLOOKUP(F722,'Acompanhamento da Licitação'!$F$2:$O$1000,10,FALSE()))),"")</f>
        <v/>
      </c>
      <c r="R722" s="61" t="str">
        <f>IFERROR(IF(F722&gt;0,(Final[[#This Row],[Valor da Venda Real]]-Final[[#This Row],[Valor de Compra Previsto]]-4%*Final[[#This Row],[Valor da Venda Real]])/Final[[#This Row],[Valor da Venda Real]],""),"")</f>
        <v/>
      </c>
      <c r="S722" s="61" t="str">
        <f t="shared" si="49"/>
        <v/>
      </c>
      <c r="T722" s="23" t="str">
        <f>IFERROR((R722*Final[[#This Row],[Valor da Venda Real]]*Final[[#This Row],[Quantidade ]]*S722),"")</f>
        <v/>
      </c>
    </row>
    <row r="723" spans="1:20" ht="15.75" x14ac:dyDescent="0.2">
      <c r="A723">
        <f>COUNTIF($C$2:C723,C723)</f>
        <v>722</v>
      </c>
      <c r="B723" s="1" t="str">
        <f t="shared" si="48"/>
        <v>722</v>
      </c>
      <c r="C723" s="1" t="str">
        <f>IFERROR(VLOOKUP(D723,'Planilha de Cadastro - Previsão'!$A$2:$N$1000,14,FALSE()),"")</f>
        <v/>
      </c>
      <c r="D723" s="1">
        <v>722</v>
      </c>
      <c r="F723" s="40" t="str">
        <f t="shared" si="47"/>
        <v/>
      </c>
      <c r="G723" s="40" t="str">
        <f>IF(F723="","",'Prosposta Inicial'!$O$2)</f>
        <v/>
      </c>
      <c r="H723" s="40" t="str">
        <f t="shared" si="46"/>
        <v xml:space="preserve"> </v>
      </c>
      <c r="I723" s="41" t="str">
        <f>IFERROR((VLOOKUP(F723,'Planilha de Cadastro - Previsão'!$A$2:$N$1100,2,FALSE()))," ")</f>
        <v xml:space="preserve"> </v>
      </c>
      <c r="J723" s="40" t="str">
        <f>IFERROR((VLOOKUP(F723,'Planilha de Cadastro - Previsão'!$A$2:$N$1100,3,FALSE()))," ")</f>
        <v xml:space="preserve"> </v>
      </c>
      <c r="K723" s="40"/>
      <c r="L723" s="42" t="str">
        <f>IFERROR((VLOOKUP(F723,'Planilha de Cadastro - Previsão'!$A$2:$N$1100,11,FALSE()))," ")</f>
        <v xml:space="preserve"> </v>
      </c>
      <c r="M723" s="41" t="str">
        <f>IFERROR((IF(VLOOKUP(F723,'Planilha de Cadastro - Previsão'!$A$2:$N$1100,10,FALSE())="","",VLOOKUP(F723,'Planilha de Cadastro - Previsão'!$A$2:$N$1100,10,FALSE()))),"")</f>
        <v/>
      </c>
      <c r="N723" s="41"/>
      <c r="O723" s="41"/>
      <c r="P723" s="41" t="str">
        <f>IFERROR((IF(VLOOKUP(F723,'Acompanhamento da Licitação'!$F$2:$O$1000,10,FALSE())="","",VLOOKUP(F723,'Acompanhamento da Licitação'!$F$2:$O$1000,10,FALSE()))),"")</f>
        <v/>
      </c>
      <c r="R723" s="61" t="str">
        <f>IFERROR(IF(F723&gt;0,(Final[[#This Row],[Valor da Venda Real]]-Final[[#This Row],[Valor de Compra Previsto]]-4%*Final[[#This Row],[Valor da Venda Real]])/Final[[#This Row],[Valor da Venda Real]],""),"")</f>
        <v/>
      </c>
      <c r="S723" s="61" t="str">
        <f t="shared" si="49"/>
        <v/>
      </c>
      <c r="T723" s="23" t="str">
        <f>IFERROR((R723*Final[[#This Row],[Valor da Venda Real]]*Final[[#This Row],[Quantidade ]]*S723),"")</f>
        <v/>
      </c>
    </row>
    <row r="724" spans="1:20" ht="15.75" x14ac:dyDescent="0.2">
      <c r="A724">
        <f>COUNTIF($C$2:C724,C724)</f>
        <v>723</v>
      </c>
      <c r="B724" s="1" t="str">
        <f t="shared" si="48"/>
        <v>723</v>
      </c>
      <c r="C724" s="1" t="str">
        <f>IFERROR(VLOOKUP(D724,'Planilha de Cadastro - Previsão'!$A$2:$N$1000,14,FALSE()),"")</f>
        <v/>
      </c>
      <c r="D724" s="1">
        <v>723</v>
      </c>
      <c r="F724" s="40" t="str">
        <f t="shared" si="47"/>
        <v/>
      </c>
      <c r="G724" s="40" t="str">
        <f>IF(F724="","",'Prosposta Inicial'!$O$2)</f>
        <v/>
      </c>
      <c r="H724" s="40" t="str">
        <f t="shared" si="46"/>
        <v xml:space="preserve"> </v>
      </c>
      <c r="I724" s="41" t="str">
        <f>IFERROR((VLOOKUP(F724,'Planilha de Cadastro - Previsão'!$A$2:$N$1100,2,FALSE()))," ")</f>
        <v xml:space="preserve"> </v>
      </c>
      <c r="J724" s="40" t="str">
        <f>IFERROR((VLOOKUP(F724,'Planilha de Cadastro - Previsão'!$A$2:$N$1100,3,FALSE()))," ")</f>
        <v xml:space="preserve"> </v>
      </c>
      <c r="K724" s="40"/>
      <c r="L724" s="42" t="str">
        <f>IFERROR((VLOOKUP(F724,'Planilha de Cadastro - Previsão'!$A$2:$N$1100,11,FALSE()))," ")</f>
        <v xml:space="preserve"> </v>
      </c>
      <c r="M724" s="41" t="str">
        <f>IFERROR((IF(VLOOKUP(F724,'Planilha de Cadastro - Previsão'!$A$2:$N$1100,10,FALSE())="","",VLOOKUP(F724,'Planilha de Cadastro - Previsão'!$A$2:$N$1100,10,FALSE()))),"")</f>
        <v/>
      </c>
      <c r="N724" s="41"/>
      <c r="O724" s="41"/>
      <c r="P724" s="41" t="str">
        <f>IFERROR((IF(VLOOKUP(F724,'Acompanhamento da Licitação'!$F$2:$O$1000,10,FALSE())="","",VLOOKUP(F724,'Acompanhamento da Licitação'!$F$2:$O$1000,10,FALSE()))),"")</f>
        <v/>
      </c>
      <c r="R724" s="61" t="str">
        <f>IFERROR(IF(F724&gt;0,(Final[[#This Row],[Valor da Venda Real]]-Final[[#This Row],[Valor de Compra Previsto]]-4%*Final[[#This Row],[Valor da Venda Real]])/Final[[#This Row],[Valor da Venda Real]],""),"")</f>
        <v/>
      </c>
      <c r="S724" s="61" t="str">
        <f t="shared" si="49"/>
        <v/>
      </c>
      <c r="T724" s="23" t="str">
        <f>IFERROR((R724*Final[[#This Row],[Valor da Venda Real]]*Final[[#This Row],[Quantidade ]]*S724),"")</f>
        <v/>
      </c>
    </row>
    <row r="725" spans="1:20" ht="15.75" x14ac:dyDescent="0.2">
      <c r="A725">
        <f>COUNTIF($C$2:C725,C725)</f>
        <v>724</v>
      </c>
      <c r="B725" s="1" t="str">
        <f t="shared" si="48"/>
        <v>724</v>
      </c>
      <c r="C725" s="1" t="str">
        <f>IFERROR(VLOOKUP(D725,'Planilha de Cadastro - Previsão'!$A$2:$N$1000,14,FALSE()),"")</f>
        <v/>
      </c>
      <c r="D725" s="1">
        <v>724</v>
      </c>
      <c r="F725" s="40" t="str">
        <f t="shared" si="47"/>
        <v/>
      </c>
      <c r="G725" s="40" t="str">
        <f>IF(F725="","",'Prosposta Inicial'!$O$2)</f>
        <v/>
      </c>
      <c r="H725" s="40" t="str">
        <f t="shared" si="46"/>
        <v xml:space="preserve"> </v>
      </c>
      <c r="I725" s="41" t="str">
        <f>IFERROR((VLOOKUP(F725,'Planilha de Cadastro - Previsão'!$A$2:$N$1100,2,FALSE()))," ")</f>
        <v xml:space="preserve"> </v>
      </c>
      <c r="J725" s="40" t="str">
        <f>IFERROR((VLOOKUP(F725,'Planilha de Cadastro - Previsão'!$A$2:$N$1100,3,FALSE()))," ")</f>
        <v xml:space="preserve"> </v>
      </c>
      <c r="K725" s="40"/>
      <c r="L725" s="42" t="str">
        <f>IFERROR((VLOOKUP(F725,'Planilha de Cadastro - Previsão'!$A$2:$N$1100,11,FALSE()))," ")</f>
        <v xml:space="preserve"> </v>
      </c>
      <c r="M725" s="41" t="str">
        <f>IFERROR((IF(VLOOKUP(F725,'Planilha de Cadastro - Previsão'!$A$2:$N$1100,10,FALSE())="","",VLOOKUP(F725,'Planilha de Cadastro - Previsão'!$A$2:$N$1100,10,FALSE()))),"")</f>
        <v/>
      </c>
      <c r="N725" s="41"/>
      <c r="O725" s="41"/>
      <c r="P725" s="41" t="str">
        <f>IFERROR((IF(VLOOKUP(F725,'Acompanhamento da Licitação'!$F$2:$O$1000,10,FALSE())="","",VLOOKUP(F725,'Acompanhamento da Licitação'!$F$2:$O$1000,10,FALSE()))),"")</f>
        <v/>
      </c>
      <c r="R725" s="61" t="str">
        <f>IFERROR(IF(F725&gt;0,(Final[[#This Row],[Valor da Venda Real]]-Final[[#This Row],[Valor de Compra Previsto]]-4%*Final[[#This Row],[Valor da Venda Real]])/Final[[#This Row],[Valor da Venda Real]],""),"")</f>
        <v/>
      </c>
      <c r="S725" s="61" t="str">
        <f t="shared" si="49"/>
        <v/>
      </c>
      <c r="T725" s="23" t="str">
        <f>IFERROR((R725*Final[[#This Row],[Valor da Venda Real]]*Final[[#This Row],[Quantidade ]]*S725),"")</f>
        <v/>
      </c>
    </row>
    <row r="726" spans="1:20" ht="15.75" x14ac:dyDescent="0.2">
      <c r="A726">
        <f>COUNTIF($C$2:C726,C726)</f>
        <v>725</v>
      </c>
      <c r="B726" s="1" t="str">
        <f t="shared" si="48"/>
        <v>725</v>
      </c>
      <c r="C726" s="1" t="str">
        <f>IFERROR(VLOOKUP(D726,'Planilha de Cadastro - Previsão'!$A$2:$N$1000,14,FALSE()),"")</f>
        <v/>
      </c>
      <c r="D726" s="1">
        <v>725</v>
      </c>
      <c r="F726" s="40" t="str">
        <f t="shared" si="47"/>
        <v/>
      </c>
      <c r="G726" s="40" t="str">
        <f>IF(F726="","",'Prosposta Inicial'!$O$2)</f>
        <v/>
      </c>
      <c r="H726" s="40" t="str">
        <f t="shared" si="46"/>
        <v xml:space="preserve"> </v>
      </c>
      <c r="I726" s="41" t="str">
        <f>IFERROR((VLOOKUP(F726,'Planilha de Cadastro - Previsão'!$A$2:$N$1100,2,FALSE()))," ")</f>
        <v xml:space="preserve"> </v>
      </c>
      <c r="J726" s="40" t="str">
        <f>IFERROR((VLOOKUP(F726,'Planilha de Cadastro - Previsão'!$A$2:$N$1100,3,FALSE()))," ")</f>
        <v xml:space="preserve"> </v>
      </c>
      <c r="K726" s="40"/>
      <c r="L726" s="42" t="str">
        <f>IFERROR((VLOOKUP(F726,'Planilha de Cadastro - Previsão'!$A$2:$N$1100,11,FALSE()))," ")</f>
        <v xml:space="preserve"> </v>
      </c>
      <c r="M726" s="41" t="str">
        <f>IFERROR((IF(VLOOKUP(F726,'Planilha de Cadastro - Previsão'!$A$2:$N$1100,10,FALSE())="","",VLOOKUP(F726,'Planilha de Cadastro - Previsão'!$A$2:$N$1100,10,FALSE()))),"")</f>
        <v/>
      </c>
      <c r="N726" s="41"/>
      <c r="O726" s="41"/>
      <c r="P726" s="41" t="str">
        <f>IFERROR((IF(VLOOKUP(F726,'Acompanhamento da Licitação'!$F$2:$O$1000,10,FALSE())="","",VLOOKUP(F726,'Acompanhamento da Licitação'!$F$2:$O$1000,10,FALSE()))),"")</f>
        <v/>
      </c>
      <c r="R726" s="61" t="str">
        <f>IFERROR(IF(F726&gt;0,(Final[[#This Row],[Valor da Venda Real]]-Final[[#This Row],[Valor de Compra Previsto]]-4%*Final[[#This Row],[Valor da Venda Real]])/Final[[#This Row],[Valor da Venda Real]],""),"")</f>
        <v/>
      </c>
      <c r="S726" s="61" t="str">
        <f t="shared" si="49"/>
        <v/>
      </c>
      <c r="T726" s="23" t="str">
        <f>IFERROR((R726*Final[[#This Row],[Valor da Venda Real]]*Final[[#This Row],[Quantidade ]]*S726),"")</f>
        <v/>
      </c>
    </row>
    <row r="727" spans="1:20" ht="15.75" x14ac:dyDescent="0.2">
      <c r="A727">
        <f>COUNTIF($C$2:C727,C727)</f>
        <v>726</v>
      </c>
      <c r="B727" s="1" t="str">
        <f t="shared" si="48"/>
        <v>726</v>
      </c>
      <c r="C727" s="1" t="str">
        <f>IFERROR(VLOOKUP(D727,'Planilha de Cadastro - Previsão'!$A$2:$N$1000,14,FALSE()),"")</f>
        <v/>
      </c>
      <c r="D727" s="1">
        <v>726</v>
      </c>
      <c r="F727" s="40" t="str">
        <f t="shared" si="47"/>
        <v/>
      </c>
      <c r="G727" s="40" t="str">
        <f>IF(F727="","",'Prosposta Inicial'!$O$2)</f>
        <v/>
      </c>
      <c r="H727" s="40" t="str">
        <f t="shared" si="46"/>
        <v xml:space="preserve"> </v>
      </c>
      <c r="I727" s="41" t="str">
        <f>IFERROR((VLOOKUP(F727,'Planilha de Cadastro - Previsão'!$A$2:$N$1100,2,FALSE()))," ")</f>
        <v xml:space="preserve"> </v>
      </c>
      <c r="J727" s="40" t="str">
        <f>IFERROR((VLOOKUP(F727,'Planilha de Cadastro - Previsão'!$A$2:$N$1100,3,FALSE()))," ")</f>
        <v xml:space="preserve"> </v>
      </c>
      <c r="K727" s="40"/>
      <c r="L727" s="42" t="str">
        <f>IFERROR((VLOOKUP(F727,'Planilha de Cadastro - Previsão'!$A$2:$N$1100,11,FALSE()))," ")</f>
        <v xml:space="preserve"> </v>
      </c>
      <c r="M727" s="41" t="str">
        <f>IFERROR((IF(VLOOKUP(F727,'Planilha de Cadastro - Previsão'!$A$2:$N$1100,10,FALSE())="","",VLOOKUP(F727,'Planilha de Cadastro - Previsão'!$A$2:$N$1100,10,FALSE()))),"")</f>
        <v/>
      </c>
      <c r="N727" s="41"/>
      <c r="O727" s="41"/>
      <c r="P727" s="41" t="str">
        <f>IFERROR((IF(VLOOKUP(F727,'Acompanhamento da Licitação'!$F$2:$O$1000,10,FALSE())="","",VLOOKUP(F727,'Acompanhamento da Licitação'!$F$2:$O$1000,10,FALSE()))),"")</f>
        <v/>
      </c>
      <c r="R727" s="61" t="str">
        <f>IFERROR(IF(F727&gt;0,(Final[[#This Row],[Valor da Venda Real]]-Final[[#This Row],[Valor de Compra Previsto]]-4%*Final[[#This Row],[Valor da Venda Real]])/Final[[#This Row],[Valor da Venda Real]],""),"")</f>
        <v/>
      </c>
      <c r="S727" s="61" t="str">
        <f t="shared" si="49"/>
        <v/>
      </c>
      <c r="T727" s="23" t="str">
        <f>IFERROR((R727*Final[[#This Row],[Valor da Venda Real]]*Final[[#This Row],[Quantidade ]]*S727),"")</f>
        <v/>
      </c>
    </row>
    <row r="728" spans="1:20" ht="15.75" x14ac:dyDescent="0.2">
      <c r="A728">
        <f>COUNTIF($C$2:C728,C728)</f>
        <v>727</v>
      </c>
      <c r="B728" s="1" t="str">
        <f t="shared" si="48"/>
        <v>727</v>
      </c>
      <c r="C728" s="1" t="str">
        <f>IFERROR(VLOOKUP(D728,'Planilha de Cadastro - Previsão'!$A$2:$N$1000,14,FALSE()),"")</f>
        <v/>
      </c>
      <c r="D728" s="1">
        <v>727</v>
      </c>
      <c r="F728" s="40" t="str">
        <f t="shared" si="47"/>
        <v/>
      </c>
      <c r="G728" s="40" t="str">
        <f>IF(F728="","",'Prosposta Inicial'!$O$2)</f>
        <v/>
      </c>
      <c r="H728" s="40" t="str">
        <f t="shared" si="46"/>
        <v xml:space="preserve"> </v>
      </c>
      <c r="I728" s="41" t="str">
        <f>IFERROR((VLOOKUP(F728,'Planilha de Cadastro - Previsão'!$A$2:$N$1100,2,FALSE()))," ")</f>
        <v xml:space="preserve"> </v>
      </c>
      <c r="J728" s="40" t="str">
        <f>IFERROR((VLOOKUP(F728,'Planilha de Cadastro - Previsão'!$A$2:$N$1100,3,FALSE()))," ")</f>
        <v xml:space="preserve"> </v>
      </c>
      <c r="K728" s="40"/>
      <c r="L728" s="42" t="str">
        <f>IFERROR((VLOOKUP(F728,'Planilha de Cadastro - Previsão'!$A$2:$N$1100,11,FALSE()))," ")</f>
        <v xml:space="preserve"> </v>
      </c>
      <c r="M728" s="41" t="str">
        <f>IFERROR((IF(VLOOKUP(F728,'Planilha de Cadastro - Previsão'!$A$2:$N$1100,10,FALSE())="","",VLOOKUP(F728,'Planilha de Cadastro - Previsão'!$A$2:$N$1100,10,FALSE()))),"")</f>
        <v/>
      </c>
      <c r="N728" s="41"/>
      <c r="O728" s="41"/>
      <c r="P728" s="41" t="str">
        <f>IFERROR((IF(VLOOKUP(F728,'Acompanhamento da Licitação'!$F$2:$O$1000,10,FALSE())="","",VLOOKUP(F728,'Acompanhamento da Licitação'!$F$2:$O$1000,10,FALSE()))),"")</f>
        <v/>
      </c>
      <c r="R728" s="61" t="str">
        <f>IFERROR(IF(F728&gt;0,(Final[[#This Row],[Valor da Venda Real]]-Final[[#This Row],[Valor de Compra Previsto]]-4%*Final[[#This Row],[Valor da Venda Real]])/Final[[#This Row],[Valor da Venda Real]],""),"")</f>
        <v/>
      </c>
      <c r="S728" s="61" t="str">
        <f t="shared" si="49"/>
        <v/>
      </c>
      <c r="T728" s="23" t="str">
        <f>IFERROR((R728*Final[[#This Row],[Valor da Venda Real]]*Final[[#This Row],[Quantidade ]]*S728),"")</f>
        <v/>
      </c>
    </row>
    <row r="729" spans="1:20" ht="15.75" x14ac:dyDescent="0.2">
      <c r="A729">
        <f>COUNTIF($C$2:C729,C729)</f>
        <v>728</v>
      </c>
      <c r="B729" s="1" t="str">
        <f t="shared" si="48"/>
        <v>728</v>
      </c>
      <c r="C729" s="1" t="str">
        <f>IFERROR(VLOOKUP(D729,'Planilha de Cadastro - Previsão'!$A$2:$N$1000,14,FALSE()),"")</f>
        <v/>
      </c>
      <c r="D729" s="1">
        <v>728</v>
      </c>
      <c r="F729" s="40" t="str">
        <f t="shared" si="47"/>
        <v/>
      </c>
      <c r="G729" s="40" t="str">
        <f>IF(F729="","",'Prosposta Inicial'!$O$2)</f>
        <v/>
      </c>
      <c r="H729" s="40" t="str">
        <f t="shared" si="46"/>
        <v xml:space="preserve"> </v>
      </c>
      <c r="I729" s="41" t="str">
        <f>IFERROR((VLOOKUP(F729,'Planilha de Cadastro - Previsão'!$A$2:$N$1100,2,FALSE()))," ")</f>
        <v xml:space="preserve"> </v>
      </c>
      <c r="J729" s="40" t="str">
        <f>IFERROR((VLOOKUP(F729,'Planilha de Cadastro - Previsão'!$A$2:$N$1100,3,FALSE()))," ")</f>
        <v xml:space="preserve"> </v>
      </c>
      <c r="K729" s="40"/>
      <c r="L729" s="42" t="str">
        <f>IFERROR((VLOOKUP(F729,'Planilha de Cadastro - Previsão'!$A$2:$N$1100,11,FALSE()))," ")</f>
        <v xml:space="preserve"> </v>
      </c>
      <c r="M729" s="41" t="str">
        <f>IFERROR((IF(VLOOKUP(F729,'Planilha de Cadastro - Previsão'!$A$2:$N$1100,10,FALSE())="","",VLOOKUP(F729,'Planilha de Cadastro - Previsão'!$A$2:$N$1100,10,FALSE()))),"")</f>
        <v/>
      </c>
      <c r="N729" s="41"/>
      <c r="O729" s="41"/>
      <c r="P729" s="41" t="str">
        <f>IFERROR((IF(VLOOKUP(F729,'Acompanhamento da Licitação'!$F$2:$O$1000,10,FALSE())="","",VLOOKUP(F729,'Acompanhamento da Licitação'!$F$2:$O$1000,10,FALSE()))),"")</f>
        <v/>
      </c>
      <c r="R729" s="61" t="str">
        <f>IFERROR(IF(F729&gt;0,(Final[[#This Row],[Valor da Venda Real]]-Final[[#This Row],[Valor de Compra Previsto]]-4%*Final[[#This Row],[Valor da Venda Real]])/Final[[#This Row],[Valor da Venda Real]],""),"")</f>
        <v/>
      </c>
      <c r="S729" s="61" t="str">
        <f t="shared" si="49"/>
        <v/>
      </c>
      <c r="T729" s="23" t="str">
        <f>IFERROR((R729*Final[[#This Row],[Valor da Venda Real]]*Final[[#This Row],[Quantidade ]]*S729),"")</f>
        <v/>
      </c>
    </row>
    <row r="730" spans="1:20" ht="15.75" x14ac:dyDescent="0.2">
      <c r="A730">
        <f>COUNTIF($C$2:C730,C730)</f>
        <v>729</v>
      </c>
      <c r="B730" s="1" t="str">
        <f t="shared" si="48"/>
        <v>729</v>
      </c>
      <c r="C730" s="1" t="str">
        <f>IFERROR(VLOOKUP(D730,'Planilha de Cadastro - Previsão'!$A$2:$N$1000,14,FALSE()),"")</f>
        <v/>
      </c>
      <c r="D730" s="1">
        <v>729</v>
      </c>
      <c r="F730" s="40" t="str">
        <f t="shared" si="47"/>
        <v/>
      </c>
      <c r="G730" s="40" t="str">
        <f>IF(F730="","",'Prosposta Inicial'!$O$2)</f>
        <v/>
      </c>
      <c r="H730" s="40" t="str">
        <f t="shared" si="46"/>
        <v xml:space="preserve"> </v>
      </c>
      <c r="I730" s="41" t="str">
        <f>IFERROR((VLOOKUP(F730,'Planilha de Cadastro - Previsão'!$A$2:$N$1100,2,FALSE()))," ")</f>
        <v xml:space="preserve"> </v>
      </c>
      <c r="J730" s="40" t="str">
        <f>IFERROR((VLOOKUP(F730,'Planilha de Cadastro - Previsão'!$A$2:$N$1100,3,FALSE()))," ")</f>
        <v xml:space="preserve"> </v>
      </c>
      <c r="K730" s="40"/>
      <c r="L730" s="42" t="str">
        <f>IFERROR((VLOOKUP(F730,'Planilha de Cadastro - Previsão'!$A$2:$N$1100,11,FALSE()))," ")</f>
        <v xml:space="preserve"> </v>
      </c>
      <c r="M730" s="41" t="str">
        <f>IFERROR((IF(VLOOKUP(F730,'Planilha de Cadastro - Previsão'!$A$2:$N$1100,10,FALSE())="","",VLOOKUP(F730,'Planilha de Cadastro - Previsão'!$A$2:$N$1100,10,FALSE()))),"")</f>
        <v/>
      </c>
      <c r="N730" s="41"/>
      <c r="O730" s="41"/>
      <c r="P730" s="41" t="str">
        <f>IFERROR((IF(VLOOKUP(F730,'Acompanhamento da Licitação'!$F$2:$O$1000,10,FALSE())="","",VLOOKUP(F730,'Acompanhamento da Licitação'!$F$2:$O$1000,10,FALSE()))),"")</f>
        <v/>
      </c>
      <c r="R730" s="61" t="str">
        <f>IFERROR(IF(F730&gt;0,(Final[[#This Row],[Valor da Venda Real]]-Final[[#This Row],[Valor de Compra Previsto]]-4%*Final[[#This Row],[Valor da Venda Real]])/Final[[#This Row],[Valor da Venda Real]],""),"")</f>
        <v/>
      </c>
      <c r="S730" s="61" t="str">
        <f t="shared" si="49"/>
        <v/>
      </c>
      <c r="T730" s="23" t="str">
        <f>IFERROR((R730*Final[[#This Row],[Valor da Venda Real]]*Final[[#This Row],[Quantidade ]]*S730),"")</f>
        <v/>
      </c>
    </row>
    <row r="731" spans="1:20" ht="15.75" x14ac:dyDescent="0.2">
      <c r="A731">
        <f>COUNTIF($C$2:C731,C731)</f>
        <v>730</v>
      </c>
      <c r="B731" s="1" t="str">
        <f t="shared" si="48"/>
        <v>730</v>
      </c>
      <c r="C731" s="1" t="str">
        <f>IFERROR(VLOOKUP(D731,'Planilha de Cadastro - Previsão'!$A$2:$N$1000,14,FALSE()),"")</f>
        <v/>
      </c>
      <c r="D731" s="1">
        <v>730</v>
      </c>
      <c r="F731" s="40" t="str">
        <f t="shared" si="47"/>
        <v/>
      </c>
      <c r="G731" s="40" t="str">
        <f>IF(F731="","",'Prosposta Inicial'!$O$2)</f>
        <v/>
      </c>
      <c r="H731" s="40" t="str">
        <f t="shared" si="46"/>
        <v xml:space="preserve"> </v>
      </c>
      <c r="I731" s="41" t="str">
        <f>IFERROR((VLOOKUP(F731,'Planilha de Cadastro - Previsão'!$A$2:$N$1100,2,FALSE()))," ")</f>
        <v xml:space="preserve"> </v>
      </c>
      <c r="J731" s="40" t="str">
        <f>IFERROR((VLOOKUP(F731,'Planilha de Cadastro - Previsão'!$A$2:$N$1100,3,FALSE()))," ")</f>
        <v xml:space="preserve"> </v>
      </c>
      <c r="K731" s="40"/>
      <c r="L731" s="42" t="str">
        <f>IFERROR((VLOOKUP(F731,'Planilha de Cadastro - Previsão'!$A$2:$N$1100,11,FALSE()))," ")</f>
        <v xml:space="preserve"> </v>
      </c>
      <c r="M731" s="41" t="str">
        <f>IFERROR((IF(VLOOKUP(F731,'Planilha de Cadastro - Previsão'!$A$2:$N$1100,10,FALSE())="","",VLOOKUP(F731,'Planilha de Cadastro - Previsão'!$A$2:$N$1100,10,FALSE()))),"")</f>
        <v/>
      </c>
      <c r="N731" s="41"/>
      <c r="O731" s="41"/>
      <c r="P731" s="41" t="str">
        <f>IFERROR((IF(VLOOKUP(F731,'Acompanhamento da Licitação'!$F$2:$O$1000,10,FALSE())="","",VLOOKUP(F731,'Acompanhamento da Licitação'!$F$2:$O$1000,10,FALSE()))),"")</f>
        <v/>
      </c>
      <c r="R731" s="61" t="str">
        <f>IFERROR(IF(F731&gt;0,(Final[[#This Row],[Valor da Venda Real]]-Final[[#This Row],[Valor de Compra Previsto]]-4%*Final[[#This Row],[Valor da Venda Real]])/Final[[#This Row],[Valor da Venda Real]],""),"")</f>
        <v/>
      </c>
      <c r="S731" s="61" t="str">
        <f t="shared" si="49"/>
        <v/>
      </c>
      <c r="T731" s="23" t="str">
        <f>IFERROR((R731*Final[[#This Row],[Valor da Venda Real]]*Final[[#This Row],[Quantidade ]]*S731),"")</f>
        <v/>
      </c>
    </row>
    <row r="732" spans="1:20" ht="15.75" x14ac:dyDescent="0.2">
      <c r="A732">
        <f>COUNTIF($C$2:C732,C732)</f>
        <v>731</v>
      </c>
      <c r="B732" s="1" t="str">
        <f t="shared" si="48"/>
        <v>731</v>
      </c>
      <c r="C732" s="1" t="str">
        <f>IFERROR(VLOOKUP(D732,'Planilha de Cadastro - Previsão'!$A$2:$N$1000,14,FALSE()),"")</f>
        <v/>
      </c>
      <c r="D732" s="1">
        <v>731</v>
      </c>
      <c r="F732" s="40" t="str">
        <f t="shared" si="47"/>
        <v/>
      </c>
      <c r="G732" s="40" t="str">
        <f>IF(F732="","",'Prosposta Inicial'!$O$2)</f>
        <v/>
      </c>
      <c r="H732" s="40" t="str">
        <f t="shared" si="46"/>
        <v xml:space="preserve"> </v>
      </c>
      <c r="I732" s="41" t="str">
        <f>IFERROR((VLOOKUP(F732,'Planilha de Cadastro - Previsão'!$A$2:$N$1100,2,FALSE()))," ")</f>
        <v xml:space="preserve"> </v>
      </c>
      <c r="J732" s="40" t="str">
        <f>IFERROR((VLOOKUP(F732,'Planilha de Cadastro - Previsão'!$A$2:$N$1100,3,FALSE()))," ")</f>
        <v xml:space="preserve"> </v>
      </c>
      <c r="K732" s="40"/>
      <c r="L732" s="42" t="str">
        <f>IFERROR((VLOOKUP(F732,'Planilha de Cadastro - Previsão'!$A$2:$N$1100,11,FALSE()))," ")</f>
        <v xml:space="preserve"> </v>
      </c>
      <c r="M732" s="41" t="str">
        <f>IFERROR((IF(VLOOKUP(F732,'Planilha de Cadastro - Previsão'!$A$2:$N$1100,10,FALSE())="","",VLOOKUP(F732,'Planilha de Cadastro - Previsão'!$A$2:$N$1100,10,FALSE()))),"")</f>
        <v/>
      </c>
      <c r="N732" s="41"/>
      <c r="O732" s="41"/>
      <c r="P732" s="41" t="str">
        <f>IFERROR((IF(VLOOKUP(F732,'Acompanhamento da Licitação'!$F$2:$O$1000,10,FALSE())="","",VLOOKUP(F732,'Acompanhamento da Licitação'!$F$2:$O$1000,10,FALSE()))),"")</f>
        <v/>
      </c>
      <c r="R732" s="61" t="str">
        <f>IFERROR(IF(F732&gt;0,(Final[[#This Row],[Valor da Venda Real]]-Final[[#This Row],[Valor de Compra Previsto]]-4%*Final[[#This Row],[Valor da Venda Real]])/Final[[#This Row],[Valor da Venda Real]],""),"")</f>
        <v/>
      </c>
      <c r="S732" s="61" t="str">
        <f t="shared" si="49"/>
        <v/>
      </c>
      <c r="T732" s="23" t="str">
        <f>IFERROR((R732*Final[[#This Row],[Valor da Venda Real]]*Final[[#This Row],[Quantidade ]]*S732),"")</f>
        <v/>
      </c>
    </row>
    <row r="733" spans="1:20" ht="15.75" x14ac:dyDescent="0.2">
      <c r="A733">
        <f>COUNTIF($C$2:C733,C733)</f>
        <v>732</v>
      </c>
      <c r="B733" s="1" t="str">
        <f t="shared" si="48"/>
        <v>732</v>
      </c>
      <c r="C733" s="1" t="str">
        <f>IFERROR(VLOOKUP(D733,'Planilha de Cadastro - Previsão'!$A$2:$N$1000,14,FALSE()),"")</f>
        <v/>
      </c>
      <c r="D733" s="1">
        <v>732</v>
      </c>
      <c r="F733" s="40" t="str">
        <f t="shared" si="47"/>
        <v/>
      </c>
      <c r="G733" s="40" t="str">
        <f>IF(F733="","",'Prosposta Inicial'!$O$2)</f>
        <v/>
      </c>
      <c r="H733" s="40" t="str">
        <f t="shared" si="46"/>
        <v xml:space="preserve"> </v>
      </c>
      <c r="I733" s="41" t="str">
        <f>IFERROR((VLOOKUP(F733,'Planilha de Cadastro - Previsão'!$A$2:$N$1100,2,FALSE()))," ")</f>
        <v xml:space="preserve"> </v>
      </c>
      <c r="J733" s="40" t="str">
        <f>IFERROR((VLOOKUP(F733,'Planilha de Cadastro - Previsão'!$A$2:$N$1100,3,FALSE()))," ")</f>
        <v xml:space="preserve"> </v>
      </c>
      <c r="K733" s="40"/>
      <c r="L733" s="42" t="str">
        <f>IFERROR((VLOOKUP(F733,'Planilha de Cadastro - Previsão'!$A$2:$N$1100,11,FALSE()))," ")</f>
        <v xml:space="preserve"> </v>
      </c>
      <c r="M733" s="41" t="str">
        <f>IFERROR((IF(VLOOKUP(F733,'Planilha de Cadastro - Previsão'!$A$2:$N$1100,10,FALSE())="","",VLOOKUP(F733,'Planilha de Cadastro - Previsão'!$A$2:$N$1100,10,FALSE()))),"")</f>
        <v/>
      </c>
      <c r="N733" s="41"/>
      <c r="O733" s="41"/>
      <c r="P733" s="41" t="str">
        <f>IFERROR((IF(VLOOKUP(F733,'Acompanhamento da Licitação'!$F$2:$O$1000,10,FALSE())="","",VLOOKUP(F733,'Acompanhamento da Licitação'!$F$2:$O$1000,10,FALSE()))),"")</f>
        <v/>
      </c>
      <c r="R733" s="61" t="str">
        <f>IFERROR(IF(F733&gt;0,(Final[[#This Row],[Valor da Venda Real]]-Final[[#This Row],[Valor de Compra Previsto]]-4%*Final[[#This Row],[Valor da Venda Real]])/Final[[#This Row],[Valor da Venda Real]],""),"")</f>
        <v/>
      </c>
      <c r="S733" s="61" t="str">
        <f t="shared" si="49"/>
        <v/>
      </c>
      <c r="T733" s="23" t="str">
        <f>IFERROR((R733*Final[[#This Row],[Valor da Venda Real]]*Final[[#This Row],[Quantidade ]]*S733),"")</f>
        <v/>
      </c>
    </row>
    <row r="734" spans="1:20" ht="15.75" x14ac:dyDescent="0.2">
      <c r="A734">
        <f>COUNTIF($C$2:C734,C734)</f>
        <v>733</v>
      </c>
      <c r="B734" s="1" t="str">
        <f t="shared" si="48"/>
        <v>733</v>
      </c>
      <c r="C734" s="1" t="str">
        <f>IFERROR(VLOOKUP(D734,'Planilha de Cadastro - Previsão'!$A$2:$N$1000,14,FALSE()),"")</f>
        <v/>
      </c>
      <c r="D734" s="1">
        <v>733</v>
      </c>
      <c r="F734" s="40" t="str">
        <f t="shared" si="47"/>
        <v/>
      </c>
      <c r="G734" s="40" t="str">
        <f>IF(F734="","",'Prosposta Inicial'!$O$2)</f>
        <v/>
      </c>
      <c r="H734" s="40" t="str">
        <f t="shared" si="46"/>
        <v xml:space="preserve"> </v>
      </c>
      <c r="I734" s="41" t="str">
        <f>IFERROR((VLOOKUP(F734,'Planilha de Cadastro - Previsão'!$A$2:$N$1100,2,FALSE()))," ")</f>
        <v xml:space="preserve"> </v>
      </c>
      <c r="J734" s="40" t="str">
        <f>IFERROR((VLOOKUP(F734,'Planilha de Cadastro - Previsão'!$A$2:$N$1100,3,FALSE()))," ")</f>
        <v xml:space="preserve"> </v>
      </c>
      <c r="K734" s="40"/>
      <c r="L734" s="42" t="str">
        <f>IFERROR((VLOOKUP(F734,'Planilha de Cadastro - Previsão'!$A$2:$N$1100,11,FALSE()))," ")</f>
        <v xml:space="preserve"> </v>
      </c>
      <c r="M734" s="41" t="str">
        <f>IFERROR((IF(VLOOKUP(F734,'Planilha de Cadastro - Previsão'!$A$2:$N$1100,10,FALSE())="","",VLOOKUP(F734,'Planilha de Cadastro - Previsão'!$A$2:$N$1100,10,FALSE()))),"")</f>
        <v/>
      </c>
      <c r="N734" s="41"/>
      <c r="O734" s="41"/>
      <c r="P734" s="41" t="str">
        <f>IFERROR((IF(VLOOKUP(F734,'Acompanhamento da Licitação'!$F$2:$O$1000,10,FALSE())="","",VLOOKUP(F734,'Acompanhamento da Licitação'!$F$2:$O$1000,10,FALSE()))),"")</f>
        <v/>
      </c>
      <c r="R734" s="61" t="str">
        <f>IFERROR(IF(F734&gt;0,(Final[[#This Row],[Valor da Venda Real]]-Final[[#This Row],[Valor de Compra Previsto]]-4%*Final[[#This Row],[Valor da Venda Real]])/Final[[#This Row],[Valor da Venda Real]],""),"")</f>
        <v/>
      </c>
      <c r="S734" s="61" t="str">
        <f t="shared" si="49"/>
        <v/>
      </c>
      <c r="T734" s="23" t="str">
        <f>IFERROR((R734*Final[[#This Row],[Valor da Venda Real]]*Final[[#This Row],[Quantidade ]]*S734),"")</f>
        <v/>
      </c>
    </row>
    <row r="735" spans="1:20" ht="15.75" x14ac:dyDescent="0.2">
      <c r="A735">
        <f>COUNTIF($C$2:C735,C735)</f>
        <v>734</v>
      </c>
      <c r="B735" s="1" t="str">
        <f t="shared" si="48"/>
        <v>734</v>
      </c>
      <c r="C735" s="1" t="str">
        <f>IFERROR(VLOOKUP(D735,'Planilha de Cadastro - Previsão'!$A$2:$N$1000,14,FALSE()),"")</f>
        <v/>
      </c>
      <c r="D735" s="1">
        <v>734</v>
      </c>
      <c r="F735" s="40" t="str">
        <f t="shared" si="47"/>
        <v/>
      </c>
      <c r="G735" s="40" t="str">
        <f>IF(F735="","",'Prosposta Inicial'!$O$2)</f>
        <v/>
      </c>
      <c r="H735" s="40" t="str">
        <f t="shared" si="46"/>
        <v xml:space="preserve"> </v>
      </c>
      <c r="I735" s="41" t="str">
        <f>IFERROR((VLOOKUP(F735,'Planilha de Cadastro - Previsão'!$A$2:$N$1100,2,FALSE()))," ")</f>
        <v xml:space="preserve"> </v>
      </c>
      <c r="J735" s="40" t="str">
        <f>IFERROR((VLOOKUP(F735,'Planilha de Cadastro - Previsão'!$A$2:$N$1100,3,FALSE()))," ")</f>
        <v xml:space="preserve"> </v>
      </c>
      <c r="K735" s="40"/>
      <c r="L735" s="42" t="str">
        <f>IFERROR((VLOOKUP(F735,'Planilha de Cadastro - Previsão'!$A$2:$N$1100,11,FALSE()))," ")</f>
        <v xml:space="preserve"> </v>
      </c>
      <c r="M735" s="41" t="str">
        <f>IFERROR((IF(VLOOKUP(F735,'Planilha de Cadastro - Previsão'!$A$2:$N$1100,10,FALSE())="","",VLOOKUP(F735,'Planilha de Cadastro - Previsão'!$A$2:$N$1100,10,FALSE()))),"")</f>
        <v/>
      </c>
      <c r="N735" s="41"/>
      <c r="O735" s="41"/>
      <c r="P735" s="41" t="str">
        <f>IFERROR((IF(VLOOKUP(F735,'Acompanhamento da Licitação'!$F$2:$O$1000,10,FALSE())="","",VLOOKUP(F735,'Acompanhamento da Licitação'!$F$2:$O$1000,10,FALSE()))),"")</f>
        <v/>
      </c>
      <c r="R735" s="61" t="str">
        <f>IFERROR(IF(F735&gt;0,(Final[[#This Row],[Valor da Venda Real]]-Final[[#This Row],[Valor de Compra Previsto]]-4%*Final[[#This Row],[Valor da Venda Real]])/Final[[#This Row],[Valor da Venda Real]],""),"")</f>
        <v/>
      </c>
      <c r="S735" s="61" t="str">
        <f t="shared" si="49"/>
        <v/>
      </c>
      <c r="T735" s="23" t="str">
        <f>IFERROR((R735*Final[[#This Row],[Valor da Venda Real]]*Final[[#This Row],[Quantidade ]]*S735),"")</f>
        <v/>
      </c>
    </row>
    <row r="736" spans="1:20" ht="15.75" x14ac:dyDescent="0.2">
      <c r="A736">
        <f>COUNTIF($C$2:C736,C736)</f>
        <v>735</v>
      </c>
      <c r="B736" s="1" t="str">
        <f t="shared" si="48"/>
        <v>735</v>
      </c>
      <c r="C736" s="1" t="str">
        <f>IFERROR(VLOOKUP(D736,'Planilha de Cadastro - Previsão'!$A$2:$N$1000,14,FALSE()),"")</f>
        <v/>
      </c>
      <c r="D736" s="1">
        <v>735</v>
      </c>
      <c r="F736" s="40" t="str">
        <f t="shared" si="47"/>
        <v/>
      </c>
      <c r="G736" s="40" t="str">
        <f>IF(F736="","",'Prosposta Inicial'!$O$2)</f>
        <v/>
      </c>
      <c r="H736" s="40" t="str">
        <f t="shared" si="46"/>
        <v xml:space="preserve"> </v>
      </c>
      <c r="I736" s="41" t="str">
        <f>IFERROR((VLOOKUP(F736,'Planilha de Cadastro - Previsão'!$A$2:$N$1100,2,FALSE()))," ")</f>
        <v xml:space="preserve"> </v>
      </c>
      <c r="J736" s="40" t="str">
        <f>IFERROR((VLOOKUP(F736,'Planilha de Cadastro - Previsão'!$A$2:$N$1100,3,FALSE()))," ")</f>
        <v xml:space="preserve"> </v>
      </c>
      <c r="K736" s="40"/>
      <c r="L736" s="42" t="str">
        <f>IFERROR((VLOOKUP(F736,'Planilha de Cadastro - Previsão'!$A$2:$N$1100,11,FALSE()))," ")</f>
        <v xml:space="preserve"> </v>
      </c>
      <c r="M736" s="41" t="str">
        <f>IFERROR((IF(VLOOKUP(F736,'Planilha de Cadastro - Previsão'!$A$2:$N$1100,10,FALSE())="","",VLOOKUP(F736,'Planilha de Cadastro - Previsão'!$A$2:$N$1100,10,FALSE()))),"")</f>
        <v/>
      </c>
      <c r="N736" s="41"/>
      <c r="O736" s="41"/>
      <c r="P736" s="41" t="str">
        <f>IFERROR((IF(VLOOKUP(F736,'Acompanhamento da Licitação'!$F$2:$O$1000,10,FALSE())="","",VLOOKUP(F736,'Acompanhamento da Licitação'!$F$2:$O$1000,10,FALSE()))),"")</f>
        <v/>
      </c>
      <c r="R736" s="61" t="str">
        <f>IFERROR(IF(F736&gt;0,(Final[[#This Row],[Valor da Venda Real]]-Final[[#This Row],[Valor de Compra Previsto]]-4%*Final[[#This Row],[Valor da Venda Real]])/Final[[#This Row],[Valor da Venda Real]],""),"")</f>
        <v/>
      </c>
      <c r="S736" s="61" t="str">
        <f t="shared" si="49"/>
        <v/>
      </c>
      <c r="T736" s="23" t="str">
        <f>IFERROR((R736*Final[[#This Row],[Valor da Venda Real]]*Final[[#This Row],[Quantidade ]]*S736),"")</f>
        <v/>
      </c>
    </row>
    <row r="737" spans="1:20" ht="15.75" x14ac:dyDescent="0.2">
      <c r="A737">
        <f>COUNTIF($C$2:C737,C737)</f>
        <v>736</v>
      </c>
      <c r="B737" s="1" t="str">
        <f t="shared" si="48"/>
        <v>736</v>
      </c>
      <c r="C737" s="1" t="str">
        <f>IFERROR(VLOOKUP(D737,'Planilha de Cadastro - Previsão'!$A$2:$N$1000,14,FALSE()),"")</f>
        <v/>
      </c>
      <c r="D737" s="1">
        <v>736</v>
      </c>
      <c r="F737" s="40" t="str">
        <f t="shared" si="47"/>
        <v/>
      </c>
      <c r="G737" s="40" t="str">
        <f>IF(F737="","",'Prosposta Inicial'!$O$2)</f>
        <v/>
      </c>
      <c r="H737" s="40" t="str">
        <f t="shared" si="46"/>
        <v xml:space="preserve"> </v>
      </c>
      <c r="I737" s="41" t="str">
        <f>IFERROR((VLOOKUP(F737,'Planilha de Cadastro - Previsão'!$A$2:$N$1100,2,FALSE()))," ")</f>
        <v xml:space="preserve"> </v>
      </c>
      <c r="J737" s="40" t="str">
        <f>IFERROR((VLOOKUP(F737,'Planilha de Cadastro - Previsão'!$A$2:$N$1100,3,FALSE()))," ")</f>
        <v xml:space="preserve"> </v>
      </c>
      <c r="K737" s="40"/>
      <c r="L737" s="42" t="str">
        <f>IFERROR((VLOOKUP(F737,'Planilha de Cadastro - Previsão'!$A$2:$N$1100,11,FALSE()))," ")</f>
        <v xml:space="preserve"> </v>
      </c>
      <c r="M737" s="41" t="str">
        <f>IFERROR((IF(VLOOKUP(F737,'Planilha de Cadastro - Previsão'!$A$2:$N$1100,10,FALSE())="","",VLOOKUP(F737,'Planilha de Cadastro - Previsão'!$A$2:$N$1100,10,FALSE()))),"")</f>
        <v/>
      </c>
      <c r="N737" s="41"/>
      <c r="O737" s="41"/>
      <c r="P737" s="41" t="str">
        <f>IFERROR((IF(VLOOKUP(F737,'Acompanhamento da Licitação'!$F$2:$O$1000,10,FALSE())="","",VLOOKUP(F737,'Acompanhamento da Licitação'!$F$2:$O$1000,10,FALSE()))),"")</f>
        <v/>
      </c>
      <c r="R737" s="61" t="str">
        <f>IFERROR(IF(F737&gt;0,(Final[[#This Row],[Valor da Venda Real]]-Final[[#This Row],[Valor de Compra Previsto]]-4%*Final[[#This Row],[Valor da Venda Real]])/Final[[#This Row],[Valor da Venda Real]],""),"")</f>
        <v/>
      </c>
      <c r="S737" s="61" t="str">
        <f t="shared" si="49"/>
        <v/>
      </c>
      <c r="T737" s="23" t="str">
        <f>IFERROR((R737*Final[[#This Row],[Valor da Venda Real]]*Final[[#This Row],[Quantidade ]]*S737),"")</f>
        <v/>
      </c>
    </row>
    <row r="738" spans="1:20" ht="15.75" x14ac:dyDescent="0.2">
      <c r="A738">
        <f>COUNTIF($C$2:C738,C738)</f>
        <v>737</v>
      </c>
      <c r="B738" s="1" t="str">
        <f t="shared" si="48"/>
        <v>737</v>
      </c>
      <c r="C738" s="1" t="str">
        <f>IFERROR(VLOOKUP(D738,'Planilha de Cadastro - Previsão'!$A$2:$N$1000,14,FALSE()),"")</f>
        <v/>
      </c>
      <c r="D738" s="1">
        <v>737</v>
      </c>
      <c r="F738" s="40" t="str">
        <f t="shared" si="47"/>
        <v/>
      </c>
      <c r="G738" s="40" t="str">
        <f>IF(F738="","",'Prosposta Inicial'!$O$2)</f>
        <v/>
      </c>
      <c r="H738" s="40" t="str">
        <f t="shared" si="46"/>
        <v xml:space="preserve"> </v>
      </c>
      <c r="I738" s="41" t="str">
        <f>IFERROR((VLOOKUP(F738,'Planilha de Cadastro - Previsão'!$A$2:$N$1100,2,FALSE()))," ")</f>
        <v xml:space="preserve"> </v>
      </c>
      <c r="J738" s="40" t="str">
        <f>IFERROR((VLOOKUP(F738,'Planilha de Cadastro - Previsão'!$A$2:$N$1100,3,FALSE()))," ")</f>
        <v xml:space="preserve"> </v>
      </c>
      <c r="K738" s="40"/>
      <c r="L738" s="42" t="str">
        <f>IFERROR((VLOOKUP(F738,'Planilha de Cadastro - Previsão'!$A$2:$N$1100,11,FALSE()))," ")</f>
        <v xml:space="preserve"> </v>
      </c>
      <c r="M738" s="41" t="str">
        <f>IFERROR((IF(VLOOKUP(F738,'Planilha de Cadastro - Previsão'!$A$2:$N$1100,10,FALSE())="","",VLOOKUP(F738,'Planilha de Cadastro - Previsão'!$A$2:$N$1100,10,FALSE()))),"")</f>
        <v/>
      </c>
      <c r="N738" s="41"/>
      <c r="O738" s="41"/>
      <c r="P738" s="41" t="str">
        <f>IFERROR((IF(VLOOKUP(F738,'Acompanhamento da Licitação'!$F$2:$O$1000,10,FALSE())="","",VLOOKUP(F738,'Acompanhamento da Licitação'!$F$2:$O$1000,10,FALSE()))),"")</f>
        <v/>
      </c>
      <c r="R738" s="61" t="str">
        <f>IFERROR(IF(F738&gt;0,(Final[[#This Row],[Valor da Venda Real]]-Final[[#This Row],[Valor de Compra Previsto]]-4%*Final[[#This Row],[Valor da Venda Real]])/Final[[#This Row],[Valor da Venda Real]],""),"")</f>
        <v/>
      </c>
      <c r="S738" s="61" t="str">
        <f t="shared" si="49"/>
        <v/>
      </c>
      <c r="T738" s="23" t="str">
        <f>IFERROR((R738*Final[[#This Row],[Valor da Venda Real]]*Final[[#This Row],[Quantidade ]]*S738),"")</f>
        <v/>
      </c>
    </row>
    <row r="739" spans="1:20" ht="15.75" x14ac:dyDescent="0.2">
      <c r="A739">
        <f>COUNTIF($C$2:C739,C739)</f>
        <v>738</v>
      </c>
      <c r="B739" s="1" t="str">
        <f t="shared" si="48"/>
        <v>738</v>
      </c>
      <c r="C739" s="1" t="str">
        <f>IFERROR(VLOOKUP(D739,'Planilha de Cadastro - Previsão'!$A$2:$N$1000,14,FALSE()),"")</f>
        <v/>
      </c>
      <c r="D739" s="1">
        <v>738</v>
      </c>
      <c r="F739" s="40" t="str">
        <f t="shared" si="47"/>
        <v/>
      </c>
      <c r="G739" s="40" t="str">
        <f>IF(F739="","",'Prosposta Inicial'!$O$2)</f>
        <v/>
      </c>
      <c r="H739" s="40" t="str">
        <f t="shared" si="46"/>
        <v xml:space="preserve"> </v>
      </c>
      <c r="I739" s="41" t="str">
        <f>IFERROR((VLOOKUP(F739,'Planilha de Cadastro - Previsão'!$A$2:$N$1100,2,FALSE()))," ")</f>
        <v xml:space="preserve"> </v>
      </c>
      <c r="J739" s="40" t="str">
        <f>IFERROR((VLOOKUP(F739,'Planilha de Cadastro - Previsão'!$A$2:$N$1100,3,FALSE()))," ")</f>
        <v xml:space="preserve"> </v>
      </c>
      <c r="K739" s="40"/>
      <c r="L739" s="42" t="str">
        <f>IFERROR((VLOOKUP(F739,'Planilha de Cadastro - Previsão'!$A$2:$N$1100,11,FALSE()))," ")</f>
        <v xml:space="preserve"> </v>
      </c>
      <c r="M739" s="41" t="str">
        <f>IFERROR((IF(VLOOKUP(F739,'Planilha de Cadastro - Previsão'!$A$2:$N$1100,10,FALSE())="","",VLOOKUP(F739,'Planilha de Cadastro - Previsão'!$A$2:$N$1100,10,FALSE()))),"")</f>
        <v/>
      </c>
      <c r="N739" s="41"/>
      <c r="O739" s="41"/>
      <c r="P739" s="41" t="str">
        <f>IFERROR((IF(VLOOKUP(F739,'Acompanhamento da Licitação'!$F$2:$O$1000,10,FALSE())="","",VLOOKUP(F739,'Acompanhamento da Licitação'!$F$2:$O$1000,10,FALSE()))),"")</f>
        <v/>
      </c>
      <c r="R739" s="61" t="str">
        <f>IFERROR(IF(F739&gt;0,(Final[[#This Row],[Valor da Venda Real]]-Final[[#This Row],[Valor de Compra Previsto]]-4%*Final[[#This Row],[Valor da Venda Real]])/Final[[#This Row],[Valor da Venda Real]],""),"")</f>
        <v/>
      </c>
      <c r="S739" s="61" t="str">
        <f t="shared" si="49"/>
        <v/>
      </c>
      <c r="T739" s="23" t="str">
        <f>IFERROR((R739*Final[[#This Row],[Valor da Venda Real]]*Final[[#This Row],[Quantidade ]]*S739),"")</f>
        <v/>
      </c>
    </row>
    <row r="740" spans="1:20" ht="15.75" x14ac:dyDescent="0.2">
      <c r="A740">
        <f>COUNTIF($C$2:C740,C740)</f>
        <v>739</v>
      </c>
      <c r="B740" s="1" t="str">
        <f t="shared" si="48"/>
        <v>739</v>
      </c>
      <c r="C740" s="1" t="str">
        <f>IFERROR(VLOOKUP(D740,'Planilha de Cadastro - Previsão'!$A$2:$N$1000,14,FALSE()),"")</f>
        <v/>
      </c>
      <c r="D740" s="1">
        <v>739</v>
      </c>
      <c r="F740" s="40" t="str">
        <f t="shared" si="47"/>
        <v/>
      </c>
      <c r="G740" s="40" t="str">
        <f>IF(F740="","",'Prosposta Inicial'!$O$2)</f>
        <v/>
      </c>
      <c r="H740" s="40" t="str">
        <f t="shared" si="46"/>
        <v xml:space="preserve"> </v>
      </c>
      <c r="I740" s="41" t="str">
        <f>IFERROR((VLOOKUP(F740,'Planilha de Cadastro - Previsão'!$A$2:$N$1100,2,FALSE()))," ")</f>
        <v xml:space="preserve"> </v>
      </c>
      <c r="J740" s="40" t="str">
        <f>IFERROR((VLOOKUP(F740,'Planilha de Cadastro - Previsão'!$A$2:$N$1100,3,FALSE()))," ")</f>
        <v xml:space="preserve"> </v>
      </c>
      <c r="K740" s="40"/>
      <c r="L740" s="42" t="str">
        <f>IFERROR((VLOOKUP(F740,'Planilha de Cadastro - Previsão'!$A$2:$N$1100,11,FALSE()))," ")</f>
        <v xml:space="preserve"> </v>
      </c>
      <c r="M740" s="41" t="str">
        <f>IFERROR((IF(VLOOKUP(F740,'Planilha de Cadastro - Previsão'!$A$2:$N$1100,10,FALSE())="","",VLOOKUP(F740,'Planilha de Cadastro - Previsão'!$A$2:$N$1100,10,FALSE()))),"")</f>
        <v/>
      </c>
      <c r="N740" s="41"/>
      <c r="O740" s="41"/>
      <c r="P740" s="41" t="str">
        <f>IFERROR((IF(VLOOKUP(F740,'Acompanhamento da Licitação'!$F$2:$O$1000,10,FALSE())="","",VLOOKUP(F740,'Acompanhamento da Licitação'!$F$2:$O$1000,10,FALSE()))),"")</f>
        <v/>
      </c>
      <c r="R740" s="61" t="str">
        <f>IFERROR(IF(F740&gt;0,(Final[[#This Row],[Valor da Venda Real]]-Final[[#This Row],[Valor de Compra Previsto]]-4%*Final[[#This Row],[Valor da Venda Real]])/Final[[#This Row],[Valor da Venda Real]],""),"")</f>
        <v/>
      </c>
      <c r="S740" s="61" t="str">
        <f t="shared" si="49"/>
        <v/>
      </c>
      <c r="T740" s="23" t="str">
        <f>IFERROR((R740*Final[[#This Row],[Valor da Venda Real]]*Final[[#This Row],[Quantidade ]]*S740),"")</f>
        <v/>
      </c>
    </row>
    <row r="741" spans="1:20" ht="15.75" x14ac:dyDescent="0.2">
      <c r="A741">
        <f>COUNTIF($C$2:C741,C741)</f>
        <v>740</v>
      </c>
      <c r="B741" s="1" t="str">
        <f t="shared" si="48"/>
        <v>740</v>
      </c>
      <c r="C741" s="1" t="str">
        <f>IFERROR(VLOOKUP(D741,'Planilha de Cadastro - Previsão'!$A$2:$N$1000,14,FALSE()),"")</f>
        <v/>
      </c>
      <c r="D741" s="1">
        <v>740</v>
      </c>
      <c r="F741" s="40" t="str">
        <f t="shared" si="47"/>
        <v/>
      </c>
      <c r="G741" s="40" t="str">
        <f>IF(F741="","",'Prosposta Inicial'!$O$2)</f>
        <v/>
      </c>
      <c r="H741" s="40" t="str">
        <f t="shared" ref="H741:H804" si="50">CONCATENATE(F741,G741,I741)</f>
        <v xml:space="preserve"> </v>
      </c>
      <c r="I741" s="41" t="str">
        <f>IFERROR((VLOOKUP(F741,'Planilha de Cadastro - Previsão'!$A$2:$N$1100,2,FALSE()))," ")</f>
        <v xml:space="preserve"> </v>
      </c>
      <c r="J741" s="40" t="str">
        <f>IFERROR((VLOOKUP(F741,'Planilha de Cadastro - Previsão'!$A$2:$N$1100,3,FALSE()))," ")</f>
        <v xml:space="preserve"> </v>
      </c>
      <c r="K741" s="40"/>
      <c r="L741" s="42" t="str">
        <f>IFERROR((VLOOKUP(F741,'Planilha de Cadastro - Previsão'!$A$2:$N$1100,11,FALSE()))," ")</f>
        <v xml:space="preserve"> </v>
      </c>
      <c r="M741" s="41" t="str">
        <f>IFERROR((IF(VLOOKUP(F741,'Planilha de Cadastro - Previsão'!$A$2:$N$1100,10,FALSE())="","",VLOOKUP(F741,'Planilha de Cadastro - Previsão'!$A$2:$N$1100,10,FALSE()))),"")</f>
        <v/>
      </c>
      <c r="N741" s="41"/>
      <c r="O741" s="41"/>
      <c r="P741" s="41" t="str">
        <f>IFERROR((IF(VLOOKUP(F741,'Acompanhamento da Licitação'!$F$2:$O$1000,10,FALSE())="","",VLOOKUP(F741,'Acompanhamento da Licitação'!$F$2:$O$1000,10,FALSE()))),"")</f>
        <v/>
      </c>
      <c r="R741" s="61" t="str">
        <f>IFERROR(IF(F741&gt;0,(Final[[#This Row],[Valor da Venda Real]]-Final[[#This Row],[Valor de Compra Previsto]]-4%*Final[[#This Row],[Valor da Venda Real]])/Final[[#This Row],[Valor da Venda Real]],""),"")</f>
        <v/>
      </c>
      <c r="S741" s="61" t="str">
        <f t="shared" si="49"/>
        <v/>
      </c>
      <c r="T741" s="23" t="str">
        <f>IFERROR((R741*Final[[#This Row],[Valor da Venda Real]]*Final[[#This Row],[Quantidade ]]*S741),"")</f>
        <v/>
      </c>
    </row>
    <row r="742" spans="1:20" ht="15.75" x14ac:dyDescent="0.2">
      <c r="A742">
        <f>COUNTIF($C$2:C742,C742)</f>
        <v>741</v>
      </c>
      <c r="B742" s="1" t="str">
        <f t="shared" si="48"/>
        <v>741</v>
      </c>
      <c r="C742" s="1" t="str">
        <f>IFERROR(VLOOKUP(D742,'Planilha de Cadastro - Previsão'!$A$2:$N$1000,14,FALSE()),"")</f>
        <v/>
      </c>
      <c r="D742" s="1">
        <v>741</v>
      </c>
      <c r="F742" s="40" t="str">
        <f t="shared" si="47"/>
        <v/>
      </c>
      <c r="G742" s="40" t="str">
        <f>IF(F742="","",'Prosposta Inicial'!$O$2)</f>
        <v/>
      </c>
      <c r="H742" s="40" t="str">
        <f t="shared" si="50"/>
        <v xml:space="preserve"> </v>
      </c>
      <c r="I742" s="41" t="str">
        <f>IFERROR((VLOOKUP(F742,'Planilha de Cadastro - Previsão'!$A$2:$N$1100,2,FALSE()))," ")</f>
        <v xml:space="preserve"> </v>
      </c>
      <c r="J742" s="40" t="str">
        <f>IFERROR((VLOOKUP(F742,'Planilha de Cadastro - Previsão'!$A$2:$N$1100,3,FALSE()))," ")</f>
        <v xml:space="preserve"> </v>
      </c>
      <c r="K742" s="40"/>
      <c r="L742" s="42" t="str">
        <f>IFERROR((VLOOKUP(F742,'Planilha de Cadastro - Previsão'!$A$2:$N$1100,11,FALSE()))," ")</f>
        <v xml:space="preserve"> </v>
      </c>
      <c r="M742" s="41" t="str">
        <f>IFERROR((IF(VLOOKUP(F742,'Planilha de Cadastro - Previsão'!$A$2:$N$1100,10,FALSE())="","",VLOOKUP(F742,'Planilha de Cadastro - Previsão'!$A$2:$N$1100,10,FALSE()))),"")</f>
        <v/>
      </c>
      <c r="N742" s="41"/>
      <c r="O742" s="41"/>
      <c r="P742" s="41" t="str">
        <f>IFERROR((IF(VLOOKUP(F742,'Acompanhamento da Licitação'!$F$2:$O$1000,10,FALSE())="","",VLOOKUP(F742,'Acompanhamento da Licitação'!$F$2:$O$1000,10,FALSE()))),"")</f>
        <v/>
      </c>
      <c r="R742" s="61" t="str">
        <f>IFERROR(IF(F742&gt;0,(Final[[#This Row],[Valor da Venda Real]]-Final[[#This Row],[Valor de Compra Previsto]]-4%*Final[[#This Row],[Valor da Venda Real]])/Final[[#This Row],[Valor da Venda Real]],""),"")</f>
        <v/>
      </c>
      <c r="S742" s="61" t="str">
        <f t="shared" si="49"/>
        <v/>
      </c>
      <c r="T742" s="23" t="str">
        <f>IFERROR((R742*Final[[#This Row],[Valor da Venda Real]]*Final[[#This Row],[Quantidade ]]*S742),"")</f>
        <v/>
      </c>
    </row>
    <row r="743" spans="1:20" ht="15.75" x14ac:dyDescent="0.2">
      <c r="A743">
        <f>COUNTIF($C$2:C743,C743)</f>
        <v>742</v>
      </c>
      <c r="B743" s="1" t="str">
        <f t="shared" si="48"/>
        <v>742</v>
      </c>
      <c r="C743" s="1" t="str">
        <f>IFERROR(VLOOKUP(D743,'Planilha de Cadastro - Previsão'!$A$2:$N$1000,14,FALSE()),"")</f>
        <v/>
      </c>
      <c r="D743" s="1">
        <v>742</v>
      </c>
      <c r="F743" s="40" t="str">
        <f t="shared" si="47"/>
        <v/>
      </c>
      <c r="G743" s="40" t="str">
        <f>IF(F743="","",'Prosposta Inicial'!$O$2)</f>
        <v/>
      </c>
      <c r="H743" s="40" t="str">
        <f t="shared" si="50"/>
        <v xml:space="preserve"> </v>
      </c>
      <c r="I743" s="41" t="str">
        <f>IFERROR((VLOOKUP(F743,'Planilha de Cadastro - Previsão'!$A$2:$N$1100,2,FALSE()))," ")</f>
        <v xml:space="preserve"> </v>
      </c>
      <c r="J743" s="40" t="str">
        <f>IFERROR((VLOOKUP(F743,'Planilha de Cadastro - Previsão'!$A$2:$N$1100,3,FALSE()))," ")</f>
        <v xml:space="preserve"> </v>
      </c>
      <c r="K743" s="40"/>
      <c r="L743" s="42" t="str">
        <f>IFERROR((VLOOKUP(F743,'Planilha de Cadastro - Previsão'!$A$2:$N$1100,11,FALSE()))," ")</f>
        <v xml:space="preserve"> </v>
      </c>
      <c r="M743" s="41" t="str">
        <f>IFERROR((IF(VLOOKUP(F743,'Planilha de Cadastro - Previsão'!$A$2:$N$1100,10,FALSE())="","",VLOOKUP(F743,'Planilha de Cadastro - Previsão'!$A$2:$N$1100,10,FALSE()))),"")</f>
        <v/>
      </c>
      <c r="N743" s="41"/>
      <c r="O743" s="41"/>
      <c r="P743" s="41" t="str">
        <f>IFERROR((IF(VLOOKUP(F743,'Acompanhamento da Licitação'!$F$2:$O$1000,10,FALSE())="","",VLOOKUP(F743,'Acompanhamento da Licitação'!$F$2:$O$1000,10,FALSE()))),"")</f>
        <v/>
      </c>
      <c r="R743" s="61" t="str">
        <f>IFERROR(IF(F743&gt;0,(Final[[#This Row],[Valor da Venda Real]]-Final[[#This Row],[Valor de Compra Previsto]]-4%*Final[[#This Row],[Valor da Venda Real]])/Final[[#This Row],[Valor da Venda Real]],""),"")</f>
        <v/>
      </c>
      <c r="S743" s="61" t="str">
        <f t="shared" si="49"/>
        <v/>
      </c>
      <c r="T743" s="23" t="str">
        <f>IFERROR((R743*Final[[#This Row],[Valor da Venda Real]]*Final[[#This Row],[Quantidade ]]*S743),"")</f>
        <v/>
      </c>
    </row>
    <row r="744" spans="1:20" ht="15.75" x14ac:dyDescent="0.2">
      <c r="A744">
        <f>COUNTIF($C$2:C744,C744)</f>
        <v>743</v>
      </c>
      <c r="B744" s="1" t="str">
        <f t="shared" si="48"/>
        <v>743</v>
      </c>
      <c r="C744" s="1" t="str">
        <f>IFERROR(VLOOKUP(D744,'Planilha de Cadastro - Previsão'!$A$2:$N$1000,14,FALSE()),"")</f>
        <v/>
      </c>
      <c r="D744" s="1">
        <v>743</v>
      </c>
      <c r="F744" s="40" t="str">
        <f t="shared" si="47"/>
        <v/>
      </c>
      <c r="G744" s="40" t="str">
        <f>IF(F744="","",'Prosposta Inicial'!$O$2)</f>
        <v/>
      </c>
      <c r="H744" s="40" t="str">
        <f t="shared" si="50"/>
        <v xml:space="preserve"> </v>
      </c>
      <c r="I744" s="41" t="str">
        <f>IFERROR((VLOOKUP(F744,'Planilha de Cadastro - Previsão'!$A$2:$N$1100,2,FALSE()))," ")</f>
        <v xml:space="preserve"> </v>
      </c>
      <c r="J744" s="40" t="str">
        <f>IFERROR((VLOOKUP(F744,'Planilha de Cadastro - Previsão'!$A$2:$N$1100,3,FALSE()))," ")</f>
        <v xml:space="preserve"> </v>
      </c>
      <c r="K744" s="40"/>
      <c r="L744" s="42" t="str">
        <f>IFERROR((VLOOKUP(F744,'Planilha de Cadastro - Previsão'!$A$2:$N$1100,11,FALSE()))," ")</f>
        <v xml:space="preserve"> </v>
      </c>
      <c r="M744" s="41" t="str">
        <f>IFERROR((IF(VLOOKUP(F744,'Planilha de Cadastro - Previsão'!$A$2:$N$1100,10,FALSE())="","",VLOOKUP(F744,'Planilha de Cadastro - Previsão'!$A$2:$N$1100,10,FALSE()))),"")</f>
        <v/>
      </c>
      <c r="N744" s="41"/>
      <c r="O744" s="41"/>
      <c r="P744" s="41" t="str">
        <f>IFERROR((IF(VLOOKUP(F744,'Acompanhamento da Licitação'!$F$2:$O$1000,10,FALSE())="","",VLOOKUP(F744,'Acompanhamento da Licitação'!$F$2:$O$1000,10,FALSE()))),"")</f>
        <v/>
      </c>
      <c r="R744" s="61" t="str">
        <f>IFERROR(IF(F744&gt;0,(Final[[#This Row],[Valor da Venda Real]]-Final[[#This Row],[Valor de Compra Previsto]]-4%*Final[[#This Row],[Valor da Venda Real]])/Final[[#This Row],[Valor da Venda Real]],""),"")</f>
        <v/>
      </c>
      <c r="S744" s="61" t="str">
        <f t="shared" si="49"/>
        <v/>
      </c>
      <c r="T744" s="23" t="str">
        <f>IFERROR((R744*Final[[#This Row],[Valor da Venda Real]]*Final[[#This Row],[Quantidade ]]*S744),"")</f>
        <v/>
      </c>
    </row>
    <row r="745" spans="1:20" ht="15.75" x14ac:dyDescent="0.2">
      <c r="A745">
        <f>COUNTIF($C$2:C745,C745)</f>
        <v>744</v>
      </c>
      <c r="B745" s="1" t="str">
        <f t="shared" si="48"/>
        <v>744</v>
      </c>
      <c r="C745" s="1" t="str">
        <f>IFERROR(VLOOKUP(D745,'Planilha de Cadastro - Previsão'!$A$2:$N$1000,14,FALSE()),"")</f>
        <v/>
      </c>
      <c r="D745" s="1">
        <v>744</v>
      </c>
      <c r="F745" s="40" t="str">
        <f t="shared" si="47"/>
        <v/>
      </c>
      <c r="G745" s="40" t="str">
        <f>IF(F745="","",'Prosposta Inicial'!$O$2)</f>
        <v/>
      </c>
      <c r="H745" s="40" t="str">
        <f t="shared" si="50"/>
        <v xml:space="preserve"> </v>
      </c>
      <c r="I745" s="41" t="str">
        <f>IFERROR((VLOOKUP(F745,'Planilha de Cadastro - Previsão'!$A$2:$N$1100,2,FALSE()))," ")</f>
        <v xml:space="preserve"> </v>
      </c>
      <c r="J745" s="40" t="str">
        <f>IFERROR((VLOOKUP(F745,'Planilha de Cadastro - Previsão'!$A$2:$N$1100,3,FALSE()))," ")</f>
        <v xml:space="preserve"> </v>
      </c>
      <c r="K745" s="40"/>
      <c r="L745" s="42" t="str">
        <f>IFERROR((VLOOKUP(F745,'Planilha de Cadastro - Previsão'!$A$2:$N$1100,11,FALSE()))," ")</f>
        <v xml:space="preserve"> </v>
      </c>
      <c r="M745" s="41" t="str">
        <f>IFERROR((IF(VLOOKUP(F745,'Planilha de Cadastro - Previsão'!$A$2:$N$1100,10,FALSE())="","",VLOOKUP(F745,'Planilha de Cadastro - Previsão'!$A$2:$N$1100,10,FALSE()))),"")</f>
        <v/>
      </c>
      <c r="N745" s="41"/>
      <c r="O745" s="41"/>
      <c r="P745" s="41" t="str">
        <f>IFERROR((IF(VLOOKUP(F745,'Acompanhamento da Licitação'!$F$2:$O$1000,10,FALSE())="","",VLOOKUP(F745,'Acompanhamento da Licitação'!$F$2:$O$1000,10,FALSE()))),"")</f>
        <v/>
      </c>
      <c r="R745" s="61" t="str">
        <f>IFERROR(IF(F745&gt;0,(Final[[#This Row],[Valor da Venda Real]]-Final[[#This Row],[Valor de Compra Previsto]]-4%*Final[[#This Row],[Valor da Venda Real]])/Final[[#This Row],[Valor da Venda Real]],""),"")</f>
        <v/>
      </c>
      <c r="S745" s="61" t="str">
        <f t="shared" si="49"/>
        <v/>
      </c>
      <c r="T745" s="23" t="str">
        <f>IFERROR((R745*Final[[#This Row],[Valor da Venda Real]]*Final[[#This Row],[Quantidade ]]*S745),"")</f>
        <v/>
      </c>
    </row>
    <row r="746" spans="1:20" ht="15.75" x14ac:dyDescent="0.2">
      <c r="A746">
        <f>COUNTIF($C$2:C746,C746)</f>
        <v>745</v>
      </c>
      <c r="B746" s="1" t="str">
        <f t="shared" si="48"/>
        <v>745</v>
      </c>
      <c r="C746" s="1" t="str">
        <f>IFERROR(VLOOKUP(D746,'Planilha de Cadastro - Previsão'!$A$2:$N$1000,14,FALSE()),"")</f>
        <v/>
      </c>
      <c r="D746" s="1">
        <v>745</v>
      </c>
      <c r="F746" s="40" t="str">
        <f t="shared" si="47"/>
        <v/>
      </c>
      <c r="G746" s="40" t="str">
        <f>IF(F746="","",'Prosposta Inicial'!$O$2)</f>
        <v/>
      </c>
      <c r="H746" s="40" t="str">
        <f t="shared" si="50"/>
        <v xml:space="preserve"> </v>
      </c>
      <c r="I746" s="41" t="str">
        <f>IFERROR((VLOOKUP(F746,'Planilha de Cadastro - Previsão'!$A$2:$N$1100,2,FALSE()))," ")</f>
        <v xml:space="preserve"> </v>
      </c>
      <c r="J746" s="40" t="str">
        <f>IFERROR((VLOOKUP(F746,'Planilha de Cadastro - Previsão'!$A$2:$N$1100,3,FALSE()))," ")</f>
        <v xml:space="preserve"> </v>
      </c>
      <c r="K746" s="40"/>
      <c r="L746" s="42" t="str">
        <f>IFERROR((VLOOKUP(F746,'Planilha de Cadastro - Previsão'!$A$2:$N$1100,11,FALSE()))," ")</f>
        <v xml:space="preserve"> </v>
      </c>
      <c r="M746" s="41" t="str">
        <f>IFERROR((IF(VLOOKUP(F746,'Planilha de Cadastro - Previsão'!$A$2:$N$1100,10,FALSE())="","",VLOOKUP(F746,'Planilha de Cadastro - Previsão'!$A$2:$N$1100,10,FALSE()))),"")</f>
        <v/>
      </c>
      <c r="N746" s="41"/>
      <c r="O746" s="41"/>
      <c r="P746" s="41" t="str">
        <f>IFERROR((IF(VLOOKUP(F746,'Acompanhamento da Licitação'!$F$2:$O$1000,10,FALSE())="","",VLOOKUP(F746,'Acompanhamento da Licitação'!$F$2:$O$1000,10,FALSE()))),"")</f>
        <v/>
      </c>
      <c r="R746" s="61" t="str">
        <f>IFERROR(IF(F746&gt;0,(Final[[#This Row],[Valor da Venda Real]]-Final[[#This Row],[Valor de Compra Previsto]]-4%*Final[[#This Row],[Valor da Venda Real]])/Final[[#This Row],[Valor da Venda Real]],""),"")</f>
        <v/>
      </c>
      <c r="S746" s="61" t="str">
        <f t="shared" si="49"/>
        <v/>
      </c>
      <c r="T746" s="23" t="str">
        <f>IFERROR((R746*Final[[#This Row],[Valor da Venda Real]]*Final[[#This Row],[Quantidade ]]*S746),"")</f>
        <v/>
      </c>
    </row>
    <row r="747" spans="1:20" ht="15.75" x14ac:dyDescent="0.2">
      <c r="A747">
        <f>COUNTIF($C$2:C747,C747)</f>
        <v>746</v>
      </c>
      <c r="B747" s="1" t="str">
        <f t="shared" si="48"/>
        <v>746</v>
      </c>
      <c r="C747" s="1" t="str">
        <f>IFERROR(VLOOKUP(D747,'Planilha de Cadastro - Previsão'!$A$2:$N$1000,14,FALSE()),"")</f>
        <v/>
      </c>
      <c r="D747" s="1">
        <v>746</v>
      </c>
      <c r="F747" s="40" t="str">
        <f t="shared" si="47"/>
        <v/>
      </c>
      <c r="G747" s="40" t="str">
        <f>IF(F747="","",'Prosposta Inicial'!$O$2)</f>
        <v/>
      </c>
      <c r="H747" s="40" t="str">
        <f t="shared" si="50"/>
        <v xml:space="preserve"> </v>
      </c>
      <c r="I747" s="41" t="str">
        <f>IFERROR((VLOOKUP(F747,'Planilha de Cadastro - Previsão'!$A$2:$N$1100,2,FALSE()))," ")</f>
        <v xml:space="preserve"> </v>
      </c>
      <c r="J747" s="40" t="str">
        <f>IFERROR((VLOOKUP(F747,'Planilha de Cadastro - Previsão'!$A$2:$N$1100,3,FALSE()))," ")</f>
        <v xml:space="preserve"> </v>
      </c>
      <c r="K747" s="40"/>
      <c r="L747" s="42" t="str">
        <f>IFERROR((VLOOKUP(F747,'Planilha de Cadastro - Previsão'!$A$2:$N$1100,11,FALSE()))," ")</f>
        <v xml:space="preserve"> </v>
      </c>
      <c r="M747" s="41" t="str">
        <f>IFERROR((IF(VLOOKUP(F747,'Planilha de Cadastro - Previsão'!$A$2:$N$1100,10,FALSE())="","",VLOOKUP(F747,'Planilha de Cadastro - Previsão'!$A$2:$N$1100,10,FALSE()))),"")</f>
        <v/>
      </c>
      <c r="N747" s="41"/>
      <c r="O747" s="41"/>
      <c r="P747" s="41" t="str">
        <f>IFERROR((IF(VLOOKUP(F747,'Acompanhamento da Licitação'!$F$2:$O$1000,10,FALSE())="","",VLOOKUP(F747,'Acompanhamento da Licitação'!$F$2:$O$1000,10,FALSE()))),"")</f>
        <v/>
      </c>
      <c r="R747" s="61" t="str">
        <f>IFERROR(IF(F747&gt;0,(Final[[#This Row],[Valor da Venda Real]]-Final[[#This Row],[Valor de Compra Previsto]]-4%*Final[[#This Row],[Valor da Venda Real]])/Final[[#This Row],[Valor da Venda Real]],""),"")</f>
        <v/>
      </c>
      <c r="S747" s="61" t="str">
        <f t="shared" si="49"/>
        <v/>
      </c>
      <c r="T747" s="23" t="str">
        <f>IFERROR((R747*Final[[#This Row],[Valor da Venda Real]]*Final[[#This Row],[Quantidade ]]*S747),"")</f>
        <v/>
      </c>
    </row>
    <row r="748" spans="1:20" ht="15.75" x14ac:dyDescent="0.2">
      <c r="A748">
        <f>COUNTIF($C$2:C748,C748)</f>
        <v>747</v>
      </c>
      <c r="B748" s="1" t="str">
        <f t="shared" si="48"/>
        <v>747</v>
      </c>
      <c r="C748" s="1" t="str">
        <f>IFERROR(VLOOKUP(D748,'Planilha de Cadastro - Previsão'!$A$2:$N$1000,14,FALSE()),"")</f>
        <v/>
      </c>
      <c r="D748" s="1">
        <v>747</v>
      </c>
      <c r="F748" s="40" t="str">
        <f t="shared" si="47"/>
        <v/>
      </c>
      <c r="G748" s="40" t="str">
        <f>IF(F748="","",'Prosposta Inicial'!$O$2)</f>
        <v/>
      </c>
      <c r="H748" s="40" t="str">
        <f t="shared" si="50"/>
        <v xml:space="preserve"> </v>
      </c>
      <c r="I748" s="41" t="str">
        <f>IFERROR((VLOOKUP(F748,'Planilha de Cadastro - Previsão'!$A$2:$N$1100,2,FALSE()))," ")</f>
        <v xml:space="preserve"> </v>
      </c>
      <c r="J748" s="40" t="str">
        <f>IFERROR((VLOOKUP(F748,'Planilha de Cadastro - Previsão'!$A$2:$N$1100,3,FALSE()))," ")</f>
        <v xml:space="preserve"> </v>
      </c>
      <c r="K748" s="40"/>
      <c r="L748" s="42" t="str">
        <f>IFERROR((VLOOKUP(F748,'Planilha de Cadastro - Previsão'!$A$2:$N$1100,11,FALSE()))," ")</f>
        <v xml:space="preserve"> </v>
      </c>
      <c r="M748" s="41" t="str">
        <f>IFERROR((IF(VLOOKUP(F748,'Planilha de Cadastro - Previsão'!$A$2:$N$1100,10,FALSE())="","",VLOOKUP(F748,'Planilha de Cadastro - Previsão'!$A$2:$N$1100,10,FALSE()))),"")</f>
        <v/>
      </c>
      <c r="N748" s="41"/>
      <c r="O748" s="41"/>
      <c r="P748" s="41" t="str">
        <f>IFERROR((IF(VLOOKUP(F748,'Acompanhamento da Licitação'!$F$2:$O$1000,10,FALSE())="","",VLOOKUP(F748,'Acompanhamento da Licitação'!$F$2:$O$1000,10,FALSE()))),"")</f>
        <v/>
      </c>
      <c r="R748" s="61" t="str">
        <f>IFERROR(IF(F748&gt;0,(Final[[#This Row],[Valor da Venda Real]]-Final[[#This Row],[Valor de Compra Previsto]]-4%*Final[[#This Row],[Valor da Venda Real]])/Final[[#This Row],[Valor da Venda Real]],""),"")</f>
        <v/>
      </c>
      <c r="S748" s="61" t="str">
        <f t="shared" si="49"/>
        <v/>
      </c>
      <c r="T748" s="23" t="str">
        <f>IFERROR((R748*Final[[#This Row],[Valor da Venda Real]]*Final[[#This Row],[Quantidade ]]*S748),"")</f>
        <v/>
      </c>
    </row>
    <row r="749" spans="1:20" ht="15.75" x14ac:dyDescent="0.2">
      <c r="A749">
        <f>COUNTIF($C$2:C749,C749)</f>
        <v>748</v>
      </c>
      <c r="B749" s="1" t="str">
        <f t="shared" si="48"/>
        <v>748</v>
      </c>
      <c r="C749" s="1" t="str">
        <f>IFERROR(VLOOKUP(D749,'Planilha de Cadastro - Previsão'!$A$2:$N$1000,14,FALSE()),"")</f>
        <v/>
      </c>
      <c r="D749" s="1">
        <v>748</v>
      </c>
      <c r="F749" s="40" t="str">
        <f t="shared" si="47"/>
        <v/>
      </c>
      <c r="G749" s="40" t="str">
        <f>IF(F749="","",'Prosposta Inicial'!$O$2)</f>
        <v/>
      </c>
      <c r="H749" s="40" t="str">
        <f t="shared" si="50"/>
        <v xml:space="preserve"> </v>
      </c>
      <c r="I749" s="41" t="str">
        <f>IFERROR((VLOOKUP(F749,'Planilha de Cadastro - Previsão'!$A$2:$N$1100,2,FALSE()))," ")</f>
        <v xml:space="preserve"> </v>
      </c>
      <c r="J749" s="40" t="str">
        <f>IFERROR((VLOOKUP(F749,'Planilha de Cadastro - Previsão'!$A$2:$N$1100,3,FALSE()))," ")</f>
        <v xml:space="preserve"> </v>
      </c>
      <c r="K749" s="40"/>
      <c r="L749" s="42" t="str">
        <f>IFERROR((VLOOKUP(F749,'Planilha de Cadastro - Previsão'!$A$2:$N$1100,11,FALSE()))," ")</f>
        <v xml:space="preserve"> </v>
      </c>
      <c r="M749" s="41" t="str">
        <f>IFERROR((IF(VLOOKUP(F749,'Planilha de Cadastro - Previsão'!$A$2:$N$1100,10,FALSE())="","",VLOOKUP(F749,'Planilha de Cadastro - Previsão'!$A$2:$N$1100,10,FALSE()))),"")</f>
        <v/>
      </c>
      <c r="N749" s="41"/>
      <c r="O749" s="41"/>
      <c r="P749" s="41" t="str">
        <f>IFERROR((IF(VLOOKUP(F749,'Acompanhamento da Licitação'!$F$2:$O$1000,10,FALSE())="","",VLOOKUP(F749,'Acompanhamento da Licitação'!$F$2:$O$1000,10,FALSE()))),"")</f>
        <v/>
      </c>
      <c r="R749" s="61" t="str">
        <f>IFERROR(IF(F749&gt;0,(Final[[#This Row],[Valor da Venda Real]]-Final[[#This Row],[Valor de Compra Previsto]]-4%*Final[[#This Row],[Valor da Venda Real]])/Final[[#This Row],[Valor da Venda Real]],""),"")</f>
        <v/>
      </c>
      <c r="S749" s="61" t="str">
        <f t="shared" si="49"/>
        <v/>
      </c>
      <c r="T749" s="23" t="str">
        <f>IFERROR((R749*Final[[#This Row],[Valor da Venda Real]]*Final[[#This Row],[Quantidade ]]*S749),"")</f>
        <v/>
      </c>
    </row>
    <row r="750" spans="1:20" ht="15.75" x14ac:dyDescent="0.2">
      <c r="A750">
        <f>COUNTIF($C$2:C750,C750)</f>
        <v>749</v>
      </c>
      <c r="B750" s="1" t="str">
        <f t="shared" si="48"/>
        <v>749</v>
      </c>
      <c r="C750" s="1" t="str">
        <f>IFERROR(VLOOKUP(D750,'Planilha de Cadastro - Previsão'!$A$2:$N$1000,14,FALSE()),"")</f>
        <v/>
      </c>
      <c r="D750" s="1">
        <v>749</v>
      </c>
      <c r="F750" s="40" t="str">
        <f t="shared" si="47"/>
        <v/>
      </c>
      <c r="G750" s="40" t="str">
        <f>IF(F750="","",'Prosposta Inicial'!$O$2)</f>
        <v/>
      </c>
      <c r="H750" s="40" t="str">
        <f t="shared" si="50"/>
        <v xml:space="preserve"> </v>
      </c>
      <c r="I750" s="41" t="str">
        <f>IFERROR((VLOOKUP(F750,'Planilha de Cadastro - Previsão'!$A$2:$N$1100,2,FALSE()))," ")</f>
        <v xml:space="preserve"> </v>
      </c>
      <c r="J750" s="40" t="str">
        <f>IFERROR((VLOOKUP(F750,'Planilha de Cadastro - Previsão'!$A$2:$N$1100,3,FALSE()))," ")</f>
        <v xml:space="preserve"> </v>
      </c>
      <c r="K750" s="40"/>
      <c r="L750" s="42" t="str">
        <f>IFERROR((VLOOKUP(F750,'Planilha de Cadastro - Previsão'!$A$2:$N$1100,11,FALSE()))," ")</f>
        <v xml:space="preserve"> </v>
      </c>
      <c r="M750" s="41" t="str">
        <f>IFERROR((IF(VLOOKUP(F750,'Planilha de Cadastro - Previsão'!$A$2:$N$1100,10,FALSE())="","",VLOOKUP(F750,'Planilha de Cadastro - Previsão'!$A$2:$N$1100,10,FALSE()))),"")</f>
        <v/>
      </c>
      <c r="N750" s="41"/>
      <c r="O750" s="41"/>
      <c r="P750" s="41" t="str">
        <f>IFERROR((IF(VLOOKUP(F750,'Acompanhamento da Licitação'!$F$2:$O$1000,10,FALSE())="","",VLOOKUP(F750,'Acompanhamento da Licitação'!$F$2:$O$1000,10,FALSE()))),"")</f>
        <v/>
      </c>
      <c r="R750" s="61" t="str">
        <f>IFERROR(IF(F750&gt;0,(Final[[#This Row],[Valor da Venda Real]]-Final[[#This Row],[Valor de Compra Previsto]]-4%*Final[[#This Row],[Valor da Venda Real]])/Final[[#This Row],[Valor da Venda Real]],""),"")</f>
        <v/>
      </c>
      <c r="S750" s="61" t="str">
        <f t="shared" si="49"/>
        <v/>
      </c>
      <c r="T750" s="23" t="str">
        <f>IFERROR((R750*Final[[#This Row],[Valor da Venda Real]]*Final[[#This Row],[Quantidade ]]*S750),"")</f>
        <v/>
      </c>
    </row>
    <row r="751" spans="1:20" ht="15.75" x14ac:dyDescent="0.2">
      <c r="A751">
        <f>COUNTIF($C$2:C751,C751)</f>
        <v>750</v>
      </c>
      <c r="B751" s="1" t="str">
        <f t="shared" si="48"/>
        <v>750</v>
      </c>
      <c r="C751" s="1" t="str">
        <f>IFERROR(VLOOKUP(D751,'Planilha de Cadastro - Previsão'!$A$2:$N$1000,14,FALSE()),"")</f>
        <v/>
      </c>
      <c r="D751" s="1">
        <v>750</v>
      </c>
      <c r="F751" s="40" t="str">
        <f t="shared" si="47"/>
        <v/>
      </c>
      <c r="G751" s="40" t="str">
        <f>IF(F751="","",'Prosposta Inicial'!$O$2)</f>
        <v/>
      </c>
      <c r="H751" s="40" t="str">
        <f t="shared" si="50"/>
        <v xml:space="preserve"> </v>
      </c>
      <c r="I751" s="41" t="str">
        <f>IFERROR((VLOOKUP(F751,'Planilha de Cadastro - Previsão'!$A$2:$N$1100,2,FALSE()))," ")</f>
        <v xml:space="preserve"> </v>
      </c>
      <c r="J751" s="40" t="str">
        <f>IFERROR((VLOOKUP(F751,'Planilha de Cadastro - Previsão'!$A$2:$N$1100,3,FALSE()))," ")</f>
        <v xml:space="preserve"> </v>
      </c>
      <c r="K751" s="40"/>
      <c r="L751" s="42" t="str">
        <f>IFERROR((VLOOKUP(F751,'Planilha de Cadastro - Previsão'!$A$2:$N$1100,11,FALSE()))," ")</f>
        <v xml:space="preserve"> </v>
      </c>
      <c r="M751" s="41" t="str">
        <f>IFERROR((IF(VLOOKUP(F751,'Planilha de Cadastro - Previsão'!$A$2:$N$1100,10,FALSE())="","",VLOOKUP(F751,'Planilha de Cadastro - Previsão'!$A$2:$N$1100,10,FALSE()))),"")</f>
        <v/>
      </c>
      <c r="N751" s="41"/>
      <c r="O751" s="41"/>
      <c r="P751" s="41" t="str">
        <f>IFERROR((IF(VLOOKUP(F751,'Acompanhamento da Licitação'!$F$2:$O$1000,10,FALSE())="","",VLOOKUP(F751,'Acompanhamento da Licitação'!$F$2:$O$1000,10,FALSE()))),"")</f>
        <v/>
      </c>
      <c r="R751" s="61" t="str">
        <f>IFERROR(IF(F751&gt;0,(Final[[#This Row],[Valor da Venda Real]]-Final[[#This Row],[Valor de Compra Previsto]]-4%*Final[[#This Row],[Valor da Venda Real]])/Final[[#This Row],[Valor da Venda Real]],""),"")</f>
        <v/>
      </c>
      <c r="S751" s="61" t="str">
        <f t="shared" si="49"/>
        <v/>
      </c>
      <c r="T751" s="23" t="str">
        <f>IFERROR((R751*Final[[#This Row],[Valor da Venda Real]]*Final[[#This Row],[Quantidade ]]*S751),"")</f>
        <v/>
      </c>
    </row>
    <row r="752" spans="1:20" ht="15.75" x14ac:dyDescent="0.2">
      <c r="A752">
        <f>COUNTIF($C$2:C752,C752)</f>
        <v>751</v>
      </c>
      <c r="B752" s="1" t="str">
        <f t="shared" si="48"/>
        <v>751</v>
      </c>
      <c r="C752" s="1" t="str">
        <f>IFERROR(VLOOKUP(D752,'Planilha de Cadastro - Previsão'!$A$2:$N$1000,14,FALSE()),"")</f>
        <v/>
      </c>
      <c r="D752" s="1">
        <v>751</v>
      </c>
      <c r="F752" s="40" t="str">
        <f t="shared" si="47"/>
        <v/>
      </c>
      <c r="G752" s="40" t="str">
        <f>IF(F752="","",'Prosposta Inicial'!$O$2)</f>
        <v/>
      </c>
      <c r="H752" s="40" t="str">
        <f t="shared" si="50"/>
        <v xml:space="preserve"> </v>
      </c>
      <c r="I752" s="41" t="str">
        <f>IFERROR((VLOOKUP(F752,'Planilha de Cadastro - Previsão'!$A$2:$N$1100,2,FALSE()))," ")</f>
        <v xml:space="preserve"> </v>
      </c>
      <c r="J752" s="40" t="str">
        <f>IFERROR((VLOOKUP(F752,'Planilha de Cadastro - Previsão'!$A$2:$N$1100,3,FALSE()))," ")</f>
        <v xml:space="preserve"> </v>
      </c>
      <c r="K752" s="40"/>
      <c r="L752" s="42" t="str">
        <f>IFERROR((VLOOKUP(F752,'Planilha de Cadastro - Previsão'!$A$2:$N$1100,11,FALSE()))," ")</f>
        <v xml:space="preserve"> </v>
      </c>
      <c r="M752" s="41" t="str">
        <f>IFERROR((IF(VLOOKUP(F752,'Planilha de Cadastro - Previsão'!$A$2:$N$1100,10,FALSE())="","",VLOOKUP(F752,'Planilha de Cadastro - Previsão'!$A$2:$N$1100,10,FALSE()))),"")</f>
        <v/>
      </c>
      <c r="N752" s="41"/>
      <c r="O752" s="41"/>
      <c r="P752" s="41" t="str">
        <f>IFERROR((IF(VLOOKUP(F752,'Acompanhamento da Licitação'!$F$2:$O$1000,10,FALSE())="","",VLOOKUP(F752,'Acompanhamento da Licitação'!$F$2:$O$1000,10,FALSE()))),"")</f>
        <v/>
      </c>
      <c r="R752" s="61" t="str">
        <f>IFERROR(IF(F752&gt;0,(Final[[#This Row],[Valor da Venda Real]]-Final[[#This Row],[Valor de Compra Previsto]]-4%*Final[[#This Row],[Valor da Venda Real]])/Final[[#This Row],[Valor da Venda Real]],""),"")</f>
        <v/>
      </c>
      <c r="S752" s="61" t="str">
        <f t="shared" si="49"/>
        <v/>
      </c>
      <c r="T752" s="23" t="str">
        <f>IFERROR((R752*Final[[#This Row],[Valor da Venda Real]]*Final[[#This Row],[Quantidade ]]*S752),"")</f>
        <v/>
      </c>
    </row>
    <row r="753" spans="1:20" ht="15.75" x14ac:dyDescent="0.2">
      <c r="A753">
        <f>COUNTIF($C$2:C753,C753)</f>
        <v>752</v>
      </c>
      <c r="B753" s="1" t="str">
        <f t="shared" si="48"/>
        <v>752</v>
      </c>
      <c r="C753" s="1" t="str">
        <f>IFERROR(VLOOKUP(D753,'Planilha de Cadastro - Previsão'!$A$2:$N$1000,14,FALSE()),"")</f>
        <v/>
      </c>
      <c r="D753" s="1">
        <v>752</v>
      </c>
      <c r="F753" s="40" t="str">
        <f t="shared" si="47"/>
        <v/>
      </c>
      <c r="G753" s="40" t="str">
        <f>IF(F753="","",'Prosposta Inicial'!$O$2)</f>
        <v/>
      </c>
      <c r="H753" s="40" t="str">
        <f t="shared" si="50"/>
        <v xml:space="preserve"> </v>
      </c>
      <c r="I753" s="41" t="str">
        <f>IFERROR((VLOOKUP(F753,'Planilha de Cadastro - Previsão'!$A$2:$N$1100,2,FALSE()))," ")</f>
        <v xml:space="preserve"> </v>
      </c>
      <c r="J753" s="40" t="str">
        <f>IFERROR((VLOOKUP(F753,'Planilha de Cadastro - Previsão'!$A$2:$N$1100,3,FALSE()))," ")</f>
        <v xml:space="preserve"> </v>
      </c>
      <c r="K753" s="40"/>
      <c r="L753" s="42" t="str">
        <f>IFERROR((VLOOKUP(F753,'Planilha de Cadastro - Previsão'!$A$2:$N$1100,11,FALSE()))," ")</f>
        <v xml:space="preserve"> </v>
      </c>
      <c r="M753" s="41" t="str">
        <f>IFERROR((IF(VLOOKUP(F753,'Planilha de Cadastro - Previsão'!$A$2:$N$1100,10,FALSE())="","",VLOOKUP(F753,'Planilha de Cadastro - Previsão'!$A$2:$N$1100,10,FALSE()))),"")</f>
        <v/>
      </c>
      <c r="N753" s="41"/>
      <c r="O753" s="41"/>
      <c r="P753" s="41" t="str">
        <f>IFERROR((IF(VLOOKUP(F753,'Acompanhamento da Licitação'!$F$2:$O$1000,10,FALSE())="","",VLOOKUP(F753,'Acompanhamento da Licitação'!$F$2:$O$1000,10,FALSE()))),"")</f>
        <v/>
      </c>
      <c r="R753" s="61" t="str">
        <f>IFERROR(IF(F753&gt;0,(Final[[#This Row],[Valor da Venda Real]]-Final[[#This Row],[Valor de Compra Previsto]]-4%*Final[[#This Row],[Valor da Venda Real]])/Final[[#This Row],[Valor da Venda Real]],""),"")</f>
        <v/>
      </c>
      <c r="S753" s="61" t="str">
        <f t="shared" si="49"/>
        <v/>
      </c>
      <c r="T753" s="23" t="str">
        <f>IFERROR((R753*Final[[#This Row],[Valor da Venda Real]]*Final[[#This Row],[Quantidade ]]*S753),"")</f>
        <v/>
      </c>
    </row>
    <row r="754" spans="1:20" ht="15.75" x14ac:dyDescent="0.2">
      <c r="A754">
        <f>COUNTIF($C$2:C754,C754)</f>
        <v>753</v>
      </c>
      <c r="B754" s="1" t="str">
        <f t="shared" si="48"/>
        <v>753</v>
      </c>
      <c r="C754" s="1" t="str">
        <f>IFERROR(VLOOKUP(D754,'Planilha de Cadastro - Previsão'!$A$2:$N$1000,14,FALSE()),"")</f>
        <v/>
      </c>
      <c r="D754" s="1">
        <v>753</v>
      </c>
      <c r="F754" s="40" t="str">
        <f t="shared" si="47"/>
        <v/>
      </c>
      <c r="G754" s="40" t="str">
        <f>IF(F754="","",'Prosposta Inicial'!$O$2)</f>
        <v/>
      </c>
      <c r="H754" s="40" t="str">
        <f t="shared" si="50"/>
        <v xml:space="preserve"> </v>
      </c>
      <c r="I754" s="41" t="str">
        <f>IFERROR((VLOOKUP(F754,'Planilha de Cadastro - Previsão'!$A$2:$N$1100,2,FALSE()))," ")</f>
        <v xml:space="preserve"> </v>
      </c>
      <c r="J754" s="40" t="str">
        <f>IFERROR((VLOOKUP(F754,'Planilha de Cadastro - Previsão'!$A$2:$N$1100,3,FALSE()))," ")</f>
        <v xml:space="preserve"> </v>
      </c>
      <c r="K754" s="40"/>
      <c r="L754" s="42" t="str">
        <f>IFERROR((VLOOKUP(F754,'Planilha de Cadastro - Previsão'!$A$2:$N$1100,11,FALSE()))," ")</f>
        <v xml:space="preserve"> </v>
      </c>
      <c r="M754" s="41" t="str">
        <f>IFERROR((IF(VLOOKUP(F754,'Planilha de Cadastro - Previsão'!$A$2:$N$1100,10,FALSE())="","",VLOOKUP(F754,'Planilha de Cadastro - Previsão'!$A$2:$N$1100,10,FALSE()))),"")</f>
        <v/>
      </c>
      <c r="N754" s="41"/>
      <c r="O754" s="41"/>
      <c r="P754" s="41" t="str">
        <f>IFERROR((IF(VLOOKUP(F754,'Acompanhamento da Licitação'!$F$2:$O$1000,10,FALSE())="","",VLOOKUP(F754,'Acompanhamento da Licitação'!$F$2:$O$1000,10,FALSE()))),"")</f>
        <v/>
      </c>
      <c r="R754" s="61" t="str">
        <f>IFERROR(IF(F754&gt;0,(Final[[#This Row],[Valor da Venda Real]]-Final[[#This Row],[Valor de Compra Previsto]]-4%*Final[[#This Row],[Valor da Venda Real]])/Final[[#This Row],[Valor da Venda Real]],""),"")</f>
        <v/>
      </c>
      <c r="S754" s="61" t="str">
        <f t="shared" si="49"/>
        <v/>
      </c>
      <c r="T754" s="23" t="str">
        <f>IFERROR((R754*Final[[#This Row],[Valor da Venda Real]]*Final[[#This Row],[Quantidade ]]*S754),"")</f>
        <v/>
      </c>
    </row>
    <row r="755" spans="1:20" ht="15.75" x14ac:dyDescent="0.2">
      <c r="A755">
        <f>COUNTIF($C$2:C755,C755)</f>
        <v>754</v>
      </c>
      <c r="B755" s="1" t="str">
        <f t="shared" si="48"/>
        <v>754</v>
      </c>
      <c r="C755" s="1" t="str">
        <f>IFERROR(VLOOKUP(D755,'Planilha de Cadastro - Previsão'!$A$2:$N$1000,14,FALSE()),"")</f>
        <v/>
      </c>
      <c r="D755" s="1">
        <v>754</v>
      </c>
      <c r="F755" s="40" t="str">
        <f t="shared" si="47"/>
        <v/>
      </c>
      <c r="G755" s="40" t="str">
        <f>IF(F755="","",'Prosposta Inicial'!$O$2)</f>
        <v/>
      </c>
      <c r="H755" s="40" t="str">
        <f t="shared" si="50"/>
        <v xml:space="preserve"> </v>
      </c>
      <c r="I755" s="41" t="str">
        <f>IFERROR((VLOOKUP(F755,'Planilha de Cadastro - Previsão'!$A$2:$N$1100,2,FALSE()))," ")</f>
        <v xml:space="preserve"> </v>
      </c>
      <c r="J755" s="40" t="str">
        <f>IFERROR((VLOOKUP(F755,'Planilha de Cadastro - Previsão'!$A$2:$N$1100,3,FALSE()))," ")</f>
        <v xml:space="preserve"> </v>
      </c>
      <c r="K755" s="40"/>
      <c r="L755" s="42" t="str">
        <f>IFERROR((VLOOKUP(F755,'Planilha de Cadastro - Previsão'!$A$2:$N$1100,11,FALSE()))," ")</f>
        <v xml:space="preserve"> </v>
      </c>
      <c r="M755" s="41" t="str">
        <f>IFERROR((IF(VLOOKUP(F755,'Planilha de Cadastro - Previsão'!$A$2:$N$1100,10,FALSE())="","",VLOOKUP(F755,'Planilha de Cadastro - Previsão'!$A$2:$N$1100,10,FALSE()))),"")</f>
        <v/>
      </c>
      <c r="N755" s="41"/>
      <c r="O755" s="41"/>
      <c r="P755" s="41" t="str">
        <f>IFERROR((IF(VLOOKUP(F755,'Acompanhamento da Licitação'!$F$2:$O$1000,10,FALSE())="","",VLOOKUP(F755,'Acompanhamento da Licitação'!$F$2:$O$1000,10,FALSE()))),"")</f>
        <v/>
      </c>
      <c r="R755" s="61" t="str">
        <f>IFERROR(IF(F755&gt;0,(Final[[#This Row],[Valor da Venda Real]]-Final[[#This Row],[Valor de Compra Previsto]]-4%*Final[[#This Row],[Valor da Venda Real]])/Final[[#This Row],[Valor da Venda Real]],""),"")</f>
        <v/>
      </c>
      <c r="S755" s="61" t="str">
        <f t="shared" si="49"/>
        <v/>
      </c>
      <c r="T755" s="23" t="str">
        <f>IFERROR((R755*Final[[#This Row],[Valor da Venda Real]]*Final[[#This Row],[Quantidade ]]*S755),"")</f>
        <v/>
      </c>
    </row>
    <row r="756" spans="1:20" ht="15.75" x14ac:dyDescent="0.2">
      <c r="A756">
        <f>COUNTIF($C$2:C756,C756)</f>
        <v>755</v>
      </c>
      <c r="B756" s="1" t="str">
        <f t="shared" si="48"/>
        <v>755</v>
      </c>
      <c r="C756" s="1" t="str">
        <f>IFERROR(VLOOKUP(D756,'Planilha de Cadastro - Previsão'!$A$2:$N$1000,14,FALSE()),"")</f>
        <v/>
      </c>
      <c r="D756" s="1">
        <v>755</v>
      </c>
      <c r="F756" s="40" t="str">
        <f t="shared" si="47"/>
        <v/>
      </c>
      <c r="G756" s="40" t="str">
        <f>IF(F756="","",'Prosposta Inicial'!$O$2)</f>
        <v/>
      </c>
      <c r="H756" s="40" t="str">
        <f t="shared" si="50"/>
        <v xml:space="preserve"> </v>
      </c>
      <c r="I756" s="41" t="str">
        <f>IFERROR((VLOOKUP(F756,'Planilha de Cadastro - Previsão'!$A$2:$N$1100,2,FALSE()))," ")</f>
        <v xml:space="preserve"> </v>
      </c>
      <c r="J756" s="40" t="str">
        <f>IFERROR((VLOOKUP(F756,'Planilha de Cadastro - Previsão'!$A$2:$N$1100,3,FALSE()))," ")</f>
        <v xml:space="preserve"> </v>
      </c>
      <c r="K756" s="40"/>
      <c r="L756" s="42" t="str">
        <f>IFERROR((VLOOKUP(F756,'Planilha de Cadastro - Previsão'!$A$2:$N$1100,11,FALSE()))," ")</f>
        <v xml:space="preserve"> </v>
      </c>
      <c r="M756" s="41" t="str">
        <f>IFERROR((IF(VLOOKUP(F756,'Planilha de Cadastro - Previsão'!$A$2:$N$1100,10,FALSE())="","",VLOOKUP(F756,'Planilha de Cadastro - Previsão'!$A$2:$N$1100,10,FALSE()))),"")</f>
        <v/>
      </c>
      <c r="N756" s="41"/>
      <c r="O756" s="41"/>
      <c r="P756" s="41" t="str">
        <f>IFERROR((IF(VLOOKUP(F756,'Acompanhamento da Licitação'!$F$2:$O$1000,10,FALSE())="","",VLOOKUP(F756,'Acompanhamento da Licitação'!$F$2:$O$1000,10,FALSE()))),"")</f>
        <v/>
      </c>
      <c r="R756" s="61" t="str">
        <f>IFERROR(IF(F756&gt;0,(Final[[#This Row],[Valor da Venda Real]]-Final[[#This Row],[Valor de Compra Previsto]]-4%*Final[[#This Row],[Valor da Venda Real]])/Final[[#This Row],[Valor da Venda Real]],""),"")</f>
        <v/>
      </c>
      <c r="S756" s="61" t="str">
        <f t="shared" si="49"/>
        <v/>
      </c>
      <c r="T756" s="23" t="str">
        <f>IFERROR((R756*Final[[#This Row],[Valor da Venda Real]]*Final[[#This Row],[Quantidade ]]*S756),"")</f>
        <v/>
      </c>
    </row>
    <row r="757" spans="1:20" ht="15.75" x14ac:dyDescent="0.2">
      <c r="A757">
        <f>COUNTIF($C$2:C757,C757)</f>
        <v>756</v>
      </c>
      <c r="B757" s="1" t="str">
        <f t="shared" si="48"/>
        <v>756</v>
      </c>
      <c r="C757" s="1" t="str">
        <f>IFERROR(VLOOKUP(D757,'Planilha de Cadastro - Previsão'!$A$2:$N$1000,14,FALSE()),"")</f>
        <v/>
      </c>
      <c r="D757" s="1">
        <v>756</v>
      </c>
      <c r="F757" s="40" t="str">
        <f t="shared" si="47"/>
        <v/>
      </c>
      <c r="G757" s="40" t="str">
        <f>IF(F757="","",'Prosposta Inicial'!$O$2)</f>
        <v/>
      </c>
      <c r="H757" s="40" t="str">
        <f t="shared" si="50"/>
        <v xml:space="preserve"> </v>
      </c>
      <c r="I757" s="41" t="str">
        <f>IFERROR((VLOOKUP(F757,'Planilha de Cadastro - Previsão'!$A$2:$N$1100,2,FALSE()))," ")</f>
        <v xml:space="preserve"> </v>
      </c>
      <c r="J757" s="40" t="str">
        <f>IFERROR((VLOOKUP(F757,'Planilha de Cadastro - Previsão'!$A$2:$N$1100,3,FALSE()))," ")</f>
        <v xml:space="preserve"> </v>
      </c>
      <c r="K757" s="40"/>
      <c r="L757" s="42" t="str">
        <f>IFERROR((VLOOKUP(F757,'Planilha de Cadastro - Previsão'!$A$2:$N$1100,11,FALSE()))," ")</f>
        <v xml:space="preserve"> </v>
      </c>
      <c r="M757" s="41" t="str">
        <f>IFERROR((IF(VLOOKUP(F757,'Planilha de Cadastro - Previsão'!$A$2:$N$1100,10,FALSE())="","",VLOOKUP(F757,'Planilha de Cadastro - Previsão'!$A$2:$N$1100,10,FALSE()))),"")</f>
        <v/>
      </c>
      <c r="N757" s="41"/>
      <c r="O757" s="41"/>
      <c r="P757" s="41" t="str">
        <f>IFERROR((IF(VLOOKUP(F757,'Acompanhamento da Licitação'!$F$2:$O$1000,10,FALSE())="","",VLOOKUP(F757,'Acompanhamento da Licitação'!$F$2:$O$1000,10,FALSE()))),"")</f>
        <v/>
      </c>
      <c r="R757" s="61" t="str">
        <f>IFERROR(IF(F757&gt;0,(Final[[#This Row],[Valor da Venda Real]]-Final[[#This Row],[Valor de Compra Previsto]]-4%*Final[[#This Row],[Valor da Venda Real]])/Final[[#This Row],[Valor da Venda Real]],""),"")</f>
        <v/>
      </c>
      <c r="S757" s="61" t="str">
        <f t="shared" si="49"/>
        <v/>
      </c>
      <c r="T757" s="23" t="str">
        <f>IFERROR((R757*Final[[#This Row],[Valor da Venda Real]]*Final[[#This Row],[Quantidade ]]*S757),"")</f>
        <v/>
      </c>
    </row>
    <row r="758" spans="1:20" ht="15.75" x14ac:dyDescent="0.2">
      <c r="A758">
        <f>COUNTIF($C$2:C758,C758)</f>
        <v>757</v>
      </c>
      <c r="B758" s="1" t="str">
        <f t="shared" si="48"/>
        <v>757</v>
      </c>
      <c r="C758" s="1" t="str">
        <f>IFERROR(VLOOKUP(D758,'Planilha de Cadastro - Previsão'!$A$2:$N$1000,14,FALSE()),"")</f>
        <v/>
      </c>
      <c r="D758" s="1">
        <v>757</v>
      </c>
      <c r="F758" s="40" t="str">
        <f t="shared" si="47"/>
        <v/>
      </c>
      <c r="G758" s="40" t="str">
        <f>IF(F758="","",'Prosposta Inicial'!$O$2)</f>
        <v/>
      </c>
      <c r="H758" s="40" t="str">
        <f t="shared" si="50"/>
        <v xml:space="preserve"> </v>
      </c>
      <c r="I758" s="41" t="str">
        <f>IFERROR((VLOOKUP(F758,'Planilha de Cadastro - Previsão'!$A$2:$N$1100,2,FALSE()))," ")</f>
        <v xml:space="preserve"> </v>
      </c>
      <c r="J758" s="40" t="str">
        <f>IFERROR((VLOOKUP(F758,'Planilha de Cadastro - Previsão'!$A$2:$N$1100,3,FALSE()))," ")</f>
        <v xml:space="preserve"> </v>
      </c>
      <c r="K758" s="40"/>
      <c r="L758" s="42" t="str">
        <f>IFERROR((VLOOKUP(F758,'Planilha de Cadastro - Previsão'!$A$2:$N$1100,11,FALSE()))," ")</f>
        <v xml:space="preserve"> </v>
      </c>
      <c r="M758" s="41" t="str">
        <f>IFERROR((IF(VLOOKUP(F758,'Planilha de Cadastro - Previsão'!$A$2:$N$1100,10,FALSE())="","",VLOOKUP(F758,'Planilha de Cadastro - Previsão'!$A$2:$N$1100,10,FALSE()))),"")</f>
        <v/>
      </c>
      <c r="N758" s="41"/>
      <c r="O758" s="41"/>
      <c r="P758" s="41" t="str">
        <f>IFERROR((IF(VLOOKUP(F758,'Acompanhamento da Licitação'!$F$2:$O$1000,10,FALSE())="","",VLOOKUP(F758,'Acompanhamento da Licitação'!$F$2:$O$1000,10,FALSE()))),"")</f>
        <v/>
      </c>
      <c r="R758" s="61" t="str">
        <f>IFERROR(IF(F758&gt;0,(Final[[#This Row],[Valor da Venda Real]]-Final[[#This Row],[Valor de Compra Previsto]]-4%*Final[[#This Row],[Valor da Venda Real]])/Final[[#This Row],[Valor da Venda Real]],""),"")</f>
        <v/>
      </c>
      <c r="S758" s="61" t="str">
        <f t="shared" si="49"/>
        <v/>
      </c>
      <c r="T758" s="23" t="str">
        <f>IFERROR((R758*Final[[#This Row],[Valor da Venda Real]]*Final[[#This Row],[Quantidade ]]*S758),"")</f>
        <v/>
      </c>
    </row>
    <row r="759" spans="1:20" ht="15.75" x14ac:dyDescent="0.2">
      <c r="A759">
        <f>COUNTIF($C$2:C759,C759)</f>
        <v>758</v>
      </c>
      <c r="B759" s="1" t="str">
        <f t="shared" si="48"/>
        <v>758</v>
      </c>
      <c r="C759" s="1" t="str">
        <f>IFERROR(VLOOKUP(D759,'Planilha de Cadastro - Previsão'!$A$2:$N$1000,14,FALSE()),"")</f>
        <v/>
      </c>
      <c r="D759" s="1">
        <v>758</v>
      </c>
      <c r="F759" s="40" t="str">
        <f t="shared" si="47"/>
        <v/>
      </c>
      <c r="G759" s="40" t="str">
        <f>IF(F759="","",'Prosposta Inicial'!$O$2)</f>
        <v/>
      </c>
      <c r="H759" s="40" t="str">
        <f t="shared" si="50"/>
        <v xml:space="preserve"> </v>
      </c>
      <c r="I759" s="41" t="str">
        <f>IFERROR((VLOOKUP(F759,'Planilha de Cadastro - Previsão'!$A$2:$N$1100,2,FALSE()))," ")</f>
        <v xml:space="preserve"> </v>
      </c>
      <c r="J759" s="40" t="str">
        <f>IFERROR((VLOOKUP(F759,'Planilha de Cadastro - Previsão'!$A$2:$N$1100,3,FALSE()))," ")</f>
        <v xml:space="preserve"> </v>
      </c>
      <c r="K759" s="40"/>
      <c r="L759" s="42" t="str">
        <f>IFERROR((VLOOKUP(F759,'Planilha de Cadastro - Previsão'!$A$2:$N$1100,11,FALSE()))," ")</f>
        <v xml:space="preserve"> </v>
      </c>
      <c r="M759" s="41" t="str">
        <f>IFERROR((IF(VLOOKUP(F759,'Planilha de Cadastro - Previsão'!$A$2:$N$1100,10,FALSE())="","",VLOOKUP(F759,'Planilha de Cadastro - Previsão'!$A$2:$N$1100,10,FALSE()))),"")</f>
        <v/>
      </c>
      <c r="N759" s="41"/>
      <c r="O759" s="41"/>
      <c r="P759" s="41" t="str">
        <f>IFERROR((IF(VLOOKUP(F759,'Acompanhamento da Licitação'!$F$2:$O$1000,10,FALSE())="","",VLOOKUP(F759,'Acompanhamento da Licitação'!$F$2:$O$1000,10,FALSE()))),"")</f>
        <v/>
      </c>
      <c r="R759" s="61" t="str">
        <f>IFERROR(IF(F759&gt;0,(Final[[#This Row],[Valor da Venda Real]]-Final[[#This Row],[Valor de Compra Previsto]]-4%*Final[[#This Row],[Valor da Venda Real]])/Final[[#This Row],[Valor da Venda Real]],""),"")</f>
        <v/>
      </c>
      <c r="S759" s="61" t="str">
        <f t="shared" si="49"/>
        <v/>
      </c>
      <c r="T759" s="23" t="str">
        <f>IFERROR((R759*Final[[#This Row],[Valor da Venda Real]]*Final[[#This Row],[Quantidade ]]*S759),"")</f>
        <v/>
      </c>
    </row>
    <row r="760" spans="1:20" ht="15.75" x14ac:dyDescent="0.2">
      <c r="A760">
        <f>COUNTIF($C$2:C760,C760)</f>
        <v>759</v>
      </c>
      <c r="B760" s="1" t="str">
        <f t="shared" si="48"/>
        <v>759</v>
      </c>
      <c r="C760" s="1" t="str">
        <f>IFERROR(VLOOKUP(D760,'Planilha de Cadastro - Previsão'!$A$2:$N$1000,14,FALSE()),"")</f>
        <v/>
      </c>
      <c r="D760" s="1">
        <v>759</v>
      </c>
      <c r="F760" s="40" t="str">
        <f t="shared" si="47"/>
        <v/>
      </c>
      <c r="G760" s="40" t="str">
        <f>IF(F760="","",'Prosposta Inicial'!$O$2)</f>
        <v/>
      </c>
      <c r="H760" s="40" t="str">
        <f t="shared" si="50"/>
        <v xml:space="preserve"> </v>
      </c>
      <c r="I760" s="41" t="str">
        <f>IFERROR((VLOOKUP(F760,'Planilha de Cadastro - Previsão'!$A$2:$N$1100,2,FALSE()))," ")</f>
        <v xml:space="preserve"> </v>
      </c>
      <c r="J760" s="40" t="str">
        <f>IFERROR((VLOOKUP(F760,'Planilha de Cadastro - Previsão'!$A$2:$N$1100,3,FALSE()))," ")</f>
        <v xml:space="preserve"> </v>
      </c>
      <c r="K760" s="40"/>
      <c r="L760" s="42" t="str">
        <f>IFERROR((VLOOKUP(F760,'Planilha de Cadastro - Previsão'!$A$2:$N$1100,11,FALSE()))," ")</f>
        <v xml:space="preserve"> </v>
      </c>
      <c r="M760" s="41" t="str">
        <f>IFERROR((IF(VLOOKUP(F760,'Planilha de Cadastro - Previsão'!$A$2:$N$1100,10,FALSE())="","",VLOOKUP(F760,'Planilha de Cadastro - Previsão'!$A$2:$N$1100,10,FALSE()))),"")</f>
        <v/>
      </c>
      <c r="N760" s="41"/>
      <c r="O760" s="41"/>
      <c r="P760" s="41" t="str">
        <f>IFERROR((IF(VLOOKUP(F760,'Acompanhamento da Licitação'!$F$2:$O$1000,10,FALSE())="","",VLOOKUP(F760,'Acompanhamento da Licitação'!$F$2:$O$1000,10,FALSE()))),"")</f>
        <v/>
      </c>
      <c r="R760" s="61" t="str">
        <f>IFERROR(IF(F760&gt;0,(Final[[#This Row],[Valor da Venda Real]]-Final[[#This Row],[Valor de Compra Previsto]]-4%*Final[[#This Row],[Valor da Venda Real]])/Final[[#This Row],[Valor da Venda Real]],""),"")</f>
        <v/>
      </c>
      <c r="S760" s="61" t="str">
        <f t="shared" si="49"/>
        <v/>
      </c>
      <c r="T760" s="23" t="str">
        <f>IFERROR((R760*Final[[#This Row],[Valor da Venda Real]]*Final[[#This Row],[Quantidade ]]*S760),"")</f>
        <v/>
      </c>
    </row>
    <row r="761" spans="1:20" ht="15.75" x14ac:dyDescent="0.2">
      <c r="A761">
        <f>COUNTIF($C$2:C761,C761)</f>
        <v>760</v>
      </c>
      <c r="B761" s="1" t="str">
        <f t="shared" si="48"/>
        <v>760</v>
      </c>
      <c r="C761" s="1" t="str">
        <f>IFERROR(VLOOKUP(D761,'Planilha de Cadastro - Previsão'!$A$2:$N$1000,14,FALSE()),"")</f>
        <v/>
      </c>
      <c r="D761" s="1">
        <v>760</v>
      </c>
      <c r="F761" s="40" t="str">
        <f t="shared" si="47"/>
        <v/>
      </c>
      <c r="G761" s="40" t="str">
        <f>IF(F761="","",'Prosposta Inicial'!$O$2)</f>
        <v/>
      </c>
      <c r="H761" s="40" t="str">
        <f t="shared" si="50"/>
        <v xml:space="preserve"> </v>
      </c>
      <c r="I761" s="41" t="str">
        <f>IFERROR((VLOOKUP(F761,'Planilha de Cadastro - Previsão'!$A$2:$N$1100,2,FALSE()))," ")</f>
        <v xml:space="preserve"> </v>
      </c>
      <c r="J761" s="40" t="str">
        <f>IFERROR((VLOOKUP(F761,'Planilha de Cadastro - Previsão'!$A$2:$N$1100,3,FALSE()))," ")</f>
        <v xml:space="preserve"> </v>
      </c>
      <c r="K761" s="40"/>
      <c r="L761" s="42" t="str">
        <f>IFERROR((VLOOKUP(F761,'Planilha de Cadastro - Previsão'!$A$2:$N$1100,11,FALSE()))," ")</f>
        <v xml:space="preserve"> </v>
      </c>
      <c r="M761" s="41" t="str">
        <f>IFERROR((IF(VLOOKUP(F761,'Planilha de Cadastro - Previsão'!$A$2:$N$1100,10,FALSE())="","",VLOOKUP(F761,'Planilha de Cadastro - Previsão'!$A$2:$N$1100,10,FALSE()))),"")</f>
        <v/>
      </c>
      <c r="N761" s="41"/>
      <c r="O761" s="41"/>
      <c r="P761" s="41" t="str">
        <f>IFERROR((IF(VLOOKUP(F761,'Acompanhamento da Licitação'!$F$2:$O$1000,10,FALSE())="","",VLOOKUP(F761,'Acompanhamento da Licitação'!$F$2:$O$1000,10,FALSE()))),"")</f>
        <v/>
      </c>
      <c r="R761" s="61" t="str">
        <f>IFERROR(IF(F761&gt;0,(Final[[#This Row],[Valor da Venda Real]]-Final[[#This Row],[Valor de Compra Previsto]]-4%*Final[[#This Row],[Valor da Venda Real]])/Final[[#This Row],[Valor da Venda Real]],""),"")</f>
        <v/>
      </c>
      <c r="S761" s="61" t="str">
        <f t="shared" si="49"/>
        <v/>
      </c>
      <c r="T761" s="23" t="str">
        <f>IFERROR((R761*Final[[#This Row],[Valor da Venda Real]]*Final[[#This Row],[Quantidade ]]*S761),"")</f>
        <v/>
      </c>
    </row>
    <row r="762" spans="1:20" ht="15.75" x14ac:dyDescent="0.2">
      <c r="A762">
        <f>COUNTIF($C$2:C762,C762)</f>
        <v>761</v>
      </c>
      <c r="B762" s="1" t="str">
        <f t="shared" si="48"/>
        <v>761</v>
      </c>
      <c r="C762" s="1" t="str">
        <f>IFERROR(VLOOKUP(D762,'Planilha de Cadastro - Previsão'!$A$2:$N$1000,14,FALSE()),"")</f>
        <v/>
      </c>
      <c r="D762" s="1">
        <v>761</v>
      </c>
      <c r="F762" s="40" t="str">
        <f t="shared" si="47"/>
        <v/>
      </c>
      <c r="G762" s="40" t="str">
        <f>IF(F762="","",'Prosposta Inicial'!$O$2)</f>
        <v/>
      </c>
      <c r="H762" s="40" t="str">
        <f t="shared" si="50"/>
        <v xml:space="preserve"> </v>
      </c>
      <c r="I762" s="41" t="str">
        <f>IFERROR((VLOOKUP(F762,'Planilha de Cadastro - Previsão'!$A$2:$N$1100,2,FALSE()))," ")</f>
        <v xml:space="preserve"> </v>
      </c>
      <c r="J762" s="40" t="str">
        <f>IFERROR((VLOOKUP(F762,'Planilha de Cadastro - Previsão'!$A$2:$N$1100,3,FALSE()))," ")</f>
        <v xml:space="preserve"> </v>
      </c>
      <c r="K762" s="40"/>
      <c r="L762" s="42" t="str">
        <f>IFERROR((VLOOKUP(F762,'Planilha de Cadastro - Previsão'!$A$2:$N$1100,11,FALSE()))," ")</f>
        <v xml:space="preserve"> </v>
      </c>
      <c r="M762" s="41" t="str">
        <f>IFERROR((IF(VLOOKUP(F762,'Planilha de Cadastro - Previsão'!$A$2:$N$1100,10,FALSE())="","",VLOOKUP(F762,'Planilha de Cadastro - Previsão'!$A$2:$N$1100,10,FALSE()))),"")</f>
        <v/>
      </c>
      <c r="N762" s="41"/>
      <c r="O762" s="41"/>
      <c r="P762" s="41" t="str">
        <f>IFERROR((IF(VLOOKUP(F762,'Acompanhamento da Licitação'!$F$2:$O$1000,10,FALSE())="","",VLOOKUP(F762,'Acompanhamento da Licitação'!$F$2:$O$1000,10,FALSE()))),"")</f>
        <v/>
      </c>
      <c r="R762" s="61" t="str">
        <f>IFERROR(IF(F762&gt;0,(Final[[#This Row],[Valor da Venda Real]]-Final[[#This Row],[Valor de Compra Previsto]]-4%*Final[[#This Row],[Valor da Venda Real]])/Final[[#This Row],[Valor da Venda Real]],""),"")</f>
        <v/>
      </c>
      <c r="S762" s="61" t="str">
        <f t="shared" si="49"/>
        <v/>
      </c>
      <c r="T762" s="23" t="str">
        <f>IFERROR((R762*Final[[#This Row],[Valor da Venda Real]]*Final[[#This Row],[Quantidade ]]*S762),"")</f>
        <v/>
      </c>
    </row>
    <row r="763" spans="1:20" ht="15.75" x14ac:dyDescent="0.2">
      <c r="A763">
        <f>COUNTIF($C$2:C763,C763)</f>
        <v>762</v>
      </c>
      <c r="B763" s="1" t="str">
        <f t="shared" si="48"/>
        <v>762</v>
      </c>
      <c r="C763" s="1" t="str">
        <f>IFERROR(VLOOKUP(D763,'Planilha de Cadastro - Previsão'!$A$2:$N$1000,14,FALSE()),"")</f>
        <v/>
      </c>
      <c r="D763" s="1">
        <v>762</v>
      </c>
      <c r="F763" s="40" t="str">
        <f t="shared" si="47"/>
        <v/>
      </c>
      <c r="G763" s="40" t="str">
        <f>IF(F763="","",'Prosposta Inicial'!$O$2)</f>
        <v/>
      </c>
      <c r="H763" s="40" t="str">
        <f t="shared" si="50"/>
        <v xml:space="preserve"> </v>
      </c>
      <c r="I763" s="41" t="str">
        <f>IFERROR((VLOOKUP(F763,'Planilha de Cadastro - Previsão'!$A$2:$N$1100,2,FALSE()))," ")</f>
        <v xml:space="preserve"> </v>
      </c>
      <c r="J763" s="40" t="str">
        <f>IFERROR((VLOOKUP(F763,'Planilha de Cadastro - Previsão'!$A$2:$N$1100,3,FALSE()))," ")</f>
        <v xml:space="preserve"> </v>
      </c>
      <c r="K763" s="40"/>
      <c r="L763" s="42" t="str">
        <f>IFERROR((VLOOKUP(F763,'Planilha de Cadastro - Previsão'!$A$2:$N$1100,11,FALSE()))," ")</f>
        <v xml:space="preserve"> </v>
      </c>
      <c r="M763" s="41" t="str">
        <f>IFERROR((IF(VLOOKUP(F763,'Planilha de Cadastro - Previsão'!$A$2:$N$1100,10,FALSE())="","",VLOOKUP(F763,'Planilha de Cadastro - Previsão'!$A$2:$N$1100,10,FALSE()))),"")</f>
        <v/>
      </c>
      <c r="N763" s="41"/>
      <c r="O763" s="41"/>
      <c r="P763" s="41" t="str">
        <f>IFERROR((IF(VLOOKUP(F763,'Acompanhamento da Licitação'!$F$2:$O$1000,10,FALSE())="","",VLOOKUP(F763,'Acompanhamento da Licitação'!$F$2:$O$1000,10,FALSE()))),"")</f>
        <v/>
      </c>
      <c r="R763" s="61" t="str">
        <f>IFERROR(IF(F763&gt;0,(Final[[#This Row],[Valor da Venda Real]]-Final[[#This Row],[Valor de Compra Previsto]]-4%*Final[[#This Row],[Valor da Venda Real]])/Final[[#This Row],[Valor da Venda Real]],""),"")</f>
        <v/>
      </c>
      <c r="S763" s="61" t="str">
        <f t="shared" si="49"/>
        <v/>
      </c>
      <c r="T763" s="23" t="str">
        <f>IFERROR((R763*Final[[#This Row],[Valor da Venda Real]]*Final[[#This Row],[Quantidade ]]*S763),"")</f>
        <v/>
      </c>
    </row>
    <row r="764" spans="1:20" ht="15.75" x14ac:dyDescent="0.2">
      <c r="A764">
        <f>COUNTIF($C$2:C764,C764)</f>
        <v>763</v>
      </c>
      <c r="B764" s="1" t="str">
        <f t="shared" si="48"/>
        <v>763</v>
      </c>
      <c r="C764" s="1" t="str">
        <f>IFERROR(VLOOKUP(D764,'Planilha de Cadastro - Previsão'!$A$2:$N$1000,14,FALSE()),"")</f>
        <v/>
      </c>
      <c r="D764" s="1">
        <v>763</v>
      </c>
      <c r="F764" s="40" t="str">
        <f t="shared" si="47"/>
        <v/>
      </c>
      <c r="G764" s="40" t="str">
        <f>IF(F764="","",'Prosposta Inicial'!$O$2)</f>
        <v/>
      </c>
      <c r="H764" s="40" t="str">
        <f t="shared" si="50"/>
        <v xml:space="preserve"> </v>
      </c>
      <c r="I764" s="41" t="str">
        <f>IFERROR((VLOOKUP(F764,'Planilha de Cadastro - Previsão'!$A$2:$N$1100,2,FALSE()))," ")</f>
        <v xml:space="preserve"> </v>
      </c>
      <c r="J764" s="40" t="str">
        <f>IFERROR((VLOOKUP(F764,'Planilha de Cadastro - Previsão'!$A$2:$N$1100,3,FALSE()))," ")</f>
        <v xml:space="preserve"> </v>
      </c>
      <c r="K764" s="40"/>
      <c r="L764" s="42" t="str">
        <f>IFERROR((VLOOKUP(F764,'Planilha de Cadastro - Previsão'!$A$2:$N$1100,11,FALSE()))," ")</f>
        <v xml:space="preserve"> </v>
      </c>
      <c r="M764" s="41" t="str">
        <f>IFERROR((IF(VLOOKUP(F764,'Planilha de Cadastro - Previsão'!$A$2:$N$1100,10,FALSE())="","",VLOOKUP(F764,'Planilha de Cadastro - Previsão'!$A$2:$N$1100,10,FALSE()))),"")</f>
        <v/>
      </c>
      <c r="N764" s="41"/>
      <c r="O764" s="41"/>
      <c r="P764" s="41" t="str">
        <f>IFERROR((IF(VLOOKUP(F764,'Acompanhamento da Licitação'!$F$2:$O$1000,10,FALSE())="","",VLOOKUP(F764,'Acompanhamento da Licitação'!$F$2:$O$1000,10,FALSE()))),"")</f>
        <v/>
      </c>
      <c r="R764" s="61" t="str">
        <f>IFERROR(IF(F764&gt;0,(Final[[#This Row],[Valor da Venda Real]]-Final[[#This Row],[Valor de Compra Previsto]]-4%*Final[[#This Row],[Valor da Venda Real]])/Final[[#This Row],[Valor da Venda Real]],""),"")</f>
        <v/>
      </c>
      <c r="S764" s="61" t="str">
        <f t="shared" si="49"/>
        <v/>
      </c>
      <c r="T764" s="23" t="str">
        <f>IFERROR((R764*Final[[#This Row],[Valor da Venda Real]]*Final[[#This Row],[Quantidade ]]*S764),"")</f>
        <v/>
      </c>
    </row>
    <row r="765" spans="1:20" ht="15.75" x14ac:dyDescent="0.2">
      <c r="A765">
        <f>COUNTIF($C$2:C765,C765)</f>
        <v>764</v>
      </c>
      <c r="B765" s="1" t="str">
        <f t="shared" si="48"/>
        <v>764</v>
      </c>
      <c r="C765" s="1" t="str">
        <f>IFERROR(VLOOKUP(D765,'Planilha de Cadastro - Previsão'!$A$2:$N$1000,14,FALSE()),"")</f>
        <v/>
      </c>
      <c r="D765" s="1">
        <v>764</v>
      </c>
      <c r="F765" s="40" t="str">
        <f t="shared" si="47"/>
        <v/>
      </c>
      <c r="G765" s="40" t="str">
        <f>IF(F765="","",'Prosposta Inicial'!$O$2)</f>
        <v/>
      </c>
      <c r="H765" s="40" t="str">
        <f t="shared" si="50"/>
        <v xml:space="preserve"> </v>
      </c>
      <c r="I765" s="41" t="str">
        <f>IFERROR((VLOOKUP(F765,'Planilha de Cadastro - Previsão'!$A$2:$N$1100,2,FALSE()))," ")</f>
        <v xml:space="preserve"> </v>
      </c>
      <c r="J765" s="40" t="str">
        <f>IFERROR((VLOOKUP(F765,'Planilha de Cadastro - Previsão'!$A$2:$N$1100,3,FALSE()))," ")</f>
        <v xml:space="preserve"> </v>
      </c>
      <c r="K765" s="40"/>
      <c r="L765" s="42" t="str">
        <f>IFERROR((VLOOKUP(F765,'Planilha de Cadastro - Previsão'!$A$2:$N$1100,11,FALSE()))," ")</f>
        <v xml:space="preserve"> </v>
      </c>
      <c r="M765" s="41" t="str">
        <f>IFERROR((IF(VLOOKUP(F765,'Planilha de Cadastro - Previsão'!$A$2:$N$1100,10,FALSE())="","",VLOOKUP(F765,'Planilha de Cadastro - Previsão'!$A$2:$N$1100,10,FALSE()))),"")</f>
        <v/>
      </c>
      <c r="N765" s="41"/>
      <c r="O765" s="41"/>
      <c r="P765" s="41" t="str">
        <f>IFERROR((IF(VLOOKUP(F765,'Acompanhamento da Licitação'!$F$2:$O$1000,10,FALSE())="","",VLOOKUP(F765,'Acompanhamento da Licitação'!$F$2:$O$1000,10,FALSE()))),"")</f>
        <v/>
      </c>
      <c r="R765" s="61" t="str">
        <f>IFERROR(IF(F765&gt;0,(Final[[#This Row],[Valor da Venda Real]]-Final[[#This Row],[Valor de Compra Previsto]]-4%*Final[[#This Row],[Valor da Venda Real]])/Final[[#This Row],[Valor da Venda Real]],""),"")</f>
        <v/>
      </c>
      <c r="S765" s="61" t="str">
        <f t="shared" si="49"/>
        <v/>
      </c>
      <c r="T765" s="23" t="str">
        <f>IFERROR((R765*Final[[#This Row],[Valor da Venda Real]]*Final[[#This Row],[Quantidade ]]*S765),"")</f>
        <v/>
      </c>
    </row>
    <row r="766" spans="1:20" ht="15.75" x14ac:dyDescent="0.2">
      <c r="A766">
        <f>COUNTIF($C$2:C766,C766)</f>
        <v>765</v>
      </c>
      <c r="B766" s="1" t="str">
        <f t="shared" si="48"/>
        <v>765</v>
      </c>
      <c r="C766" s="1" t="str">
        <f>IFERROR(VLOOKUP(D766,'Planilha de Cadastro - Previsão'!$A$2:$N$1000,14,FALSE()),"")</f>
        <v/>
      </c>
      <c r="D766" s="1">
        <v>765</v>
      </c>
      <c r="F766" s="40" t="str">
        <f t="shared" si="47"/>
        <v/>
      </c>
      <c r="G766" s="40" t="str">
        <f>IF(F766="","",'Prosposta Inicial'!$O$2)</f>
        <v/>
      </c>
      <c r="H766" s="40" t="str">
        <f t="shared" si="50"/>
        <v xml:space="preserve"> </v>
      </c>
      <c r="I766" s="41" t="str">
        <f>IFERROR((VLOOKUP(F766,'Planilha de Cadastro - Previsão'!$A$2:$N$1100,2,FALSE()))," ")</f>
        <v xml:space="preserve"> </v>
      </c>
      <c r="J766" s="40" t="str">
        <f>IFERROR((VLOOKUP(F766,'Planilha de Cadastro - Previsão'!$A$2:$N$1100,3,FALSE()))," ")</f>
        <v xml:space="preserve"> </v>
      </c>
      <c r="K766" s="40"/>
      <c r="L766" s="42" t="str">
        <f>IFERROR((VLOOKUP(F766,'Planilha de Cadastro - Previsão'!$A$2:$N$1100,11,FALSE()))," ")</f>
        <v xml:space="preserve"> </v>
      </c>
      <c r="M766" s="41" t="str">
        <f>IFERROR((IF(VLOOKUP(F766,'Planilha de Cadastro - Previsão'!$A$2:$N$1100,10,FALSE())="","",VLOOKUP(F766,'Planilha de Cadastro - Previsão'!$A$2:$N$1100,10,FALSE()))),"")</f>
        <v/>
      </c>
      <c r="N766" s="41"/>
      <c r="O766" s="41"/>
      <c r="P766" s="41" t="str">
        <f>IFERROR((IF(VLOOKUP(F766,'Acompanhamento da Licitação'!$F$2:$O$1000,10,FALSE())="","",VLOOKUP(F766,'Acompanhamento da Licitação'!$F$2:$O$1000,10,FALSE()))),"")</f>
        <v/>
      </c>
      <c r="R766" s="61" t="str">
        <f>IFERROR(IF(F766&gt;0,(Final[[#This Row],[Valor da Venda Real]]-Final[[#This Row],[Valor de Compra Previsto]]-4%*Final[[#This Row],[Valor da Venda Real]])/Final[[#This Row],[Valor da Venda Real]],""),"")</f>
        <v/>
      </c>
      <c r="S766" s="61" t="str">
        <f t="shared" si="49"/>
        <v/>
      </c>
      <c r="T766" s="23" t="str">
        <f>IFERROR((R766*Final[[#This Row],[Valor da Venda Real]]*Final[[#This Row],[Quantidade ]]*S766),"")</f>
        <v/>
      </c>
    </row>
    <row r="767" spans="1:20" ht="15.75" x14ac:dyDescent="0.2">
      <c r="A767">
        <f>COUNTIF($C$2:C767,C767)</f>
        <v>766</v>
      </c>
      <c r="B767" s="1" t="str">
        <f t="shared" si="48"/>
        <v>766</v>
      </c>
      <c r="C767" s="1" t="str">
        <f>IFERROR(VLOOKUP(D767,'Planilha de Cadastro - Previsão'!$A$2:$N$1000,14,FALSE()),"")</f>
        <v/>
      </c>
      <c r="D767" s="1">
        <v>766</v>
      </c>
      <c r="F767" s="40" t="str">
        <f t="shared" si="47"/>
        <v/>
      </c>
      <c r="G767" s="40" t="str">
        <f>IF(F767="","",'Prosposta Inicial'!$O$2)</f>
        <v/>
      </c>
      <c r="H767" s="40" t="str">
        <f t="shared" si="50"/>
        <v xml:space="preserve"> </v>
      </c>
      <c r="I767" s="41" t="str">
        <f>IFERROR((VLOOKUP(F767,'Planilha de Cadastro - Previsão'!$A$2:$N$1100,2,FALSE()))," ")</f>
        <v xml:space="preserve"> </v>
      </c>
      <c r="J767" s="40" t="str">
        <f>IFERROR((VLOOKUP(F767,'Planilha de Cadastro - Previsão'!$A$2:$N$1100,3,FALSE()))," ")</f>
        <v xml:space="preserve"> </v>
      </c>
      <c r="K767" s="40"/>
      <c r="L767" s="42" t="str">
        <f>IFERROR((VLOOKUP(F767,'Planilha de Cadastro - Previsão'!$A$2:$N$1100,11,FALSE()))," ")</f>
        <v xml:space="preserve"> </v>
      </c>
      <c r="M767" s="41" t="str">
        <f>IFERROR((IF(VLOOKUP(F767,'Planilha de Cadastro - Previsão'!$A$2:$N$1100,10,FALSE())="","",VLOOKUP(F767,'Planilha de Cadastro - Previsão'!$A$2:$N$1100,10,FALSE()))),"")</f>
        <v/>
      </c>
      <c r="N767" s="41"/>
      <c r="O767" s="41"/>
      <c r="P767" s="41" t="str">
        <f>IFERROR((IF(VLOOKUP(F767,'Acompanhamento da Licitação'!$F$2:$O$1000,10,FALSE())="","",VLOOKUP(F767,'Acompanhamento da Licitação'!$F$2:$O$1000,10,FALSE()))),"")</f>
        <v/>
      </c>
      <c r="R767" s="61" t="str">
        <f>IFERROR(IF(F767&gt;0,(Final[[#This Row],[Valor da Venda Real]]-Final[[#This Row],[Valor de Compra Previsto]]-4%*Final[[#This Row],[Valor da Venda Real]])/Final[[#This Row],[Valor da Venda Real]],""),"")</f>
        <v/>
      </c>
      <c r="S767" s="61" t="str">
        <f t="shared" si="49"/>
        <v/>
      </c>
      <c r="T767" s="23" t="str">
        <f>IFERROR((R767*Final[[#This Row],[Valor da Venda Real]]*Final[[#This Row],[Quantidade ]]*S767),"")</f>
        <v/>
      </c>
    </row>
    <row r="768" spans="1:20" ht="15.75" x14ac:dyDescent="0.2">
      <c r="A768">
        <f>COUNTIF($C$2:C768,C768)</f>
        <v>767</v>
      </c>
      <c r="B768" s="1" t="str">
        <f t="shared" si="48"/>
        <v>767</v>
      </c>
      <c r="C768" s="1" t="str">
        <f>IFERROR(VLOOKUP(D768,'Planilha de Cadastro - Previsão'!$A$2:$N$1000,14,FALSE()),"")</f>
        <v/>
      </c>
      <c r="D768" s="1">
        <v>767</v>
      </c>
      <c r="F768" s="40" t="str">
        <f t="shared" si="47"/>
        <v/>
      </c>
      <c r="G768" s="40" t="str">
        <f>IF(F768="","",'Prosposta Inicial'!$O$2)</f>
        <v/>
      </c>
      <c r="H768" s="40" t="str">
        <f t="shared" si="50"/>
        <v xml:space="preserve"> </v>
      </c>
      <c r="I768" s="41" t="str">
        <f>IFERROR((VLOOKUP(F768,'Planilha de Cadastro - Previsão'!$A$2:$N$1100,2,FALSE()))," ")</f>
        <v xml:space="preserve"> </v>
      </c>
      <c r="J768" s="40" t="str">
        <f>IFERROR((VLOOKUP(F768,'Planilha de Cadastro - Previsão'!$A$2:$N$1100,3,FALSE()))," ")</f>
        <v xml:space="preserve"> </v>
      </c>
      <c r="K768" s="40"/>
      <c r="L768" s="42" t="str">
        <f>IFERROR((VLOOKUP(F768,'Planilha de Cadastro - Previsão'!$A$2:$N$1100,11,FALSE()))," ")</f>
        <v xml:space="preserve"> </v>
      </c>
      <c r="M768" s="41" t="str">
        <f>IFERROR((IF(VLOOKUP(F768,'Planilha de Cadastro - Previsão'!$A$2:$N$1100,10,FALSE())="","",VLOOKUP(F768,'Planilha de Cadastro - Previsão'!$A$2:$N$1100,10,FALSE()))),"")</f>
        <v/>
      </c>
      <c r="N768" s="41"/>
      <c r="O768" s="41"/>
      <c r="P768" s="41" t="str">
        <f>IFERROR((IF(VLOOKUP(F768,'Acompanhamento da Licitação'!$F$2:$O$1000,10,FALSE())="","",VLOOKUP(F768,'Acompanhamento da Licitação'!$F$2:$O$1000,10,FALSE()))),"")</f>
        <v/>
      </c>
      <c r="R768" s="61" t="str">
        <f>IFERROR(IF(F768&gt;0,(Final[[#This Row],[Valor da Venda Real]]-Final[[#This Row],[Valor de Compra Previsto]]-4%*Final[[#This Row],[Valor da Venda Real]])/Final[[#This Row],[Valor da Venda Real]],""),"")</f>
        <v/>
      </c>
      <c r="S768" s="61" t="str">
        <f t="shared" si="49"/>
        <v/>
      </c>
      <c r="T768" s="23" t="str">
        <f>IFERROR((R768*Final[[#This Row],[Valor da Venda Real]]*Final[[#This Row],[Quantidade ]]*S768),"")</f>
        <v/>
      </c>
    </row>
    <row r="769" spans="1:20" ht="15.75" x14ac:dyDescent="0.2">
      <c r="A769">
        <f>COUNTIF($C$2:C769,C769)</f>
        <v>768</v>
      </c>
      <c r="B769" s="1" t="str">
        <f t="shared" si="48"/>
        <v>768</v>
      </c>
      <c r="C769" s="1" t="str">
        <f>IFERROR(VLOOKUP(D769,'Planilha de Cadastro - Previsão'!$A$2:$N$1000,14,FALSE()),"")</f>
        <v/>
      </c>
      <c r="D769" s="1">
        <v>768</v>
      </c>
      <c r="F769" s="40" t="str">
        <f t="shared" si="47"/>
        <v/>
      </c>
      <c r="G769" s="40" t="str">
        <f>IF(F769="","",'Prosposta Inicial'!$O$2)</f>
        <v/>
      </c>
      <c r="H769" s="40" t="str">
        <f t="shared" si="50"/>
        <v xml:space="preserve"> </v>
      </c>
      <c r="I769" s="41" t="str">
        <f>IFERROR((VLOOKUP(F769,'Planilha de Cadastro - Previsão'!$A$2:$N$1100,2,FALSE()))," ")</f>
        <v xml:space="preserve"> </v>
      </c>
      <c r="J769" s="40" t="str">
        <f>IFERROR((VLOOKUP(F769,'Planilha de Cadastro - Previsão'!$A$2:$N$1100,3,FALSE()))," ")</f>
        <v xml:space="preserve"> </v>
      </c>
      <c r="K769" s="40"/>
      <c r="L769" s="42" t="str">
        <f>IFERROR((VLOOKUP(F769,'Planilha de Cadastro - Previsão'!$A$2:$N$1100,11,FALSE()))," ")</f>
        <v xml:space="preserve"> </v>
      </c>
      <c r="M769" s="41" t="str">
        <f>IFERROR((IF(VLOOKUP(F769,'Planilha de Cadastro - Previsão'!$A$2:$N$1100,10,FALSE())="","",VLOOKUP(F769,'Planilha de Cadastro - Previsão'!$A$2:$N$1100,10,FALSE()))),"")</f>
        <v/>
      </c>
      <c r="N769" s="41"/>
      <c r="O769" s="41"/>
      <c r="P769" s="41" t="str">
        <f>IFERROR((IF(VLOOKUP(F769,'Acompanhamento da Licitação'!$F$2:$O$1000,10,FALSE())="","",VLOOKUP(F769,'Acompanhamento da Licitação'!$F$2:$O$1000,10,FALSE()))),"")</f>
        <v/>
      </c>
      <c r="R769" s="61" t="str">
        <f>IFERROR(IF(F769&gt;0,(Final[[#This Row],[Valor da Venda Real]]-Final[[#This Row],[Valor de Compra Previsto]]-4%*Final[[#This Row],[Valor da Venda Real]])/Final[[#This Row],[Valor da Venda Real]],""),"")</f>
        <v/>
      </c>
      <c r="S769" s="61" t="str">
        <f t="shared" si="49"/>
        <v/>
      </c>
      <c r="T769" s="23" t="str">
        <f>IFERROR((R769*Final[[#This Row],[Valor da Venda Real]]*Final[[#This Row],[Quantidade ]]*S769),"")</f>
        <v/>
      </c>
    </row>
    <row r="770" spans="1:20" ht="15.75" x14ac:dyDescent="0.2">
      <c r="A770">
        <f>COUNTIF($C$2:C770,C770)</f>
        <v>769</v>
      </c>
      <c r="B770" s="1" t="str">
        <f t="shared" si="48"/>
        <v>769</v>
      </c>
      <c r="C770" s="1" t="str">
        <f>IFERROR(VLOOKUP(D770,'Planilha de Cadastro - Previsão'!$A$2:$N$1000,14,FALSE()),"")</f>
        <v/>
      </c>
      <c r="D770" s="1">
        <v>769</v>
      </c>
      <c r="F770" s="40" t="str">
        <f t="shared" ref="F770:F833" si="51">IFERROR((VLOOKUP(CONCATENATE("Sim",D770),$B$2:$D$1000,3,FALSE())),"")</f>
        <v/>
      </c>
      <c r="G770" s="40" t="str">
        <f>IF(F770="","",'Prosposta Inicial'!$O$2)</f>
        <v/>
      </c>
      <c r="H770" s="40" t="str">
        <f t="shared" si="50"/>
        <v xml:space="preserve"> </v>
      </c>
      <c r="I770" s="41" t="str">
        <f>IFERROR((VLOOKUP(F770,'Planilha de Cadastro - Previsão'!$A$2:$N$1100,2,FALSE()))," ")</f>
        <v xml:space="preserve"> </v>
      </c>
      <c r="J770" s="40" t="str">
        <f>IFERROR((VLOOKUP(F770,'Planilha de Cadastro - Previsão'!$A$2:$N$1100,3,FALSE()))," ")</f>
        <v xml:space="preserve"> </v>
      </c>
      <c r="K770" s="40"/>
      <c r="L770" s="42" t="str">
        <f>IFERROR((VLOOKUP(F770,'Planilha de Cadastro - Previsão'!$A$2:$N$1100,11,FALSE()))," ")</f>
        <v xml:space="preserve"> </v>
      </c>
      <c r="M770" s="41" t="str">
        <f>IFERROR((IF(VLOOKUP(F770,'Planilha de Cadastro - Previsão'!$A$2:$N$1100,10,FALSE())="","",VLOOKUP(F770,'Planilha de Cadastro - Previsão'!$A$2:$N$1100,10,FALSE()))),"")</f>
        <v/>
      </c>
      <c r="N770" s="41"/>
      <c r="O770" s="41"/>
      <c r="P770" s="41" t="str">
        <f>IFERROR((IF(VLOOKUP(F770,'Acompanhamento da Licitação'!$F$2:$O$1000,10,FALSE())="","",VLOOKUP(F770,'Acompanhamento da Licitação'!$F$2:$O$1000,10,FALSE()))),"")</f>
        <v/>
      </c>
      <c r="R770" s="61" t="str">
        <f>IFERROR(IF(F770&gt;0,(Final[[#This Row],[Valor da Venda Real]]-Final[[#This Row],[Valor de Compra Previsto]]-4%*Final[[#This Row],[Valor da Venda Real]])/Final[[#This Row],[Valor da Venda Real]],""),"")</f>
        <v/>
      </c>
      <c r="S770" s="61" t="str">
        <f t="shared" si="49"/>
        <v/>
      </c>
      <c r="T770" s="23" t="str">
        <f>IFERROR((R770*Final[[#This Row],[Valor da Venda Real]]*Final[[#This Row],[Quantidade ]]*S770),"")</f>
        <v/>
      </c>
    </row>
    <row r="771" spans="1:20" ht="15.75" x14ac:dyDescent="0.2">
      <c r="A771">
        <f>COUNTIF($C$2:C771,C771)</f>
        <v>770</v>
      </c>
      <c r="B771" s="1" t="str">
        <f t="shared" ref="B771:B834" si="52">IFERROR(CONCATENATE(C771,A771),"")</f>
        <v>770</v>
      </c>
      <c r="C771" s="1" t="str">
        <f>IFERROR(VLOOKUP(D771,'Planilha de Cadastro - Previsão'!$A$2:$N$1000,14,FALSE()),"")</f>
        <v/>
      </c>
      <c r="D771" s="1">
        <v>770</v>
      </c>
      <c r="F771" s="40" t="str">
        <f t="shared" si="51"/>
        <v/>
      </c>
      <c r="G771" s="40" t="str">
        <f>IF(F771="","",'Prosposta Inicial'!$O$2)</f>
        <v/>
      </c>
      <c r="H771" s="40" t="str">
        <f t="shared" si="50"/>
        <v xml:space="preserve"> </v>
      </c>
      <c r="I771" s="41" t="str">
        <f>IFERROR((VLOOKUP(F771,'Planilha de Cadastro - Previsão'!$A$2:$N$1100,2,FALSE()))," ")</f>
        <v xml:space="preserve"> </v>
      </c>
      <c r="J771" s="40" t="str">
        <f>IFERROR((VLOOKUP(F771,'Planilha de Cadastro - Previsão'!$A$2:$N$1100,3,FALSE()))," ")</f>
        <v xml:space="preserve"> </v>
      </c>
      <c r="K771" s="40"/>
      <c r="L771" s="42" t="str">
        <f>IFERROR((VLOOKUP(F771,'Planilha de Cadastro - Previsão'!$A$2:$N$1100,11,FALSE()))," ")</f>
        <v xml:space="preserve"> </v>
      </c>
      <c r="M771" s="41" t="str">
        <f>IFERROR((IF(VLOOKUP(F771,'Planilha de Cadastro - Previsão'!$A$2:$N$1100,10,FALSE())="","",VLOOKUP(F771,'Planilha de Cadastro - Previsão'!$A$2:$N$1100,10,FALSE()))),"")</f>
        <v/>
      </c>
      <c r="N771" s="41"/>
      <c r="O771" s="41"/>
      <c r="P771" s="41" t="str">
        <f>IFERROR((IF(VLOOKUP(F771,'Acompanhamento da Licitação'!$F$2:$O$1000,10,FALSE())="","",VLOOKUP(F771,'Acompanhamento da Licitação'!$F$2:$O$1000,10,FALSE()))),"")</f>
        <v/>
      </c>
      <c r="R771" s="61" t="str">
        <f>IFERROR(IF(F771&gt;0,(Final[[#This Row],[Valor da Venda Real]]-Final[[#This Row],[Valor de Compra Previsto]]-4%*Final[[#This Row],[Valor da Venda Real]])/Final[[#This Row],[Valor da Venda Real]],""),"")</f>
        <v/>
      </c>
      <c r="S771" s="61" t="str">
        <f t="shared" ref="S771:S834" si="53">IF(R771="","",IF(R771&lt;0.2,0.05,IF(R771&lt;0.25,0.1,IF(R771&lt;0.3,0.15,IF(R771&lt;0.35,0.2,IF(R771&lt;0.45,0.25,IF(R771&lt;0.5,0.3,IF(R771&lt;0.6,0.35,0.4))))))))</f>
        <v/>
      </c>
      <c r="T771" s="23" t="str">
        <f>IFERROR((R771*Final[[#This Row],[Valor da Venda Real]]*Final[[#This Row],[Quantidade ]]*S771),"")</f>
        <v/>
      </c>
    </row>
    <row r="772" spans="1:20" ht="15.75" x14ac:dyDescent="0.2">
      <c r="A772">
        <f>COUNTIF($C$2:C772,C772)</f>
        <v>771</v>
      </c>
      <c r="B772" s="1" t="str">
        <f t="shared" si="52"/>
        <v>771</v>
      </c>
      <c r="C772" s="1" t="str">
        <f>IFERROR(VLOOKUP(D772,'Planilha de Cadastro - Previsão'!$A$2:$N$1000,14,FALSE()),"")</f>
        <v/>
      </c>
      <c r="D772" s="1">
        <v>771</v>
      </c>
      <c r="F772" s="40" t="str">
        <f t="shared" si="51"/>
        <v/>
      </c>
      <c r="G772" s="40" t="str">
        <f>IF(F772="","",'Prosposta Inicial'!$O$2)</f>
        <v/>
      </c>
      <c r="H772" s="40" t="str">
        <f t="shared" si="50"/>
        <v xml:space="preserve"> </v>
      </c>
      <c r="I772" s="41" t="str">
        <f>IFERROR((VLOOKUP(F772,'Planilha de Cadastro - Previsão'!$A$2:$N$1100,2,FALSE()))," ")</f>
        <v xml:space="preserve"> </v>
      </c>
      <c r="J772" s="40" t="str">
        <f>IFERROR((VLOOKUP(F772,'Planilha de Cadastro - Previsão'!$A$2:$N$1100,3,FALSE()))," ")</f>
        <v xml:space="preserve"> </v>
      </c>
      <c r="K772" s="40"/>
      <c r="L772" s="42" t="str">
        <f>IFERROR((VLOOKUP(F772,'Planilha de Cadastro - Previsão'!$A$2:$N$1100,11,FALSE()))," ")</f>
        <v xml:space="preserve"> </v>
      </c>
      <c r="M772" s="41" t="str">
        <f>IFERROR((IF(VLOOKUP(F772,'Planilha de Cadastro - Previsão'!$A$2:$N$1100,10,FALSE())="","",VLOOKUP(F772,'Planilha de Cadastro - Previsão'!$A$2:$N$1100,10,FALSE()))),"")</f>
        <v/>
      </c>
      <c r="N772" s="41"/>
      <c r="O772" s="41"/>
      <c r="P772" s="41" t="str">
        <f>IFERROR((IF(VLOOKUP(F772,'Acompanhamento da Licitação'!$F$2:$O$1000,10,FALSE())="","",VLOOKUP(F772,'Acompanhamento da Licitação'!$F$2:$O$1000,10,FALSE()))),"")</f>
        <v/>
      </c>
      <c r="R772" s="61" t="str">
        <f>IFERROR(IF(F772&gt;0,(Final[[#This Row],[Valor da Venda Real]]-Final[[#This Row],[Valor de Compra Previsto]]-4%*Final[[#This Row],[Valor da Venda Real]])/Final[[#This Row],[Valor da Venda Real]],""),"")</f>
        <v/>
      </c>
      <c r="S772" s="61" t="str">
        <f t="shared" si="53"/>
        <v/>
      </c>
      <c r="T772" s="23" t="str">
        <f>IFERROR((R772*Final[[#This Row],[Valor da Venda Real]]*Final[[#This Row],[Quantidade ]]*S772),"")</f>
        <v/>
      </c>
    </row>
    <row r="773" spans="1:20" ht="15.75" x14ac:dyDescent="0.2">
      <c r="A773">
        <f>COUNTIF($C$2:C773,C773)</f>
        <v>772</v>
      </c>
      <c r="B773" s="1" t="str">
        <f t="shared" si="52"/>
        <v>772</v>
      </c>
      <c r="C773" s="1" t="str">
        <f>IFERROR(VLOOKUP(D773,'Planilha de Cadastro - Previsão'!$A$2:$N$1000,14,FALSE()),"")</f>
        <v/>
      </c>
      <c r="D773" s="1">
        <v>772</v>
      </c>
      <c r="F773" s="40" t="str">
        <f t="shared" si="51"/>
        <v/>
      </c>
      <c r="G773" s="40" t="str">
        <f>IF(F773="","",'Prosposta Inicial'!$O$2)</f>
        <v/>
      </c>
      <c r="H773" s="40" t="str">
        <f t="shared" si="50"/>
        <v xml:space="preserve"> </v>
      </c>
      <c r="I773" s="41" t="str">
        <f>IFERROR((VLOOKUP(F773,'Planilha de Cadastro - Previsão'!$A$2:$N$1100,2,FALSE()))," ")</f>
        <v xml:space="preserve"> </v>
      </c>
      <c r="J773" s="40" t="str">
        <f>IFERROR((VLOOKUP(F773,'Planilha de Cadastro - Previsão'!$A$2:$N$1100,3,FALSE()))," ")</f>
        <v xml:space="preserve"> </v>
      </c>
      <c r="K773" s="40"/>
      <c r="L773" s="42" t="str">
        <f>IFERROR((VLOOKUP(F773,'Planilha de Cadastro - Previsão'!$A$2:$N$1100,11,FALSE()))," ")</f>
        <v xml:space="preserve"> </v>
      </c>
      <c r="M773" s="41" t="str">
        <f>IFERROR((IF(VLOOKUP(F773,'Planilha de Cadastro - Previsão'!$A$2:$N$1100,10,FALSE())="","",VLOOKUP(F773,'Planilha de Cadastro - Previsão'!$A$2:$N$1100,10,FALSE()))),"")</f>
        <v/>
      </c>
      <c r="N773" s="41"/>
      <c r="O773" s="41"/>
      <c r="P773" s="41" t="str">
        <f>IFERROR((IF(VLOOKUP(F773,'Acompanhamento da Licitação'!$F$2:$O$1000,10,FALSE())="","",VLOOKUP(F773,'Acompanhamento da Licitação'!$F$2:$O$1000,10,FALSE()))),"")</f>
        <v/>
      </c>
      <c r="R773" s="61" t="str">
        <f>IFERROR(IF(F773&gt;0,(Final[[#This Row],[Valor da Venda Real]]-Final[[#This Row],[Valor de Compra Previsto]]-4%*Final[[#This Row],[Valor da Venda Real]])/Final[[#This Row],[Valor da Venda Real]],""),"")</f>
        <v/>
      </c>
      <c r="S773" s="61" t="str">
        <f t="shared" si="53"/>
        <v/>
      </c>
      <c r="T773" s="23" t="str">
        <f>IFERROR((R773*Final[[#This Row],[Valor da Venda Real]]*Final[[#This Row],[Quantidade ]]*S773),"")</f>
        <v/>
      </c>
    </row>
    <row r="774" spans="1:20" ht="15.75" x14ac:dyDescent="0.2">
      <c r="A774">
        <f>COUNTIF($C$2:C774,C774)</f>
        <v>773</v>
      </c>
      <c r="B774" s="1" t="str">
        <f t="shared" si="52"/>
        <v>773</v>
      </c>
      <c r="C774" s="1" t="str">
        <f>IFERROR(VLOOKUP(D774,'Planilha de Cadastro - Previsão'!$A$2:$N$1000,14,FALSE()),"")</f>
        <v/>
      </c>
      <c r="D774" s="1">
        <v>773</v>
      </c>
      <c r="F774" s="40" t="str">
        <f t="shared" si="51"/>
        <v/>
      </c>
      <c r="G774" s="40" t="str">
        <f>IF(F774="","",'Prosposta Inicial'!$O$2)</f>
        <v/>
      </c>
      <c r="H774" s="40" t="str">
        <f t="shared" si="50"/>
        <v xml:space="preserve"> </v>
      </c>
      <c r="I774" s="41" t="str">
        <f>IFERROR((VLOOKUP(F774,'Planilha de Cadastro - Previsão'!$A$2:$N$1100,2,FALSE()))," ")</f>
        <v xml:space="preserve"> </v>
      </c>
      <c r="J774" s="40" t="str">
        <f>IFERROR((VLOOKUP(F774,'Planilha de Cadastro - Previsão'!$A$2:$N$1100,3,FALSE()))," ")</f>
        <v xml:space="preserve"> </v>
      </c>
      <c r="K774" s="40"/>
      <c r="L774" s="42" t="str">
        <f>IFERROR((VLOOKUP(F774,'Planilha de Cadastro - Previsão'!$A$2:$N$1100,11,FALSE()))," ")</f>
        <v xml:space="preserve"> </v>
      </c>
      <c r="M774" s="41" t="str">
        <f>IFERROR((IF(VLOOKUP(F774,'Planilha de Cadastro - Previsão'!$A$2:$N$1100,10,FALSE())="","",VLOOKUP(F774,'Planilha de Cadastro - Previsão'!$A$2:$N$1100,10,FALSE()))),"")</f>
        <v/>
      </c>
      <c r="N774" s="41"/>
      <c r="O774" s="41"/>
      <c r="P774" s="41" t="str">
        <f>IFERROR((IF(VLOOKUP(F774,'Acompanhamento da Licitação'!$F$2:$O$1000,10,FALSE())="","",VLOOKUP(F774,'Acompanhamento da Licitação'!$F$2:$O$1000,10,FALSE()))),"")</f>
        <v/>
      </c>
      <c r="R774" s="61" t="str">
        <f>IFERROR(IF(F774&gt;0,(Final[[#This Row],[Valor da Venda Real]]-Final[[#This Row],[Valor de Compra Previsto]]-4%*Final[[#This Row],[Valor da Venda Real]])/Final[[#This Row],[Valor da Venda Real]],""),"")</f>
        <v/>
      </c>
      <c r="S774" s="61" t="str">
        <f t="shared" si="53"/>
        <v/>
      </c>
      <c r="T774" s="23" t="str">
        <f>IFERROR((R774*Final[[#This Row],[Valor da Venda Real]]*Final[[#This Row],[Quantidade ]]*S774),"")</f>
        <v/>
      </c>
    </row>
    <row r="775" spans="1:20" ht="15.75" x14ac:dyDescent="0.2">
      <c r="A775">
        <f>COUNTIF($C$2:C775,C775)</f>
        <v>774</v>
      </c>
      <c r="B775" s="1" t="str">
        <f t="shared" si="52"/>
        <v>774</v>
      </c>
      <c r="C775" s="1" t="str">
        <f>IFERROR(VLOOKUP(D775,'Planilha de Cadastro - Previsão'!$A$2:$N$1000,14,FALSE()),"")</f>
        <v/>
      </c>
      <c r="D775" s="1">
        <v>774</v>
      </c>
      <c r="F775" s="40" t="str">
        <f t="shared" si="51"/>
        <v/>
      </c>
      <c r="G775" s="40" t="str">
        <f>IF(F775="","",'Prosposta Inicial'!$O$2)</f>
        <v/>
      </c>
      <c r="H775" s="40" t="str">
        <f t="shared" si="50"/>
        <v xml:space="preserve"> </v>
      </c>
      <c r="I775" s="41" t="str">
        <f>IFERROR((VLOOKUP(F775,'Planilha de Cadastro - Previsão'!$A$2:$N$1100,2,FALSE()))," ")</f>
        <v xml:space="preserve"> </v>
      </c>
      <c r="J775" s="40" t="str">
        <f>IFERROR((VLOOKUP(F775,'Planilha de Cadastro - Previsão'!$A$2:$N$1100,3,FALSE()))," ")</f>
        <v xml:space="preserve"> </v>
      </c>
      <c r="K775" s="40"/>
      <c r="L775" s="42" t="str">
        <f>IFERROR((VLOOKUP(F775,'Planilha de Cadastro - Previsão'!$A$2:$N$1100,11,FALSE()))," ")</f>
        <v xml:space="preserve"> </v>
      </c>
      <c r="M775" s="41" t="str">
        <f>IFERROR((IF(VLOOKUP(F775,'Planilha de Cadastro - Previsão'!$A$2:$N$1100,10,FALSE())="","",VLOOKUP(F775,'Planilha de Cadastro - Previsão'!$A$2:$N$1100,10,FALSE()))),"")</f>
        <v/>
      </c>
      <c r="N775" s="41"/>
      <c r="O775" s="41"/>
      <c r="P775" s="41" t="str">
        <f>IFERROR((IF(VLOOKUP(F775,'Acompanhamento da Licitação'!$F$2:$O$1000,10,FALSE())="","",VLOOKUP(F775,'Acompanhamento da Licitação'!$F$2:$O$1000,10,FALSE()))),"")</f>
        <v/>
      </c>
      <c r="R775" s="61" t="str">
        <f>IFERROR(IF(F775&gt;0,(Final[[#This Row],[Valor da Venda Real]]-Final[[#This Row],[Valor de Compra Previsto]]-4%*Final[[#This Row],[Valor da Venda Real]])/Final[[#This Row],[Valor da Venda Real]],""),"")</f>
        <v/>
      </c>
      <c r="S775" s="61" t="str">
        <f t="shared" si="53"/>
        <v/>
      </c>
      <c r="T775" s="23" t="str">
        <f>IFERROR((R775*Final[[#This Row],[Valor da Venda Real]]*Final[[#This Row],[Quantidade ]]*S775),"")</f>
        <v/>
      </c>
    </row>
    <row r="776" spans="1:20" ht="15.75" x14ac:dyDescent="0.2">
      <c r="A776">
        <f>COUNTIF($C$2:C776,C776)</f>
        <v>775</v>
      </c>
      <c r="B776" s="1" t="str">
        <f t="shared" si="52"/>
        <v>775</v>
      </c>
      <c r="C776" s="1" t="str">
        <f>IFERROR(VLOOKUP(D776,'Planilha de Cadastro - Previsão'!$A$2:$N$1000,14,FALSE()),"")</f>
        <v/>
      </c>
      <c r="D776" s="1">
        <v>775</v>
      </c>
      <c r="F776" s="40" t="str">
        <f t="shared" si="51"/>
        <v/>
      </c>
      <c r="G776" s="40" t="str">
        <f>IF(F776="","",'Prosposta Inicial'!$O$2)</f>
        <v/>
      </c>
      <c r="H776" s="40" t="str">
        <f t="shared" si="50"/>
        <v xml:space="preserve"> </v>
      </c>
      <c r="I776" s="41" t="str">
        <f>IFERROR((VLOOKUP(F776,'Planilha de Cadastro - Previsão'!$A$2:$N$1100,2,FALSE()))," ")</f>
        <v xml:space="preserve"> </v>
      </c>
      <c r="J776" s="40" t="str">
        <f>IFERROR((VLOOKUP(F776,'Planilha de Cadastro - Previsão'!$A$2:$N$1100,3,FALSE()))," ")</f>
        <v xml:space="preserve"> </v>
      </c>
      <c r="K776" s="40"/>
      <c r="L776" s="42" t="str">
        <f>IFERROR((VLOOKUP(F776,'Planilha de Cadastro - Previsão'!$A$2:$N$1100,11,FALSE()))," ")</f>
        <v xml:space="preserve"> </v>
      </c>
      <c r="M776" s="41" t="str">
        <f>IFERROR((IF(VLOOKUP(F776,'Planilha de Cadastro - Previsão'!$A$2:$N$1100,10,FALSE())="","",VLOOKUP(F776,'Planilha de Cadastro - Previsão'!$A$2:$N$1100,10,FALSE()))),"")</f>
        <v/>
      </c>
      <c r="N776" s="41"/>
      <c r="O776" s="41"/>
      <c r="P776" s="41" t="str">
        <f>IFERROR((IF(VLOOKUP(F776,'Acompanhamento da Licitação'!$F$2:$O$1000,10,FALSE())="","",VLOOKUP(F776,'Acompanhamento da Licitação'!$F$2:$O$1000,10,FALSE()))),"")</f>
        <v/>
      </c>
      <c r="R776" s="61" t="str">
        <f>IFERROR(IF(F776&gt;0,(Final[[#This Row],[Valor da Venda Real]]-Final[[#This Row],[Valor de Compra Previsto]]-4%*Final[[#This Row],[Valor da Venda Real]])/Final[[#This Row],[Valor da Venda Real]],""),"")</f>
        <v/>
      </c>
      <c r="S776" s="61" t="str">
        <f t="shared" si="53"/>
        <v/>
      </c>
      <c r="T776" s="23" t="str">
        <f>IFERROR((R776*Final[[#This Row],[Valor da Venda Real]]*Final[[#This Row],[Quantidade ]]*S776),"")</f>
        <v/>
      </c>
    </row>
    <row r="777" spans="1:20" ht="15.75" x14ac:dyDescent="0.2">
      <c r="A777">
        <f>COUNTIF($C$2:C777,C777)</f>
        <v>776</v>
      </c>
      <c r="B777" s="1" t="str">
        <f t="shared" si="52"/>
        <v>776</v>
      </c>
      <c r="C777" s="1" t="str">
        <f>IFERROR(VLOOKUP(D777,'Planilha de Cadastro - Previsão'!$A$2:$N$1000,14,FALSE()),"")</f>
        <v/>
      </c>
      <c r="D777" s="1">
        <v>776</v>
      </c>
      <c r="F777" s="40" t="str">
        <f t="shared" si="51"/>
        <v/>
      </c>
      <c r="G777" s="40" t="str">
        <f>IF(F777="","",'Prosposta Inicial'!$O$2)</f>
        <v/>
      </c>
      <c r="H777" s="40" t="str">
        <f t="shared" si="50"/>
        <v xml:space="preserve"> </v>
      </c>
      <c r="I777" s="41" t="str">
        <f>IFERROR((VLOOKUP(F777,'Planilha de Cadastro - Previsão'!$A$2:$N$1100,2,FALSE()))," ")</f>
        <v xml:space="preserve"> </v>
      </c>
      <c r="J777" s="40" t="str">
        <f>IFERROR((VLOOKUP(F777,'Planilha de Cadastro - Previsão'!$A$2:$N$1100,3,FALSE()))," ")</f>
        <v xml:space="preserve"> </v>
      </c>
      <c r="K777" s="40"/>
      <c r="L777" s="42" t="str">
        <f>IFERROR((VLOOKUP(F777,'Planilha de Cadastro - Previsão'!$A$2:$N$1100,11,FALSE()))," ")</f>
        <v xml:space="preserve"> </v>
      </c>
      <c r="M777" s="41" t="str">
        <f>IFERROR((IF(VLOOKUP(F777,'Planilha de Cadastro - Previsão'!$A$2:$N$1100,10,FALSE())="","",VLOOKUP(F777,'Planilha de Cadastro - Previsão'!$A$2:$N$1100,10,FALSE()))),"")</f>
        <v/>
      </c>
      <c r="N777" s="41"/>
      <c r="O777" s="41"/>
      <c r="P777" s="41" t="str">
        <f>IFERROR((IF(VLOOKUP(F777,'Acompanhamento da Licitação'!$F$2:$O$1000,10,FALSE())="","",VLOOKUP(F777,'Acompanhamento da Licitação'!$F$2:$O$1000,10,FALSE()))),"")</f>
        <v/>
      </c>
      <c r="R777" s="61" t="str">
        <f>IFERROR(IF(F777&gt;0,(Final[[#This Row],[Valor da Venda Real]]-Final[[#This Row],[Valor de Compra Previsto]]-4%*Final[[#This Row],[Valor da Venda Real]])/Final[[#This Row],[Valor da Venda Real]],""),"")</f>
        <v/>
      </c>
      <c r="S777" s="61" t="str">
        <f t="shared" si="53"/>
        <v/>
      </c>
      <c r="T777" s="23" t="str">
        <f>IFERROR((R777*Final[[#This Row],[Valor da Venda Real]]*Final[[#This Row],[Quantidade ]]*S777),"")</f>
        <v/>
      </c>
    </row>
    <row r="778" spans="1:20" ht="15.75" x14ac:dyDescent="0.2">
      <c r="A778">
        <f>COUNTIF($C$2:C778,C778)</f>
        <v>777</v>
      </c>
      <c r="B778" s="1" t="str">
        <f t="shared" si="52"/>
        <v>777</v>
      </c>
      <c r="C778" s="1" t="str">
        <f>IFERROR(VLOOKUP(D778,'Planilha de Cadastro - Previsão'!$A$2:$N$1000,14,FALSE()),"")</f>
        <v/>
      </c>
      <c r="D778" s="1">
        <v>777</v>
      </c>
      <c r="F778" s="40" t="str">
        <f t="shared" si="51"/>
        <v/>
      </c>
      <c r="G778" s="40" t="str">
        <f>IF(F778="","",'Prosposta Inicial'!$O$2)</f>
        <v/>
      </c>
      <c r="H778" s="40" t="str">
        <f t="shared" si="50"/>
        <v xml:space="preserve"> </v>
      </c>
      <c r="I778" s="41" t="str">
        <f>IFERROR((VLOOKUP(F778,'Planilha de Cadastro - Previsão'!$A$2:$N$1100,2,FALSE()))," ")</f>
        <v xml:space="preserve"> </v>
      </c>
      <c r="J778" s="40" t="str">
        <f>IFERROR((VLOOKUP(F778,'Planilha de Cadastro - Previsão'!$A$2:$N$1100,3,FALSE()))," ")</f>
        <v xml:space="preserve"> </v>
      </c>
      <c r="K778" s="40"/>
      <c r="L778" s="42" t="str">
        <f>IFERROR((VLOOKUP(F778,'Planilha de Cadastro - Previsão'!$A$2:$N$1100,11,FALSE()))," ")</f>
        <v xml:space="preserve"> </v>
      </c>
      <c r="M778" s="41" t="str">
        <f>IFERROR((IF(VLOOKUP(F778,'Planilha de Cadastro - Previsão'!$A$2:$N$1100,10,FALSE())="","",VLOOKUP(F778,'Planilha de Cadastro - Previsão'!$A$2:$N$1100,10,FALSE()))),"")</f>
        <v/>
      </c>
      <c r="N778" s="41"/>
      <c r="O778" s="41"/>
      <c r="P778" s="41" t="str">
        <f>IFERROR((IF(VLOOKUP(F778,'Acompanhamento da Licitação'!$F$2:$O$1000,10,FALSE())="","",VLOOKUP(F778,'Acompanhamento da Licitação'!$F$2:$O$1000,10,FALSE()))),"")</f>
        <v/>
      </c>
      <c r="R778" s="61" t="str">
        <f>IFERROR(IF(F778&gt;0,(Final[[#This Row],[Valor da Venda Real]]-Final[[#This Row],[Valor de Compra Previsto]]-4%*Final[[#This Row],[Valor da Venda Real]])/Final[[#This Row],[Valor da Venda Real]],""),"")</f>
        <v/>
      </c>
      <c r="S778" s="61" t="str">
        <f t="shared" si="53"/>
        <v/>
      </c>
      <c r="T778" s="23" t="str">
        <f>IFERROR((R778*Final[[#This Row],[Valor da Venda Real]]*Final[[#This Row],[Quantidade ]]*S778),"")</f>
        <v/>
      </c>
    </row>
    <row r="779" spans="1:20" ht="15.75" x14ac:dyDescent="0.2">
      <c r="A779">
        <f>COUNTIF($C$2:C779,C779)</f>
        <v>778</v>
      </c>
      <c r="B779" s="1" t="str">
        <f t="shared" si="52"/>
        <v>778</v>
      </c>
      <c r="C779" s="1" t="str">
        <f>IFERROR(VLOOKUP(D779,'Planilha de Cadastro - Previsão'!$A$2:$N$1000,14,FALSE()),"")</f>
        <v/>
      </c>
      <c r="D779" s="1">
        <v>778</v>
      </c>
      <c r="F779" s="40" t="str">
        <f t="shared" si="51"/>
        <v/>
      </c>
      <c r="G779" s="40" t="str">
        <f>IF(F779="","",'Prosposta Inicial'!$O$2)</f>
        <v/>
      </c>
      <c r="H779" s="40" t="str">
        <f t="shared" si="50"/>
        <v xml:space="preserve"> </v>
      </c>
      <c r="I779" s="41" t="str">
        <f>IFERROR((VLOOKUP(F779,'Planilha de Cadastro - Previsão'!$A$2:$N$1100,2,FALSE()))," ")</f>
        <v xml:space="preserve"> </v>
      </c>
      <c r="J779" s="40" t="str">
        <f>IFERROR((VLOOKUP(F779,'Planilha de Cadastro - Previsão'!$A$2:$N$1100,3,FALSE()))," ")</f>
        <v xml:space="preserve"> </v>
      </c>
      <c r="K779" s="40"/>
      <c r="L779" s="42" t="str">
        <f>IFERROR((VLOOKUP(F779,'Planilha de Cadastro - Previsão'!$A$2:$N$1100,11,FALSE()))," ")</f>
        <v xml:space="preserve"> </v>
      </c>
      <c r="M779" s="41" t="str">
        <f>IFERROR((IF(VLOOKUP(F779,'Planilha de Cadastro - Previsão'!$A$2:$N$1100,10,FALSE())="","",VLOOKUP(F779,'Planilha de Cadastro - Previsão'!$A$2:$N$1100,10,FALSE()))),"")</f>
        <v/>
      </c>
      <c r="N779" s="41"/>
      <c r="O779" s="41"/>
      <c r="P779" s="41" t="str">
        <f>IFERROR((IF(VLOOKUP(F779,'Acompanhamento da Licitação'!$F$2:$O$1000,10,FALSE())="","",VLOOKUP(F779,'Acompanhamento da Licitação'!$F$2:$O$1000,10,FALSE()))),"")</f>
        <v/>
      </c>
      <c r="R779" s="61" t="str">
        <f>IFERROR(IF(F779&gt;0,(Final[[#This Row],[Valor da Venda Real]]-Final[[#This Row],[Valor de Compra Previsto]]-4%*Final[[#This Row],[Valor da Venda Real]])/Final[[#This Row],[Valor da Venda Real]],""),"")</f>
        <v/>
      </c>
      <c r="S779" s="61" t="str">
        <f t="shared" si="53"/>
        <v/>
      </c>
      <c r="T779" s="23" t="str">
        <f>IFERROR((R779*Final[[#This Row],[Valor da Venda Real]]*Final[[#This Row],[Quantidade ]]*S779),"")</f>
        <v/>
      </c>
    </row>
    <row r="780" spans="1:20" ht="15.75" x14ac:dyDescent="0.2">
      <c r="A780">
        <f>COUNTIF($C$2:C780,C780)</f>
        <v>779</v>
      </c>
      <c r="B780" s="1" t="str">
        <f t="shared" si="52"/>
        <v>779</v>
      </c>
      <c r="C780" s="1" t="str">
        <f>IFERROR(VLOOKUP(D780,'Planilha de Cadastro - Previsão'!$A$2:$N$1000,14,FALSE()),"")</f>
        <v/>
      </c>
      <c r="D780" s="1">
        <v>779</v>
      </c>
      <c r="F780" s="40" t="str">
        <f t="shared" si="51"/>
        <v/>
      </c>
      <c r="G780" s="40" t="str">
        <f>IF(F780="","",'Prosposta Inicial'!$O$2)</f>
        <v/>
      </c>
      <c r="H780" s="40" t="str">
        <f t="shared" si="50"/>
        <v xml:space="preserve"> </v>
      </c>
      <c r="I780" s="41" t="str">
        <f>IFERROR((VLOOKUP(F780,'Planilha de Cadastro - Previsão'!$A$2:$N$1100,2,FALSE()))," ")</f>
        <v xml:space="preserve"> </v>
      </c>
      <c r="J780" s="40" t="str">
        <f>IFERROR((VLOOKUP(F780,'Planilha de Cadastro - Previsão'!$A$2:$N$1100,3,FALSE()))," ")</f>
        <v xml:space="preserve"> </v>
      </c>
      <c r="K780" s="40"/>
      <c r="L780" s="42" t="str">
        <f>IFERROR((VLOOKUP(F780,'Planilha de Cadastro - Previsão'!$A$2:$N$1100,11,FALSE()))," ")</f>
        <v xml:space="preserve"> </v>
      </c>
      <c r="M780" s="41" t="str">
        <f>IFERROR((IF(VLOOKUP(F780,'Planilha de Cadastro - Previsão'!$A$2:$N$1100,10,FALSE())="","",VLOOKUP(F780,'Planilha de Cadastro - Previsão'!$A$2:$N$1100,10,FALSE()))),"")</f>
        <v/>
      </c>
      <c r="N780" s="41"/>
      <c r="O780" s="41"/>
      <c r="P780" s="41" t="str">
        <f>IFERROR((IF(VLOOKUP(F780,'Acompanhamento da Licitação'!$F$2:$O$1000,10,FALSE())="","",VLOOKUP(F780,'Acompanhamento da Licitação'!$F$2:$O$1000,10,FALSE()))),"")</f>
        <v/>
      </c>
      <c r="R780" s="61" t="str">
        <f>IFERROR(IF(F780&gt;0,(Final[[#This Row],[Valor da Venda Real]]-Final[[#This Row],[Valor de Compra Previsto]]-4%*Final[[#This Row],[Valor da Venda Real]])/Final[[#This Row],[Valor da Venda Real]],""),"")</f>
        <v/>
      </c>
      <c r="S780" s="61" t="str">
        <f t="shared" si="53"/>
        <v/>
      </c>
      <c r="T780" s="23" t="str">
        <f>IFERROR((R780*Final[[#This Row],[Valor da Venda Real]]*Final[[#This Row],[Quantidade ]]*S780),"")</f>
        <v/>
      </c>
    </row>
    <row r="781" spans="1:20" ht="15.75" x14ac:dyDescent="0.2">
      <c r="A781">
        <f>COUNTIF($C$2:C781,C781)</f>
        <v>780</v>
      </c>
      <c r="B781" s="1" t="str">
        <f t="shared" si="52"/>
        <v>780</v>
      </c>
      <c r="C781" s="1" t="str">
        <f>IFERROR(VLOOKUP(D781,'Planilha de Cadastro - Previsão'!$A$2:$N$1000,14,FALSE()),"")</f>
        <v/>
      </c>
      <c r="D781" s="1">
        <v>780</v>
      </c>
      <c r="F781" s="40" t="str">
        <f t="shared" si="51"/>
        <v/>
      </c>
      <c r="G781" s="40" t="str">
        <f>IF(F781="","",'Prosposta Inicial'!$O$2)</f>
        <v/>
      </c>
      <c r="H781" s="40" t="str">
        <f t="shared" si="50"/>
        <v xml:space="preserve"> </v>
      </c>
      <c r="I781" s="41" t="str">
        <f>IFERROR((VLOOKUP(F781,'Planilha de Cadastro - Previsão'!$A$2:$N$1100,2,FALSE()))," ")</f>
        <v xml:space="preserve"> </v>
      </c>
      <c r="J781" s="40" t="str">
        <f>IFERROR((VLOOKUP(F781,'Planilha de Cadastro - Previsão'!$A$2:$N$1100,3,FALSE()))," ")</f>
        <v xml:space="preserve"> </v>
      </c>
      <c r="K781" s="40"/>
      <c r="L781" s="42" t="str">
        <f>IFERROR((VLOOKUP(F781,'Planilha de Cadastro - Previsão'!$A$2:$N$1100,11,FALSE()))," ")</f>
        <v xml:space="preserve"> </v>
      </c>
      <c r="M781" s="41" t="str">
        <f>IFERROR((IF(VLOOKUP(F781,'Planilha de Cadastro - Previsão'!$A$2:$N$1100,10,FALSE())="","",VLOOKUP(F781,'Planilha de Cadastro - Previsão'!$A$2:$N$1100,10,FALSE()))),"")</f>
        <v/>
      </c>
      <c r="N781" s="41"/>
      <c r="O781" s="41"/>
      <c r="P781" s="41" t="str">
        <f>IFERROR((IF(VLOOKUP(F781,'Acompanhamento da Licitação'!$F$2:$O$1000,10,FALSE())="","",VLOOKUP(F781,'Acompanhamento da Licitação'!$F$2:$O$1000,10,FALSE()))),"")</f>
        <v/>
      </c>
      <c r="R781" s="61" t="str">
        <f>IFERROR(IF(F781&gt;0,(Final[[#This Row],[Valor da Venda Real]]-Final[[#This Row],[Valor de Compra Previsto]]-4%*Final[[#This Row],[Valor da Venda Real]])/Final[[#This Row],[Valor da Venda Real]],""),"")</f>
        <v/>
      </c>
      <c r="S781" s="61" t="str">
        <f t="shared" si="53"/>
        <v/>
      </c>
      <c r="T781" s="23" t="str">
        <f>IFERROR((R781*Final[[#This Row],[Valor da Venda Real]]*Final[[#This Row],[Quantidade ]]*S781),"")</f>
        <v/>
      </c>
    </row>
    <row r="782" spans="1:20" ht="15.75" x14ac:dyDescent="0.2">
      <c r="A782">
        <f>COUNTIF($C$2:C782,C782)</f>
        <v>781</v>
      </c>
      <c r="B782" s="1" t="str">
        <f t="shared" si="52"/>
        <v>781</v>
      </c>
      <c r="C782" s="1" t="str">
        <f>IFERROR(VLOOKUP(D782,'Planilha de Cadastro - Previsão'!$A$2:$N$1000,14,FALSE()),"")</f>
        <v/>
      </c>
      <c r="D782" s="1">
        <v>781</v>
      </c>
      <c r="F782" s="40" t="str">
        <f t="shared" si="51"/>
        <v/>
      </c>
      <c r="G782" s="40" t="str">
        <f>IF(F782="","",'Prosposta Inicial'!$O$2)</f>
        <v/>
      </c>
      <c r="H782" s="40" t="str">
        <f t="shared" si="50"/>
        <v xml:space="preserve"> </v>
      </c>
      <c r="I782" s="41" t="str">
        <f>IFERROR((VLOOKUP(F782,'Planilha de Cadastro - Previsão'!$A$2:$N$1100,2,FALSE()))," ")</f>
        <v xml:space="preserve"> </v>
      </c>
      <c r="J782" s="40" t="str">
        <f>IFERROR((VLOOKUP(F782,'Planilha de Cadastro - Previsão'!$A$2:$N$1100,3,FALSE()))," ")</f>
        <v xml:space="preserve"> </v>
      </c>
      <c r="K782" s="40"/>
      <c r="L782" s="42" t="str">
        <f>IFERROR((VLOOKUP(F782,'Planilha de Cadastro - Previsão'!$A$2:$N$1100,11,FALSE()))," ")</f>
        <v xml:space="preserve"> </v>
      </c>
      <c r="M782" s="41" t="str">
        <f>IFERROR((IF(VLOOKUP(F782,'Planilha de Cadastro - Previsão'!$A$2:$N$1100,10,FALSE())="","",VLOOKUP(F782,'Planilha de Cadastro - Previsão'!$A$2:$N$1100,10,FALSE()))),"")</f>
        <v/>
      </c>
      <c r="N782" s="41"/>
      <c r="O782" s="41"/>
      <c r="P782" s="41" t="str">
        <f>IFERROR((IF(VLOOKUP(F782,'Acompanhamento da Licitação'!$F$2:$O$1000,10,FALSE())="","",VLOOKUP(F782,'Acompanhamento da Licitação'!$F$2:$O$1000,10,FALSE()))),"")</f>
        <v/>
      </c>
      <c r="R782" s="61" t="str">
        <f>IFERROR(IF(F782&gt;0,(Final[[#This Row],[Valor da Venda Real]]-Final[[#This Row],[Valor de Compra Previsto]]-4%*Final[[#This Row],[Valor da Venda Real]])/Final[[#This Row],[Valor da Venda Real]],""),"")</f>
        <v/>
      </c>
      <c r="S782" s="61" t="str">
        <f t="shared" si="53"/>
        <v/>
      </c>
      <c r="T782" s="23" t="str">
        <f>IFERROR((R782*Final[[#This Row],[Valor da Venda Real]]*Final[[#This Row],[Quantidade ]]*S782),"")</f>
        <v/>
      </c>
    </row>
    <row r="783" spans="1:20" ht="15.75" x14ac:dyDescent="0.2">
      <c r="A783">
        <f>COUNTIF($C$2:C783,C783)</f>
        <v>782</v>
      </c>
      <c r="B783" s="1" t="str">
        <f t="shared" si="52"/>
        <v>782</v>
      </c>
      <c r="C783" s="1" t="str">
        <f>IFERROR(VLOOKUP(D783,'Planilha de Cadastro - Previsão'!$A$2:$N$1000,14,FALSE()),"")</f>
        <v/>
      </c>
      <c r="D783" s="1">
        <v>782</v>
      </c>
      <c r="F783" s="40" t="str">
        <f t="shared" si="51"/>
        <v/>
      </c>
      <c r="G783" s="40" t="str">
        <f>IF(F783="","",'Prosposta Inicial'!$O$2)</f>
        <v/>
      </c>
      <c r="H783" s="40" t="str">
        <f t="shared" si="50"/>
        <v xml:space="preserve"> </v>
      </c>
      <c r="I783" s="41" t="str">
        <f>IFERROR((VLOOKUP(F783,'Planilha de Cadastro - Previsão'!$A$2:$N$1100,2,FALSE()))," ")</f>
        <v xml:space="preserve"> </v>
      </c>
      <c r="J783" s="40" t="str">
        <f>IFERROR((VLOOKUP(F783,'Planilha de Cadastro - Previsão'!$A$2:$N$1100,3,FALSE()))," ")</f>
        <v xml:space="preserve"> </v>
      </c>
      <c r="K783" s="40"/>
      <c r="L783" s="42" t="str">
        <f>IFERROR((VLOOKUP(F783,'Planilha de Cadastro - Previsão'!$A$2:$N$1100,11,FALSE()))," ")</f>
        <v xml:space="preserve"> </v>
      </c>
      <c r="M783" s="41" t="str">
        <f>IFERROR((IF(VLOOKUP(F783,'Planilha de Cadastro - Previsão'!$A$2:$N$1100,10,FALSE())="","",VLOOKUP(F783,'Planilha de Cadastro - Previsão'!$A$2:$N$1100,10,FALSE()))),"")</f>
        <v/>
      </c>
      <c r="N783" s="41"/>
      <c r="O783" s="41"/>
      <c r="P783" s="41" t="str">
        <f>IFERROR((IF(VLOOKUP(F783,'Acompanhamento da Licitação'!$F$2:$O$1000,10,FALSE())="","",VLOOKUP(F783,'Acompanhamento da Licitação'!$F$2:$O$1000,10,FALSE()))),"")</f>
        <v/>
      </c>
      <c r="R783" s="61" t="str">
        <f>IFERROR(IF(F783&gt;0,(Final[[#This Row],[Valor da Venda Real]]-Final[[#This Row],[Valor de Compra Previsto]]-4%*Final[[#This Row],[Valor da Venda Real]])/Final[[#This Row],[Valor da Venda Real]],""),"")</f>
        <v/>
      </c>
      <c r="S783" s="61" t="str">
        <f t="shared" si="53"/>
        <v/>
      </c>
      <c r="T783" s="23" t="str">
        <f>IFERROR((R783*Final[[#This Row],[Valor da Venda Real]]*Final[[#This Row],[Quantidade ]]*S783),"")</f>
        <v/>
      </c>
    </row>
    <row r="784" spans="1:20" ht="15.75" x14ac:dyDescent="0.2">
      <c r="A784">
        <f>COUNTIF($C$2:C784,C784)</f>
        <v>783</v>
      </c>
      <c r="B784" s="1" t="str">
        <f t="shared" si="52"/>
        <v>783</v>
      </c>
      <c r="C784" s="1" t="str">
        <f>IFERROR(VLOOKUP(D784,'Planilha de Cadastro - Previsão'!$A$2:$N$1000,14,FALSE()),"")</f>
        <v/>
      </c>
      <c r="D784" s="1">
        <v>783</v>
      </c>
      <c r="F784" s="40" t="str">
        <f t="shared" si="51"/>
        <v/>
      </c>
      <c r="G784" s="40" t="str">
        <f>IF(F784="","",'Prosposta Inicial'!$O$2)</f>
        <v/>
      </c>
      <c r="H784" s="40" t="str">
        <f t="shared" si="50"/>
        <v xml:space="preserve"> </v>
      </c>
      <c r="I784" s="41" t="str">
        <f>IFERROR((VLOOKUP(F784,'Planilha de Cadastro - Previsão'!$A$2:$N$1100,2,FALSE()))," ")</f>
        <v xml:space="preserve"> </v>
      </c>
      <c r="J784" s="40" t="str">
        <f>IFERROR((VLOOKUP(F784,'Planilha de Cadastro - Previsão'!$A$2:$N$1100,3,FALSE()))," ")</f>
        <v xml:space="preserve"> </v>
      </c>
      <c r="K784" s="40"/>
      <c r="L784" s="42" t="str">
        <f>IFERROR((VLOOKUP(F784,'Planilha de Cadastro - Previsão'!$A$2:$N$1100,11,FALSE()))," ")</f>
        <v xml:space="preserve"> </v>
      </c>
      <c r="M784" s="41" t="str">
        <f>IFERROR((IF(VLOOKUP(F784,'Planilha de Cadastro - Previsão'!$A$2:$N$1100,10,FALSE())="","",VLOOKUP(F784,'Planilha de Cadastro - Previsão'!$A$2:$N$1100,10,FALSE()))),"")</f>
        <v/>
      </c>
      <c r="N784" s="41"/>
      <c r="O784" s="41"/>
      <c r="P784" s="41" t="str">
        <f>IFERROR((IF(VLOOKUP(F784,'Acompanhamento da Licitação'!$F$2:$O$1000,10,FALSE())="","",VLOOKUP(F784,'Acompanhamento da Licitação'!$F$2:$O$1000,10,FALSE()))),"")</f>
        <v/>
      </c>
      <c r="R784" s="61" t="str">
        <f>IFERROR(IF(F784&gt;0,(Final[[#This Row],[Valor da Venda Real]]-Final[[#This Row],[Valor de Compra Previsto]]-4%*Final[[#This Row],[Valor da Venda Real]])/Final[[#This Row],[Valor da Venda Real]],""),"")</f>
        <v/>
      </c>
      <c r="S784" s="61" t="str">
        <f t="shared" si="53"/>
        <v/>
      </c>
      <c r="T784" s="23" t="str">
        <f>IFERROR((R784*Final[[#This Row],[Valor da Venda Real]]*Final[[#This Row],[Quantidade ]]*S784),"")</f>
        <v/>
      </c>
    </row>
    <row r="785" spans="1:20" ht="15.75" x14ac:dyDescent="0.2">
      <c r="A785">
        <f>COUNTIF($C$2:C785,C785)</f>
        <v>784</v>
      </c>
      <c r="B785" s="1" t="str">
        <f t="shared" si="52"/>
        <v>784</v>
      </c>
      <c r="C785" s="1" t="str">
        <f>IFERROR(VLOOKUP(D785,'Planilha de Cadastro - Previsão'!$A$2:$N$1000,14,FALSE()),"")</f>
        <v/>
      </c>
      <c r="D785" s="1">
        <v>784</v>
      </c>
      <c r="F785" s="40" t="str">
        <f t="shared" si="51"/>
        <v/>
      </c>
      <c r="G785" s="40" t="str">
        <f>IF(F785="","",'Prosposta Inicial'!$O$2)</f>
        <v/>
      </c>
      <c r="H785" s="40" t="str">
        <f t="shared" si="50"/>
        <v xml:space="preserve"> </v>
      </c>
      <c r="I785" s="41" t="str">
        <f>IFERROR((VLOOKUP(F785,'Planilha de Cadastro - Previsão'!$A$2:$N$1100,2,FALSE()))," ")</f>
        <v xml:space="preserve"> </v>
      </c>
      <c r="J785" s="40" t="str">
        <f>IFERROR((VLOOKUP(F785,'Planilha de Cadastro - Previsão'!$A$2:$N$1100,3,FALSE()))," ")</f>
        <v xml:space="preserve"> </v>
      </c>
      <c r="K785" s="40"/>
      <c r="L785" s="42" t="str">
        <f>IFERROR((VLOOKUP(F785,'Planilha de Cadastro - Previsão'!$A$2:$N$1100,11,FALSE()))," ")</f>
        <v xml:space="preserve"> </v>
      </c>
      <c r="M785" s="41" t="str">
        <f>IFERROR((IF(VLOOKUP(F785,'Planilha de Cadastro - Previsão'!$A$2:$N$1100,10,FALSE())="","",VLOOKUP(F785,'Planilha de Cadastro - Previsão'!$A$2:$N$1100,10,FALSE()))),"")</f>
        <v/>
      </c>
      <c r="N785" s="41"/>
      <c r="O785" s="41"/>
      <c r="P785" s="41" t="str">
        <f>IFERROR((IF(VLOOKUP(F785,'Acompanhamento da Licitação'!$F$2:$O$1000,10,FALSE())="","",VLOOKUP(F785,'Acompanhamento da Licitação'!$F$2:$O$1000,10,FALSE()))),"")</f>
        <v/>
      </c>
      <c r="R785" s="61" t="str">
        <f>IFERROR(IF(F785&gt;0,(Final[[#This Row],[Valor da Venda Real]]-Final[[#This Row],[Valor de Compra Previsto]]-4%*Final[[#This Row],[Valor da Venda Real]])/Final[[#This Row],[Valor da Venda Real]],""),"")</f>
        <v/>
      </c>
      <c r="S785" s="61" t="str">
        <f t="shared" si="53"/>
        <v/>
      </c>
      <c r="T785" s="23" t="str">
        <f>IFERROR((R785*Final[[#This Row],[Valor da Venda Real]]*Final[[#This Row],[Quantidade ]]*S785),"")</f>
        <v/>
      </c>
    </row>
    <row r="786" spans="1:20" ht="15.75" x14ac:dyDescent="0.2">
      <c r="A786">
        <f>COUNTIF($C$2:C786,C786)</f>
        <v>785</v>
      </c>
      <c r="B786" s="1" t="str">
        <f t="shared" si="52"/>
        <v>785</v>
      </c>
      <c r="C786" s="1" t="str">
        <f>IFERROR(VLOOKUP(D786,'Planilha de Cadastro - Previsão'!$A$2:$N$1000,14,FALSE()),"")</f>
        <v/>
      </c>
      <c r="D786" s="1">
        <v>785</v>
      </c>
      <c r="F786" s="40" t="str">
        <f t="shared" si="51"/>
        <v/>
      </c>
      <c r="G786" s="40" t="str">
        <f>IF(F786="","",'Prosposta Inicial'!$O$2)</f>
        <v/>
      </c>
      <c r="H786" s="40" t="str">
        <f t="shared" si="50"/>
        <v xml:space="preserve"> </v>
      </c>
      <c r="I786" s="41" t="str">
        <f>IFERROR((VLOOKUP(F786,'Planilha de Cadastro - Previsão'!$A$2:$N$1100,2,FALSE()))," ")</f>
        <v xml:space="preserve"> </v>
      </c>
      <c r="J786" s="40" t="str">
        <f>IFERROR((VLOOKUP(F786,'Planilha de Cadastro - Previsão'!$A$2:$N$1100,3,FALSE()))," ")</f>
        <v xml:space="preserve"> </v>
      </c>
      <c r="K786" s="40"/>
      <c r="L786" s="42" t="str">
        <f>IFERROR((VLOOKUP(F786,'Planilha de Cadastro - Previsão'!$A$2:$N$1100,11,FALSE()))," ")</f>
        <v xml:space="preserve"> </v>
      </c>
      <c r="M786" s="41" t="str">
        <f>IFERROR((IF(VLOOKUP(F786,'Planilha de Cadastro - Previsão'!$A$2:$N$1100,10,FALSE())="","",VLOOKUP(F786,'Planilha de Cadastro - Previsão'!$A$2:$N$1100,10,FALSE()))),"")</f>
        <v/>
      </c>
      <c r="N786" s="41"/>
      <c r="O786" s="41"/>
      <c r="P786" s="41" t="str">
        <f>IFERROR((IF(VLOOKUP(F786,'Acompanhamento da Licitação'!$F$2:$O$1000,10,FALSE())="","",VLOOKUP(F786,'Acompanhamento da Licitação'!$F$2:$O$1000,10,FALSE()))),"")</f>
        <v/>
      </c>
      <c r="R786" s="61" t="str">
        <f>IFERROR(IF(F786&gt;0,(Final[[#This Row],[Valor da Venda Real]]-Final[[#This Row],[Valor de Compra Previsto]]-4%*Final[[#This Row],[Valor da Venda Real]])/Final[[#This Row],[Valor da Venda Real]],""),"")</f>
        <v/>
      </c>
      <c r="S786" s="61" t="str">
        <f t="shared" si="53"/>
        <v/>
      </c>
      <c r="T786" s="23" t="str">
        <f>IFERROR((R786*Final[[#This Row],[Valor da Venda Real]]*Final[[#This Row],[Quantidade ]]*S786),"")</f>
        <v/>
      </c>
    </row>
    <row r="787" spans="1:20" ht="15.75" x14ac:dyDescent="0.2">
      <c r="A787">
        <f>COUNTIF($C$2:C787,C787)</f>
        <v>786</v>
      </c>
      <c r="B787" s="1" t="str">
        <f t="shared" si="52"/>
        <v>786</v>
      </c>
      <c r="C787" s="1" t="str">
        <f>IFERROR(VLOOKUP(D787,'Planilha de Cadastro - Previsão'!$A$2:$N$1000,14,FALSE()),"")</f>
        <v/>
      </c>
      <c r="D787" s="1">
        <v>786</v>
      </c>
      <c r="F787" s="40" t="str">
        <f t="shared" si="51"/>
        <v/>
      </c>
      <c r="G787" s="40" t="str">
        <f>IF(F787="","",'Prosposta Inicial'!$O$2)</f>
        <v/>
      </c>
      <c r="H787" s="40" t="str">
        <f t="shared" si="50"/>
        <v xml:space="preserve"> </v>
      </c>
      <c r="I787" s="41" t="str">
        <f>IFERROR((VLOOKUP(F787,'Planilha de Cadastro - Previsão'!$A$2:$N$1100,2,FALSE()))," ")</f>
        <v xml:space="preserve"> </v>
      </c>
      <c r="J787" s="40" t="str">
        <f>IFERROR((VLOOKUP(F787,'Planilha de Cadastro - Previsão'!$A$2:$N$1100,3,FALSE()))," ")</f>
        <v xml:space="preserve"> </v>
      </c>
      <c r="K787" s="40"/>
      <c r="L787" s="42" t="str">
        <f>IFERROR((VLOOKUP(F787,'Planilha de Cadastro - Previsão'!$A$2:$N$1100,11,FALSE()))," ")</f>
        <v xml:space="preserve"> </v>
      </c>
      <c r="M787" s="41" t="str">
        <f>IFERROR((IF(VLOOKUP(F787,'Planilha de Cadastro - Previsão'!$A$2:$N$1100,10,FALSE())="","",VLOOKUP(F787,'Planilha de Cadastro - Previsão'!$A$2:$N$1100,10,FALSE()))),"")</f>
        <v/>
      </c>
      <c r="N787" s="41"/>
      <c r="O787" s="41"/>
      <c r="P787" s="41" t="str">
        <f>IFERROR((IF(VLOOKUP(F787,'Acompanhamento da Licitação'!$F$2:$O$1000,10,FALSE())="","",VLOOKUP(F787,'Acompanhamento da Licitação'!$F$2:$O$1000,10,FALSE()))),"")</f>
        <v/>
      </c>
      <c r="R787" s="61" t="str">
        <f>IFERROR(IF(F787&gt;0,(Final[[#This Row],[Valor da Venda Real]]-Final[[#This Row],[Valor de Compra Previsto]]-4%*Final[[#This Row],[Valor da Venda Real]])/Final[[#This Row],[Valor da Venda Real]],""),"")</f>
        <v/>
      </c>
      <c r="S787" s="61" t="str">
        <f t="shared" si="53"/>
        <v/>
      </c>
      <c r="T787" s="23" t="str">
        <f>IFERROR((R787*Final[[#This Row],[Valor da Venda Real]]*Final[[#This Row],[Quantidade ]]*S787),"")</f>
        <v/>
      </c>
    </row>
    <row r="788" spans="1:20" ht="15.75" x14ac:dyDescent="0.2">
      <c r="A788">
        <f>COUNTIF($C$2:C788,C788)</f>
        <v>787</v>
      </c>
      <c r="B788" s="1" t="str">
        <f t="shared" si="52"/>
        <v>787</v>
      </c>
      <c r="C788" s="1" t="str">
        <f>IFERROR(VLOOKUP(D788,'Planilha de Cadastro - Previsão'!$A$2:$N$1000,14,FALSE()),"")</f>
        <v/>
      </c>
      <c r="D788" s="1">
        <v>787</v>
      </c>
      <c r="F788" s="40" t="str">
        <f t="shared" si="51"/>
        <v/>
      </c>
      <c r="G788" s="40" t="str">
        <f>IF(F788="","",'Prosposta Inicial'!$O$2)</f>
        <v/>
      </c>
      <c r="H788" s="40" t="str">
        <f t="shared" si="50"/>
        <v xml:space="preserve"> </v>
      </c>
      <c r="I788" s="41" t="str">
        <f>IFERROR((VLOOKUP(F788,'Planilha de Cadastro - Previsão'!$A$2:$N$1100,2,FALSE()))," ")</f>
        <v xml:space="preserve"> </v>
      </c>
      <c r="J788" s="40" t="str">
        <f>IFERROR((VLOOKUP(F788,'Planilha de Cadastro - Previsão'!$A$2:$N$1100,3,FALSE()))," ")</f>
        <v xml:space="preserve"> </v>
      </c>
      <c r="K788" s="40"/>
      <c r="L788" s="42" t="str">
        <f>IFERROR((VLOOKUP(F788,'Planilha de Cadastro - Previsão'!$A$2:$N$1100,11,FALSE()))," ")</f>
        <v xml:space="preserve"> </v>
      </c>
      <c r="M788" s="41" t="str">
        <f>IFERROR((IF(VLOOKUP(F788,'Planilha de Cadastro - Previsão'!$A$2:$N$1100,10,FALSE())="","",VLOOKUP(F788,'Planilha de Cadastro - Previsão'!$A$2:$N$1100,10,FALSE()))),"")</f>
        <v/>
      </c>
      <c r="N788" s="41"/>
      <c r="O788" s="41"/>
      <c r="P788" s="41" t="str">
        <f>IFERROR((IF(VLOOKUP(F788,'Acompanhamento da Licitação'!$F$2:$O$1000,10,FALSE())="","",VLOOKUP(F788,'Acompanhamento da Licitação'!$F$2:$O$1000,10,FALSE()))),"")</f>
        <v/>
      </c>
      <c r="R788" s="61" t="str">
        <f>IFERROR(IF(F788&gt;0,(Final[[#This Row],[Valor da Venda Real]]-Final[[#This Row],[Valor de Compra Previsto]]-4%*Final[[#This Row],[Valor da Venda Real]])/Final[[#This Row],[Valor da Venda Real]],""),"")</f>
        <v/>
      </c>
      <c r="S788" s="61" t="str">
        <f t="shared" si="53"/>
        <v/>
      </c>
      <c r="T788" s="23" t="str">
        <f>IFERROR((R788*Final[[#This Row],[Valor da Venda Real]]*Final[[#This Row],[Quantidade ]]*S788),"")</f>
        <v/>
      </c>
    </row>
    <row r="789" spans="1:20" ht="15.75" x14ac:dyDescent="0.2">
      <c r="A789">
        <f>COUNTIF($C$2:C789,C789)</f>
        <v>788</v>
      </c>
      <c r="B789" s="1" t="str">
        <f t="shared" si="52"/>
        <v>788</v>
      </c>
      <c r="C789" s="1" t="str">
        <f>IFERROR(VLOOKUP(D789,'Planilha de Cadastro - Previsão'!$A$2:$N$1000,14,FALSE()),"")</f>
        <v/>
      </c>
      <c r="D789" s="1">
        <v>788</v>
      </c>
      <c r="F789" s="40" t="str">
        <f t="shared" si="51"/>
        <v/>
      </c>
      <c r="G789" s="40" t="str">
        <f>IF(F789="","",'Prosposta Inicial'!$O$2)</f>
        <v/>
      </c>
      <c r="H789" s="40" t="str">
        <f t="shared" si="50"/>
        <v xml:space="preserve"> </v>
      </c>
      <c r="I789" s="41" t="str">
        <f>IFERROR((VLOOKUP(F789,'Planilha de Cadastro - Previsão'!$A$2:$N$1100,2,FALSE()))," ")</f>
        <v xml:space="preserve"> </v>
      </c>
      <c r="J789" s="40" t="str">
        <f>IFERROR((VLOOKUP(F789,'Planilha de Cadastro - Previsão'!$A$2:$N$1100,3,FALSE()))," ")</f>
        <v xml:space="preserve"> </v>
      </c>
      <c r="K789" s="40"/>
      <c r="L789" s="42" t="str">
        <f>IFERROR((VLOOKUP(F789,'Planilha de Cadastro - Previsão'!$A$2:$N$1100,11,FALSE()))," ")</f>
        <v xml:space="preserve"> </v>
      </c>
      <c r="M789" s="41" t="str">
        <f>IFERROR((IF(VLOOKUP(F789,'Planilha de Cadastro - Previsão'!$A$2:$N$1100,10,FALSE())="","",VLOOKUP(F789,'Planilha de Cadastro - Previsão'!$A$2:$N$1100,10,FALSE()))),"")</f>
        <v/>
      </c>
      <c r="N789" s="41"/>
      <c r="O789" s="41"/>
      <c r="P789" s="41" t="str">
        <f>IFERROR((IF(VLOOKUP(F789,'Acompanhamento da Licitação'!$F$2:$O$1000,10,FALSE())="","",VLOOKUP(F789,'Acompanhamento da Licitação'!$F$2:$O$1000,10,FALSE()))),"")</f>
        <v/>
      </c>
      <c r="R789" s="61" t="str">
        <f>IFERROR(IF(F789&gt;0,(Final[[#This Row],[Valor da Venda Real]]-Final[[#This Row],[Valor de Compra Previsto]]-4%*Final[[#This Row],[Valor da Venda Real]])/Final[[#This Row],[Valor da Venda Real]],""),"")</f>
        <v/>
      </c>
      <c r="S789" s="61" t="str">
        <f t="shared" si="53"/>
        <v/>
      </c>
      <c r="T789" s="23" t="str">
        <f>IFERROR((R789*Final[[#This Row],[Valor da Venda Real]]*Final[[#This Row],[Quantidade ]]*S789),"")</f>
        <v/>
      </c>
    </row>
    <row r="790" spans="1:20" ht="15.75" x14ac:dyDescent="0.2">
      <c r="A790">
        <f>COUNTIF($C$2:C790,C790)</f>
        <v>789</v>
      </c>
      <c r="B790" s="1" t="str">
        <f t="shared" si="52"/>
        <v>789</v>
      </c>
      <c r="C790" s="1" t="str">
        <f>IFERROR(VLOOKUP(D790,'Planilha de Cadastro - Previsão'!$A$2:$N$1000,14,FALSE()),"")</f>
        <v/>
      </c>
      <c r="D790" s="1">
        <v>789</v>
      </c>
      <c r="F790" s="40" t="str">
        <f t="shared" si="51"/>
        <v/>
      </c>
      <c r="G790" s="40" t="str">
        <f>IF(F790="","",'Prosposta Inicial'!$O$2)</f>
        <v/>
      </c>
      <c r="H790" s="40" t="str">
        <f t="shared" si="50"/>
        <v xml:space="preserve"> </v>
      </c>
      <c r="I790" s="41" t="str">
        <f>IFERROR((VLOOKUP(F790,'Planilha de Cadastro - Previsão'!$A$2:$N$1100,2,FALSE()))," ")</f>
        <v xml:space="preserve"> </v>
      </c>
      <c r="J790" s="40" t="str">
        <f>IFERROR((VLOOKUP(F790,'Planilha de Cadastro - Previsão'!$A$2:$N$1100,3,FALSE()))," ")</f>
        <v xml:space="preserve"> </v>
      </c>
      <c r="K790" s="40"/>
      <c r="L790" s="42" t="str">
        <f>IFERROR((VLOOKUP(F790,'Planilha de Cadastro - Previsão'!$A$2:$N$1100,11,FALSE()))," ")</f>
        <v xml:space="preserve"> </v>
      </c>
      <c r="M790" s="41" t="str">
        <f>IFERROR((IF(VLOOKUP(F790,'Planilha de Cadastro - Previsão'!$A$2:$N$1100,10,FALSE())="","",VLOOKUP(F790,'Planilha de Cadastro - Previsão'!$A$2:$N$1100,10,FALSE()))),"")</f>
        <v/>
      </c>
      <c r="N790" s="41"/>
      <c r="O790" s="41"/>
      <c r="P790" s="41" t="str">
        <f>IFERROR((IF(VLOOKUP(F790,'Acompanhamento da Licitação'!$F$2:$O$1000,10,FALSE())="","",VLOOKUP(F790,'Acompanhamento da Licitação'!$F$2:$O$1000,10,FALSE()))),"")</f>
        <v/>
      </c>
      <c r="R790" s="61" t="str">
        <f>IFERROR(IF(F790&gt;0,(Final[[#This Row],[Valor da Venda Real]]-Final[[#This Row],[Valor de Compra Previsto]]-4%*Final[[#This Row],[Valor da Venda Real]])/Final[[#This Row],[Valor da Venda Real]],""),"")</f>
        <v/>
      </c>
      <c r="S790" s="61" t="str">
        <f t="shared" si="53"/>
        <v/>
      </c>
      <c r="T790" s="23" t="str">
        <f>IFERROR((R790*Final[[#This Row],[Valor da Venda Real]]*Final[[#This Row],[Quantidade ]]*S790),"")</f>
        <v/>
      </c>
    </row>
    <row r="791" spans="1:20" ht="15.75" x14ac:dyDescent="0.2">
      <c r="A791">
        <f>COUNTIF($C$2:C791,C791)</f>
        <v>790</v>
      </c>
      <c r="B791" s="1" t="str">
        <f t="shared" si="52"/>
        <v>790</v>
      </c>
      <c r="C791" s="1" t="str">
        <f>IFERROR(VLOOKUP(D791,'Planilha de Cadastro - Previsão'!$A$2:$N$1000,14,FALSE()),"")</f>
        <v/>
      </c>
      <c r="D791" s="1">
        <v>790</v>
      </c>
      <c r="F791" s="40" t="str">
        <f t="shared" si="51"/>
        <v/>
      </c>
      <c r="G791" s="40" t="str">
        <f>IF(F791="","",'Prosposta Inicial'!$O$2)</f>
        <v/>
      </c>
      <c r="H791" s="40" t="str">
        <f t="shared" si="50"/>
        <v xml:space="preserve"> </v>
      </c>
      <c r="I791" s="41" t="str">
        <f>IFERROR((VLOOKUP(F791,'Planilha de Cadastro - Previsão'!$A$2:$N$1100,2,FALSE()))," ")</f>
        <v xml:space="preserve"> </v>
      </c>
      <c r="J791" s="40" t="str">
        <f>IFERROR((VLOOKUP(F791,'Planilha de Cadastro - Previsão'!$A$2:$N$1100,3,FALSE()))," ")</f>
        <v xml:space="preserve"> </v>
      </c>
      <c r="K791" s="40"/>
      <c r="L791" s="42" t="str">
        <f>IFERROR((VLOOKUP(F791,'Planilha de Cadastro - Previsão'!$A$2:$N$1100,11,FALSE()))," ")</f>
        <v xml:space="preserve"> </v>
      </c>
      <c r="M791" s="41" t="str">
        <f>IFERROR((IF(VLOOKUP(F791,'Planilha de Cadastro - Previsão'!$A$2:$N$1100,10,FALSE())="","",VLOOKUP(F791,'Planilha de Cadastro - Previsão'!$A$2:$N$1100,10,FALSE()))),"")</f>
        <v/>
      </c>
      <c r="N791" s="41"/>
      <c r="O791" s="41"/>
      <c r="P791" s="41" t="str">
        <f>IFERROR((IF(VLOOKUP(F791,'Acompanhamento da Licitação'!$F$2:$O$1000,10,FALSE())="","",VLOOKUP(F791,'Acompanhamento da Licitação'!$F$2:$O$1000,10,FALSE()))),"")</f>
        <v/>
      </c>
      <c r="R791" s="61" t="str">
        <f>IFERROR(IF(F791&gt;0,(Final[[#This Row],[Valor da Venda Real]]-Final[[#This Row],[Valor de Compra Previsto]]-4%*Final[[#This Row],[Valor da Venda Real]])/Final[[#This Row],[Valor da Venda Real]],""),"")</f>
        <v/>
      </c>
      <c r="S791" s="61" t="str">
        <f t="shared" si="53"/>
        <v/>
      </c>
      <c r="T791" s="23" t="str">
        <f>IFERROR((R791*Final[[#This Row],[Valor da Venda Real]]*Final[[#This Row],[Quantidade ]]*S791),"")</f>
        <v/>
      </c>
    </row>
    <row r="792" spans="1:20" ht="15.75" x14ac:dyDescent="0.2">
      <c r="A792">
        <f>COUNTIF($C$2:C792,C792)</f>
        <v>791</v>
      </c>
      <c r="B792" s="1" t="str">
        <f t="shared" si="52"/>
        <v>791</v>
      </c>
      <c r="C792" s="1" t="str">
        <f>IFERROR(VLOOKUP(D792,'Planilha de Cadastro - Previsão'!$A$2:$N$1000,14,FALSE()),"")</f>
        <v/>
      </c>
      <c r="D792" s="1">
        <v>791</v>
      </c>
      <c r="F792" s="40" t="str">
        <f t="shared" si="51"/>
        <v/>
      </c>
      <c r="G792" s="40" t="str">
        <f>IF(F792="","",'Prosposta Inicial'!$O$2)</f>
        <v/>
      </c>
      <c r="H792" s="40" t="str">
        <f t="shared" si="50"/>
        <v xml:space="preserve"> </v>
      </c>
      <c r="I792" s="41" t="str">
        <f>IFERROR((VLOOKUP(F792,'Planilha de Cadastro - Previsão'!$A$2:$N$1100,2,FALSE()))," ")</f>
        <v xml:space="preserve"> </v>
      </c>
      <c r="J792" s="40" t="str">
        <f>IFERROR((VLOOKUP(F792,'Planilha de Cadastro - Previsão'!$A$2:$N$1100,3,FALSE()))," ")</f>
        <v xml:space="preserve"> </v>
      </c>
      <c r="K792" s="40"/>
      <c r="L792" s="42" t="str">
        <f>IFERROR((VLOOKUP(F792,'Planilha de Cadastro - Previsão'!$A$2:$N$1100,11,FALSE()))," ")</f>
        <v xml:space="preserve"> </v>
      </c>
      <c r="M792" s="41" t="str">
        <f>IFERROR((IF(VLOOKUP(F792,'Planilha de Cadastro - Previsão'!$A$2:$N$1100,10,FALSE())="","",VLOOKUP(F792,'Planilha de Cadastro - Previsão'!$A$2:$N$1100,10,FALSE()))),"")</f>
        <v/>
      </c>
      <c r="N792" s="41"/>
      <c r="O792" s="41"/>
      <c r="P792" s="41" t="str">
        <f>IFERROR((IF(VLOOKUP(F792,'Acompanhamento da Licitação'!$F$2:$O$1000,10,FALSE())="","",VLOOKUP(F792,'Acompanhamento da Licitação'!$F$2:$O$1000,10,FALSE()))),"")</f>
        <v/>
      </c>
      <c r="R792" s="61" t="str">
        <f>IFERROR(IF(F792&gt;0,(Final[[#This Row],[Valor da Venda Real]]-Final[[#This Row],[Valor de Compra Previsto]]-4%*Final[[#This Row],[Valor da Venda Real]])/Final[[#This Row],[Valor da Venda Real]],""),"")</f>
        <v/>
      </c>
      <c r="S792" s="61" t="str">
        <f t="shared" si="53"/>
        <v/>
      </c>
      <c r="T792" s="23" t="str">
        <f>IFERROR((R792*Final[[#This Row],[Valor da Venda Real]]*Final[[#This Row],[Quantidade ]]*S792),"")</f>
        <v/>
      </c>
    </row>
    <row r="793" spans="1:20" ht="15.75" x14ac:dyDescent="0.2">
      <c r="A793">
        <f>COUNTIF($C$2:C793,C793)</f>
        <v>792</v>
      </c>
      <c r="B793" s="1" t="str">
        <f t="shared" si="52"/>
        <v>792</v>
      </c>
      <c r="C793" s="1" t="str">
        <f>IFERROR(VLOOKUP(D793,'Planilha de Cadastro - Previsão'!$A$2:$N$1000,14,FALSE()),"")</f>
        <v/>
      </c>
      <c r="D793" s="1">
        <v>792</v>
      </c>
      <c r="F793" s="40" t="str">
        <f t="shared" si="51"/>
        <v/>
      </c>
      <c r="G793" s="40" t="str">
        <f>IF(F793="","",'Prosposta Inicial'!$O$2)</f>
        <v/>
      </c>
      <c r="H793" s="40" t="str">
        <f t="shared" si="50"/>
        <v xml:space="preserve"> </v>
      </c>
      <c r="I793" s="41" t="str">
        <f>IFERROR((VLOOKUP(F793,'Planilha de Cadastro - Previsão'!$A$2:$N$1100,2,FALSE()))," ")</f>
        <v xml:space="preserve"> </v>
      </c>
      <c r="J793" s="40" t="str">
        <f>IFERROR((VLOOKUP(F793,'Planilha de Cadastro - Previsão'!$A$2:$N$1100,3,FALSE()))," ")</f>
        <v xml:space="preserve"> </v>
      </c>
      <c r="K793" s="40"/>
      <c r="L793" s="42" t="str">
        <f>IFERROR((VLOOKUP(F793,'Planilha de Cadastro - Previsão'!$A$2:$N$1100,11,FALSE()))," ")</f>
        <v xml:space="preserve"> </v>
      </c>
      <c r="M793" s="41" t="str">
        <f>IFERROR((IF(VLOOKUP(F793,'Planilha de Cadastro - Previsão'!$A$2:$N$1100,10,FALSE())="","",VLOOKUP(F793,'Planilha de Cadastro - Previsão'!$A$2:$N$1100,10,FALSE()))),"")</f>
        <v/>
      </c>
      <c r="N793" s="41"/>
      <c r="O793" s="41"/>
      <c r="P793" s="41" t="str">
        <f>IFERROR((IF(VLOOKUP(F793,'Acompanhamento da Licitação'!$F$2:$O$1000,10,FALSE())="","",VLOOKUP(F793,'Acompanhamento da Licitação'!$F$2:$O$1000,10,FALSE()))),"")</f>
        <v/>
      </c>
      <c r="R793" s="61" t="str">
        <f>IFERROR(IF(F793&gt;0,(Final[[#This Row],[Valor da Venda Real]]-Final[[#This Row],[Valor de Compra Previsto]]-4%*Final[[#This Row],[Valor da Venda Real]])/Final[[#This Row],[Valor da Venda Real]],""),"")</f>
        <v/>
      </c>
      <c r="S793" s="61" t="str">
        <f t="shared" si="53"/>
        <v/>
      </c>
      <c r="T793" s="23" t="str">
        <f>IFERROR((R793*Final[[#This Row],[Valor da Venda Real]]*Final[[#This Row],[Quantidade ]]*S793),"")</f>
        <v/>
      </c>
    </row>
    <row r="794" spans="1:20" ht="15.75" x14ac:dyDescent="0.2">
      <c r="A794">
        <f>COUNTIF($C$2:C794,C794)</f>
        <v>793</v>
      </c>
      <c r="B794" s="1" t="str">
        <f t="shared" si="52"/>
        <v>793</v>
      </c>
      <c r="C794" s="1" t="str">
        <f>IFERROR(VLOOKUP(D794,'Planilha de Cadastro - Previsão'!$A$2:$N$1000,14,FALSE()),"")</f>
        <v/>
      </c>
      <c r="D794" s="1">
        <v>793</v>
      </c>
      <c r="F794" s="40" t="str">
        <f t="shared" si="51"/>
        <v/>
      </c>
      <c r="G794" s="40" t="str">
        <f>IF(F794="","",'Prosposta Inicial'!$O$2)</f>
        <v/>
      </c>
      <c r="H794" s="40" t="str">
        <f t="shared" si="50"/>
        <v xml:space="preserve"> </v>
      </c>
      <c r="I794" s="41" t="str">
        <f>IFERROR((VLOOKUP(F794,'Planilha de Cadastro - Previsão'!$A$2:$N$1100,2,FALSE()))," ")</f>
        <v xml:space="preserve"> </v>
      </c>
      <c r="J794" s="40" t="str">
        <f>IFERROR((VLOOKUP(F794,'Planilha de Cadastro - Previsão'!$A$2:$N$1100,3,FALSE()))," ")</f>
        <v xml:space="preserve"> </v>
      </c>
      <c r="K794" s="40"/>
      <c r="L794" s="42" t="str">
        <f>IFERROR((VLOOKUP(F794,'Planilha de Cadastro - Previsão'!$A$2:$N$1100,11,FALSE()))," ")</f>
        <v xml:space="preserve"> </v>
      </c>
      <c r="M794" s="41" t="str">
        <f>IFERROR((IF(VLOOKUP(F794,'Planilha de Cadastro - Previsão'!$A$2:$N$1100,10,FALSE())="","",VLOOKUP(F794,'Planilha de Cadastro - Previsão'!$A$2:$N$1100,10,FALSE()))),"")</f>
        <v/>
      </c>
      <c r="N794" s="41"/>
      <c r="O794" s="41"/>
      <c r="P794" s="41" t="str">
        <f>IFERROR((IF(VLOOKUP(F794,'Acompanhamento da Licitação'!$F$2:$O$1000,10,FALSE())="","",VLOOKUP(F794,'Acompanhamento da Licitação'!$F$2:$O$1000,10,FALSE()))),"")</f>
        <v/>
      </c>
      <c r="R794" s="61" t="str">
        <f>IFERROR(IF(F794&gt;0,(Final[[#This Row],[Valor da Venda Real]]-Final[[#This Row],[Valor de Compra Previsto]]-4%*Final[[#This Row],[Valor da Venda Real]])/Final[[#This Row],[Valor da Venda Real]],""),"")</f>
        <v/>
      </c>
      <c r="S794" s="61" t="str">
        <f t="shared" si="53"/>
        <v/>
      </c>
      <c r="T794" s="23" t="str">
        <f>IFERROR((R794*Final[[#This Row],[Valor da Venda Real]]*Final[[#This Row],[Quantidade ]]*S794),"")</f>
        <v/>
      </c>
    </row>
    <row r="795" spans="1:20" ht="15.75" x14ac:dyDescent="0.2">
      <c r="A795">
        <f>COUNTIF($C$2:C795,C795)</f>
        <v>794</v>
      </c>
      <c r="B795" s="1" t="str">
        <f t="shared" si="52"/>
        <v>794</v>
      </c>
      <c r="C795" s="1" t="str">
        <f>IFERROR(VLOOKUP(D795,'Planilha de Cadastro - Previsão'!$A$2:$N$1000,14,FALSE()),"")</f>
        <v/>
      </c>
      <c r="D795" s="1">
        <v>794</v>
      </c>
      <c r="F795" s="40" t="str">
        <f t="shared" si="51"/>
        <v/>
      </c>
      <c r="G795" s="40" t="str">
        <f>IF(F795="","",'Prosposta Inicial'!$O$2)</f>
        <v/>
      </c>
      <c r="H795" s="40" t="str">
        <f t="shared" si="50"/>
        <v xml:space="preserve"> </v>
      </c>
      <c r="I795" s="41" t="str">
        <f>IFERROR((VLOOKUP(F795,'Planilha de Cadastro - Previsão'!$A$2:$N$1100,2,FALSE()))," ")</f>
        <v xml:space="preserve"> </v>
      </c>
      <c r="J795" s="40" t="str">
        <f>IFERROR((VLOOKUP(F795,'Planilha de Cadastro - Previsão'!$A$2:$N$1100,3,FALSE()))," ")</f>
        <v xml:space="preserve"> </v>
      </c>
      <c r="K795" s="40"/>
      <c r="L795" s="42" t="str">
        <f>IFERROR((VLOOKUP(F795,'Planilha de Cadastro - Previsão'!$A$2:$N$1100,11,FALSE()))," ")</f>
        <v xml:space="preserve"> </v>
      </c>
      <c r="M795" s="41" t="str">
        <f>IFERROR((IF(VLOOKUP(F795,'Planilha de Cadastro - Previsão'!$A$2:$N$1100,10,FALSE())="","",VLOOKUP(F795,'Planilha de Cadastro - Previsão'!$A$2:$N$1100,10,FALSE()))),"")</f>
        <v/>
      </c>
      <c r="N795" s="41"/>
      <c r="O795" s="41"/>
      <c r="P795" s="41" t="str">
        <f>IFERROR((IF(VLOOKUP(F795,'Acompanhamento da Licitação'!$F$2:$O$1000,10,FALSE())="","",VLOOKUP(F795,'Acompanhamento da Licitação'!$F$2:$O$1000,10,FALSE()))),"")</f>
        <v/>
      </c>
      <c r="R795" s="61" t="str">
        <f>IFERROR(IF(F795&gt;0,(Final[[#This Row],[Valor da Venda Real]]-Final[[#This Row],[Valor de Compra Previsto]]-4%*Final[[#This Row],[Valor da Venda Real]])/Final[[#This Row],[Valor da Venda Real]],""),"")</f>
        <v/>
      </c>
      <c r="S795" s="61" t="str">
        <f t="shared" si="53"/>
        <v/>
      </c>
      <c r="T795" s="23" t="str">
        <f>IFERROR((R795*Final[[#This Row],[Valor da Venda Real]]*Final[[#This Row],[Quantidade ]]*S795),"")</f>
        <v/>
      </c>
    </row>
    <row r="796" spans="1:20" ht="15.75" x14ac:dyDescent="0.2">
      <c r="A796">
        <f>COUNTIF($C$2:C796,C796)</f>
        <v>795</v>
      </c>
      <c r="B796" s="1" t="str">
        <f t="shared" si="52"/>
        <v>795</v>
      </c>
      <c r="C796" s="1" t="str">
        <f>IFERROR(VLOOKUP(D796,'Planilha de Cadastro - Previsão'!$A$2:$N$1000,14,FALSE()),"")</f>
        <v/>
      </c>
      <c r="D796" s="1">
        <v>795</v>
      </c>
      <c r="F796" s="40" t="str">
        <f t="shared" si="51"/>
        <v/>
      </c>
      <c r="G796" s="40" t="str">
        <f>IF(F796="","",'Prosposta Inicial'!$O$2)</f>
        <v/>
      </c>
      <c r="H796" s="40" t="str">
        <f t="shared" si="50"/>
        <v xml:space="preserve"> </v>
      </c>
      <c r="I796" s="41" t="str">
        <f>IFERROR((VLOOKUP(F796,'Planilha de Cadastro - Previsão'!$A$2:$N$1100,2,FALSE()))," ")</f>
        <v xml:space="preserve"> </v>
      </c>
      <c r="J796" s="40" t="str">
        <f>IFERROR((VLOOKUP(F796,'Planilha de Cadastro - Previsão'!$A$2:$N$1100,3,FALSE()))," ")</f>
        <v xml:space="preserve"> </v>
      </c>
      <c r="K796" s="40"/>
      <c r="L796" s="42" t="str">
        <f>IFERROR((VLOOKUP(F796,'Planilha de Cadastro - Previsão'!$A$2:$N$1100,11,FALSE()))," ")</f>
        <v xml:space="preserve"> </v>
      </c>
      <c r="M796" s="41" t="str">
        <f>IFERROR((IF(VLOOKUP(F796,'Planilha de Cadastro - Previsão'!$A$2:$N$1100,10,FALSE())="","",VLOOKUP(F796,'Planilha de Cadastro - Previsão'!$A$2:$N$1100,10,FALSE()))),"")</f>
        <v/>
      </c>
      <c r="N796" s="41"/>
      <c r="O796" s="41"/>
      <c r="P796" s="41" t="str">
        <f>IFERROR((IF(VLOOKUP(F796,'Acompanhamento da Licitação'!$F$2:$O$1000,10,FALSE())="","",VLOOKUP(F796,'Acompanhamento da Licitação'!$F$2:$O$1000,10,FALSE()))),"")</f>
        <v/>
      </c>
      <c r="R796" s="61" t="str">
        <f>IFERROR(IF(F796&gt;0,(Final[[#This Row],[Valor da Venda Real]]-Final[[#This Row],[Valor de Compra Previsto]]-4%*Final[[#This Row],[Valor da Venda Real]])/Final[[#This Row],[Valor da Venda Real]],""),"")</f>
        <v/>
      </c>
      <c r="S796" s="61" t="str">
        <f t="shared" si="53"/>
        <v/>
      </c>
      <c r="T796" s="23" t="str">
        <f>IFERROR((R796*Final[[#This Row],[Valor da Venda Real]]*Final[[#This Row],[Quantidade ]]*S796),"")</f>
        <v/>
      </c>
    </row>
    <row r="797" spans="1:20" ht="15.75" x14ac:dyDescent="0.2">
      <c r="A797">
        <f>COUNTIF($C$2:C797,C797)</f>
        <v>796</v>
      </c>
      <c r="B797" s="1" t="str">
        <f t="shared" si="52"/>
        <v>796</v>
      </c>
      <c r="C797" s="1" t="str">
        <f>IFERROR(VLOOKUP(D797,'Planilha de Cadastro - Previsão'!$A$2:$N$1000,14,FALSE()),"")</f>
        <v/>
      </c>
      <c r="D797" s="1">
        <v>796</v>
      </c>
      <c r="F797" s="40" t="str">
        <f t="shared" si="51"/>
        <v/>
      </c>
      <c r="G797" s="40" t="str">
        <f>IF(F797="","",'Prosposta Inicial'!$O$2)</f>
        <v/>
      </c>
      <c r="H797" s="40" t="str">
        <f t="shared" si="50"/>
        <v xml:space="preserve"> </v>
      </c>
      <c r="I797" s="41" t="str">
        <f>IFERROR((VLOOKUP(F797,'Planilha de Cadastro - Previsão'!$A$2:$N$1100,2,FALSE()))," ")</f>
        <v xml:space="preserve"> </v>
      </c>
      <c r="J797" s="40" t="str">
        <f>IFERROR((VLOOKUP(F797,'Planilha de Cadastro - Previsão'!$A$2:$N$1100,3,FALSE()))," ")</f>
        <v xml:space="preserve"> </v>
      </c>
      <c r="K797" s="40"/>
      <c r="L797" s="42" t="str">
        <f>IFERROR((VLOOKUP(F797,'Planilha de Cadastro - Previsão'!$A$2:$N$1100,11,FALSE()))," ")</f>
        <v xml:space="preserve"> </v>
      </c>
      <c r="M797" s="41" t="str">
        <f>IFERROR((IF(VLOOKUP(F797,'Planilha de Cadastro - Previsão'!$A$2:$N$1100,10,FALSE())="","",VLOOKUP(F797,'Planilha de Cadastro - Previsão'!$A$2:$N$1100,10,FALSE()))),"")</f>
        <v/>
      </c>
      <c r="N797" s="41"/>
      <c r="O797" s="41"/>
      <c r="P797" s="41" t="str">
        <f>IFERROR((IF(VLOOKUP(F797,'Acompanhamento da Licitação'!$F$2:$O$1000,10,FALSE())="","",VLOOKUP(F797,'Acompanhamento da Licitação'!$F$2:$O$1000,10,FALSE()))),"")</f>
        <v/>
      </c>
      <c r="R797" s="61" t="str">
        <f>IFERROR(IF(F797&gt;0,(Final[[#This Row],[Valor da Venda Real]]-Final[[#This Row],[Valor de Compra Previsto]]-4%*Final[[#This Row],[Valor da Venda Real]])/Final[[#This Row],[Valor da Venda Real]],""),"")</f>
        <v/>
      </c>
      <c r="S797" s="61" t="str">
        <f t="shared" si="53"/>
        <v/>
      </c>
      <c r="T797" s="23" t="str">
        <f>IFERROR((R797*Final[[#This Row],[Valor da Venda Real]]*Final[[#This Row],[Quantidade ]]*S797),"")</f>
        <v/>
      </c>
    </row>
    <row r="798" spans="1:20" ht="15.75" x14ac:dyDescent="0.2">
      <c r="A798">
        <f>COUNTIF($C$2:C798,C798)</f>
        <v>797</v>
      </c>
      <c r="B798" s="1" t="str">
        <f t="shared" si="52"/>
        <v>797</v>
      </c>
      <c r="C798" s="1" t="str">
        <f>IFERROR(VLOOKUP(D798,'Planilha de Cadastro - Previsão'!$A$2:$N$1000,14,FALSE()),"")</f>
        <v/>
      </c>
      <c r="D798" s="1">
        <v>797</v>
      </c>
      <c r="F798" s="40" t="str">
        <f t="shared" si="51"/>
        <v/>
      </c>
      <c r="G798" s="40" t="str">
        <f>IF(F798="","",'Prosposta Inicial'!$O$2)</f>
        <v/>
      </c>
      <c r="H798" s="40" t="str">
        <f t="shared" si="50"/>
        <v xml:space="preserve"> </v>
      </c>
      <c r="I798" s="41" t="str">
        <f>IFERROR((VLOOKUP(F798,'Planilha de Cadastro - Previsão'!$A$2:$N$1100,2,FALSE()))," ")</f>
        <v xml:space="preserve"> </v>
      </c>
      <c r="J798" s="40" t="str">
        <f>IFERROR((VLOOKUP(F798,'Planilha de Cadastro - Previsão'!$A$2:$N$1100,3,FALSE()))," ")</f>
        <v xml:space="preserve"> </v>
      </c>
      <c r="K798" s="40"/>
      <c r="L798" s="42" t="str">
        <f>IFERROR((VLOOKUP(F798,'Planilha de Cadastro - Previsão'!$A$2:$N$1100,11,FALSE()))," ")</f>
        <v xml:space="preserve"> </v>
      </c>
      <c r="M798" s="41" t="str">
        <f>IFERROR((IF(VLOOKUP(F798,'Planilha de Cadastro - Previsão'!$A$2:$N$1100,10,FALSE())="","",VLOOKUP(F798,'Planilha de Cadastro - Previsão'!$A$2:$N$1100,10,FALSE()))),"")</f>
        <v/>
      </c>
      <c r="N798" s="41"/>
      <c r="O798" s="41"/>
      <c r="P798" s="41" t="str">
        <f>IFERROR((IF(VLOOKUP(F798,'Acompanhamento da Licitação'!$F$2:$O$1000,10,FALSE())="","",VLOOKUP(F798,'Acompanhamento da Licitação'!$F$2:$O$1000,10,FALSE()))),"")</f>
        <v/>
      </c>
      <c r="R798" s="61" t="str">
        <f>IFERROR(IF(F798&gt;0,(Final[[#This Row],[Valor da Venda Real]]-Final[[#This Row],[Valor de Compra Previsto]]-4%*Final[[#This Row],[Valor da Venda Real]])/Final[[#This Row],[Valor da Venda Real]],""),"")</f>
        <v/>
      </c>
      <c r="S798" s="61" t="str">
        <f t="shared" si="53"/>
        <v/>
      </c>
      <c r="T798" s="23" t="str">
        <f>IFERROR((R798*Final[[#This Row],[Valor da Venda Real]]*Final[[#This Row],[Quantidade ]]*S798),"")</f>
        <v/>
      </c>
    </row>
    <row r="799" spans="1:20" ht="15.75" x14ac:dyDescent="0.2">
      <c r="A799">
        <f>COUNTIF($C$2:C799,C799)</f>
        <v>798</v>
      </c>
      <c r="B799" s="1" t="str">
        <f t="shared" si="52"/>
        <v>798</v>
      </c>
      <c r="C799" s="1" t="str">
        <f>IFERROR(VLOOKUP(D799,'Planilha de Cadastro - Previsão'!$A$2:$N$1000,14,FALSE()),"")</f>
        <v/>
      </c>
      <c r="D799" s="1">
        <v>798</v>
      </c>
      <c r="F799" s="40" t="str">
        <f t="shared" si="51"/>
        <v/>
      </c>
      <c r="G799" s="40" t="str">
        <f>IF(F799="","",'Prosposta Inicial'!$O$2)</f>
        <v/>
      </c>
      <c r="H799" s="40" t="str">
        <f t="shared" si="50"/>
        <v xml:space="preserve"> </v>
      </c>
      <c r="I799" s="41" t="str">
        <f>IFERROR((VLOOKUP(F799,'Planilha de Cadastro - Previsão'!$A$2:$N$1100,2,FALSE()))," ")</f>
        <v xml:space="preserve"> </v>
      </c>
      <c r="J799" s="40" t="str">
        <f>IFERROR((VLOOKUP(F799,'Planilha de Cadastro - Previsão'!$A$2:$N$1100,3,FALSE()))," ")</f>
        <v xml:space="preserve"> </v>
      </c>
      <c r="K799" s="40"/>
      <c r="L799" s="42" t="str">
        <f>IFERROR((VLOOKUP(F799,'Planilha de Cadastro - Previsão'!$A$2:$N$1100,11,FALSE()))," ")</f>
        <v xml:space="preserve"> </v>
      </c>
      <c r="M799" s="41" t="str">
        <f>IFERROR((IF(VLOOKUP(F799,'Planilha de Cadastro - Previsão'!$A$2:$N$1100,10,FALSE())="","",VLOOKUP(F799,'Planilha de Cadastro - Previsão'!$A$2:$N$1100,10,FALSE()))),"")</f>
        <v/>
      </c>
      <c r="N799" s="41"/>
      <c r="O799" s="41"/>
      <c r="P799" s="41" t="str">
        <f>IFERROR((IF(VLOOKUP(F799,'Acompanhamento da Licitação'!$F$2:$O$1000,10,FALSE())="","",VLOOKUP(F799,'Acompanhamento da Licitação'!$F$2:$O$1000,10,FALSE()))),"")</f>
        <v/>
      </c>
      <c r="R799" s="61" t="str">
        <f>IFERROR(IF(F799&gt;0,(Final[[#This Row],[Valor da Venda Real]]-Final[[#This Row],[Valor de Compra Previsto]]-4%*Final[[#This Row],[Valor da Venda Real]])/Final[[#This Row],[Valor da Venda Real]],""),"")</f>
        <v/>
      </c>
      <c r="S799" s="61" t="str">
        <f t="shared" si="53"/>
        <v/>
      </c>
      <c r="T799" s="23" t="str">
        <f>IFERROR((R799*Final[[#This Row],[Valor da Venda Real]]*Final[[#This Row],[Quantidade ]]*S799),"")</f>
        <v/>
      </c>
    </row>
    <row r="800" spans="1:20" ht="15.75" x14ac:dyDescent="0.2">
      <c r="A800">
        <f>COUNTIF($C$2:C800,C800)</f>
        <v>799</v>
      </c>
      <c r="B800" s="1" t="str">
        <f t="shared" si="52"/>
        <v>799</v>
      </c>
      <c r="C800" s="1" t="str">
        <f>IFERROR(VLOOKUP(D800,'Planilha de Cadastro - Previsão'!$A$2:$N$1000,14,FALSE()),"")</f>
        <v/>
      </c>
      <c r="D800" s="1">
        <v>799</v>
      </c>
      <c r="F800" s="40" t="str">
        <f t="shared" si="51"/>
        <v/>
      </c>
      <c r="G800" s="40" t="str">
        <f>IF(F800="","",'Prosposta Inicial'!$O$2)</f>
        <v/>
      </c>
      <c r="H800" s="40" t="str">
        <f t="shared" si="50"/>
        <v xml:space="preserve"> </v>
      </c>
      <c r="I800" s="41" t="str">
        <f>IFERROR((VLOOKUP(F800,'Planilha de Cadastro - Previsão'!$A$2:$N$1100,2,FALSE()))," ")</f>
        <v xml:space="preserve"> </v>
      </c>
      <c r="J800" s="40" t="str">
        <f>IFERROR((VLOOKUP(F800,'Planilha de Cadastro - Previsão'!$A$2:$N$1100,3,FALSE()))," ")</f>
        <v xml:space="preserve"> </v>
      </c>
      <c r="K800" s="40"/>
      <c r="L800" s="42" t="str">
        <f>IFERROR((VLOOKUP(F800,'Planilha de Cadastro - Previsão'!$A$2:$N$1100,11,FALSE()))," ")</f>
        <v xml:space="preserve"> </v>
      </c>
      <c r="M800" s="41" t="str">
        <f>IFERROR((IF(VLOOKUP(F800,'Planilha de Cadastro - Previsão'!$A$2:$N$1100,10,FALSE())="","",VLOOKUP(F800,'Planilha de Cadastro - Previsão'!$A$2:$N$1100,10,FALSE()))),"")</f>
        <v/>
      </c>
      <c r="N800" s="41"/>
      <c r="O800" s="41"/>
      <c r="P800" s="41" t="str">
        <f>IFERROR((IF(VLOOKUP(F800,'Acompanhamento da Licitação'!$F$2:$O$1000,10,FALSE())="","",VLOOKUP(F800,'Acompanhamento da Licitação'!$F$2:$O$1000,10,FALSE()))),"")</f>
        <v/>
      </c>
      <c r="R800" s="61" t="str">
        <f>IFERROR(IF(F800&gt;0,(Final[[#This Row],[Valor da Venda Real]]-Final[[#This Row],[Valor de Compra Previsto]]-4%*Final[[#This Row],[Valor da Venda Real]])/Final[[#This Row],[Valor da Venda Real]],""),"")</f>
        <v/>
      </c>
      <c r="S800" s="61" t="str">
        <f t="shared" si="53"/>
        <v/>
      </c>
      <c r="T800" s="23" t="str">
        <f>IFERROR((R800*Final[[#This Row],[Valor da Venda Real]]*Final[[#This Row],[Quantidade ]]*S800),"")</f>
        <v/>
      </c>
    </row>
    <row r="801" spans="1:20" ht="15.75" x14ac:dyDescent="0.2">
      <c r="A801">
        <f>COUNTIF($C$2:C801,C801)</f>
        <v>800</v>
      </c>
      <c r="B801" s="1" t="str">
        <f t="shared" si="52"/>
        <v>800</v>
      </c>
      <c r="C801" s="1" t="str">
        <f>IFERROR(VLOOKUP(D801,'Planilha de Cadastro - Previsão'!$A$2:$N$1000,14,FALSE()),"")</f>
        <v/>
      </c>
      <c r="D801" s="1">
        <v>800</v>
      </c>
      <c r="F801" s="40" t="str">
        <f t="shared" si="51"/>
        <v/>
      </c>
      <c r="G801" s="40" t="str">
        <f>IF(F801="","",'Prosposta Inicial'!$O$2)</f>
        <v/>
      </c>
      <c r="H801" s="40" t="str">
        <f t="shared" si="50"/>
        <v xml:space="preserve"> </v>
      </c>
      <c r="I801" s="41" t="str">
        <f>IFERROR((VLOOKUP(F801,'Planilha de Cadastro - Previsão'!$A$2:$N$1100,2,FALSE()))," ")</f>
        <v xml:space="preserve"> </v>
      </c>
      <c r="J801" s="40" t="str">
        <f>IFERROR((VLOOKUP(F801,'Planilha de Cadastro - Previsão'!$A$2:$N$1100,3,FALSE()))," ")</f>
        <v xml:space="preserve"> </v>
      </c>
      <c r="K801" s="40"/>
      <c r="L801" s="42" t="str">
        <f>IFERROR((VLOOKUP(F801,'Planilha de Cadastro - Previsão'!$A$2:$N$1100,11,FALSE()))," ")</f>
        <v xml:space="preserve"> </v>
      </c>
      <c r="M801" s="41" t="str">
        <f>IFERROR((IF(VLOOKUP(F801,'Planilha de Cadastro - Previsão'!$A$2:$N$1100,10,FALSE())="","",VLOOKUP(F801,'Planilha de Cadastro - Previsão'!$A$2:$N$1100,10,FALSE()))),"")</f>
        <v/>
      </c>
      <c r="N801" s="41"/>
      <c r="O801" s="41"/>
      <c r="P801" s="41" t="str">
        <f>IFERROR((IF(VLOOKUP(F801,'Acompanhamento da Licitação'!$F$2:$O$1000,10,FALSE())="","",VLOOKUP(F801,'Acompanhamento da Licitação'!$F$2:$O$1000,10,FALSE()))),"")</f>
        <v/>
      </c>
      <c r="R801" s="61" t="str">
        <f>IFERROR(IF(F801&gt;0,(Final[[#This Row],[Valor da Venda Real]]-Final[[#This Row],[Valor de Compra Previsto]]-4%*Final[[#This Row],[Valor da Venda Real]])/Final[[#This Row],[Valor da Venda Real]],""),"")</f>
        <v/>
      </c>
      <c r="S801" s="61" t="str">
        <f t="shared" si="53"/>
        <v/>
      </c>
      <c r="T801" s="23" t="str">
        <f>IFERROR((R801*Final[[#This Row],[Valor da Venda Real]]*Final[[#This Row],[Quantidade ]]*S801),"")</f>
        <v/>
      </c>
    </row>
    <row r="802" spans="1:20" ht="15.75" x14ac:dyDescent="0.2">
      <c r="A802">
        <f>COUNTIF($C$2:C802,C802)</f>
        <v>801</v>
      </c>
      <c r="B802" s="1" t="str">
        <f t="shared" si="52"/>
        <v>801</v>
      </c>
      <c r="C802" s="1" t="str">
        <f>IFERROR(VLOOKUP(D802,'Planilha de Cadastro - Previsão'!$A$2:$N$1000,14,FALSE()),"")</f>
        <v/>
      </c>
      <c r="D802" s="1">
        <v>801</v>
      </c>
      <c r="F802" s="40" t="str">
        <f t="shared" si="51"/>
        <v/>
      </c>
      <c r="G802" s="40" t="str">
        <f>IF(F802="","",'Prosposta Inicial'!$O$2)</f>
        <v/>
      </c>
      <c r="H802" s="40" t="str">
        <f t="shared" si="50"/>
        <v xml:space="preserve"> </v>
      </c>
      <c r="I802" s="41" t="str">
        <f>IFERROR((VLOOKUP(F802,'Planilha de Cadastro - Previsão'!$A$2:$N$1100,2,FALSE()))," ")</f>
        <v xml:space="preserve"> </v>
      </c>
      <c r="J802" s="40" t="str">
        <f>IFERROR((VLOOKUP(F802,'Planilha de Cadastro - Previsão'!$A$2:$N$1100,3,FALSE()))," ")</f>
        <v xml:space="preserve"> </v>
      </c>
      <c r="K802" s="40"/>
      <c r="L802" s="42" t="str">
        <f>IFERROR((VLOOKUP(F802,'Planilha de Cadastro - Previsão'!$A$2:$N$1100,11,FALSE()))," ")</f>
        <v xml:space="preserve"> </v>
      </c>
      <c r="M802" s="41" t="str">
        <f>IFERROR((IF(VLOOKUP(F802,'Planilha de Cadastro - Previsão'!$A$2:$N$1100,10,FALSE())="","",VLOOKUP(F802,'Planilha de Cadastro - Previsão'!$A$2:$N$1100,10,FALSE()))),"")</f>
        <v/>
      </c>
      <c r="N802" s="41"/>
      <c r="O802" s="41"/>
      <c r="P802" s="41" t="str">
        <f>IFERROR((IF(VLOOKUP(F802,'Acompanhamento da Licitação'!$F$2:$O$1000,10,FALSE())="","",VLOOKUP(F802,'Acompanhamento da Licitação'!$F$2:$O$1000,10,FALSE()))),"")</f>
        <v/>
      </c>
      <c r="R802" s="61" t="str">
        <f>IFERROR(IF(F802&gt;0,(Final[[#This Row],[Valor da Venda Real]]-Final[[#This Row],[Valor de Compra Previsto]]-4%*Final[[#This Row],[Valor da Venda Real]])/Final[[#This Row],[Valor da Venda Real]],""),"")</f>
        <v/>
      </c>
      <c r="S802" s="61" t="str">
        <f t="shared" si="53"/>
        <v/>
      </c>
      <c r="T802" s="23" t="str">
        <f>IFERROR((R802*Final[[#This Row],[Valor da Venda Real]]*Final[[#This Row],[Quantidade ]]*S802),"")</f>
        <v/>
      </c>
    </row>
    <row r="803" spans="1:20" ht="15.75" x14ac:dyDescent="0.2">
      <c r="A803">
        <f>COUNTIF($C$2:C803,C803)</f>
        <v>802</v>
      </c>
      <c r="B803" s="1" t="str">
        <f t="shared" si="52"/>
        <v>802</v>
      </c>
      <c r="C803" s="1" t="str">
        <f>IFERROR(VLOOKUP(D803,'Planilha de Cadastro - Previsão'!$A$2:$N$1000,14,FALSE()),"")</f>
        <v/>
      </c>
      <c r="D803" s="1">
        <v>802</v>
      </c>
      <c r="F803" s="40" t="str">
        <f t="shared" si="51"/>
        <v/>
      </c>
      <c r="G803" s="40" t="str">
        <f>IF(F803="","",'Prosposta Inicial'!$O$2)</f>
        <v/>
      </c>
      <c r="H803" s="40" t="str">
        <f t="shared" si="50"/>
        <v xml:space="preserve"> </v>
      </c>
      <c r="I803" s="41" t="str">
        <f>IFERROR((VLOOKUP(F803,'Planilha de Cadastro - Previsão'!$A$2:$N$1100,2,FALSE()))," ")</f>
        <v xml:space="preserve"> </v>
      </c>
      <c r="J803" s="40" t="str">
        <f>IFERROR((VLOOKUP(F803,'Planilha de Cadastro - Previsão'!$A$2:$N$1100,3,FALSE()))," ")</f>
        <v xml:space="preserve"> </v>
      </c>
      <c r="K803" s="40"/>
      <c r="L803" s="42" t="str">
        <f>IFERROR((VLOOKUP(F803,'Planilha de Cadastro - Previsão'!$A$2:$N$1100,11,FALSE()))," ")</f>
        <v xml:space="preserve"> </v>
      </c>
      <c r="M803" s="41" t="str">
        <f>IFERROR((IF(VLOOKUP(F803,'Planilha de Cadastro - Previsão'!$A$2:$N$1100,10,FALSE())="","",VLOOKUP(F803,'Planilha de Cadastro - Previsão'!$A$2:$N$1100,10,FALSE()))),"")</f>
        <v/>
      </c>
      <c r="N803" s="41"/>
      <c r="O803" s="41"/>
      <c r="P803" s="41" t="str">
        <f>IFERROR((IF(VLOOKUP(F803,'Acompanhamento da Licitação'!$F$2:$O$1000,10,FALSE())="","",VLOOKUP(F803,'Acompanhamento da Licitação'!$F$2:$O$1000,10,FALSE()))),"")</f>
        <v/>
      </c>
      <c r="R803" s="61" t="str">
        <f>IFERROR(IF(F803&gt;0,(Final[[#This Row],[Valor da Venda Real]]-Final[[#This Row],[Valor de Compra Previsto]]-4%*Final[[#This Row],[Valor da Venda Real]])/Final[[#This Row],[Valor da Venda Real]],""),"")</f>
        <v/>
      </c>
      <c r="S803" s="61" t="str">
        <f t="shared" si="53"/>
        <v/>
      </c>
      <c r="T803" s="23" t="str">
        <f>IFERROR((R803*Final[[#This Row],[Valor da Venda Real]]*Final[[#This Row],[Quantidade ]]*S803),"")</f>
        <v/>
      </c>
    </row>
    <row r="804" spans="1:20" ht="15.75" x14ac:dyDescent="0.2">
      <c r="A804">
        <f>COUNTIF($C$2:C804,C804)</f>
        <v>803</v>
      </c>
      <c r="B804" s="1" t="str">
        <f t="shared" si="52"/>
        <v>803</v>
      </c>
      <c r="C804" s="1" t="str">
        <f>IFERROR(VLOOKUP(D804,'Planilha de Cadastro - Previsão'!$A$2:$N$1000,14,FALSE()),"")</f>
        <v/>
      </c>
      <c r="D804" s="1">
        <v>803</v>
      </c>
      <c r="F804" s="40" t="str">
        <f t="shared" si="51"/>
        <v/>
      </c>
      <c r="G804" s="40" t="str">
        <f>IF(F804="","",'Prosposta Inicial'!$O$2)</f>
        <v/>
      </c>
      <c r="H804" s="40" t="str">
        <f t="shared" si="50"/>
        <v xml:space="preserve"> </v>
      </c>
      <c r="I804" s="41" t="str">
        <f>IFERROR((VLOOKUP(F804,'Planilha de Cadastro - Previsão'!$A$2:$N$1100,2,FALSE()))," ")</f>
        <v xml:space="preserve"> </v>
      </c>
      <c r="J804" s="40" t="str">
        <f>IFERROR((VLOOKUP(F804,'Planilha de Cadastro - Previsão'!$A$2:$N$1100,3,FALSE()))," ")</f>
        <v xml:space="preserve"> </v>
      </c>
      <c r="K804" s="40"/>
      <c r="L804" s="42" t="str">
        <f>IFERROR((VLOOKUP(F804,'Planilha de Cadastro - Previsão'!$A$2:$N$1100,11,FALSE()))," ")</f>
        <v xml:space="preserve"> </v>
      </c>
      <c r="M804" s="41" t="str">
        <f>IFERROR((IF(VLOOKUP(F804,'Planilha de Cadastro - Previsão'!$A$2:$N$1100,10,FALSE())="","",VLOOKUP(F804,'Planilha de Cadastro - Previsão'!$A$2:$N$1100,10,FALSE()))),"")</f>
        <v/>
      </c>
      <c r="N804" s="41"/>
      <c r="O804" s="41"/>
      <c r="P804" s="41" t="str">
        <f>IFERROR((IF(VLOOKUP(F804,'Acompanhamento da Licitação'!$F$2:$O$1000,10,FALSE())="","",VLOOKUP(F804,'Acompanhamento da Licitação'!$F$2:$O$1000,10,FALSE()))),"")</f>
        <v/>
      </c>
      <c r="R804" s="61" t="str">
        <f>IFERROR(IF(F804&gt;0,(Final[[#This Row],[Valor da Venda Real]]-Final[[#This Row],[Valor de Compra Previsto]]-4%*Final[[#This Row],[Valor da Venda Real]])/Final[[#This Row],[Valor da Venda Real]],""),"")</f>
        <v/>
      </c>
      <c r="S804" s="61" t="str">
        <f t="shared" si="53"/>
        <v/>
      </c>
      <c r="T804" s="23" t="str">
        <f>IFERROR((R804*Final[[#This Row],[Valor da Venda Real]]*Final[[#This Row],[Quantidade ]]*S804),"")</f>
        <v/>
      </c>
    </row>
    <row r="805" spans="1:20" ht="15.75" x14ac:dyDescent="0.2">
      <c r="A805">
        <f>COUNTIF($C$2:C805,C805)</f>
        <v>804</v>
      </c>
      <c r="B805" s="1" t="str">
        <f t="shared" si="52"/>
        <v>804</v>
      </c>
      <c r="C805" s="1" t="str">
        <f>IFERROR(VLOOKUP(D805,'Planilha de Cadastro - Previsão'!$A$2:$N$1000,14,FALSE()),"")</f>
        <v/>
      </c>
      <c r="D805" s="1">
        <v>804</v>
      </c>
      <c r="F805" s="40" t="str">
        <f t="shared" si="51"/>
        <v/>
      </c>
      <c r="G805" s="40" t="str">
        <f>IF(F805="","",'Prosposta Inicial'!$O$2)</f>
        <v/>
      </c>
      <c r="H805" s="40" t="str">
        <f t="shared" ref="H805:H868" si="54">CONCATENATE(F805,G805,I805)</f>
        <v xml:space="preserve"> </v>
      </c>
      <c r="I805" s="41" t="str">
        <f>IFERROR((VLOOKUP(F805,'Planilha de Cadastro - Previsão'!$A$2:$N$1100,2,FALSE()))," ")</f>
        <v xml:space="preserve"> </v>
      </c>
      <c r="J805" s="40" t="str">
        <f>IFERROR((VLOOKUP(F805,'Planilha de Cadastro - Previsão'!$A$2:$N$1100,3,FALSE()))," ")</f>
        <v xml:space="preserve"> </v>
      </c>
      <c r="K805" s="40"/>
      <c r="L805" s="42" t="str">
        <f>IFERROR((VLOOKUP(F805,'Planilha de Cadastro - Previsão'!$A$2:$N$1100,11,FALSE()))," ")</f>
        <v xml:space="preserve"> </v>
      </c>
      <c r="M805" s="41" t="str">
        <f>IFERROR((IF(VLOOKUP(F805,'Planilha de Cadastro - Previsão'!$A$2:$N$1100,10,FALSE())="","",VLOOKUP(F805,'Planilha de Cadastro - Previsão'!$A$2:$N$1100,10,FALSE()))),"")</f>
        <v/>
      </c>
      <c r="N805" s="41"/>
      <c r="O805" s="41"/>
      <c r="P805" s="41" t="str">
        <f>IFERROR((IF(VLOOKUP(F805,'Acompanhamento da Licitação'!$F$2:$O$1000,10,FALSE())="","",VLOOKUP(F805,'Acompanhamento da Licitação'!$F$2:$O$1000,10,FALSE()))),"")</f>
        <v/>
      </c>
      <c r="R805" s="61" t="str">
        <f>IFERROR(IF(F805&gt;0,(Final[[#This Row],[Valor da Venda Real]]-Final[[#This Row],[Valor de Compra Previsto]]-4%*Final[[#This Row],[Valor da Venda Real]])/Final[[#This Row],[Valor da Venda Real]],""),"")</f>
        <v/>
      </c>
      <c r="S805" s="61" t="str">
        <f t="shared" si="53"/>
        <v/>
      </c>
      <c r="T805" s="23" t="str">
        <f>IFERROR((R805*Final[[#This Row],[Valor da Venda Real]]*Final[[#This Row],[Quantidade ]]*S805),"")</f>
        <v/>
      </c>
    </row>
    <row r="806" spans="1:20" ht="15.75" x14ac:dyDescent="0.2">
      <c r="A806">
        <f>COUNTIF($C$2:C806,C806)</f>
        <v>805</v>
      </c>
      <c r="B806" s="1" t="str">
        <f t="shared" si="52"/>
        <v>805</v>
      </c>
      <c r="C806" s="1" t="str">
        <f>IFERROR(VLOOKUP(D806,'Planilha de Cadastro - Previsão'!$A$2:$N$1000,14,FALSE()),"")</f>
        <v/>
      </c>
      <c r="D806" s="1">
        <v>805</v>
      </c>
      <c r="F806" s="40" t="str">
        <f t="shared" si="51"/>
        <v/>
      </c>
      <c r="G806" s="40" t="str">
        <f>IF(F806="","",'Prosposta Inicial'!$O$2)</f>
        <v/>
      </c>
      <c r="H806" s="40" t="str">
        <f t="shared" si="54"/>
        <v xml:space="preserve"> </v>
      </c>
      <c r="I806" s="41" t="str">
        <f>IFERROR((VLOOKUP(F806,'Planilha de Cadastro - Previsão'!$A$2:$N$1100,2,FALSE()))," ")</f>
        <v xml:space="preserve"> </v>
      </c>
      <c r="J806" s="40" t="str">
        <f>IFERROR((VLOOKUP(F806,'Planilha de Cadastro - Previsão'!$A$2:$N$1100,3,FALSE()))," ")</f>
        <v xml:space="preserve"> </v>
      </c>
      <c r="K806" s="40"/>
      <c r="L806" s="42" t="str">
        <f>IFERROR((VLOOKUP(F806,'Planilha de Cadastro - Previsão'!$A$2:$N$1100,11,FALSE()))," ")</f>
        <v xml:space="preserve"> </v>
      </c>
      <c r="M806" s="41" t="str">
        <f>IFERROR((IF(VLOOKUP(F806,'Planilha de Cadastro - Previsão'!$A$2:$N$1100,10,FALSE())="","",VLOOKUP(F806,'Planilha de Cadastro - Previsão'!$A$2:$N$1100,10,FALSE()))),"")</f>
        <v/>
      </c>
      <c r="N806" s="41"/>
      <c r="O806" s="41"/>
      <c r="P806" s="41" t="str">
        <f>IFERROR((IF(VLOOKUP(F806,'Acompanhamento da Licitação'!$F$2:$O$1000,10,FALSE())="","",VLOOKUP(F806,'Acompanhamento da Licitação'!$F$2:$O$1000,10,FALSE()))),"")</f>
        <v/>
      </c>
      <c r="R806" s="61" t="str">
        <f>IFERROR(IF(F806&gt;0,(Final[[#This Row],[Valor da Venda Real]]-Final[[#This Row],[Valor de Compra Previsto]]-4%*Final[[#This Row],[Valor da Venda Real]])/Final[[#This Row],[Valor da Venda Real]],""),"")</f>
        <v/>
      </c>
      <c r="S806" s="61" t="str">
        <f t="shared" si="53"/>
        <v/>
      </c>
      <c r="T806" s="23" t="str">
        <f>IFERROR((R806*Final[[#This Row],[Valor da Venda Real]]*Final[[#This Row],[Quantidade ]]*S806),"")</f>
        <v/>
      </c>
    </row>
    <row r="807" spans="1:20" ht="15.75" x14ac:dyDescent="0.2">
      <c r="A807">
        <f>COUNTIF($C$2:C807,C807)</f>
        <v>806</v>
      </c>
      <c r="B807" s="1" t="str">
        <f t="shared" si="52"/>
        <v>806</v>
      </c>
      <c r="C807" s="1" t="str">
        <f>IFERROR(VLOOKUP(D807,'Planilha de Cadastro - Previsão'!$A$2:$N$1000,14,FALSE()),"")</f>
        <v/>
      </c>
      <c r="D807" s="1">
        <v>806</v>
      </c>
      <c r="F807" s="40" t="str">
        <f t="shared" si="51"/>
        <v/>
      </c>
      <c r="G807" s="40" t="str">
        <f>IF(F807="","",'Prosposta Inicial'!$O$2)</f>
        <v/>
      </c>
      <c r="H807" s="40" t="str">
        <f t="shared" si="54"/>
        <v xml:space="preserve"> </v>
      </c>
      <c r="I807" s="41" t="str">
        <f>IFERROR((VLOOKUP(F807,'Planilha de Cadastro - Previsão'!$A$2:$N$1100,2,FALSE()))," ")</f>
        <v xml:space="preserve"> </v>
      </c>
      <c r="J807" s="40" t="str">
        <f>IFERROR((VLOOKUP(F807,'Planilha de Cadastro - Previsão'!$A$2:$N$1100,3,FALSE()))," ")</f>
        <v xml:space="preserve"> </v>
      </c>
      <c r="K807" s="40"/>
      <c r="L807" s="42" t="str">
        <f>IFERROR((VLOOKUP(F807,'Planilha de Cadastro - Previsão'!$A$2:$N$1100,11,FALSE()))," ")</f>
        <v xml:space="preserve"> </v>
      </c>
      <c r="M807" s="41" t="str">
        <f>IFERROR((IF(VLOOKUP(F807,'Planilha de Cadastro - Previsão'!$A$2:$N$1100,10,FALSE())="","",VLOOKUP(F807,'Planilha de Cadastro - Previsão'!$A$2:$N$1100,10,FALSE()))),"")</f>
        <v/>
      </c>
      <c r="N807" s="41"/>
      <c r="O807" s="41"/>
      <c r="P807" s="41" t="str">
        <f>IFERROR((IF(VLOOKUP(F807,'Acompanhamento da Licitação'!$F$2:$O$1000,10,FALSE())="","",VLOOKUP(F807,'Acompanhamento da Licitação'!$F$2:$O$1000,10,FALSE()))),"")</f>
        <v/>
      </c>
      <c r="R807" s="61" t="str">
        <f>IFERROR(IF(F807&gt;0,(Final[[#This Row],[Valor da Venda Real]]-Final[[#This Row],[Valor de Compra Previsto]]-4%*Final[[#This Row],[Valor da Venda Real]])/Final[[#This Row],[Valor da Venda Real]],""),"")</f>
        <v/>
      </c>
      <c r="S807" s="61" t="str">
        <f t="shared" si="53"/>
        <v/>
      </c>
      <c r="T807" s="23" t="str">
        <f>IFERROR((R807*Final[[#This Row],[Valor da Venda Real]]*Final[[#This Row],[Quantidade ]]*S807),"")</f>
        <v/>
      </c>
    </row>
    <row r="808" spans="1:20" ht="15.75" x14ac:dyDescent="0.2">
      <c r="A808">
        <f>COUNTIF($C$2:C808,C808)</f>
        <v>807</v>
      </c>
      <c r="B808" s="1" t="str">
        <f t="shared" si="52"/>
        <v>807</v>
      </c>
      <c r="C808" s="1" t="str">
        <f>IFERROR(VLOOKUP(D808,'Planilha de Cadastro - Previsão'!$A$2:$N$1000,14,FALSE()),"")</f>
        <v/>
      </c>
      <c r="D808" s="1">
        <v>807</v>
      </c>
      <c r="F808" s="40" t="str">
        <f t="shared" si="51"/>
        <v/>
      </c>
      <c r="G808" s="40" t="str">
        <f>IF(F808="","",'Prosposta Inicial'!$O$2)</f>
        <v/>
      </c>
      <c r="H808" s="40" t="str">
        <f t="shared" si="54"/>
        <v xml:space="preserve"> </v>
      </c>
      <c r="I808" s="41" t="str">
        <f>IFERROR((VLOOKUP(F808,'Planilha de Cadastro - Previsão'!$A$2:$N$1100,2,FALSE()))," ")</f>
        <v xml:space="preserve"> </v>
      </c>
      <c r="J808" s="40" t="str">
        <f>IFERROR((VLOOKUP(F808,'Planilha de Cadastro - Previsão'!$A$2:$N$1100,3,FALSE()))," ")</f>
        <v xml:space="preserve"> </v>
      </c>
      <c r="K808" s="40"/>
      <c r="L808" s="42" t="str">
        <f>IFERROR((VLOOKUP(F808,'Planilha de Cadastro - Previsão'!$A$2:$N$1100,11,FALSE()))," ")</f>
        <v xml:space="preserve"> </v>
      </c>
      <c r="M808" s="41" t="str">
        <f>IFERROR((IF(VLOOKUP(F808,'Planilha de Cadastro - Previsão'!$A$2:$N$1100,10,FALSE())="","",VLOOKUP(F808,'Planilha de Cadastro - Previsão'!$A$2:$N$1100,10,FALSE()))),"")</f>
        <v/>
      </c>
      <c r="N808" s="41"/>
      <c r="O808" s="41"/>
      <c r="P808" s="41" t="str">
        <f>IFERROR((IF(VLOOKUP(F808,'Acompanhamento da Licitação'!$F$2:$O$1000,10,FALSE())="","",VLOOKUP(F808,'Acompanhamento da Licitação'!$F$2:$O$1000,10,FALSE()))),"")</f>
        <v/>
      </c>
      <c r="R808" s="61" t="str">
        <f>IFERROR(IF(F808&gt;0,(Final[[#This Row],[Valor da Venda Real]]-Final[[#This Row],[Valor de Compra Previsto]]-4%*Final[[#This Row],[Valor da Venda Real]])/Final[[#This Row],[Valor da Venda Real]],""),"")</f>
        <v/>
      </c>
      <c r="S808" s="61" t="str">
        <f t="shared" si="53"/>
        <v/>
      </c>
      <c r="T808" s="23" t="str">
        <f>IFERROR((R808*Final[[#This Row],[Valor da Venda Real]]*Final[[#This Row],[Quantidade ]]*S808),"")</f>
        <v/>
      </c>
    </row>
    <row r="809" spans="1:20" ht="15.75" x14ac:dyDescent="0.2">
      <c r="A809">
        <f>COUNTIF($C$2:C809,C809)</f>
        <v>808</v>
      </c>
      <c r="B809" s="1" t="str">
        <f t="shared" si="52"/>
        <v>808</v>
      </c>
      <c r="C809" s="1" t="str">
        <f>IFERROR(VLOOKUP(D809,'Planilha de Cadastro - Previsão'!$A$2:$N$1000,14,FALSE()),"")</f>
        <v/>
      </c>
      <c r="D809" s="1">
        <v>808</v>
      </c>
      <c r="F809" s="40" t="str">
        <f t="shared" si="51"/>
        <v/>
      </c>
      <c r="G809" s="40" t="str">
        <f>IF(F809="","",'Prosposta Inicial'!$O$2)</f>
        <v/>
      </c>
      <c r="H809" s="40" t="str">
        <f t="shared" si="54"/>
        <v xml:space="preserve"> </v>
      </c>
      <c r="I809" s="41" t="str">
        <f>IFERROR((VLOOKUP(F809,'Planilha de Cadastro - Previsão'!$A$2:$N$1100,2,FALSE()))," ")</f>
        <v xml:space="preserve"> </v>
      </c>
      <c r="J809" s="40" t="str">
        <f>IFERROR((VLOOKUP(F809,'Planilha de Cadastro - Previsão'!$A$2:$N$1100,3,FALSE()))," ")</f>
        <v xml:space="preserve"> </v>
      </c>
      <c r="K809" s="40"/>
      <c r="L809" s="42" t="str">
        <f>IFERROR((VLOOKUP(F809,'Planilha de Cadastro - Previsão'!$A$2:$N$1100,11,FALSE()))," ")</f>
        <v xml:space="preserve"> </v>
      </c>
      <c r="M809" s="41" t="str">
        <f>IFERROR((IF(VLOOKUP(F809,'Planilha de Cadastro - Previsão'!$A$2:$N$1100,10,FALSE())="","",VLOOKUP(F809,'Planilha de Cadastro - Previsão'!$A$2:$N$1100,10,FALSE()))),"")</f>
        <v/>
      </c>
      <c r="N809" s="41"/>
      <c r="O809" s="41"/>
      <c r="P809" s="41" t="str">
        <f>IFERROR((IF(VLOOKUP(F809,'Acompanhamento da Licitação'!$F$2:$O$1000,10,FALSE())="","",VLOOKUP(F809,'Acompanhamento da Licitação'!$F$2:$O$1000,10,FALSE()))),"")</f>
        <v/>
      </c>
      <c r="R809" s="61" t="str">
        <f>IFERROR(IF(F809&gt;0,(Final[[#This Row],[Valor da Venda Real]]-Final[[#This Row],[Valor de Compra Previsto]]-4%*Final[[#This Row],[Valor da Venda Real]])/Final[[#This Row],[Valor da Venda Real]],""),"")</f>
        <v/>
      </c>
      <c r="S809" s="61" t="str">
        <f t="shared" si="53"/>
        <v/>
      </c>
      <c r="T809" s="23" t="str">
        <f>IFERROR((R809*Final[[#This Row],[Valor da Venda Real]]*Final[[#This Row],[Quantidade ]]*S809),"")</f>
        <v/>
      </c>
    </row>
    <row r="810" spans="1:20" ht="15.75" x14ac:dyDescent="0.2">
      <c r="A810">
        <f>COUNTIF($C$2:C810,C810)</f>
        <v>809</v>
      </c>
      <c r="B810" s="1" t="str">
        <f t="shared" si="52"/>
        <v>809</v>
      </c>
      <c r="C810" s="1" t="str">
        <f>IFERROR(VLOOKUP(D810,'Planilha de Cadastro - Previsão'!$A$2:$N$1000,14,FALSE()),"")</f>
        <v/>
      </c>
      <c r="D810" s="1">
        <v>809</v>
      </c>
      <c r="F810" s="40" t="str">
        <f t="shared" si="51"/>
        <v/>
      </c>
      <c r="G810" s="40" t="str">
        <f>IF(F810="","",'Prosposta Inicial'!$O$2)</f>
        <v/>
      </c>
      <c r="H810" s="40" t="str">
        <f t="shared" si="54"/>
        <v xml:space="preserve"> </v>
      </c>
      <c r="I810" s="41" t="str">
        <f>IFERROR((VLOOKUP(F810,'Planilha de Cadastro - Previsão'!$A$2:$N$1100,2,FALSE()))," ")</f>
        <v xml:space="preserve"> </v>
      </c>
      <c r="J810" s="40" t="str">
        <f>IFERROR((VLOOKUP(F810,'Planilha de Cadastro - Previsão'!$A$2:$N$1100,3,FALSE()))," ")</f>
        <v xml:space="preserve"> </v>
      </c>
      <c r="K810" s="40"/>
      <c r="L810" s="42" t="str">
        <f>IFERROR((VLOOKUP(F810,'Planilha de Cadastro - Previsão'!$A$2:$N$1100,11,FALSE()))," ")</f>
        <v xml:space="preserve"> </v>
      </c>
      <c r="M810" s="41" t="str">
        <f>IFERROR((IF(VLOOKUP(F810,'Planilha de Cadastro - Previsão'!$A$2:$N$1100,10,FALSE())="","",VLOOKUP(F810,'Planilha de Cadastro - Previsão'!$A$2:$N$1100,10,FALSE()))),"")</f>
        <v/>
      </c>
      <c r="N810" s="41"/>
      <c r="O810" s="41"/>
      <c r="P810" s="41" t="str">
        <f>IFERROR((IF(VLOOKUP(F810,'Acompanhamento da Licitação'!$F$2:$O$1000,10,FALSE())="","",VLOOKUP(F810,'Acompanhamento da Licitação'!$F$2:$O$1000,10,FALSE()))),"")</f>
        <v/>
      </c>
      <c r="R810" s="61" t="str">
        <f>IFERROR(IF(F810&gt;0,(Final[[#This Row],[Valor da Venda Real]]-Final[[#This Row],[Valor de Compra Previsto]]-4%*Final[[#This Row],[Valor da Venda Real]])/Final[[#This Row],[Valor da Venda Real]],""),"")</f>
        <v/>
      </c>
      <c r="S810" s="61" t="str">
        <f t="shared" si="53"/>
        <v/>
      </c>
      <c r="T810" s="23" t="str">
        <f>IFERROR((R810*Final[[#This Row],[Valor da Venda Real]]*Final[[#This Row],[Quantidade ]]*S810),"")</f>
        <v/>
      </c>
    </row>
    <row r="811" spans="1:20" ht="15.75" x14ac:dyDescent="0.2">
      <c r="A811">
        <f>COUNTIF($C$2:C811,C811)</f>
        <v>810</v>
      </c>
      <c r="B811" s="1" t="str">
        <f t="shared" si="52"/>
        <v>810</v>
      </c>
      <c r="C811" s="1" t="str">
        <f>IFERROR(VLOOKUP(D811,'Planilha de Cadastro - Previsão'!$A$2:$N$1000,14,FALSE()),"")</f>
        <v/>
      </c>
      <c r="D811" s="1">
        <v>810</v>
      </c>
      <c r="F811" s="40" t="str">
        <f t="shared" si="51"/>
        <v/>
      </c>
      <c r="G811" s="40" t="str">
        <f>IF(F811="","",'Prosposta Inicial'!$O$2)</f>
        <v/>
      </c>
      <c r="H811" s="40" t="str">
        <f t="shared" si="54"/>
        <v xml:space="preserve"> </v>
      </c>
      <c r="I811" s="41" t="str">
        <f>IFERROR((VLOOKUP(F811,'Planilha de Cadastro - Previsão'!$A$2:$N$1100,2,FALSE()))," ")</f>
        <v xml:space="preserve"> </v>
      </c>
      <c r="J811" s="40" t="str">
        <f>IFERROR((VLOOKUP(F811,'Planilha de Cadastro - Previsão'!$A$2:$N$1100,3,FALSE()))," ")</f>
        <v xml:space="preserve"> </v>
      </c>
      <c r="K811" s="40"/>
      <c r="L811" s="42" t="str">
        <f>IFERROR((VLOOKUP(F811,'Planilha de Cadastro - Previsão'!$A$2:$N$1100,11,FALSE()))," ")</f>
        <v xml:space="preserve"> </v>
      </c>
      <c r="M811" s="41" t="str">
        <f>IFERROR((IF(VLOOKUP(F811,'Planilha de Cadastro - Previsão'!$A$2:$N$1100,10,FALSE())="","",VLOOKUP(F811,'Planilha de Cadastro - Previsão'!$A$2:$N$1100,10,FALSE()))),"")</f>
        <v/>
      </c>
      <c r="N811" s="41"/>
      <c r="O811" s="41"/>
      <c r="P811" s="41" t="str">
        <f>IFERROR((IF(VLOOKUP(F811,'Acompanhamento da Licitação'!$F$2:$O$1000,10,FALSE())="","",VLOOKUP(F811,'Acompanhamento da Licitação'!$F$2:$O$1000,10,FALSE()))),"")</f>
        <v/>
      </c>
      <c r="R811" s="61" t="str">
        <f>IFERROR(IF(F811&gt;0,(Final[[#This Row],[Valor da Venda Real]]-Final[[#This Row],[Valor de Compra Previsto]]-4%*Final[[#This Row],[Valor da Venda Real]])/Final[[#This Row],[Valor da Venda Real]],""),"")</f>
        <v/>
      </c>
      <c r="S811" s="61" t="str">
        <f t="shared" si="53"/>
        <v/>
      </c>
      <c r="T811" s="23" t="str">
        <f>IFERROR((R811*Final[[#This Row],[Valor da Venda Real]]*Final[[#This Row],[Quantidade ]]*S811),"")</f>
        <v/>
      </c>
    </row>
    <row r="812" spans="1:20" ht="15.75" x14ac:dyDescent="0.2">
      <c r="A812">
        <f>COUNTIF($C$2:C812,C812)</f>
        <v>811</v>
      </c>
      <c r="B812" s="1" t="str">
        <f t="shared" si="52"/>
        <v>811</v>
      </c>
      <c r="C812" s="1" t="str">
        <f>IFERROR(VLOOKUP(D812,'Planilha de Cadastro - Previsão'!$A$2:$N$1000,14,FALSE()),"")</f>
        <v/>
      </c>
      <c r="D812" s="1">
        <v>811</v>
      </c>
      <c r="F812" s="40" t="str">
        <f t="shared" si="51"/>
        <v/>
      </c>
      <c r="G812" s="40" t="str">
        <f>IF(F812="","",'Prosposta Inicial'!$O$2)</f>
        <v/>
      </c>
      <c r="H812" s="40" t="str">
        <f t="shared" si="54"/>
        <v xml:space="preserve"> </v>
      </c>
      <c r="I812" s="41" t="str">
        <f>IFERROR((VLOOKUP(F812,'Planilha de Cadastro - Previsão'!$A$2:$N$1100,2,FALSE()))," ")</f>
        <v xml:space="preserve"> </v>
      </c>
      <c r="J812" s="40" t="str">
        <f>IFERROR((VLOOKUP(F812,'Planilha de Cadastro - Previsão'!$A$2:$N$1100,3,FALSE()))," ")</f>
        <v xml:space="preserve"> </v>
      </c>
      <c r="K812" s="40"/>
      <c r="L812" s="42" t="str">
        <f>IFERROR((VLOOKUP(F812,'Planilha de Cadastro - Previsão'!$A$2:$N$1100,11,FALSE()))," ")</f>
        <v xml:space="preserve"> </v>
      </c>
      <c r="M812" s="41" t="str">
        <f>IFERROR((IF(VLOOKUP(F812,'Planilha de Cadastro - Previsão'!$A$2:$N$1100,10,FALSE())="","",VLOOKUP(F812,'Planilha de Cadastro - Previsão'!$A$2:$N$1100,10,FALSE()))),"")</f>
        <v/>
      </c>
      <c r="N812" s="41"/>
      <c r="O812" s="41"/>
      <c r="P812" s="41" t="str">
        <f>IFERROR((IF(VLOOKUP(F812,'Acompanhamento da Licitação'!$F$2:$O$1000,10,FALSE())="","",VLOOKUP(F812,'Acompanhamento da Licitação'!$F$2:$O$1000,10,FALSE()))),"")</f>
        <v/>
      </c>
      <c r="R812" s="61" t="str">
        <f>IFERROR(IF(F812&gt;0,(Final[[#This Row],[Valor da Venda Real]]-Final[[#This Row],[Valor de Compra Previsto]]-4%*Final[[#This Row],[Valor da Venda Real]])/Final[[#This Row],[Valor da Venda Real]],""),"")</f>
        <v/>
      </c>
      <c r="S812" s="61" t="str">
        <f t="shared" si="53"/>
        <v/>
      </c>
      <c r="T812" s="23" t="str">
        <f>IFERROR((R812*Final[[#This Row],[Valor da Venda Real]]*Final[[#This Row],[Quantidade ]]*S812),"")</f>
        <v/>
      </c>
    </row>
    <row r="813" spans="1:20" ht="15.75" x14ac:dyDescent="0.2">
      <c r="A813">
        <f>COUNTIF($C$2:C813,C813)</f>
        <v>812</v>
      </c>
      <c r="B813" s="1" t="str">
        <f t="shared" si="52"/>
        <v>812</v>
      </c>
      <c r="C813" s="1" t="str">
        <f>IFERROR(VLOOKUP(D813,'Planilha de Cadastro - Previsão'!$A$2:$N$1000,14,FALSE()),"")</f>
        <v/>
      </c>
      <c r="D813" s="1">
        <v>812</v>
      </c>
      <c r="F813" s="40" t="str">
        <f t="shared" si="51"/>
        <v/>
      </c>
      <c r="G813" s="40" t="str">
        <f>IF(F813="","",'Prosposta Inicial'!$O$2)</f>
        <v/>
      </c>
      <c r="H813" s="40" t="str">
        <f t="shared" si="54"/>
        <v xml:space="preserve"> </v>
      </c>
      <c r="I813" s="41" t="str">
        <f>IFERROR((VLOOKUP(F813,'Planilha de Cadastro - Previsão'!$A$2:$N$1100,2,FALSE()))," ")</f>
        <v xml:space="preserve"> </v>
      </c>
      <c r="J813" s="40" t="str">
        <f>IFERROR((VLOOKUP(F813,'Planilha de Cadastro - Previsão'!$A$2:$N$1100,3,FALSE()))," ")</f>
        <v xml:space="preserve"> </v>
      </c>
      <c r="K813" s="40"/>
      <c r="L813" s="42" t="str">
        <f>IFERROR((VLOOKUP(F813,'Planilha de Cadastro - Previsão'!$A$2:$N$1100,11,FALSE()))," ")</f>
        <v xml:space="preserve"> </v>
      </c>
      <c r="M813" s="41" t="str">
        <f>IFERROR((IF(VLOOKUP(F813,'Planilha de Cadastro - Previsão'!$A$2:$N$1100,10,FALSE())="","",VLOOKUP(F813,'Planilha de Cadastro - Previsão'!$A$2:$N$1100,10,FALSE()))),"")</f>
        <v/>
      </c>
      <c r="N813" s="41"/>
      <c r="O813" s="41"/>
      <c r="P813" s="41" t="str">
        <f>IFERROR((IF(VLOOKUP(F813,'Acompanhamento da Licitação'!$F$2:$O$1000,10,FALSE())="","",VLOOKUP(F813,'Acompanhamento da Licitação'!$F$2:$O$1000,10,FALSE()))),"")</f>
        <v/>
      </c>
      <c r="R813" s="61" t="str">
        <f>IFERROR(IF(F813&gt;0,(Final[[#This Row],[Valor da Venda Real]]-Final[[#This Row],[Valor de Compra Previsto]]-4%*Final[[#This Row],[Valor da Venda Real]])/Final[[#This Row],[Valor da Venda Real]],""),"")</f>
        <v/>
      </c>
      <c r="S813" s="61" t="str">
        <f t="shared" si="53"/>
        <v/>
      </c>
      <c r="T813" s="23" t="str">
        <f>IFERROR((R813*Final[[#This Row],[Valor da Venda Real]]*Final[[#This Row],[Quantidade ]]*S813),"")</f>
        <v/>
      </c>
    </row>
    <row r="814" spans="1:20" ht="15.75" x14ac:dyDescent="0.2">
      <c r="A814">
        <f>COUNTIF($C$2:C814,C814)</f>
        <v>813</v>
      </c>
      <c r="B814" s="1" t="str">
        <f t="shared" si="52"/>
        <v>813</v>
      </c>
      <c r="C814" s="1" t="str">
        <f>IFERROR(VLOOKUP(D814,'Planilha de Cadastro - Previsão'!$A$2:$N$1000,14,FALSE()),"")</f>
        <v/>
      </c>
      <c r="D814" s="1">
        <v>813</v>
      </c>
      <c r="F814" s="40" t="str">
        <f t="shared" si="51"/>
        <v/>
      </c>
      <c r="G814" s="40" t="str">
        <f>IF(F814="","",'Prosposta Inicial'!$O$2)</f>
        <v/>
      </c>
      <c r="H814" s="40" t="str">
        <f t="shared" si="54"/>
        <v xml:space="preserve"> </v>
      </c>
      <c r="I814" s="41" t="str">
        <f>IFERROR((VLOOKUP(F814,'Planilha de Cadastro - Previsão'!$A$2:$N$1100,2,FALSE()))," ")</f>
        <v xml:space="preserve"> </v>
      </c>
      <c r="J814" s="40" t="str">
        <f>IFERROR((VLOOKUP(F814,'Planilha de Cadastro - Previsão'!$A$2:$N$1100,3,FALSE()))," ")</f>
        <v xml:space="preserve"> </v>
      </c>
      <c r="K814" s="40"/>
      <c r="L814" s="42" t="str">
        <f>IFERROR((VLOOKUP(F814,'Planilha de Cadastro - Previsão'!$A$2:$N$1100,11,FALSE()))," ")</f>
        <v xml:space="preserve"> </v>
      </c>
      <c r="M814" s="41" t="str">
        <f>IFERROR((IF(VLOOKUP(F814,'Planilha de Cadastro - Previsão'!$A$2:$N$1100,10,FALSE())="","",VLOOKUP(F814,'Planilha de Cadastro - Previsão'!$A$2:$N$1100,10,FALSE()))),"")</f>
        <v/>
      </c>
      <c r="N814" s="41"/>
      <c r="O814" s="41"/>
      <c r="P814" s="41" t="str">
        <f>IFERROR((IF(VLOOKUP(F814,'Acompanhamento da Licitação'!$F$2:$O$1000,10,FALSE())="","",VLOOKUP(F814,'Acompanhamento da Licitação'!$F$2:$O$1000,10,FALSE()))),"")</f>
        <v/>
      </c>
      <c r="R814" s="61" t="str">
        <f>IFERROR(IF(F814&gt;0,(Final[[#This Row],[Valor da Venda Real]]-Final[[#This Row],[Valor de Compra Previsto]]-4%*Final[[#This Row],[Valor da Venda Real]])/Final[[#This Row],[Valor da Venda Real]],""),"")</f>
        <v/>
      </c>
      <c r="S814" s="61" t="str">
        <f t="shared" si="53"/>
        <v/>
      </c>
      <c r="T814" s="23" t="str">
        <f>IFERROR((R814*Final[[#This Row],[Valor da Venda Real]]*Final[[#This Row],[Quantidade ]]*S814),"")</f>
        <v/>
      </c>
    </row>
    <row r="815" spans="1:20" ht="15.75" x14ac:dyDescent="0.2">
      <c r="A815">
        <f>COUNTIF($C$2:C815,C815)</f>
        <v>814</v>
      </c>
      <c r="B815" s="1" t="str">
        <f t="shared" si="52"/>
        <v>814</v>
      </c>
      <c r="C815" s="1" t="str">
        <f>IFERROR(VLOOKUP(D815,'Planilha de Cadastro - Previsão'!$A$2:$N$1000,14,FALSE()),"")</f>
        <v/>
      </c>
      <c r="D815" s="1">
        <v>814</v>
      </c>
      <c r="F815" s="40" t="str">
        <f t="shared" si="51"/>
        <v/>
      </c>
      <c r="G815" s="40" t="str">
        <f>IF(F815="","",'Prosposta Inicial'!$O$2)</f>
        <v/>
      </c>
      <c r="H815" s="40" t="str">
        <f t="shared" si="54"/>
        <v xml:space="preserve"> </v>
      </c>
      <c r="I815" s="41" t="str">
        <f>IFERROR((VLOOKUP(F815,'Planilha de Cadastro - Previsão'!$A$2:$N$1100,2,FALSE()))," ")</f>
        <v xml:space="preserve"> </v>
      </c>
      <c r="J815" s="40" t="str">
        <f>IFERROR((VLOOKUP(F815,'Planilha de Cadastro - Previsão'!$A$2:$N$1100,3,FALSE()))," ")</f>
        <v xml:space="preserve"> </v>
      </c>
      <c r="K815" s="40"/>
      <c r="L815" s="42" t="str">
        <f>IFERROR((VLOOKUP(F815,'Planilha de Cadastro - Previsão'!$A$2:$N$1100,11,FALSE()))," ")</f>
        <v xml:space="preserve"> </v>
      </c>
      <c r="M815" s="41" t="str">
        <f>IFERROR((IF(VLOOKUP(F815,'Planilha de Cadastro - Previsão'!$A$2:$N$1100,10,FALSE())="","",VLOOKUP(F815,'Planilha de Cadastro - Previsão'!$A$2:$N$1100,10,FALSE()))),"")</f>
        <v/>
      </c>
      <c r="N815" s="41"/>
      <c r="O815" s="41"/>
      <c r="P815" s="41" t="str">
        <f>IFERROR((IF(VLOOKUP(F815,'Acompanhamento da Licitação'!$F$2:$O$1000,10,FALSE())="","",VLOOKUP(F815,'Acompanhamento da Licitação'!$F$2:$O$1000,10,FALSE()))),"")</f>
        <v/>
      </c>
      <c r="R815" s="61" t="str">
        <f>IFERROR(IF(F815&gt;0,(Final[[#This Row],[Valor da Venda Real]]-Final[[#This Row],[Valor de Compra Previsto]]-4%*Final[[#This Row],[Valor da Venda Real]])/Final[[#This Row],[Valor da Venda Real]],""),"")</f>
        <v/>
      </c>
      <c r="S815" s="61" t="str">
        <f t="shared" si="53"/>
        <v/>
      </c>
      <c r="T815" s="23" t="str">
        <f>IFERROR((R815*Final[[#This Row],[Valor da Venda Real]]*Final[[#This Row],[Quantidade ]]*S815),"")</f>
        <v/>
      </c>
    </row>
    <row r="816" spans="1:20" ht="15.75" x14ac:dyDescent="0.2">
      <c r="A816">
        <f>COUNTIF($C$2:C816,C816)</f>
        <v>815</v>
      </c>
      <c r="B816" s="1" t="str">
        <f t="shared" si="52"/>
        <v>815</v>
      </c>
      <c r="C816" s="1" t="str">
        <f>IFERROR(VLOOKUP(D816,'Planilha de Cadastro - Previsão'!$A$2:$N$1000,14,FALSE()),"")</f>
        <v/>
      </c>
      <c r="D816" s="1">
        <v>815</v>
      </c>
      <c r="F816" s="40" t="str">
        <f t="shared" si="51"/>
        <v/>
      </c>
      <c r="G816" s="40" t="str">
        <f>IF(F816="","",'Prosposta Inicial'!$O$2)</f>
        <v/>
      </c>
      <c r="H816" s="40" t="str">
        <f t="shared" si="54"/>
        <v xml:space="preserve"> </v>
      </c>
      <c r="I816" s="41" t="str">
        <f>IFERROR((VLOOKUP(F816,'Planilha de Cadastro - Previsão'!$A$2:$N$1100,2,FALSE()))," ")</f>
        <v xml:space="preserve"> </v>
      </c>
      <c r="J816" s="40" t="str">
        <f>IFERROR((VLOOKUP(F816,'Planilha de Cadastro - Previsão'!$A$2:$N$1100,3,FALSE()))," ")</f>
        <v xml:space="preserve"> </v>
      </c>
      <c r="K816" s="40"/>
      <c r="L816" s="42" t="str">
        <f>IFERROR((VLOOKUP(F816,'Planilha de Cadastro - Previsão'!$A$2:$N$1100,11,FALSE()))," ")</f>
        <v xml:space="preserve"> </v>
      </c>
      <c r="M816" s="41" t="str">
        <f>IFERROR((IF(VLOOKUP(F816,'Planilha de Cadastro - Previsão'!$A$2:$N$1100,10,FALSE())="","",VLOOKUP(F816,'Planilha de Cadastro - Previsão'!$A$2:$N$1100,10,FALSE()))),"")</f>
        <v/>
      </c>
      <c r="N816" s="41"/>
      <c r="O816" s="41"/>
      <c r="P816" s="41" t="str">
        <f>IFERROR((IF(VLOOKUP(F816,'Acompanhamento da Licitação'!$F$2:$O$1000,10,FALSE())="","",VLOOKUP(F816,'Acompanhamento da Licitação'!$F$2:$O$1000,10,FALSE()))),"")</f>
        <v/>
      </c>
      <c r="R816" s="61" t="str">
        <f>IFERROR(IF(F816&gt;0,(Final[[#This Row],[Valor da Venda Real]]-Final[[#This Row],[Valor de Compra Previsto]]-4%*Final[[#This Row],[Valor da Venda Real]])/Final[[#This Row],[Valor da Venda Real]],""),"")</f>
        <v/>
      </c>
      <c r="S816" s="61" t="str">
        <f t="shared" si="53"/>
        <v/>
      </c>
      <c r="T816" s="23" t="str">
        <f>IFERROR((R816*Final[[#This Row],[Valor da Venda Real]]*Final[[#This Row],[Quantidade ]]*S816),"")</f>
        <v/>
      </c>
    </row>
    <row r="817" spans="1:20" ht="15.75" x14ac:dyDescent="0.2">
      <c r="A817">
        <f>COUNTIF($C$2:C817,C817)</f>
        <v>816</v>
      </c>
      <c r="B817" s="1" t="str">
        <f t="shared" si="52"/>
        <v>816</v>
      </c>
      <c r="C817" s="1" t="str">
        <f>IFERROR(VLOOKUP(D817,'Planilha de Cadastro - Previsão'!$A$2:$N$1000,14,FALSE()),"")</f>
        <v/>
      </c>
      <c r="D817" s="1">
        <v>816</v>
      </c>
      <c r="F817" s="40" t="str">
        <f t="shared" si="51"/>
        <v/>
      </c>
      <c r="G817" s="40" t="str">
        <f>IF(F817="","",'Prosposta Inicial'!$O$2)</f>
        <v/>
      </c>
      <c r="H817" s="40" t="str">
        <f t="shared" si="54"/>
        <v xml:space="preserve"> </v>
      </c>
      <c r="I817" s="41" t="str">
        <f>IFERROR((VLOOKUP(F817,'Planilha de Cadastro - Previsão'!$A$2:$N$1100,2,FALSE()))," ")</f>
        <v xml:space="preserve"> </v>
      </c>
      <c r="J817" s="40" t="str">
        <f>IFERROR((VLOOKUP(F817,'Planilha de Cadastro - Previsão'!$A$2:$N$1100,3,FALSE()))," ")</f>
        <v xml:space="preserve"> </v>
      </c>
      <c r="K817" s="40"/>
      <c r="L817" s="42" t="str">
        <f>IFERROR((VLOOKUP(F817,'Planilha de Cadastro - Previsão'!$A$2:$N$1100,11,FALSE()))," ")</f>
        <v xml:space="preserve"> </v>
      </c>
      <c r="M817" s="41" t="str">
        <f>IFERROR((IF(VLOOKUP(F817,'Planilha de Cadastro - Previsão'!$A$2:$N$1100,10,FALSE())="","",VLOOKUP(F817,'Planilha de Cadastro - Previsão'!$A$2:$N$1100,10,FALSE()))),"")</f>
        <v/>
      </c>
      <c r="N817" s="41"/>
      <c r="O817" s="41"/>
      <c r="P817" s="41" t="str">
        <f>IFERROR((IF(VLOOKUP(F817,'Acompanhamento da Licitação'!$F$2:$O$1000,10,FALSE())="","",VLOOKUP(F817,'Acompanhamento da Licitação'!$F$2:$O$1000,10,FALSE()))),"")</f>
        <v/>
      </c>
      <c r="R817" s="61" t="str">
        <f>IFERROR(IF(F817&gt;0,(Final[[#This Row],[Valor da Venda Real]]-Final[[#This Row],[Valor de Compra Previsto]]-4%*Final[[#This Row],[Valor da Venda Real]])/Final[[#This Row],[Valor da Venda Real]],""),"")</f>
        <v/>
      </c>
      <c r="S817" s="61" t="str">
        <f t="shared" si="53"/>
        <v/>
      </c>
      <c r="T817" s="23" t="str">
        <f>IFERROR((R817*Final[[#This Row],[Valor da Venda Real]]*Final[[#This Row],[Quantidade ]]*S817),"")</f>
        <v/>
      </c>
    </row>
    <row r="818" spans="1:20" ht="15.75" x14ac:dyDescent="0.2">
      <c r="A818">
        <f>COUNTIF($C$2:C818,C818)</f>
        <v>817</v>
      </c>
      <c r="B818" s="1" t="str">
        <f t="shared" si="52"/>
        <v>817</v>
      </c>
      <c r="C818" s="1" t="str">
        <f>IFERROR(VLOOKUP(D818,'Planilha de Cadastro - Previsão'!$A$2:$N$1000,14,FALSE()),"")</f>
        <v/>
      </c>
      <c r="D818" s="1">
        <v>817</v>
      </c>
      <c r="F818" s="40" t="str">
        <f t="shared" si="51"/>
        <v/>
      </c>
      <c r="G818" s="40" t="str">
        <f>IF(F818="","",'Prosposta Inicial'!$O$2)</f>
        <v/>
      </c>
      <c r="H818" s="40" t="str">
        <f t="shared" si="54"/>
        <v xml:space="preserve"> </v>
      </c>
      <c r="I818" s="41" t="str">
        <f>IFERROR((VLOOKUP(F818,'Planilha de Cadastro - Previsão'!$A$2:$N$1100,2,FALSE()))," ")</f>
        <v xml:space="preserve"> </v>
      </c>
      <c r="J818" s="40" t="str">
        <f>IFERROR((VLOOKUP(F818,'Planilha de Cadastro - Previsão'!$A$2:$N$1100,3,FALSE()))," ")</f>
        <v xml:space="preserve"> </v>
      </c>
      <c r="K818" s="40"/>
      <c r="L818" s="42" t="str">
        <f>IFERROR((VLOOKUP(F818,'Planilha de Cadastro - Previsão'!$A$2:$N$1100,11,FALSE()))," ")</f>
        <v xml:space="preserve"> </v>
      </c>
      <c r="M818" s="41" t="str">
        <f>IFERROR((IF(VLOOKUP(F818,'Planilha de Cadastro - Previsão'!$A$2:$N$1100,10,FALSE())="","",VLOOKUP(F818,'Planilha de Cadastro - Previsão'!$A$2:$N$1100,10,FALSE()))),"")</f>
        <v/>
      </c>
      <c r="N818" s="41"/>
      <c r="O818" s="41"/>
      <c r="P818" s="41" t="str">
        <f>IFERROR((IF(VLOOKUP(F818,'Acompanhamento da Licitação'!$F$2:$O$1000,10,FALSE())="","",VLOOKUP(F818,'Acompanhamento da Licitação'!$F$2:$O$1000,10,FALSE()))),"")</f>
        <v/>
      </c>
      <c r="R818" s="61" t="str">
        <f>IFERROR(IF(F818&gt;0,(Final[[#This Row],[Valor da Venda Real]]-Final[[#This Row],[Valor de Compra Previsto]]-4%*Final[[#This Row],[Valor da Venda Real]])/Final[[#This Row],[Valor da Venda Real]],""),"")</f>
        <v/>
      </c>
      <c r="S818" s="61" t="str">
        <f t="shared" si="53"/>
        <v/>
      </c>
      <c r="T818" s="23" t="str">
        <f>IFERROR((R818*Final[[#This Row],[Valor da Venda Real]]*Final[[#This Row],[Quantidade ]]*S818),"")</f>
        <v/>
      </c>
    </row>
    <row r="819" spans="1:20" ht="15.75" x14ac:dyDescent="0.2">
      <c r="A819">
        <f>COUNTIF($C$2:C819,C819)</f>
        <v>818</v>
      </c>
      <c r="B819" s="1" t="str">
        <f t="shared" si="52"/>
        <v>818</v>
      </c>
      <c r="C819" s="1" t="str">
        <f>IFERROR(VLOOKUP(D819,'Planilha de Cadastro - Previsão'!$A$2:$N$1000,14,FALSE()),"")</f>
        <v/>
      </c>
      <c r="D819" s="1">
        <v>818</v>
      </c>
      <c r="F819" s="40" t="str">
        <f t="shared" si="51"/>
        <v/>
      </c>
      <c r="G819" s="40" t="str">
        <f>IF(F819="","",'Prosposta Inicial'!$O$2)</f>
        <v/>
      </c>
      <c r="H819" s="40" t="str">
        <f t="shared" si="54"/>
        <v xml:space="preserve"> </v>
      </c>
      <c r="I819" s="41" t="str">
        <f>IFERROR((VLOOKUP(F819,'Planilha de Cadastro - Previsão'!$A$2:$N$1100,2,FALSE()))," ")</f>
        <v xml:space="preserve"> </v>
      </c>
      <c r="J819" s="40" t="str">
        <f>IFERROR((VLOOKUP(F819,'Planilha de Cadastro - Previsão'!$A$2:$N$1100,3,FALSE()))," ")</f>
        <v xml:space="preserve"> </v>
      </c>
      <c r="K819" s="40"/>
      <c r="L819" s="42" t="str">
        <f>IFERROR((VLOOKUP(F819,'Planilha de Cadastro - Previsão'!$A$2:$N$1100,11,FALSE()))," ")</f>
        <v xml:space="preserve"> </v>
      </c>
      <c r="M819" s="41" t="str">
        <f>IFERROR((IF(VLOOKUP(F819,'Planilha de Cadastro - Previsão'!$A$2:$N$1100,10,FALSE())="","",VLOOKUP(F819,'Planilha de Cadastro - Previsão'!$A$2:$N$1100,10,FALSE()))),"")</f>
        <v/>
      </c>
      <c r="N819" s="41"/>
      <c r="O819" s="41"/>
      <c r="P819" s="41" t="str">
        <f>IFERROR((IF(VLOOKUP(F819,'Acompanhamento da Licitação'!$F$2:$O$1000,10,FALSE())="","",VLOOKUP(F819,'Acompanhamento da Licitação'!$F$2:$O$1000,10,FALSE()))),"")</f>
        <v/>
      </c>
      <c r="R819" s="61" t="str">
        <f>IFERROR(IF(F819&gt;0,(Final[[#This Row],[Valor da Venda Real]]-Final[[#This Row],[Valor de Compra Previsto]]-4%*Final[[#This Row],[Valor da Venda Real]])/Final[[#This Row],[Valor da Venda Real]],""),"")</f>
        <v/>
      </c>
      <c r="S819" s="61" t="str">
        <f t="shared" si="53"/>
        <v/>
      </c>
      <c r="T819" s="23" t="str">
        <f>IFERROR((R819*Final[[#This Row],[Valor da Venda Real]]*Final[[#This Row],[Quantidade ]]*S819),"")</f>
        <v/>
      </c>
    </row>
    <row r="820" spans="1:20" ht="15.75" x14ac:dyDescent="0.2">
      <c r="A820">
        <f>COUNTIF($C$2:C820,C820)</f>
        <v>819</v>
      </c>
      <c r="B820" s="1" t="str">
        <f t="shared" si="52"/>
        <v>819</v>
      </c>
      <c r="C820" s="1" t="str">
        <f>IFERROR(VLOOKUP(D820,'Planilha de Cadastro - Previsão'!$A$2:$N$1000,14,FALSE()),"")</f>
        <v/>
      </c>
      <c r="D820" s="1">
        <v>819</v>
      </c>
      <c r="F820" s="40" t="str">
        <f t="shared" si="51"/>
        <v/>
      </c>
      <c r="G820" s="40" t="str">
        <f>IF(F820="","",'Prosposta Inicial'!$O$2)</f>
        <v/>
      </c>
      <c r="H820" s="40" t="str">
        <f t="shared" si="54"/>
        <v xml:space="preserve"> </v>
      </c>
      <c r="I820" s="41" t="str">
        <f>IFERROR((VLOOKUP(F820,'Planilha de Cadastro - Previsão'!$A$2:$N$1100,2,FALSE()))," ")</f>
        <v xml:space="preserve"> </v>
      </c>
      <c r="J820" s="40" t="str">
        <f>IFERROR((VLOOKUP(F820,'Planilha de Cadastro - Previsão'!$A$2:$N$1100,3,FALSE()))," ")</f>
        <v xml:space="preserve"> </v>
      </c>
      <c r="K820" s="40"/>
      <c r="L820" s="42" t="str">
        <f>IFERROR((VLOOKUP(F820,'Planilha de Cadastro - Previsão'!$A$2:$N$1100,11,FALSE()))," ")</f>
        <v xml:space="preserve"> </v>
      </c>
      <c r="M820" s="41" t="str">
        <f>IFERROR((IF(VLOOKUP(F820,'Planilha de Cadastro - Previsão'!$A$2:$N$1100,10,FALSE())="","",VLOOKUP(F820,'Planilha de Cadastro - Previsão'!$A$2:$N$1100,10,FALSE()))),"")</f>
        <v/>
      </c>
      <c r="N820" s="41"/>
      <c r="O820" s="41"/>
      <c r="P820" s="41" t="str">
        <f>IFERROR((IF(VLOOKUP(F820,'Acompanhamento da Licitação'!$F$2:$O$1000,10,FALSE())="","",VLOOKUP(F820,'Acompanhamento da Licitação'!$F$2:$O$1000,10,FALSE()))),"")</f>
        <v/>
      </c>
      <c r="R820" s="61" t="str">
        <f>IFERROR(IF(F820&gt;0,(Final[[#This Row],[Valor da Venda Real]]-Final[[#This Row],[Valor de Compra Previsto]]-4%*Final[[#This Row],[Valor da Venda Real]])/Final[[#This Row],[Valor da Venda Real]],""),"")</f>
        <v/>
      </c>
      <c r="S820" s="61" t="str">
        <f t="shared" si="53"/>
        <v/>
      </c>
      <c r="T820" s="23" t="str">
        <f>IFERROR((R820*Final[[#This Row],[Valor da Venda Real]]*Final[[#This Row],[Quantidade ]]*S820),"")</f>
        <v/>
      </c>
    </row>
    <row r="821" spans="1:20" ht="15.75" x14ac:dyDescent="0.2">
      <c r="A821">
        <f>COUNTIF($C$2:C821,C821)</f>
        <v>820</v>
      </c>
      <c r="B821" s="1" t="str">
        <f t="shared" si="52"/>
        <v>820</v>
      </c>
      <c r="C821" s="1" t="str">
        <f>IFERROR(VLOOKUP(D821,'Planilha de Cadastro - Previsão'!$A$2:$N$1000,14,FALSE()),"")</f>
        <v/>
      </c>
      <c r="D821" s="1">
        <v>820</v>
      </c>
      <c r="F821" s="40" t="str">
        <f t="shared" si="51"/>
        <v/>
      </c>
      <c r="G821" s="40" t="str">
        <f>IF(F821="","",'Prosposta Inicial'!$O$2)</f>
        <v/>
      </c>
      <c r="H821" s="40" t="str">
        <f t="shared" si="54"/>
        <v xml:space="preserve"> </v>
      </c>
      <c r="I821" s="41" t="str">
        <f>IFERROR((VLOOKUP(F821,'Planilha de Cadastro - Previsão'!$A$2:$N$1100,2,FALSE()))," ")</f>
        <v xml:space="preserve"> </v>
      </c>
      <c r="J821" s="40" t="str">
        <f>IFERROR((VLOOKUP(F821,'Planilha de Cadastro - Previsão'!$A$2:$N$1100,3,FALSE()))," ")</f>
        <v xml:space="preserve"> </v>
      </c>
      <c r="K821" s="40"/>
      <c r="L821" s="42" t="str">
        <f>IFERROR((VLOOKUP(F821,'Planilha de Cadastro - Previsão'!$A$2:$N$1100,11,FALSE()))," ")</f>
        <v xml:space="preserve"> </v>
      </c>
      <c r="M821" s="41" t="str">
        <f>IFERROR((IF(VLOOKUP(F821,'Planilha de Cadastro - Previsão'!$A$2:$N$1100,10,FALSE())="","",VLOOKUP(F821,'Planilha de Cadastro - Previsão'!$A$2:$N$1100,10,FALSE()))),"")</f>
        <v/>
      </c>
      <c r="N821" s="41"/>
      <c r="O821" s="41"/>
      <c r="P821" s="41" t="str">
        <f>IFERROR((IF(VLOOKUP(F821,'Acompanhamento da Licitação'!$F$2:$O$1000,10,FALSE())="","",VLOOKUP(F821,'Acompanhamento da Licitação'!$F$2:$O$1000,10,FALSE()))),"")</f>
        <v/>
      </c>
      <c r="R821" s="61" t="str">
        <f>IFERROR(IF(F821&gt;0,(Final[[#This Row],[Valor da Venda Real]]-Final[[#This Row],[Valor de Compra Previsto]]-4%*Final[[#This Row],[Valor da Venda Real]])/Final[[#This Row],[Valor da Venda Real]],""),"")</f>
        <v/>
      </c>
      <c r="S821" s="61" t="str">
        <f t="shared" si="53"/>
        <v/>
      </c>
      <c r="T821" s="23" t="str">
        <f>IFERROR((R821*Final[[#This Row],[Valor da Venda Real]]*Final[[#This Row],[Quantidade ]]*S821),"")</f>
        <v/>
      </c>
    </row>
    <row r="822" spans="1:20" ht="15.75" x14ac:dyDescent="0.2">
      <c r="A822">
        <f>COUNTIF($C$2:C822,C822)</f>
        <v>821</v>
      </c>
      <c r="B822" s="1" t="str">
        <f t="shared" si="52"/>
        <v>821</v>
      </c>
      <c r="C822" s="1" t="str">
        <f>IFERROR(VLOOKUP(D822,'Planilha de Cadastro - Previsão'!$A$2:$N$1000,14,FALSE()),"")</f>
        <v/>
      </c>
      <c r="D822" s="1">
        <v>821</v>
      </c>
      <c r="F822" s="40" t="str">
        <f t="shared" si="51"/>
        <v/>
      </c>
      <c r="G822" s="40" t="str">
        <f>IF(F822="","",'Prosposta Inicial'!$O$2)</f>
        <v/>
      </c>
      <c r="H822" s="40" t="str">
        <f t="shared" si="54"/>
        <v xml:space="preserve"> </v>
      </c>
      <c r="I822" s="41" t="str">
        <f>IFERROR((VLOOKUP(F822,'Planilha de Cadastro - Previsão'!$A$2:$N$1100,2,FALSE()))," ")</f>
        <v xml:space="preserve"> </v>
      </c>
      <c r="J822" s="40" t="str">
        <f>IFERROR((VLOOKUP(F822,'Planilha de Cadastro - Previsão'!$A$2:$N$1100,3,FALSE()))," ")</f>
        <v xml:space="preserve"> </v>
      </c>
      <c r="K822" s="40"/>
      <c r="L822" s="42" t="str">
        <f>IFERROR((VLOOKUP(F822,'Planilha de Cadastro - Previsão'!$A$2:$N$1100,11,FALSE()))," ")</f>
        <v xml:space="preserve"> </v>
      </c>
      <c r="M822" s="41" t="str">
        <f>IFERROR((IF(VLOOKUP(F822,'Planilha de Cadastro - Previsão'!$A$2:$N$1100,10,FALSE())="","",VLOOKUP(F822,'Planilha de Cadastro - Previsão'!$A$2:$N$1100,10,FALSE()))),"")</f>
        <v/>
      </c>
      <c r="N822" s="41"/>
      <c r="O822" s="41"/>
      <c r="P822" s="41" t="str">
        <f>IFERROR((IF(VLOOKUP(F822,'Acompanhamento da Licitação'!$F$2:$O$1000,10,FALSE())="","",VLOOKUP(F822,'Acompanhamento da Licitação'!$F$2:$O$1000,10,FALSE()))),"")</f>
        <v/>
      </c>
      <c r="R822" s="61" t="str">
        <f>IFERROR(IF(F822&gt;0,(Final[[#This Row],[Valor da Venda Real]]-Final[[#This Row],[Valor de Compra Previsto]]-4%*Final[[#This Row],[Valor da Venda Real]])/Final[[#This Row],[Valor da Venda Real]],""),"")</f>
        <v/>
      </c>
      <c r="S822" s="61" t="str">
        <f t="shared" si="53"/>
        <v/>
      </c>
      <c r="T822" s="23" t="str">
        <f>IFERROR((R822*Final[[#This Row],[Valor da Venda Real]]*Final[[#This Row],[Quantidade ]]*S822),"")</f>
        <v/>
      </c>
    </row>
    <row r="823" spans="1:20" ht="15.75" x14ac:dyDescent="0.2">
      <c r="A823">
        <f>COUNTIF($C$2:C823,C823)</f>
        <v>822</v>
      </c>
      <c r="B823" s="1" t="str">
        <f t="shared" si="52"/>
        <v>822</v>
      </c>
      <c r="C823" s="1" t="str">
        <f>IFERROR(VLOOKUP(D823,'Planilha de Cadastro - Previsão'!$A$2:$N$1000,14,FALSE()),"")</f>
        <v/>
      </c>
      <c r="D823" s="1">
        <v>822</v>
      </c>
      <c r="F823" s="40" t="str">
        <f t="shared" si="51"/>
        <v/>
      </c>
      <c r="G823" s="40" t="str">
        <f>IF(F823="","",'Prosposta Inicial'!$O$2)</f>
        <v/>
      </c>
      <c r="H823" s="40" t="str">
        <f t="shared" si="54"/>
        <v xml:space="preserve"> </v>
      </c>
      <c r="I823" s="41" t="str">
        <f>IFERROR((VLOOKUP(F823,'Planilha de Cadastro - Previsão'!$A$2:$N$1100,2,FALSE()))," ")</f>
        <v xml:space="preserve"> </v>
      </c>
      <c r="J823" s="40" t="str">
        <f>IFERROR((VLOOKUP(F823,'Planilha de Cadastro - Previsão'!$A$2:$N$1100,3,FALSE()))," ")</f>
        <v xml:space="preserve"> </v>
      </c>
      <c r="K823" s="40"/>
      <c r="L823" s="42" t="str">
        <f>IFERROR((VLOOKUP(F823,'Planilha de Cadastro - Previsão'!$A$2:$N$1100,11,FALSE()))," ")</f>
        <v xml:space="preserve"> </v>
      </c>
      <c r="M823" s="41" t="str">
        <f>IFERROR((IF(VLOOKUP(F823,'Planilha de Cadastro - Previsão'!$A$2:$N$1100,10,FALSE())="","",VLOOKUP(F823,'Planilha de Cadastro - Previsão'!$A$2:$N$1100,10,FALSE()))),"")</f>
        <v/>
      </c>
      <c r="N823" s="41"/>
      <c r="O823" s="41"/>
      <c r="P823" s="41" t="str">
        <f>IFERROR((IF(VLOOKUP(F823,'Acompanhamento da Licitação'!$F$2:$O$1000,10,FALSE())="","",VLOOKUP(F823,'Acompanhamento da Licitação'!$F$2:$O$1000,10,FALSE()))),"")</f>
        <v/>
      </c>
      <c r="R823" s="61" t="str">
        <f>IFERROR(IF(F823&gt;0,(Final[[#This Row],[Valor da Venda Real]]-Final[[#This Row],[Valor de Compra Previsto]]-4%*Final[[#This Row],[Valor da Venda Real]])/Final[[#This Row],[Valor da Venda Real]],""),"")</f>
        <v/>
      </c>
      <c r="S823" s="61" t="str">
        <f t="shared" si="53"/>
        <v/>
      </c>
      <c r="T823" s="23" t="str">
        <f>IFERROR((R823*Final[[#This Row],[Valor da Venda Real]]*Final[[#This Row],[Quantidade ]]*S823),"")</f>
        <v/>
      </c>
    </row>
    <row r="824" spans="1:20" ht="15.75" x14ac:dyDescent="0.2">
      <c r="A824">
        <f>COUNTIF($C$2:C824,C824)</f>
        <v>823</v>
      </c>
      <c r="B824" s="1" t="str">
        <f t="shared" si="52"/>
        <v>823</v>
      </c>
      <c r="C824" s="1" t="str">
        <f>IFERROR(VLOOKUP(D824,'Planilha de Cadastro - Previsão'!$A$2:$N$1000,14,FALSE()),"")</f>
        <v/>
      </c>
      <c r="D824" s="1">
        <v>823</v>
      </c>
      <c r="F824" s="40" t="str">
        <f t="shared" si="51"/>
        <v/>
      </c>
      <c r="G824" s="40" t="str">
        <f>IF(F824="","",'Prosposta Inicial'!$O$2)</f>
        <v/>
      </c>
      <c r="H824" s="40" t="str">
        <f t="shared" si="54"/>
        <v xml:space="preserve"> </v>
      </c>
      <c r="I824" s="41" t="str">
        <f>IFERROR((VLOOKUP(F824,'Planilha de Cadastro - Previsão'!$A$2:$N$1100,2,FALSE()))," ")</f>
        <v xml:space="preserve"> </v>
      </c>
      <c r="J824" s="40" t="str">
        <f>IFERROR((VLOOKUP(F824,'Planilha de Cadastro - Previsão'!$A$2:$N$1100,3,FALSE()))," ")</f>
        <v xml:space="preserve"> </v>
      </c>
      <c r="K824" s="40"/>
      <c r="L824" s="42" t="str">
        <f>IFERROR((VLOOKUP(F824,'Planilha de Cadastro - Previsão'!$A$2:$N$1100,11,FALSE()))," ")</f>
        <v xml:space="preserve"> </v>
      </c>
      <c r="M824" s="41" t="str">
        <f>IFERROR((IF(VLOOKUP(F824,'Planilha de Cadastro - Previsão'!$A$2:$N$1100,10,FALSE())="","",VLOOKUP(F824,'Planilha de Cadastro - Previsão'!$A$2:$N$1100,10,FALSE()))),"")</f>
        <v/>
      </c>
      <c r="N824" s="41"/>
      <c r="O824" s="41"/>
      <c r="P824" s="41" t="str">
        <f>IFERROR((IF(VLOOKUP(F824,'Acompanhamento da Licitação'!$F$2:$O$1000,10,FALSE())="","",VLOOKUP(F824,'Acompanhamento da Licitação'!$F$2:$O$1000,10,FALSE()))),"")</f>
        <v/>
      </c>
      <c r="R824" s="61" t="str">
        <f>IFERROR(IF(F824&gt;0,(Final[[#This Row],[Valor da Venda Real]]-Final[[#This Row],[Valor de Compra Previsto]]-4%*Final[[#This Row],[Valor da Venda Real]])/Final[[#This Row],[Valor da Venda Real]],""),"")</f>
        <v/>
      </c>
      <c r="S824" s="61" t="str">
        <f t="shared" si="53"/>
        <v/>
      </c>
      <c r="T824" s="23" t="str">
        <f>IFERROR((R824*Final[[#This Row],[Valor da Venda Real]]*Final[[#This Row],[Quantidade ]]*S824),"")</f>
        <v/>
      </c>
    </row>
    <row r="825" spans="1:20" ht="15.75" x14ac:dyDescent="0.2">
      <c r="A825">
        <f>COUNTIF($C$2:C825,C825)</f>
        <v>824</v>
      </c>
      <c r="B825" s="1" t="str">
        <f t="shared" si="52"/>
        <v>824</v>
      </c>
      <c r="C825" s="1" t="str">
        <f>IFERROR(VLOOKUP(D825,'Planilha de Cadastro - Previsão'!$A$2:$N$1000,14,FALSE()),"")</f>
        <v/>
      </c>
      <c r="D825" s="1">
        <v>824</v>
      </c>
      <c r="F825" s="40" t="str">
        <f t="shared" si="51"/>
        <v/>
      </c>
      <c r="G825" s="40" t="str">
        <f>IF(F825="","",'Prosposta Inicial'!$O$2)</f>
        <v/>
      </c>
      <c r="H825" s="40" t="str">
        <f t="shared" si="54"/>
        <v xml:space="preserve"> </v>
      </c>
      <c r="I825" s="41" t="str">
        <f>IFERROR((VLOOKUP(F825,'Planilha de Cadastro - Previsão'!$A$2:$N$1100,2,FALSE()))," ")</f>
        <v xml:space="preserve"> </v>
      </c>
      <c r="J825" s="40" t="str">
        <f>IFERROR((VLOOKUP(F825,'Planilha de Cadastro - Previsão'!$A$2:$N$1100,3,FALSE()))," ")</f>
        <v xml:space="preserve"> </v>
      </c>
      <c r="K825" s="40"/>
      <c r="L825" s="42" t="str">
        <f>IFERROR((VLOOKUP(F825,'Planilha de Cadastro - Previsão'!$A$2:$N$1100,11,FALSE()))," ")</f>
        <v xml:space="preserve"> </v>
      </c>
      <c r="M825" s="41" t="str">
        <f>IFERROR((IF(VLOOKUP(F825,'Planilha de Cadastro - Previsão'!$A$2:$N$1100,10,FALSE())="","",VLOOKUP(F825,'Planilha de Cadastro - Previsão'!$A$2:$N$1100,10,FALSE()))),"")</f>
        <v/>
      </c>
      <c r="N825" s="41"/>
      <c r="O825" s="41"/>
      <c r="P825" s="41" t="str">
        <f>IFERROR((IF(VLOOKUP(F825,'Acompanhamento da Licitação'!$F$2:$O$1000,10,FALSE())="","",VLOOKUP(F825,'Acompanhamento da Licitação'!$F$2:$O$1000,10,FALSE()))),"")</f>
        <v/>
      </c>
      <c r="R825" s="61" t="str">
        <f>IFERROR(IF(F825&gt;0,(Final[[#This Row],[Valor da Venda Real]]-Final[[#This Row],[Valor de Compra Previsto]]-4%*Final[[#This Row],[Valor da Venda Real]])/Final[[#This Row],[Valor da Venda Real]],""),"")</f>
        <v/>
      </c>
      <c r="S825" s="61" t="str">
        <f t="shared" si="53"/>
        <v/>
      </c>
      <c r="T825" s="23" t="str">
        <f>IFERROR((R825*Final[[#This Row],[Valor da Venda Real]]*Final[[#This Row],[Quantidade ]]*S825),"")</f>
        <v/>
      </c>
    </row>
    <row r="826" spans="1:20" ht="15.75" x14ac:dyDescent="0.2">
      <c r="A826">
        <f>COUNTIF($C$2:C826,C826)</f>
        <v>825</v>
      </c>
      <c r="B826" s="1" t="str">
        <f t="shared" si="52"/>
        <v>825</v>
      </c>
      <c r="C826" s="1" t="str">
        <f>IFERROR(VLOOKUP(D826,'Planilha de Cadastro - Previsão'!$A$2:$N$1000,14,FALSE()),"")</f>
        <v/>
      </c>
      <c r="D826" s="1">
        <v>825</v>
      </c>
      <c r="F826" s="40" t="str">
        <f t="shared" si="51"/>
        <v/>
      </c>
      <c r="G826" s="40" t="str">
        <f>IF(F826="","",'Prosposta Inicial'!$O$2)</f>
        <v/>
      </c>
      <c r="H826" s="40" t="str">
        <f t="shared" si="54"/>
        <v xml:space="preserve"> </v>
      </c>
      <c r="I826" s="41" t="str">
        <f>IFERROR((VLOOKUP(F826,'Planilha de Cadastro - Previsão'!$A$2:$N$1100,2,FALSE()))," ")</f>
        <v xml:space="preserve"> </v>
      </c>
      <c r="J826" s="40" t="str">
        <f>IFERROR((VLOOKUP(F826,'Planilha de Cadastro - Previsão'!$A$2:$N$1100,3,FALSE()))," ")</f>
        <v xml:space="preserve"> </v>
      </c>
      <c r="K826" s="40"/>
      <c r="L826" s="42" t="str">
        <f>IFERROR((VLOOKUP(F826,'Planilha de Cadastro - Previsão'!$A$2:$N$1100,11,FALSE()))," ")</f>
        <v xml:space="preserve"> </v>
      </c>
      <c r="M826" s="41" t="str">
        <f>IFERROR((IF(VLOOKUP(F826,'Planilha de Cadastro - Previsão'!$A$2:$N$1100,10,FALSE())="","",VLOOKUP(F826,'Planilha de Cadastro - Previsão'!$A$2:$N$1100,10,FALSE()))),"")</f>
        <v/>
      </c>
      <c r="N826" s="41"/>
      <c r="O826" s="41"/>
      <c r="P826" s="41" t="str">
        <f>IFERROR((IF(VLOOKUP(F826,'Acompanhamento da Licitação'!$F$2:$O$1000,10,FALSE())="","",VLOOKUP(F826,'Acompanhamento da Licitação'!$F$2:$O$1000,10,FALSE()))),"")</f>
        <v/>
      </c>
      <c r="R826" s="61" t="str">
        <f>IFERROR(IF(F826&gt;0,(Final[[#This Row],[Valor da Venda Real]]-Final[[#This Row],[Valor de Compra Previsto]]-4%*Final[[#This Row],[Valor da Venda Real]])/Final[[#This Row],[Valor da Venda Real]],""),"")</f>
        <v/>
      </c>
      <c r="S826" s="61" t="str">
        <f t="shared" si="53"/>
        <v/>
      </c>
      <c r="T826" s="23" t="str">
        <f>IFERROR((R826*Final[[#This Row],[Valor da Venda Real]]*Final[[#This Row],[Quantidade ]]*S826),"")</f>
        <v/>
      </c>
    </row>
    <row r="827" spans="1:20" ht="15.75" x14ac:dyDescent="0.2">
      <c r="A827">
        <f>COUNTIF($C$2:C827,C827)</f>
        <v>826</v>
      </c>
      <c r="B827" s="1" t="str">
        <f t="shared" si="52"/>
        <v>826</v>
      </c>
      <c r="C827" s="1" t="str">
        <f>IFERROR(VLOOKUP(D827,'Planilha de Cadastro - Previsão'!$A$2:$N$1000,14,FALSE()),"")</f>
        <v/>
      </c>
      <c r="D827" s="1">
        <v>826</v>
      </c>
      <c r="F827" s="40" t="str">
        <f t="shared" si="51"/>
        <v/>
      </c>
      <c r="G827" s="40" t="str">
        <f>IF(F827="","",'Prosposta Inicial'!$O$2)</f>
        <v/>
      </c>
      <c r="H827" s="40" t="str">
        <f t="shared" si="54"/>
        <v xml:space="preserve"> </v>
      </c>
      <c r="I827" s="41" t="str">
        <f>IFERROR((VLOOKUP(F827,'Planilha de Cadastro - Previsão'!$A$2:$N$1100,2,FALSE()))," ")</f>
        <v xml:space="preserve"> </v>
      </c>
      <c r="J827" s="40" t="str">
        <f>IFERROR((VLOOKUP(F827,'Planilha de Cadastro - Previsão'!$A$2:$N$1100,3,FALSE()))," ")</f>
        <v xml:space="preserve"> </v>
      </c>
      <c r="K827" s="40"/>
      <c r="L827" s="42" t="str">
        <f>IFERROR((VLOOKUP(F827,'Planilha de Cadastro - Previsão'!$A$2:$N$1100,11,FALSE()))," ")</f>
        <v xml:space="preserve"> </v>
      </c>
      <c r="M827" s="41" t="str">
        <f>IFERROR((IF(VLOOKUP(F827,'Planilha de Cadastro - Previsão'!$A$2:$N$1100,10,FALSE())="","",VLOOKUP(F827,'Planilha de Cadastro - Previsão'!$A$2:$N$1100,10,FALSE()))),"")</f>
        <v/>
      </c>
      <c r="N827" s="41"/>
      <c r="O827" s="41"/>
      <c r="P827" s="41" t="str">
        <f>IFERROR((IF(VLOOKUP(F827,'Acompanhamento da Licitação'!$F$2:$O$1000,10,FALSE())="","",VLOOKUP(F827,'Acompanhamento da Licitação'!$F$2:$O$1000,10,FALSE()))),"")</f>
        <v/>
      </c>
      <c r="R827" s="61" t="str">
        <f>IFERROR(IF(F827&gt;0,(Final[[#This Row],[Valor da Venda Real]]-Final[[#This Row],[Valor de Compra Previsto]]-4%*Final[[#This Row],[Valor da Venda Real]])/Final[[#This Row],[Valor da Venda Real]],""),"")</f>
        <v/>
      </c>
      <c r="S827" s="61" t="str">
        <f t="shared" si="53"/>
        <v/>
      </c>
      <c r="T827" s="23" t="str">
        <f>IFERROR((R827*Final[[#This Row],[Valor da Venda Real]]*Final[[#This Row],[Quantidade ]]*S827),"")</f>
        <v/>
      </c>
    </row>
    <row r="828" spans="1:20" ht="15.75" x14ac:dyDescent="0.2">
      <c r="A828">
        <f>COUNTIF($C$2:C828,C828)</f>
        <v>827</v>
      </c>
      <c r="B828" s="1" t="str">
        <f t="shared" si="52"/>
        <v>827</v>
      </c>
      <c r="C828" s="1" t="str">
        <f>IFERROR(VLOOKUP(D828,'Planilha de Cadastro - Previsão'!$A$2:$N$1000,14,FALSE()),"")</f>
        <v/>
      </c>
      <c r="D828" s="1">
        <v>827</v>
      </c>
      <c r="F828" s="40" t="str">
        <f t="shared" si="51"/>
        <v/>
      </c>
      <c r="G828" s="40" t="str">
        <f>IF(F828="","",'Prosposta Inicial'!$O$2)</f>
        <v/>
      </c>
      <c r="H828" s="40" t="str">
        <f t="shared" si="54"/>
        <v xml:space="preserve"> </v>
      </c>
      <c r="I828" s="41" t="str">
        <f>IFERROR((VLOOKUP(F828,'Planilha de Cadastro - Previsão'!$A$2:$N$1100,2,FALSE()))," ")</f>
        <v xml:space="preserve"> </v>
      </c>
      <c r="J828" s="40" t="str">
        <f>IFERROR((VLOOKUP(F828,'Planilha de Cadastro - Previsão'!$A$2:$N$1100,3,FALSE()))," ")</f>
        <v xml:space="preserve"> </v>
      </c>
      <c r="K828" s="40"/>
      <c r="L828" s="42" t="str">
        <f>IFERROR((VLOOKUP(F828,'Planilha de Cadastro - Previsão'!$A$2:$N$1100,11,FALSE()))," ")</f>
        <v xml:space="preserve"> </v>
      </c>
      <c r="M828" s="41" t="str">
        <f>IFERROR((IF(VLOOKUP(F828,'Planilha de Cadastro - Previsão'!$A$2:$N$1100,10,FALSE())="","",VLOOKUP(F828,'Planilha de Cadastro - Previsão'!$A$2:$N$1100,10,FALSE()))),"")</f>
        <v/>
      </c>
      <c r="N828" s="41"/>
      <c r="O828" s="41"/>
      <c r="P828" s="41" t="str">
        <f>IFERROR((IF(VLOOKUP(F828,'Acompanhamento da Licitação'!$F$2:$O$1000,10,FALSE())="","",VLOOKUP(F828,'Acompanhamento da Licitação'!$F$2:$O$1000,10,FALSE()))),"")</f>
        <v/>
      </c>
      <c r="R828" s="61" t="str">
        <f>IFERROR(IF(F828&gt;0,(Final[[#This Row],[Valor da Venda Real]]-Final[[#This Row],[Valor de Compra Previsto]]-4%*Final[[#This Row],[Valor da Venda Real]])/Final[[#This Row],[Valor da Venda Real]],""),"")</f>
        <v/>
      </c>
      <c r="S828" s="61" t="str">
        <f t="shared" si="53"/>
        <v/>
      </c>
      <c r="T828" s="23" t="str">
        <f>IFERROR((R828*Final[[#This Row],[Valor da Venda Real]]*Final[[#This Row],[Quantidade ]]*S828),"")</f>
        <v/>
      </c>
    </row>
    <row r="829" spans="1:20" ht="15.75" x14ac:dyDescent="0.2">
      <c r="A829">
        <f>COUNTIF($C$2:C829,C829)</f>
        <v>828</v>
      </c>
      <c r="B829" s="1" t="str">
        <f t="shared" si="52"/>
        <v>828</v>
      </c>
      <c r="C829" s="1" t="str">
        <f>IFERROR(VLOOKUP(D829,'Planilha de Cadastro - Previsão'!$A$2:$N$1000,14,FALSE()),"")</f>
        <v/>
      </c>
      <c r="D829" s="1">
        <v>828</v>
      </c>
      <c r="F829" s="40" t="str">
        <f t="shared" si="51"/>
        <v/>
      </c>
      <c r="G829" s="40" t="str">
        <f>IF(F829="","",'Prosposta Inicial'!$O$2)</f>
        <v/>
      </c>
      <c r="H829" s="40" t="str">
        <f t="shared" si="54"/>
        <v xml:space="preserve"> </v>
      </c>
      <c r="I829" s="41" t="str">
        <f>IFERROR((VLOOKUP(F829,'Planilha de Cadastro - Previsão'!$A$2:$N$1100,2,FALSE()))," ")</f>
        <v xml:space="preserve"> </v>
      </c>
      <c r="J829" s="40" t="str">
        <f>IFERROR((VLOOKUP(F829,'Planilha de Cadastro - Previsão'!$A$2:$N$1100,3,FALSE()))," ")</f>
        <v xml:space="preserve"> </v>
      </c>
      <c r="K829" s="40"/>
      <c r="L829" s="42" t="str">
        <f>IFERROR((VLOOKUP(F829,'Planilha de Cadastro - Previsão'!$A$2:$N$1100,11,FALSE()))," ")</f>
        <v xml:space="preserve"> </v>
      </c>
      <c r="M829" s="41" t="str">
        <f>IFERROR((IF(VLOOKUP(F829,'Planilha de Cadastro - Previsão'!$A$2:$N$1100,10,FALSE())="","",VLOOKUP(F829,'Planilha de Cadastro - Previsão'!$A$2:$N$1100,10,FALSE()))),"")</f>
        <v/>
      </c>
      <c r="N829" s="41"/>
      <c r="O829" s="41"/>
      <c r="P829" s="41" t="str">
        <f>IFERROR((IF(VLOOKUP(F829,'Acompanhamento da Licitação'!$F$2:$O$1000,10,FALSE())="","",VLOOKUP(F829,'Acompanhamento da Licitação'!$F$2:$O$1000,10,FALSE()))),"")</f>
        <v/>
      </c>
      <c r="R829" s="61" t="str">
        <f>IFERROR(IF(F829&gt;0,(Final[[#This Row],[Valor da Venda Real]]-Final[[#This Row],[Valor de Compra Previsto]]-4%*Final[[#This Row],[Valor da Venda Real]])/Final[[#This Row],[Valor da Venda Real]],""),"")</f>
        <v/>
      </c>
      <c r="S829" s="61" t="str">
        <f t="shared" si="53"/>
        <v/>
      </c>
      <c r="T829" s="23" t="str">
        <f>IFERROR((R829*Final[[#This Row],[Valor da Venda Real]]*Final[[#This Row],[Quantidade ]]*S829),"")</f>
        <v/>
      </c>
    </row>
    <row r="830" spans="1:20" ht="15.75" x14ac:dyDescent="0.2">
      <c r="A830">
        <f>COUNTIF($C$2:C830,C830)</f>
        <v>829</v>
      </c>
      <c r="B830" s="1" t="str">
        <f t="shared" si="52"/>
        <v>829</v>
      </c>
      <c r="C830" s="1" t="str">
        <f>IFERROR(VLOOKUP(D830,'Planilha de Cadastro - Previsão'!$A$2:$N$1000,14,FALSE()),"")</f>
        <v/>
      </c>
      <c r="D830" s="1">
        <v>829</v>
      </c>
      <c r="F830" s="40" t="str">
        <f t="shared" si="51"/>
        <v/>
      </c>
      <c r="G830" s="40" t="str">
        <f>IF(F830="","",'Prosposta Inicial'!$O$2)</f>
        <v/>
      </c>
      <c r="H830" s="40" t="str">
        <f t="shared" si="54"/>
        <v xml:space="preserve"> </v>
      </c>
      <c r="I830" s="41" t="str">
        <f>IFERROR((VLOOKUP(F830,'Planilha de Cadastro - Previsão'!$A$2:$N$1100,2,FALSE()))," ")</f>
        <v xml:space="preserve"> </v>
      </c>
      <c r="J830" s="40" t="str">
        <f>IFERROR((VLOOKUP(F830,'Planilha de Cadastro - Previsão'!$A$2:$N$1100,3,FALSE()))," ")</f>
        <v xml:space="preserve"> </v>
      </c>
      <c r="K830" s="40"/>
      <c r="L830" s="42" t="str">
        <f>IFERROR((VLOOKUP(F830,'Planilha de Cadastro - Previsão'!$A$2:$N$1100,11,FALSE()))," ")</f>
        <v xml:space="preserve"> </v>
      </c>
      <c r="M830" s="41" t="str">
        <f>IFERROR((IF(VLOOKUP(F830,'Planilha de Cadastro - Previsão'!$A$2:$N$1100,10,FALSE())="","",VLOOKUP(F830,'Planilha de Cadastro - Previsão'!$A$2:$N$1100,10,FALSE()))),"")</f>
        <v/>
      </c>
      <c r="N830" s="41"/>
      <c r="O830" s="41"/>
      <c r="P830" s="41" t="str">
        <f>IFERROR((IF(VLOOKUP(F830,'Acompanhamento da Licitação'!$F$2:$O$1000,10,FALSE())="","",VLOOKUP(F830,'Acompanhamento da Licitação'!$F$2:$O$1000,10,FALSE()))),"")</f>
        <v/>
      </c>
      <c r="R830" s="61" t="str">
        <f>IFERROR(IF(F830&gt;0,(Final[[#This Row],[Valor da Venda Real]]-Final[[#This Row],[Valor de Compra Previsto]]-4%*Final[[#This Row],[Valor da Venda Real]])/Final[[#This Row],[Valor da Venda Real]],""),"")</f>
        <v/>
      </c>
      <c r="S830" s="61" t="str">
        <f t="shared" si="53"/>
        <v/>
      </c>
      <c r="T830" s="23" t="str">
        <f>IFERROR((R830*Final[[#This Row],[Valor da Venda Real]]*Final[[#This Row],[Quantidade ]]*S830),"")</f>
        <v/>
      </c>
    </row>
    <row r="831" spans="1:20" ht="15.75" x14ac:dyDescent="0.2">
      <c r="A831">
        <f>COUNTIF($C$2:C831,C831)</f>
        <v>830</v>
      </c>
      <c r="B831" s="1" t="str">
        <f t="shared" si="52"/>
        <v>830</v>
      </c>
      <c r="C831" s="1" t="str">
        <f>IFERROR(VLOOKUP(D831,'Planilha de Cadastro - Previsão'!$A$2:$N$1000,14,FALSE()),"")</f>
        <v/>
      </c>
      <c r="D831" s="1">
        <v>830</v>
      </c>
      <c r="F831" s="40" t="str">
        <f t="shared" si="51"/>
        <v/>
      </c>
      <c r="G831" s="40" t="str">
        <f>IF(F831="","",'Prosposta Inicial'!$O$2)</f>
        <v/>
      </c>
      <c r="H831" s="40" t="str">
        <f t="shared" si="54"/>
        <v xml:space="preserve"> </v>
      </c>
      <c r="I831" s="41" t="str">
        <f>IFERROR((VLOOKUP(F831,'Planilha de Cadastro - Previsão'!$A$2:$N$1100,2,FALSE()))," ")</f>
        <v xml:space="preserve"> </v>
      </c>
      <c r="J831" s="40" t="str">
        <f>IFERROR((VLOOKUP(F831,'Planilha de Cadastro - Previsão'!$A$2:$N$1100,3,FALSE()))," ")</f>
        <v xml:space="preserve"> </v>
      </c>
      <c r="K831" s="40"/>
      <c r="L831" s="42" t="str">
        <f>IFERROR((VLOOKUP(F831,'Planilha de Cadastro - Previsão'!$A$2:$N$1100,11,FALSE()))," ")</f>
        <v xml:space="preserve"> </v>
      </c>
      <c r="M831" s="41" t="str">
        <f>IFERROR((IF(VLOOKUP(F831,'Planilha de Cadastro - Previsão'!$A$2:$N$1100,10,FALSE())="","",VLOOKUP(F831,'Planilha de Cadastro - Previsão'!$A$2:$N$1100,10,FALSE()))),"")</f>
        <v/>
      </c>
      <c r="N831" s="41"/>
      <c r="O831" s="41"/>
      <c r="P831" s="41" t="str">
        <f>IFERROR((IF(VLOOKUP(F831,'Acompanhamento da Licitação'!$F$2:$O$1000,10,FALSE())="","",VLOOKUP(F831,'Acompanhamento da Licitação'!$F$2:$O$1000,10,FALSE()))),"")</f>
        <v/>
      </c>
      <c r="R831" s="61" t="str">
        <f>IFERROR(IF(F831&gt;0,(Final[[#This Row],[Valor da Venda Real]]-Final[[#This Row],[Valor de Compra Previsto]]-4%*Final[[#This Row],[Valor da Venda Real]])/Final[[#This Row],[Valor da Venda Real]],""),"")</f>
        <v/>
      </c>
      <c r="S831" s="61" t="str">
        <f t="shared" si="53"/>
        <v/>
      </c>
      <c r="T831" s="23" t="str">
        <f>IFERROR((R831*Final[[#This Row],[Valor da Venda Real]]*Final[[#This Row],[Quantidade ]]*S831),"")</f>
        <v/>
      </c>
    </row>
    <row r="832" spans="1:20" ht="15.75" x14ac:dyDescent="0.2">
      <c r="A832">
        <f>COUNTIF($C$2:C832,C832)</f>
        <v>831</v>
      </c>
      <c r="B832" s="1" t="str">
        <f t="shared" si="52"/>
        <v>831</v>
      </c>
      <c r="C832" s="1" t="str">
        <f>IFERROR(VLOOKUP(D832,'Planilha de Cadastro - Previsão'!$A$2:$N$1000,14,FALSE()),"")</f>
        <v/>
      </c>
      <c r="D832" s="1">
        <v>831</v>
      </c>
      <c r="F832" s="40" t="str">
        <f t="shared" si="51"/>
        <v/>
      </c>
      <c r="G832" s="40" t="str">
        <f>IF(F832="","",'Prosposta Inicial'!$O$2)</f>
        <v/>
      </c>
      <c r="H832" s="40" t="str">
        <f t="shared" si="54"/>
        <v xml:space="preserve"> </v>
      </c>
      <c r="I832" s="41" t="str">
        <f>IFERROR((VLOOKUP(F832,'Planilha de Cadastro - Previsão'!$A$2:$N$1100,2,FALSE()))," ")</f>
        <v xml:space="preserve"> </v>
      </c>
      <c r="J832" s="40" t="str">
        <f>IFERROR((VLOOKUP(F832,'Planilha de Cadastro - Previsão'!$A$2:$N$1100,3,FALSE()))," ")</f>
        <v xml:space="preserve"> </v>
      </c>
      <c r="K832" s="40"/>
      <c r="L832" s="42" t="str">
        <f>IFERROR((VLOOKUP(F832,'Planilha de Cadastro - Previsão'!$A$2:$N$1100,11,FALSE()))," ")</f>
        <v xml:space="preserve"> </v>
      </c>
      <c r="M832" s="41" t="str">
        <f>IFERROR((IF(VLOOKUP(F832,'Planilha de Cadastro - Previsão'!$A$2:$N$1100,10,FALSE())="","",VLOOKUP(F832,'Planilha de Cadastro - Previsão'!$A$2:$N$1100,10,FALSE()))),"")</f>
        <v/>
      </c>
      <c r="N832" s="41"/>
      <c r="O832" s="41"/>
      <c r="P832" s="41" t="str">
        <f>IFERROR((IF(VLOOKUP(F832,'Acompanhamento da Licitação'!$F$2:$O$1000,10,FALSE())="","",VLOOKUP(F832,'Acompanhamento da Licitação'!$F$2:$O$1000,10,FALSE()))),"")</f>
        <v/>
      </c>
      <c r="R832" s="61" t="str">
        <f>IFERROR(IF(F832&gt;0,(Final[[#This Row],[Valor da Venda Real]]-Final[[#This Row],[Valor de Compra Previsto]]-4%*Final[[#This Row],[Valor da Venda Real]])/Final[[#This Row],[Valor da Venda Real]],""),"")</f>
        <v/>
      </c>
      <c r="S832" s="61" t="str">
        <f t="shared" si="53"/>
        <v/>
      </c>
      <c r="T832" s="23" t="str">
        <f>IFERROR((R832*Final[[#This Row],[Valor da Venda Real]]*Final[[#This Row],[Quantidade ]]*S832),"")</f>
        <v/>
      </c>
    </row>
    <row r="833" spans="1:20" ht="15.75" x14ac:dyDescent="0.2">
      <c r="A833">
        <f>COUNTIF($C$2:C833,C833)</f>
        <v>832</v>
      </c>
      <c r="B833" s="1" t="str">
        <f t="shared" si="52"/>
        <v>832</v>
      </c>
      <c r="C833" s="1" t="str">
        <f>IFERROR(VLOOKUP(D833,'Planilha de Cadastro - Previsão'!$A$2:$N$1000,14,FALSE()),"")</f>
        <v/>
      </c>
      <c r="D833" s="1">
        <v>832</v>
      </c>
      <c r="F833" s="40" t="str">
        <f t="shared" si="51"/>
        <v/>
      </c>
      <c r="G833" s="40" t="str">
        <f>IF(F833="","",'Prosposta Inicial'!$O$2)</f>
        <v/>
      </c>
      <c r="H833" s="40" t="str">
        <f t="shared" si="54"/>
        <v xml:space="preserve"> </v>
      </c>
      <c r="I833" s="41" t="str">
        <f>IFERROR((VLOOKUP(F833,'Planilha de Cadastro - Previsão'!$A$2:$N$1100,2,FALSE()))," ")</f>
        <v xml:space="preserve"> </v>
      </c>
      <c r="J833" s="40" t="str">
        <f>IFERROR((VLOOKUP(F833,'Planilha de Cadastro - Previsão'!$A$2:$N$1100,3,FALSE()))," ")</f>
        <v xml:space="preserve"> </v>
      </c>
      <c r="K833" s="40"/>
      <c r="L833" s="42" t="str">
        <f>IFERROR((VLOOKUP(F833,'Planilha de Cadastro - Previsão'!$A$2:$N$1100,11,FALSE()))," ")</f>
        <v xml:space="preserve"> </v>
      </c>
      <c r="M833" s="41" t="str">
        <f>IFERROR((IF(VLOOKUP(F833,'Planilha de Cadastro - Previsão'!$A$2:$N$1100,10,FALSE())="","",VLOOKUP(F833,'Planilha de Cadastro - Previsão'!$A$2:$N$1100,10,FALSE()))),"")</f>
        <v/>
      </c>
      <c r="N833" s="41"/>
      <c r="O833" s="41"/>
      <c r="P833" s="41" t="str">
        <f>IFERROR((IF(VLOOKUP(F833,'Acompanhamento da Licitação'!$F$2:$O$1000,10,FALSE())="","",VLOOKUP(F833,'Acompanhamento da Licitação'!$F$2:$O$1000,10,FALSE()))),"")</f>
        <v/>
      </c>
      <c r="R833" s="61" t="str">
        <f>IFERROR(IF(F833&gt;0,(Final[[#This Row],[Valor da Venda Real]]-Final[[#This Row],[Valor de Compra Previsto]]-4%*Final[[#This Row],[Valor da Venda Real]])/Final[[#This Row],[Valor da Venda Real]],""),"")</f>
        <v/>
      </c>
      <c r="S833" s="61" t="str">
        <f t="shared" si="53"/>
        <v/>
      </c>
      <c r="T833" s="23" t="str">
        <f>IFERROR((R833*Final[[#This Row],[Valor da Venda Real]]*Final[[#This Row],[Quantidade ]]*S833),"")</f>
        <v/>
      </c>
    </row>
    <row r="834" spans="1:20" ht="15.75" x14ac:dyDescent="0.2">
      <c r="A834">
        <f>COUNTIF($C$2:C834,C834)</f>
        <v>833</v>
      </c>
      <c r="B834" s="1" t="str">
        <f t="shared" si="52"/>
        <v>833</v>
      </c>
      <c r="C834" s="1" t="str">
        <f>IFERROR(VLOOKUP(D834,'Planilha de Cadastro - Previsão'!$A$2:$N$1000,14,FALSE()),"")</f>
        <v/>
      </c>
      <c r="D834" s="1">
        <v>833</v>
      </c>
      <c r="F834" s="40" t="str">
        <f t="shared" ref="F834:F897" si="55">IFERROR((VLOOKUP(CONCATENATE("Sim",D834),$B$2:$D$1000,3,FALSE())),"")</f>
        <v/>
      </c>
      <c r="G834" s="40" t="str">
        <f>IF(F834="","",'Prosposta Inicial'!$O$2)</f>
        <v/>
      </c>
      <c r="H834" s="40" t="str">
        <f t="shared" si="54"/>
        <v xml:space="preserve"> </v>
      </c>
      <c r="I834" s="41" t="str">
        <f>IFERROR((VLOOKUP(F834,'Planilha de Cadastro - Previsão'!$A$2:$N$1100,2,FALSE()))," ")</f>
        <v xml:space="preserve"> </v>
      </c>
      <c r="J834" s="40" t="str">
        <f>IFERROR((VLOOKUP(F834,'Planilha de Cadastro - Previsão'!$A$2:$N$1100,3,FALSE()))," ")</f>
        <v xml:space="preserve"> </v>
      </c>
      <c r="K834" s="40"/>
      <c r="L834" s="42" t="str">
        <f>IFERROR((VLOOKUP(F834,'Planilha de Cadastro - Previsão'!$A$2:$N$1100,11,FALSE()))," ")</f>
        <v xml:space="preserve"> </v>
      </c>
      <c r="M834" s="41" t="str">
        <f>IFERROR((IF(VLOOKUP(F834,'Planilha de Cadastro - Previsão'!$A$2:$N$1100,10,FALSE())="","",VLOOKUP(F834,'Planilha de Cadastro - Previsão'!$A$2:$N$1100,10,FALSE()))),"")</f>
        <v/>
      </c>
      <c r="N834" s="41"/>
      <c r="O834" s="41"/>
      <c r="P834" s="41" t="str">
        <f>IFERROR((IF(VLOOKUP(F834,'Acompanhamento da Licitação'!$F$2:$O$1000,10,FALSE())="","",VLOOKUP(F834,'Acompanhamento da Licitação'!$F$2:$O$1000,10,FALSE()))),"")</f>
        <v/>
      </c>
      <c r="R834" s="61" t="str">
        <f>IFERROR(IF(F834&gt;0,(Final[[#This Row],[Valor da Venda Real]]-Final[[#This Row],[Valor de Compra Previsto]]-4%*Final[[#This Row],[Valor da Venda Real]])/Final[[#This Row],[Valor da Venda Real]],""),"")</f>
        <v/>
      </c>
      <c r="S834" s="61" t="str">
        <f t="shared" si="53"/>
        <v/>
      </c>
      <c r="T834" s="23" t="str">
        <f>IFERROR((R834*Final[[#This Row],[Valor da Venda Real]]*Final[[#This Row],[Quantidade ]]*S834),"")</f>
        <v/>
      </c>
    </row>
    <row r="835" spans="1:20" ht="15.75" x14ac:dyDescent="0.2">
      <c r="A835">
        <f>COUNTIF($C$2:C835,C835)</f>
        <v>834</v>
      </c>
      <c r="B835" s="1" t="str">
        <f t="shared" ref="B835:B898" si="56">IFERROR(CONCATENATE(C835,A835),"")</f>
        <v>834</v>
      </c>
      <c r="C835" s="1" t="str">
        <f>IFERROR(VLOOKUP(D835,'Planilha de Cadastro - Previsão'!$A$2:$N$1000,14,FALSE()),"")</f>
        <v/>
      </c>
      <c r="D835" s="1">
        <v>834</v>
      </c>
      <c r="F835" s="40" t="str">
        <f t="shared" si="55"/>
        <v/>
      </c>
      <c r="G835" s="40" t="str">
        <f>IF(F835="","",'Prosposta Inicial'!$O$2)</f>
        <v/>
      </c>
      <c r="H835" s="40" t="str">
        <f t="shared" si="54"/>
        <v xml:space="preserve"> </v>
      </c>
      <c r="I835" s="41" t="str">
        <f>IFERROR((VLOOKUP(F835,'Planilha de Cadastro - Previsão'!$A$2:$N$1100,2,FALSE()))," ")</f>
        <v xml:space="preserve"> </v>
      </c>
      <c r="J835" s="40" t="str">
        <f>IFERROR((VLOOKUP(F835,'Planilha de Cadastro - Previsão'!$A$2:$N$1100,3,FALSE()))," ")</f>
        <v xml:space="preserve"> </v>
      </c>
      <c r="K835" s="40"/>
      <c r="L835" s="42" t="str">
        <f>IFERROR((VLOOKUP(F835,'Planilha de Cadastro - Previsão'!$A$2:$N$1100,11,FALSE()))," ")</f>
        <v xml:space="preserve"> </v>
      </c>
      <c r="M835" s="41" t="str">
        <f>IFERROR((IF(VLOOKUP(F835,'Planilha de Cadastro - Previsão'!$A$2:$N$1100,10,FALSE())="","",VLOOKUP(F835,'Planilha de Cadastro - Previsão'!$A$2:$N$1100,10,FALSE()))),"")</f>
        <v/>
      </c>
      <c r="N835" s="41"/>
      <c r="O835" s="41"/>
      <c r="P835" s="41" t="str">
        <f>IFERROR((IF(VLOOKUP(F835,'Acompanhamento da Licitação'!$F$2:$O$1000,10,FALSE())="","",VLOOKUP(F835,'Acompanhamento da Licitação'!$F$2:$O$1000,10,FALSE()))),"")</f>
        <v/>
      </c>
      <c r="R835" s="61" t="str">
        <f>IFERROR(IF(F835&gt;0,(Final[[#This Row],[Valor da Venda Real]]-Final[[#This Row],[Valor de Compra Previsto]]-4%*Final[[#This Row],[Valor da Venda Real]])/Final[[#This Row],[Valor da Venda Real]],""),"")</f>
        <v/>
      </c>
      <c r="S835" s="61" t="str">
        <f t="shared" ref="S835:S898" si="57">IF(R835="","",IF(R835&lt;0.2,0.05,IF(R835&lt;0.25,0.1,IF(R835&lt;0.3,0.15,IF(R835&lt;0.35,0.2,IF(R835&lt;0.45,0.25,IF(R835&lt;0.5,0.3,IF(R835&lt;0.6,0.35,0.4))))))))</f>
        <v/>
      </c>
      <c r="T835" s="23" t="str">
        <f>IFERROR((R835*Final[[#This Row],[Valor da Venda Real]]*Final[[#This Row],[Quantidade ]]*S835),"")</f>
        <v/>
      </c>
    </row>
    <row r="836" spans="1:20" ht="15.75" x14ac:dyDescent="0.2">
      <c r="A836">
        <f>COUNTIF($C$2:C836,C836)</f>
        <v>835</v>
      </c>
      <c r="B836" s="1" t="str">
        <f t="shared" si="56"/>
        <v>835</v>
      </c>
      <c r="C836" s="1" t="str">
        <f>IFERROR(VLOOKUP(D836,'Planilha de Cadastro - Previsão'!$A$2:$N$1000,14,FALSE()),"")</f>
        <v/>
      </c>
      <c r="D836" s="1">
        <v>835</v>
      </c>
      <c r="F836" s="40" t="str">
        <f t="shared" si="55"/>
        <v/>
      </c>
      <c r="G836" s="40" t="str">
        <f>IF(F836="","",'Prosposta Inicial'!$O$2)</f>
        <v/>
      </c>
      <c r="H836" s="40" t="str">
        <f t="shared" si="54"/>
        <v xml:space="preserve"> </v>
      </c>
      <c r="I836" s="41" t="str">
        <f>IFERROR((VLOOKUP(F836,'Planilha de Cadastro - Previsão'!$A$2:$N$1100,2,FALSE()))," ")</f>
        <v xml:space="preserve"> </v>
      </c>
      <c r="J836" s="40" t="str">
        <f>IFERROR((VLOOKUP(F836,'Planilha de Cadastro - Previsão'!$A$2:$N$1100,3,FALSE()))," ")</f>
        <v xml:space="preserve"> </v>
      </c>
      <c r="K836" s="40"/>
      <c r="L836" s="42" t="str">
        <f>IFERROR((VLOOKUP(F836,'Planilha de Cadastro - Previsão'!$A$2:$N$1100,11,FALSE()))," ")</f>
        <v xml:space="preserve"> </v>
      </c>
      <c r="M836" s="41" t="str">
        <f>IFERROR((IF(VLOOKUP(F836,'Planilha de Cadastro - Previsão'!$A$2:$N$1100,10,FALSE())="","",VLOOKUP(F836,'Planilha de Cadastro - Previsão'!$A$2:$N$1100,10,FALSE()))),"")</f>
        <v/>
      </c>
      <c r="N836" s="41"/>
      <c r="O836" s="41"/>
      <c r="P836" s="41" t="str">
        <f>IFERROR((IF(VLOOKUP(F836,'Acompanhamento da Licitação'!$F$2:$O$1000,10,FALSE())="","",VLOOKUP(F836,'Acompanhamento da Licitação'!$F$2:$O$1000,10,FALSE()))),"")</f>
        <v/>
      </c>
      <c r="R836" s="61" t="str">
        <f>IFERROR(IF(F836&gt;0,(Final[[#This Row],[Valor da Venda Real]]-Final[[#This Row],[Valor de Compra Previsto]]-4%*Final[[#This Row],[Valor da Venda Real]])/Final[[#This Row],[Valor da Venda Real]],""),"")</f>
        <v/>
      </c>
      <c r="S836" s="61" t="str">
        <f t="shared" si="57"/>
        <v/>
      </c>
      <c r="T836" s="23" t="str">
        <f>IFERROR((R836*Final[[#This Row],[Valor da Venda Real]]*Final[[#This Row],[Quantidade ]]*S836),"")</f>
        <v/>
      </c>
    </row>
    <row r="837" spans="1:20" ht="15.75" x14ac:dyDescent="0.2">
      <c r="A837">
        <f>COUNTIF($C$2:C837,C837)</f>
        <v>836</v>
      </c>
      <c r="B837" s="1" t="str">
        <f t="shared" si="56"/>
        <v>836</v>
      </c>
      <c r="C837" s="1" t="str">
        <f>IFERROR(VLOOKUP(D837,'Planilha de Cadastro - Previsão'!$A$2:$N$1000,14,FALSE()),"")</f>
        <v/>
      </c>
      <c r="D837" s="1">
        <v>836</v>
      </c>
      <c r="F837" s="40" t="str">
        <f t="shared" si="55"/>
        <v/>
      </c>
      <c r="G837" s="40" t="str">
        <f>IF(F837="","",'Prosposta Inicial'!$O$2)</f>
        <v/>
      </c>
      <c r="H837" s="40" t="str">
        <f t="shared" si="54"/>
        <v xml:space="preserve"> </v>
      </c>
      <c r="I837" s="41" t="str">
        <f>IFERROR((VLOOKUP(F837,'Planilha de Cadastro - Previsão'!$A$2:$N$1100,2,FALSE()))," ")</f>
        <v xml:space="preserve"> </v>
      </c>
      <c r="J837" s="40" t="str">
        <f>IFERROR((VLOOKUP(F837,'Planilha de Cadastro - Previsão'!$A$2:$N$1100,3,FALSE()))," ")</f>
        <v xml:space="preserve"> </v>
      </c>
      <c r="K837" s="40"/>
      <c r="L837" s="42" t="str">
        <f>IFERROR((VLOOKUP(F837,'Planilha de Cadastro - Previsão'!$A$2:$N$1100,11,FALSE()))," ")</f>
        <v xml:space="preserve"> </v>
      </c>
      <c r="M837" s="41" t="str">
        <f>IFERROR((IF(VLOOKUP(F837,'Planilha de Cadastro - Previsão'!$A$2:$N$1100,10,FALSE())="","",VLOOKUP(F837,'Planilha de Cadastro - Previsão'!$A$2:$N$1100,10,FALSE()))),"")</f>
        <v/>
      </c>
      <c r="N837" s="41"/>
      <c r="O837" s="41"/>
      <c r="P837" s="41" t="str">
        <f>IFERROR((IF(VLOOKUP(F837,'Acompanhamento da Licitação'!$F$2:$O$1000,10,FALSE())="","",VLOOKUP(F837,'Acompanhamento da Licitação'!$F$2:$O$1000,10,FALSE()))),"")</f>
        <v/>
      </c>
      <c r="R837" s="61" t="str">
        <f>IFERROR(IF(F837&gt;0,(Final[[#This Row],[Valor da Venda Real]]-Final[[#This Row],[Valor de Compra Previsto]]-4%*Final[[#This Row],[Valor da Venda Real]])/Final[[#This Row],[Valor da Venda Real]],""),"")</f>
        <v/>
      </c>
      <c r="S837" s="61" t="str">
        <f t="shared" si="57"/>
        <v/>
      </c>
      <c r="T837" s="23" t="str">
        <f>IFERROR((R837*Final[[#This Row],[Valor da Venda Real]]*Final[[#This Row],[Quantidade ]]*S837),"")</f>
        <v/>
      </c>
    </row>
    <row r="838" spans="1:20" ht="15.75" x14ac:dyDescent="0.2">
      <c r="A838">
        <f>COUNTIF($C$2:C838,C838)</f>
        <v>837</v>
      </c>
      <c r="B838" s="1" t="str">
        <f t="shared" si="56"/>
        <v>837</v>
      </c>
      <c r="C838" s="1" t="str">
        <f>IFERROR(VLOOKUP(D838,'Planilha de Cadastro - Previsão'!$A$2:$N$1000,14,FALSE()),"")</f>
        <v/>
      </c>
      <c r="D838" s="1">
        <v>837</v>
      </c>
      <c r="F838" s="40" t="str">
        <f t="shared" si="55"/>
        <v/>
      </c>
      <c r="G838" s="40" t="str">
        <f>IF(F838="","",'Prosposta Inicial'!$O$2)</f>
        <v/>
      </c>
      <c r="H838" s="40" t="str">
        <f t="shared" si="54"/>
        <v xml:space="preserve"> </v>
      </c>
      <c r="I838" s="41" t="str">
        <f>IFERROR((VLOOKUP(F838,'Planilha de Cadastro - Previsão'!$A$2:$N$1100,2,FALSE()))," ")</f>
        <v xml:space="preserve"> </v>
      </c>
      <c r="J838" s="40" t="str">
        <f>IFERROR((VLOOKUP(F838,'Planilha de Cadastro - Previsão'!$A$2:$N$1100,3,FALSE()))," ")</f>
        <v xml:space="preserve"> </v>
      </c>
      <c r="K838" s="40"/>
      <c r="L838" s="42" t="str">
        <f>IFERROR((VLOOKUP(F838,'Planilha de Cadastro - Previsão'!$A$2:$N$1100,11,FALSE()))," ")</f>
        <v xml:space="preserve"> </v>
      </c>
      <c r="M838" s="41" t="str">
        <f>IFERROR((IF(VLOOKUP(F838,'Planilha de Cadastro - Previsão'!$A$2:$N$1100,10,FALSE())="","",VLOOKUP(F838,'Planilha de Cadastro - Previsão'!$A$2:$N$1100,10,FALSE()))),"")</f>
        <v/>
      </c>
      <c r="N838" s="41"/>
      <c r="O838" s="41"/>
      <c r="P838" s="41" t="str">
        <f>IFERROR((IF(VLOOKUP(F838,'Acompanhamento da Licitação'!$F$2:$O$1000,10,FALSE())="","",VLOOKUP(F838,'Acompanhamento da Licitação'!$F$2:$O$1000,10,FALSE()))),"")</f>
        <v/>
      </c>
      <c r="R838" s="61" t="str">
        <f>IFERROR(IF(F838&gt;0,(Final[[#This Row],[Valor da Venda Real]]-Final[[#This Row],[Valor de Compra Previsto]]-4%*Final[[#This Row],[Valor da Venda Real]])/Final[[#This Row],[Valor da Venda Real]],""),"")</f>
        <v/>
      </c>
      <c r="S838" s="61" t="str">
        <f t="shared" si="57"/>
        <v/>
      </c>
      <c r="T838" s="23" t="str">
        <f>IFERROR((R838*Final[[#This Row],[Valor da Venda Real]]*Final[[#This Row],[Quantidade ]]*S838),"")</f>
        <v/>
      </c>
    </row>
    <row r="839" spans="1:20" ht="15.75" x14ac:dyDescent="0.2">
      <c r="A839">
        <f>COUNTIF($C$2:C839,C839)</f>
        <v>838</v>
      </c>
      <c r="B839" s="1" t="str">
        <f t="shared" si="56"/>
        <v>838</v>
      </c>
      <c r="C839" s="1" t="str">
        <f>IFERROR(VLOOKUP(D839,'Planilha de Cadastro - Previsão'!$A$2:$N$1000,14,FALSE()),"")</f>
        <v/>
      </c>
      <c r="D839" s="1">
        <v>838</v>
      </c>
      <c r="F839" s="40" t="str">
        <f t="shared" si="55"/>
        <v/>
      </c>
      <c r="G839" s="40" t="str">
        <f>IF(F839="","",'Prosposta Inicial'!$O$2)</f>
        <v/>
      </c>
      <c r="H839" s="40" t="str">
        <f t="shared" si="54"/>
        <v xml:space="preserve"> </v>
      </c>
      <c r="I839" s="41" t="str">
        <f>IFERROR((VLOOKUP(F839,'Planilha de Cadastro - Previsão'!$A$2:$N$1100,2,FALSE()))," ")</f>
        <v xml:space="preserve"> </v>
      </c>
      <c r="J839" s="40" t="str">
        <f>IFERROR((VLOOKUP(F839,'Planilha de Cadastro - Previsão'!$A$2:$N$1100,3,FALSE()))," ")</f>
        <v xml:space="preserve"> </v>
      </c>
      <c r="K839" s="40"/>
      <c r="L839" s="42" t="str">
        <f>IFERROR((VLOOKUP(F839,'Planilha de Cadastro - Previsão'!$A$2:$N$1100,11,FALSE()))," ")</f>
        <v xml:space="preserve"> </v>
      </c>
      <c r="M839" s="41" t="str">
        <f>IFERROR((IF(VLOOKUP(F839,'Planilha de Cadastro - Previsão'!$A$2:$N$1100,10,FALSE())="","",VLOOKUP(F839,'Planilha de Cadastro - Previsão'!$A$2:$N$1100,10,FALSE()))),"")</f>
        <v/>
      </c>
      <c r="N839" s="41"/>
      <c r="O839" s="41"/>
      <c r="P839" s="41" t="str">
        <f>IFERROR((IF(VLOOKUP(F839,'Acompanhamento da Licitação'!$F$2:$O$1000,10,FALSE())="","",VLOOKUP(F839,'Acompanhamento da Licitação'!$F$2:$O$1000,10,FALSE()))),"")</f>
        <v/>
      </c>
      <c r="R839" s="61" t="str">
        <f>IFERROR(IF(F839&gt;0,(Final[[#This Row],[Valor da Venda Real]]-Final[[#This Row],[Valor de Compra Previsto]]-4%*Final[[#This Row],[Valor da Venda Real]])/Final[[#This Row],[Valor da Venda Real]],""),"")</f>
        <v/>
      </c>
      <c r="S839" s="61" t="str">
        <f t="shared" si="57"/>
        <v/>
      </c>
      <c r="T839" s="23" t="str">
        <f>IFERROR((R839*Final[[#This Row],[Valor da Venda Real]]*Final[[#This Row],[Quantidade ]]*S839),"")</f>
        <v/>
      </c>
    </row>
    <row r="840" spans="1:20" ht="15.75" x14ac:dyDescent="0.2">
      <c r="A840">
        <f>COUNTIF($C$2:C840,C840)</f>
        <v>839</v>
      </c>
      <c r="B840" s="1" t="str">
        <f t="shared" si="56"/>
        <v>839</v>
      </c>
      <c r="C840" s="1" t="str">
        <f>IFERROR(VLOOKUP(D840,'Planilha de Cadastro - Previsão'!$A$2:$N$1000,14,FALSE()),"")</f>
        <v/>
      </c>
      <c r="D840" s="1">
        <v>839</v>
      </c>
      <c r="F840" s="40" t="str">
        <f t="shared" si="55"/>
        <v/>
      </c>
      <c r="G840" s="40" t="str">
        <f>IF(F840="","",'Prosposta Inicial'!$O$2)</f>
        <v/>
      </c>
      <c r="H840" s="40" t="str">
        <f t="shared" si="54"/>
        <v xml:space="preserve"> </v>
      </c>
      <c r="I840" s="41" t="str">
        <f>IFERROR((VLOOKUP(F840,'Planilha de Cadastro - Previsão'!$A$2:$N$1100,2,FALSE()))," ")</f>
        <v xml:space="preserve"> </v>
      </c>
      <c r="J840" s="40" t="str">
        <f>IFERROR((VLOOKUP(F840,'Planilha de Cadastro - Previsão'!$A$2:$N$1100,3,FALSE()))," ")</f>
        <v xml:space="preserve"> </v>
      </c>
      <c r="K840" s="40"/>
      <c r="L840" s="42" t="str">
        <f>IFERROR((VLOOKUP(F840,'Planilha de Cadastro - Previsão'!$A$2:$N$1100,11,FALSE()))," ")</f>
        <v xml:space="preserve"> </v>
      </c>
      <c r="M840" s="41" t="str">
        <f>IFERROR((IF(VLOOKUP(F840,'Planilha de Cadastro - Previsão'!$A$2:$N$1100,10,FALSE())="","",VLOOKUP(F840,'Planilha de Cadastro - Previsão'!$A$2:$N$1100,10,FALSE()))),"")</f>
        <v/>
      </c>
      <c r="N840" s="41"/>
      <c r="O840" s="41"/>
      <c r="P840" s="41" t="str">
        <f>IFERROR((IF(VLOOKUP(F840,'Acompanhamento da Licitação'!$F$2:$O$1000,10,FALSE())="","",VLOOKUP(F840,'Acompanhamento da Licitação'!$F$2:$O$1000,10,FALSE()))),"")</f>
        <v/>
      </c>
      <c r="R840" s="61" t="str">
        <f>IFERROR(IF(F840&gt;0,(Final[[#This Row],[Valor da Venda Real]]-Final[[#This Row],[Valor de Compra Previsto]]-4%*Final[[#This Row],[Valor da Venda Real]])/Final[[#This Row],[Valor da Venda Real]],""),"")</f>
        <v/>
      </c>
      <c r="S840" s="61" t="str">
        <f t="shared" si="57"/>
        <v/>
      </c>
      <c r="T840" s="23" t="str">
        <f>IFERROR((R840*Final[[#This Row],[Valor da Venda Real]]*Final[[#This Row],[Quantidade ]]*S840),"")</f>
        <v/>
      </c>
    </row>
    <row r="841" spans="1:20" ht="15.75" x14ac:dyDescent="0.2">
      <c r="A841">
        <f>COUNTIF($C$2:C841,C841)</f>
        <v>840</v>
      </c>
      <c r="B841" s="1" t="str">
        <f t="shared" si="56"/>
        <v>840</v>
      </c>
      <c r="C841" s="1" t="str">
        <f>IFERROR(VLOOKUP(D841,'Planilha de Cadastro - Previsão'!$A$2:$N$1000,14,FALSE()),"")</f>
        <v/>
      </c>
      <c r="D841" s="1">
        <v>840</v>
      </c>
      <c r="F841" s="40" t="str">
        <f t="shared" si="55"/>
        <v/>
      </c>
      <c r="G841" s="40" t="str">
        <f>IF(F841="","",'Prosposta Inicial'!$O$2)</f>
        <v/>
      </c>
      <c r="H841" s="40" t="str">
        <f t="shared" si="54"/>
        <v xml:space="preserve"> </v>
      </c>
      <c r="I841" s="41" t="str">
        <f>IFERROR((VLOOKUP(F841,'Planilha de Cadastro - Previsão'!$A$2:$N$1100,2,FALSE()))," ")</f>
        <v xml:space="preserve"> </v>
      </c>
      <c r="J841" s="40" t="str">
        <f>IFERROR((VLOOKUP(F841,'Planilha de Cadastro - Previsão'!$A$2:$N$1100,3,FALSE()))," ")</f>
        <v xml:space="preserve"> </v>
      </c>
      <c r="K841" s="40"/>
      <c r="L841" s="42" t="str">
        <f>IFERROR((VLOOKUP(F841,'Planilha de Cadastro - Previsão'!$A$2:$N$1100,11,FALSE()))," ")</f>
        <v xml:space="preserve"> </v>
      </c>
      <c r="M841" s="41" t="str">
        <f>IFERROR((IF(VLOOKUP(F841,'Planilha de Cadastro - Previsão'!$A$2:$N$1100,10,FALSE())="","",VLOOKUP(F841,'Planilha de Cadastro - Previsão'!$A$2:$N$1100,10,FALSE()))),"")</f>
        <v/>
      </c>
      <c r="N841" s="41"/>
      <c r="O841" s="41"/>
      <c r="P841" s="41" t="str">
        <f>IFERROR((IF(VLOOKUP(F841,'Acompanhamento da Licitação'!$F$2:$O$1000,10,FALSE())="","",VLOOKUP(F841,'Acompanhamento da Licitação'!$F$2:$O$1000,10,FALSE()))),"")</f>
        <v/>
      </c>
      <c r="R841" s="61" t="str">
        <f>IFERROR(IF(F841&gt;0,(Final[[#This Row],[Valor da Venda Real]]-Final[[#This Row],[Valor de Compra Previsto]]-4%*Final[[#This Row],[Valor da Venda Real]])/Final[[#This Row],[Valor da Venda Real]],""),"")</f>
        <v/>
      </c>
      <c r="S841" s="61" t="str">
        <f t="shared" si="57"/>
        <v/>
      </c>
      <c r="T841" s="23" t="str">
        <f>IFERROR((R841*Final[[#This Row],[Valor da Venda Real]]*Final[[#This Row],[Quantidade ]]*S841),"")</f>
        <v/>
      </c>
    </row>
    <row r="842" spans="1:20" ht="15.75" x14ac:dyDescent="0.2">
      <c r="A842">
        <f>COUNTIF($C$2:C842,C842)</f>
        <v>841</v>
      </c>
      <c r="B842" s="1" t="str">
        <f t="shared" si="56"/>
        <v>841</v>
      </c>
      <c r="C842" s="1" t="str">
        <f>IFERROR(VLOOKUP(D842,'Planilha de Cadastro - Previsão'!$A$2:$N$1000,14,FALSE()),"")</f>
        <v/>
      </c>
      <c r="D842" s="1">
        <v>841</v>
      </c>
      <c r="F842" s="40" t="str">
        <f t="shared" si="55"/>
        <v/>
      </c>
      <c r="G842" s="40" t="str">
        <f>IF(F842="","",'Prosposta Inicial'!$O$2)</f>
        <v/>
      </c>
      <c r="H842" s="40" t="str">
        <f t="shared" si="54"/>
        <v xml:space="preserve"> </v>
      </c>
      <c r="I842" s="41" t="str">
        <f>IFERROR((VLOOKUP(F842,'Planilha de Cadastro - Previsão'!$A$2:$N$1100,2,FALSE()))," ")</f>
        <v xml:space="preserve"> </v>
      </c>
      <c r="J842" s="40" t="str">
        <f>IFERROR((VLOOKUP(F842,'Planilha de Cadastro - Previsão'!$A$2:$N$1100,3,FALSE()))," ")</f>
        <v xml:space="preserve"> </v>
      </c>
      <c r="K842" s="40"/>
      <c r="L842" s="42" t="str">
        <f>IFERROR((VLOOKUP(F842,'Planilha de Cadastro - Previsão'!$A$2:$N$1100,11,FALSE()))," ")</f>
        <v xml:space="preserve"> </v>
      </c>
      <c r="M842" s="41" t="str">
        <f>IFERROR((IF(VLOOKUP(F842,'Planilha de Cadastro - Previsão'!$A$2:$N$1100,10,FALSE())="","",VLOOKUP(F842,'Planilha de Cadastro - Previsão'!$A$2:$N$1100,10,FALSE()))),"")</f>
        <v/>
      </c>
      <c r="N842" s="41"/>
      <c r="O842" s="41"/>
      <c r="P842" s="41" t="str">
        <f>IFERROR((IF(VLOOKUP(F842,'Acompanhamento da Licitação'!$F$2:$O$1000,10,FALSE())="","",VLOOKUP(F842,'Acompanhamento da Licitação'!$F$2:$O$1000,10,FALSE()))),"")</f>
        <v/>
      </c>
      <c r="R842" s="61" t="str">
        <f>IFERROR(IF(F842&gt;0,(Final[[#This Row],[Valor da Venda Real]]-Final[[#This Row],[Valor de Compra Previsto]]-4%*Final[[#This Row],[Valor da Venda Real]])/Final[[#This Row],[Valor da Venda Real]],""),"")</f>
        <v/>
      </c>
      <c r="S842" s="61" t="str">
        <f t="shared" si="57"/>
        <v/>
      </c>
      <c r="T842" s="23" t="str">
        <f>IFERROR((R842*Final[[#This Row],[Valor da Venda Real]]*Final[[#This Row],[Quantidade ]]*S842),"")</f>
        <v/>
      </c>
    </row>
    <row r="843" spans="1:20" ht="15.75" x14ac:dyDescent="0.2">
      <c r="A843">
        <f>COUNTIF($C$2:C843,C843)</f>
        <v>842</v>
      </c>
      <c r="B843" s="1" t="str">
        <f t="shared" si="56"/>
        <v>842</v>
      </c>
      <c r="C843" s="1" t="str">
        <f>IFERROR(VLOOKUP(D843,'Planilha de Cadastro - Previsão'!$A$2:$N$1000,14,FALSE()),"")</f>
        <v/>
      </c>
      <c r="D843" s="1">
        <v>842</v>
      </c>
      <c r="F843" s="40" t="str">
        <f t="shared" si="55"/>
        <v/>
      </c>
      <c r="G843" s="40" t="str">
        <f>IF(F843="","",'Prosposta Inicial'!$O$2)</f>
        <v/>
      </c>
      <c r="H843" s="40" t="str">
        <f t="shared" si="54"/>
        <v xml:space="preserve"> </v>
      </c>
      <c r="I843" s="41" t="str">
        <f>IFERROR((VLOOKUP(F843,'Planilha de Cadastro - Previsão'!$A$2:$N$1100,2,FALSE()))," ")</f>
        <v xml:space="preserve"> </v>
      </c>
      <c r="J843" s="40" t="str">
        <f>IFERROR((VLOOKUP(F843,'Planilha de Cadastro - Previsão'!$A$2:$N$1100,3,FALSE()))," ")</f>
        <v xml:space="preserve"> </v>
      </c>
      <c r="K843" s="40"/>
      <c r="L843" s="42" t="str">
        <f>IFERROR((VLOOKUP(F843,'Planilha de Cadastro - Previsão'!$A$2:$N$1100,11,FALSE()))," ")</f>
        <v xml:space="preserve"> </v>
      </c>
      <c r="M843" s="41" t="str">
        <f>IFERROR((IF(VLOOKUP(F843,'Planilha de Cadastro - Previsão'!$A$2:$N$1100,10,FALSE())="","",VLOOKUP(F843,'Planilha de Cadastro - Previsão'!$A$2:$N$1100,10,FALSE()))),"")</f>
        <v/>
      </c>
      <c r="N843" s="41"/>
      <c r="O843" s="41"/>
      <c r="P843" s="41" t="str">
        <f>IFERROR((IF(VLOOKUP(F843,'Acompanhamento da Licitação'!$F$2:$O$1000,10,FALSE())="","",VLOOKUP(F843,'Acompanhamento da Licitação'!$F$2:$O$1000,10,FALSE()))),"")</f>
        <v/>
      </c>
      <c r="R843" s="61" t="str">
        <f>IFERROR(IF(F843&gt;0,(Final[[#This Row],[Valor da Venda Real]]-Final[[#This Row],[Valor de Compra Previsto]]-4%*Final[[#This Row],[Valor da Venda Real]])/Final[[#This Row],[Valor da Venda Real]],""),"")</f>
        <v/>
      </c>
      <c r="S843" s="61" t="str">
        <f t="shared" si="57"/>
        <v/>
      </c>
      <c r="T843" s="23" t="str">
        <f>IFERROR((R843*Final[[#This Row],[Valor da Venda Real]]*Final[[#This Row],[Quantidade ]]*S843),"")</f>
        <v/>
      </c>
    </row>
    <row r="844" spans="1:20" ht="15.75" x14ac:dyDescent="0.2">
      <c r="A844">
        <f>COUNTIF($C$2:C844,C844)</f>
        <v>843</v>
      </c>
      <c r="B844" s="1" t="str">
        <f t="shared" si="56"/>
        <v>843</v>
      </c>
      <c r="C844" s="1" t="str">
        <f>IFERROR(VLOOKUP(D844,'Planilha de Cadastro - Previsão'!$A$2:$N$1000,14,FALSE()),"")</f>
        <v/>
      </c>
      <c r="D844" s="1">
        <v>843</v>
      </c>
      <c r="F844" s="40" t="str">
        <f t="shared" si="55"/>
        <v/>
      </c>
      <c r="G844" s="40" t="str">
        <f>IF(F844="","",'Prosposta Inicial'!$O$2)</f>
        <v/>
      </c>
      <c r="H844" s="40" t="str">
        <f t="shared" si="54"/>
        <v xml:space="preserve"> </v>
      </c>
      <c r="I844" s="41" t="str">
        <f>IFERROR((VLOOKUP(F844,'Planilha de Cadastro - Previsão'!$A$2:$N$1100,2,FALSE()))," ")</f>
        <v xml:space="preserve"> </v>
      </c>
      <c r="J844" s="40" t="str">
        <f>IFERROR((VLOOKUP(F844,'Planilha de Cadastro - Previsão'!$A$2:$N$1100,3,FALSE()))," ")</f>
        <v xml:space="preserve"> </v>
      </c>
      <c r="K844" s="40"/>
      <c r="L844" s="42" t="str">
        <f>IFERROR((VLOOKUP(F844,'Planilha de Cadastro - Previsão'!$A$2:$N$1100,11,FALSE()))," ")</f>
        <v xml:space="preserve"> </v>
      </c>
      <c r="M844" s="41" t="str">
        <f>IFERROR((IF(VLOOKUP(F844,'Planilha de Cadastro - Previsão'!$A$2:$N$1100,10,FALSE())="","",VLOOKUP(F844,'Planilha de Cadastro - Previsão'!$A$2:$N$1100,10,FALSE()))),"")</f>
        <v/>
      </c>
      <c r="N844" s="41"/>
      <c r="O844" s="41"/>
      <c r="P844" s="41" t="str">
        <f>IFERROR((IF(VLOOKUP(F844,'Acompanhamento da Licitação'!$F$2:$O$1000,10,FALSE())="","",VLOOKUP(F844,'Acompanhamento da Licitação'!$F$2:$O$1000,10,FALSE()))),"")</f>
        <v/>
      </c>
      <c r="R844" s="61" t="str">
        <f>IFERROR(IF(F844&gt;0,(Final[[#This Row],[Valor da Venda Real]]-Final[[#This Row],[Valor de Compra Previsto]]-4%*Final[[#This Row],[Valor da Venda Real]])/Final[[#This Row],[Valor da Venda Real]],""),"")</f>
        <v/>
      </c>
      <c r="S844" s="61" t="str">
        <f t="shared" si="57"/>
        <v/>
      </c>
      <c r="T844" s="23" t="str">
        <f>IFERROR((R844*Final[[#This Row],[Valor da Venda Real]]*Final[[#This Row],[Quantidade ]]*S844),"")</f>
        <v/>
      </c>
    </row>
    <row r="845" spans="1:20" ht="15.75" x14ac:dyDescent="0.2">
      <c r="A845">
        <f>COUNTIF($C$2:C845,C845)</f>
        <v>844</v>
      </c>
      <c r="B845" s="1" t="str">
        <f t="shared" si="56"/>
        <v>844</v>
      </c>
      <c r="C845" s="1" t="str">
        <f>IFERROR(VLOOKUP(D845,'Planilha de Cadastro - Previsão'!$A$2:$N$1000,14,FALSE()),"")</f>
        <v/>
      </c>
      <c r="D845" s="1">
        <v>844</v>
      </c>
      <c r="F845" s="40" t="str">
        <f t="shared" si="55"/>
        <v/>
      </c>
      <c r="G845" s="40" t="str">
        <f>IF(F845="","",'Prosposta Inicial'!$O$2)</f>
        <v/>
      </c>
      <c r="H845" s="40" t="str">
        <f t="shared" si="54"/>
        <v xml:space="preserve"> </v>
      </c>
      <c r="I845" s="41" t="str">
        <f>IFERROR((VLOOKUP(F845,'Planilha de Cadastro - Previsão'!$A$2:$N$1100,2,FALSE()))," ")</f>
        <v xml:space="preserve"> </v>
      </c>
      <c r="J845" s="40" t="str">
        <f>IFERROR((VLOOKUP(F845,'Planilha de Cadastro - Previsão'!$A$2:$N$1100,3,FALSE()))," ")</f>
        <v xml:space="preserve"> </v>
      </c>
      <c r="K845" s="40"/>
      <c r="L845" s="42" t="str">
        <f>IFERROR((VLOOKUP(F845,'Planilha de Cadastro - Previsão'!$A$2:$N$1100,11,FALSE()))," ")</f>
        <v xml:space="preserve"> </v>
      </c>
      <c r="M845" s="41" t="str">
        <f>IFERROR((IF(VLOOKUP(F845,'Planilha de Cadastro - Previsão'!$A$2:$N$1100,10,FALSE())="","",VLOOKUP(F845,'Planilha de Cadastro - Previsão'!$A$2:$N$1100,10,FALSE()))),"")</f>
        <v/>
      </c>
      <c r="N845" s="41"/>
      <c r="O845" s="41"/>
      <c r="P845" s="41" t="str">
        <f>IFERROR((IF(VLOOKUP(F845,'Acompanhamento da Licitação'!$F$2:$O$1000,10,FALSE())="","",VLOOKUP(F845,'Acompanhamento da Licitação'!$F$2:$O$1000,10,FALSE()))),"")</f>
        <v/>
      </c>
      <c r="R845" s="61" t="str">
        <f>IFERROR(IF(F845&gt;0,(Final[[#This Row],[Valor da Venda Real]]-Final[[#This Row],[Valor de Compra Previsto]]-4%*Final[[#This Row],[Valor da Venda Real]])/Final[[#This Row],[Valor da Venda Real]],""),"")</f>
        <v/>
      </c>
      <c r="S845" s="61" t="str">
        <f t="shared" si="57"/>
        <v/>
      </c>
      <c r="T845" s="23" t="str">
        <f>IFERROR((R845*Final[[#This Row],[Valor da Venda Real]]*Final[[#This Row],[Quantidade ]]*S845),"")</f>
        <v/>
      </c>
    </row>
    <row r="846" spans="1:20" ht="15.75" x14ac:dyDescent="0.2">
      <c r="A846">
        <f>COUNTIF($C$2:C846,C846)</f>
        <v>845</v>
      </c>
      <c r="B846" s="1" t="str">
        <f t="shared" si="56"/>
        <v>845</v>
      </c>
      <c r="C846" s="1" t="str">
        <f>IFERROR(VLOOKUP(D846,'Planilha de Cadastro - Previsão'!$A$2:$N$1000,14,FALSE()),"")</f>
        <v/>
      </c>
      <c r="D846" s="1">
        <v>845</v>
      </c>
      <c r="F846" s="40" t="str">
        <f t="shared" si="55"/>
        <v/>
      </c>
      <c r="G846" s="40" t="str">
        <f>IF(F846="","",'Prosposta Inicial'!$O$2)</f>
        <v/>
      </c>
      <c r="H846" s="40" t="str">
        <f t="shared" si="54"/>
        <v xml:space="preserve"> </v>
      </c>
      <c r="I846" s="41" t="str">
        <f>IFERROR((VLOOKUP(F846,'Planilha de Cadastro - Previsão'!$A$2:$N$1100,2,FALSE()))," ")</f>
        <v xml:space="preserve"> </v>
      </c>
      <c r="J846" s="40" t="str">
        <f>IFERROR((VLOOKUP(F846,'Planilha de Cadastro - Previsão'!$A$2:$N$1100,3,FALSE()))," ")</f>
        <v xml:space="preserve"> </v>
      </c>
      <c r="K846" s="40"/>
      <c r="L846" s="42" t="str">
        <f>IFERROR((VLOOKUP(F846,'Planilha de Cadastro - Previsão'!$A$2:$N$1100,11,FALSE()))," ")</f>
        <v xml:space="preserve"> </v>
      </c>
      <c r="M846" s="41" t="str">
        <f>IFERROR((IF(VLOOKUP(F846,'Planilha de Cadastro - Previsão'!$A$2:$N$1100,10,FALSE())="","",VLOOKUP(F846,'Planilha de Cadastro - Previsão'!$A$2:$N$1100,10,FALSE()))),"")</f>
        <v/>
      </c>
      <c r="N846" s="41"/>
      <c r="O846" s="41"/>
      <c r="P846" s="41" t="str">
        <f>IFERROR((IF(VLOOKUP(F846,'Acompanhamento da Licitação'!$F$2:$O$1000,10,FALSE())="","",VLOOKUP(F846,'Acompanhamento da Licitação'!$F$2:$O$1000,10,FALSE()))),"")</f>
        <v/>
      </c>
      <c r="R846" s="61" t="str">
        <f>IFERROR(IF(F846&gt;0,(Final[[#This Row],[Valor da Venda Real]]-Final[[#This Row],[Valor de Compra Previsto]]-4%*Final[[#This Row],[Valor da Venda Real]])/Final[[#This Row],[Valor da Venda Real]],""),"")</f>
        <v/>
      </c>
      <c r="S846" s="61" t="str">
        <f t="shared" si="57"/>
        <v/>
      </c>
      <c r="T846" s="23" t="str">
        <f>IFERROR((R846*Final[[#This Row],[Valor da Venda Real]]*Final[[#This Row],[Quantidade ]]*S846),"")</f>
        <v/>
      </c>
    </row>
    <row r="847" spans="1:20" ht="15.75" x14ac:dyDescent="0.2">
      <c r="A847">
        <f>COUNTIF($C$2:C847,C847)</f>
        <v>846</v>
      </c>
      <c r="B847" s="1" t="str">
        <f t="shared" si="56"/>
        <v>846</v>
      </c>
      <c r="C847" s="1" t="str">
        <f>IFERROR(VLOOKUP(D847,'Planilha de Cadastro - Previsão'!$A$2:$N$1000,14,FALSE()),"")</f>
        <v/>
      </c>
      <c r="D847" s="1">
        <v>846</v>
      </c>
      <c r="F847" s="40" t="str">
        <f t="shared" si="55"/>
        <v/>
      </c>
      <c r="G847" s="40" t="str">
        <f>IF(F847="","",'Prosposta Inicial'!$O$2)</f>
        <v/>
      </c>
      <c r="H847" s="40" t="str">
        <f t="shared" si="54"/>
        <v xml:space="preserve"> </v>
      </c>
      <c r="I847" s="41" t="str">
        <f>IFERROR((VLOOKUP(F847,'Planilha de Cadastro - Previsão'!$A$2:$N$1100,2,FALSE()))," ")</f>
        <v xml:space="preserve"> </v>
      </c>
      <c r="J847" s="40" t="str">
        <f>IFERROR((VLOOKUP(F847,'Planilha de Cadastro - Previsão'!$A$2:$N$1100,3,FALSE()))," ")</f>
        <v xml:space="preserve"> </v>
      </c>
      <c r="K847" s="40"/>
      <c r="L847" s="42" t="str">
        <f>IFERROR((VLOOKUP(F847,'Planilha de Cadastro - Previsão'!$A$2:$N$1100,11,FALSE()))," ")</f>
        <v xml:space="preserve"> </v>
      </c>
      <c r="M847" s="41" t="str">
        <f>IFERROR((IF(VLOOKUP(F847,'Planilha de Cadastro - Previsão'!$A$2:$N$1100,10,FALSE())="","",VLOOKUP(F847,'Planilha de Cadastro - Previsão'!$A$2:$N$1100,10,FALSE()))),"")</f>
        <v/>
      </c>
      <c r="N847" s="41"/>
      <c r="O847" s="41"/>
      <c r="P847" s="41" t="str">
        <f>IFERROR((IF(VLOOKUP(F847,'Acompanhamento da Licitação'!$F$2:$O$1000,10,FALSE())="","",VLOOKUP(F847,'Acompanhamento da Licitação'!$F$2:$O$1000,10,FALSE()))),"")</f>
        <v/>
      </c>
      <c r="R847" s="61" t="str">
        <f>IFERROR(IF(F847&gt;0,(Final[[#This Row],[Valor da Venda Real]]-Final[[#This Row],[Valor de Compra Previsto]]-4%*Final[[#This Row],[Valor da Venda Real]])/Final[[#This Row],[Valor da Venda Real]],""),"")</f>
        <v/>
      </c>
      <c r="S847" s="61" t="str">
        <f t="shared" si="57"/>
        <v/>
      </c>
      <c r="T847" s="23" t="str">
        <f>IFERROR((R847*Final[[#This Row],[Valor da Venda Real]]*Final[[#This Row],[Quantidade ]]*S847),"")</f>
        <v/>
      </c>
    </row>
    <row r="848" spans="1:20" ht="15.75" x14ac:dyDescent="0.2">
      <c r="A848">
        <f>COUNTIF($C$2:C848,C848)</f>
        <v>847</v>
      </c>
      <c r="B848" s="1" t="str">
        <f t="shared" si="56"/>
        <v>847</v>
      </c>
      <c r="C848" s="1" t="str">
        <f>IFERROR(VLOOKUP(D848,'Planilha de Cadastro - Previsão'!$A$2:$N$1000,14,FALSE()),"")</f>
        <v/>
      </c>
      <c r="D848" s="1">
        <v>847</v>
      </c>
      <c r="F848" s="40" t="str">
        <f t="shared" si="55"/>
        <v/>
      </c>
      <c r="G848" s="40" t="str">
        <f>IF(F848="","",'Prosposta Inicial'!$O$2)</f>
        <v/>
      </c>
      <c r="H848" s="40" t="str">
        <f t="shared" si="54"/>
        <v xml:space="preserve"> </v>
      </c>
      <c r="I848" s="41" t="str">
        <f>IFERROR((VLOOKUP(F848,'Planilha de Cadastro - Previsão'!$A$2:$N$1100,2,FALSE()))," ")</f>
        <v xml:space="preserve"> </v>
      </c>
      <c r="J848" s="40" t="str">
        <f>IFERROR((VLOOKUP(F848,'Planilha de Cadastro - Previsão'!$A$2:$N$1100,3,FALSE()))," ")</f>
        <v xml:space="preserve"> </v>
      </c>
      <c r="K848" s="40"/>
      <c r="L848" s="42" t="str">
        <f>IFERROR((VLOOKUP(F848,'Planilha de Cadastro - Previsão'!$A$2:$N$1100,11,FALSE()))," ")</f>
        <v xml:space="preserve"> </v>
      </c>
      <c r="M848" s="41" t="str">
        <f>IFERROR((IF(VLOOKUP(F848,'Planilha de Cadastro - Previsão'!$A$2:$N$1100,10,FALSE())="","",VLOOKUP(F848,'Planilha de Cadastro - Previsão'!$A$2:$N$1100,10,FALSE()))),"")</f>
        <v/>
      </c>
      <c r="N848" s="41"/>
      <c r="O848" s="41"/>
      <c r="P848" s="41" t="str">
        <f>IFERROR((IF(VLOOKUP(F848,'Acompanhamento da Licitação'!$F$2:$O$1000,10,FALSE())="","",VLOOKUP(F848,'Acompanhamento da Licitação'!$F$2:$O$1000,10,FALSE()))),"")</f>
        <v/>
      </c>
      <c r="R848" s="61" t="str">
        <f>IFERROR(IF(F848&gt;0,(Final[[#This Row],[Valor da Venda Real]]-Final[[#This Row],[Valor de Compra Previsto]]-4%*Final[[#This Row],[Valor da Venda Real]])/Final[[#This Row],[Valor da Venda Real]],""),"")</f>
        <v/>
      </c>
      <c r="S848" s="61" t="str">
        <f t="shared" si="57"/>
        <v/>
      </c>
      <c r="T848" s="23" t="str">
        <f>IFERROR((R848*Final[[#This Row],[Valor da Venda Real]]*Final[[#This Row],[Quantidade ]]*S848),"")</f>
        <v/>
      </c>
    </row>
    <row r="849" spans="1:20" ht="15.75" x14ac:dyDescent="0.2">
      <c r="A849">
        <f>COUNTIF($C$2:C849,C849)</f>
        <v>848</v>
      </c>
      <c r="B849" s="1" t="str">
        <f t="shared" si="56"/>
        <v>848</v>
      </c>
      <c r="C849" s="1" t="str">
        <f>IFERROR(VLOOKUP(D849,'Planilha de Cadastro - Previsão'!$A$2:$N$1000,14,FALSE()),"")</f>
        <v/>
      </c>
      <c r="D849" s="1">
        <v>848</v>
      </c>
      <c r="F849" s="40" t="str">
        <f t="shared" si="55"/>
        <v/>
      </c>
      <c r="G849" s="40" t="str">
        <f>IF(F849="","",'Prosposta Inicial'!$O$2)</f>
        <v/>
      </c>
      <c r="H849" s="40" t="str">
        <f t="shared" si="54"/>
        <v xml:space="preserve"> </v>
      </c>
      <c r="I849" s="41" t="str">
        <f>IFERROR((VLOOKUP(F849,'Planilha de Cadastro - Previsão'!$A$2:$N$1100,2,FALSE()))," ")</f>
        <v xml:space="preserve"> </v>
      </c>
      <c r="J849" s="40" t="str">
        <f>IFERROR((VLOOKUP(F849,'Planilha de Cadastro - Previsão'!$A$2:$N$1100,3,FALSE()))," ")</f>
        <v xml:space="preserve"> </v>
      </c>
      <c r="K849" s="40"/>
      <c r="L849" s="42" t="str">
        <f>IFERROR((VLOOKUP(F849,'Planilha de Cadastro - Previsão'!$A$2:$N$1100,11,FALSE()))," ")</f>
        <v xml:space="preserve"> </v>
      </c>
      <c r="M849" s="41" t="str">
        <f>IFERROR((IF(VLOOKUP(F849,'Planilha de Cadastro - Previsão'!$A$2:$N$1100,10,FALSE())="","",VLOOKUP(F849,'Planilha de Cadastro - Previsão'!$A$2:$N$1100,10,FALSE()))),"")</f>
        <v/>
      </c>
      <c r="N849" s="41"/>
      <c r="O849" s="41"/>
      <c r="P849" s="41" t="str">
        <f>IFERROR((IF(VLOOKUP(F849,'Acompanhamento da Licitação'!$F$2:$O$1000,10,FALSE())="","",VLOOKUP(F849,'Acompanhamento da Licitação'!$F$2:$O$1000,10,FALSE()))),"")</f>
        <v/>
      </c>
      <c r="R849" s="61" t="str">
        <f>IFERROR(IF(F849&gt;0,(Final[[#This Row],[Valor da Venda Real]]-Final[[#This Row],[Valor de Compra Previsto]]-4%*Final[[#This Row],[Valor da Venda Real]])/Final[[#This Row],[Valor da Venda Real]],""),"")</f>
        <v/>
      </c>
      <c r="S849" s="61" t="str">
        <f t="shared" si="57"/>
        <v/>
      </c>
      <c r="T849" s="23" t="str">
        <f>IFERROR((R849*Final[[#This Row],[Valor da Venda Real]]*Final[[#This Row],[Quantidade ]]*S849),"")</f>
        <v/>
      </c>
    </row>
    <row r="850" spans="1:20" ht="15.75" x14ac:dyDescent="0.2">
      <c r="A850">
        <f>COUNTIF($C$2:C850,C850)</f>
        <v>849</v>
      </c>
      <c r="B850" s="1" t="str">
        <f t="shared" si="56"/>
        <v>849</v>
      </c>
      <c r="C850" s="1" t="str">
        <f>IFERROR(VLOOKUP(D850,'Planilha de Cadastro - Previsão'!$A$2:$N$1000,14,FALSE()),"")</f>
        <v/>
      </c>
      <c r="D850" s="1">
        <v>849</v>
      </c>
      <c r="F850" s="40" t="str">
        <f t="shared" si="55"/>
        <v/>
      </c>
      <c r="G850" s="40" t="str">
        <f>IF(F850="","",'Prosposta Inicial'!$O$2)</f>
        <v/>
      </c>
      <c r="H850" s="40" t="str">
        <f t="shared" si="54"/>
        <v xml:space="preserve"> </v>
      </c>
      <c r="I850" s="41" t="str">
        <f>IFERROR((VLOOKUP(F850,'Planilha de Cadastro - Previsão'!$A$2:$N$1100,2,FALSE()))," ")</f>
        <v xml:space="preserve"> </v>
      </c>
      <c r="J850" s="40" t="str">
        <f>IFERROR((VLOOKUP(F850,'Planilha de Cadastro - Previsão'!$A$2:$N$1100,3,FALSE()))," ")</f>
        <v xml:space="preserve"> </v>
      </c>
      <c r="K850" s="40"/>
      <c r="L850" s="42" t="str">
        <f>IFERROR((VLOOKUP(F850,'Planilha de Cadastro - Previsão'!$A$2:$N$1100,11,FALSE()))," ")</f>
        <v xml:space="preserve"> </v>
      </c>
      <c r="M850" s="41" t="str">
        <f>IFERROR((IF(VLOOKUP(F850,'Planilha de Cadastro - Previsão'!$A$2:$N$1100,10,FALSE())="","",VLOOKUP(F850,'Planilha de Cadastro - Previsão'!$A$2:$N$1100,10,FALSE()))),"")</f>
        <v/>
      </c>
      <c r="N850" s="41"/>
      <c r="O850" s="41"/>
      <c r="P850" s="41" t="str">
        <f>IFERROR((IF(VLOOKUP(F850,'Acompanhamento da Licitação'!$F$2:$O$1000,10,FALSE())="","",VLOOKUP(F850,'Acompanhamento da Licitação'!$F$2:$O$1000,10,FALSE()))),"")</f>
        <v/>
      </c>
      <c r="R850" s="61" t="str">
        <f>IFERROR(IF(F850&gt;0,(Final[[#This Row],[Valor da Venda Real]]-Final[[#This Row],[Valor de Compra Previsto]]-4%*Final[[#This Row],[Valor da Venda Real]])/Final[[#This Row],[Valor da Venda Real]],""),"")</f>
        <v/>
      </c>
      <c r="S850" s="61" t="str">
        <f t="shared" si="57"/>
        <v/>
      </c>
      <c r="T850" s="23" t="str">
        <f>IFERROR((R850*Final[[#This Row],[Valor da Venda Real]]*Final[[#This Row],[Quantidade ]]*S850),"")</f>
        <v/>
      </c>
    </row>
    <row r="851" spans="1:20" ht="15.75" x14ac:dyDescent="0.2">
      <c r="A851">
        <f>COUNTIF($C$2:C851,C851)</f>
        <v>850</v>
      </c>
      <c r="B851" s="1" t="str">
        <f t="shared" si="56"/>
        <v>850</v>
      </c>
      <c r="C851" s="1" t="str">
        <f>IFERROR(VLOOKUP(D851,'Planilha de Cadastro - Previsão'!$A$2:$N$1000,14,FALSE()),"")</f>
        <v/>
      </c>
      <c r="D851" s="1">
        <v>850</v>
      </c>
      <c r="F851" s="40" t="str">
        <f t="shared" si="55"/>
        <v/>
      </c>
      <c r="G851" s="40" t="str">
        <f>IF(F851="","",'Prosposta Inicial'!$O$2)</f>
        <v/>
      </c>
      <c r="H851" s="40" t="str">
        <f t="shared" si="54"/>
        <v xml:space="preserve"> </v>
      </c>
      <c r="I851" s="41" t="str">
        <f>IFERROR((VLOOKUP(F851,'Planilha de Cadastro - Previsão'!$A$2:$N$1100,2,FALSE()))," ")</f>
        <v xml:space="preserve"> </v>
      </c>
      <c r="J851" s="40" t="str">
        <f>IFERROR((VLOOKUP(F851,'Planilha de Cadastro - Previsão'!$A$2:$N$1100,3,FALSE()))," ")</f>
        <v xml:space="preserve"> </v>
      </c>
      <c r="K851" s="40"/>
      <c r="L851" s="42" t="str">
        <f>IFERROR((VLOOKUP(F851,'Planilha de Cadastro - Previsão'!$A$2:$N$1100,11,FALSE()))," ")</f>
        <v xml:space="preserve"> </v>
      </c>
      <c r="M851" s="41" t="str">
        <f>IFERROR((IF(VLOOKUP(F851,'Planilha de Cadastro - Previsão'!$A$2:$N$1100,10,FALSE())="","",VLOOKUP(F851,'Planilha de Cadastro - Previsão'!$A$2:$N$1100,10,FALSE()))),"")</f>
        <v/>
      </c>
      <c r="N851" s="41"/>
      <c r="O851" s="41"/>
      <c r="P851" s="41" t="str">
        <f>IFERROR((IF(VLOOKUP(F851,'Acompanhamento da Licitação'!$F$2:$O$1000,10,FALSE())="","",VLOOKUP(F851,'Acompanhamento da Licitação'!$F$2:$O$1000,10,FALSE()))),"")</f>
        <v/>
      </c>
      <c r="R851" s="61" t="str">
        <f>IFERROR(IF(F851&gt;0,(Final[[#This Row],[Valor da Venda Real]]-Final[[#This Row],[Valor de Compra Previsto]]-4%*Final[[#This Row],[Valor da Venda Real]])/Final[[#This Row],[Valor da Venda Real]],""),"")</f>
        <v/>
      </c>
      <c r="S851" s="61" t="str">
        <f t="shared" si="57"/>
        <v/>
      </c>
      <c r="T851" s="23" t="str">
        <f>IFERROR((R851*Final[[#This Row],[Valor da Venda Real]]*Final[[#This Row],[Quantidade ]]*S851),"")</f>
        <v/>
      </c>
    </row>
    <row r="852" spans="1:20" ht="15.75" x14ac:dyDescent="0.2">
      <c r="A852">
        <f>COUNTIF($C$2:C852,C852)</f>
        <v>851</v>
      </c>
      <c r="B852" s="1" t="str">
        <f t="shared" si="56"/>
        <v>851</v>
      </c>
      <c r="C852" s="1" t="str">
        <f>IFERROR(VLOOKUP(D852,'Planilha de Cadastro - Previsão'!$A$2:$N$1000,14,FALSE()),"")</f>
        <v/>
      </c>
      <c r="D852" s="1">
        <v>851</v>
      </c>
      <c r="F852" s="40" t="str">
        <f t="shared" si="55"/>
        <v/>
      </c>
      <c r="G852" s="40" t="str">
        <f>IF(F852="","",'Prosposta Inicial'!$O$2)</f>
        <v/>
      </c>
      <c r="H852" s="40" t="str">
        <f t="shared" si="54"/>
        <v xml:space="preserve"> </v>
      </c>
      <c r="I852" s="41" t="str">
        <f>IFERROR((VLOOKUP(F852,'Planilha de Cadastro - Previsão'!$A$2:$N$1100,2,FALSE()))," ")</f>
        <v xml:space="preserve"> </v>
      </c>
      <c r="J852" s="40" t="str">
        <f>IFERROR((VLOOKUP(F852,'Planilha de Cadastro - Previsão'!$A$2:$N$1100,3,FALSE()))," ")</f>
        <v xml:space="preserve"> </v>
      </c>
      <c r="K852" s="40"/>
      <c r="L852" s="42" t="str">
        <f>IFERROR((VLOOKUP(F852,'Planilha de Cadastro - Previsão'!$A$2:$N$1100,11,FALSE()))," ")</f>
        <v xml:space="preserve"> </v>
      </c>
      <c r="M852" s="41" t="str">
        <f>IFERROR((IF(VLOOKUP(F852,'Planilha de Cadastro - Previsão'!$A$2:$N$1100,10,FALSE())="","",VLOOKUP(F852,'Planilha de Cadastro - Previsão'!$A$2:$N$1100,10,FALSE()))),"")</f>
        <v/>
      </c>
      <c r="N852" s="41"/>
      <c r="O852" s="41"/>
      <c r="P852" s="41" t="str">
        <f>IFERROR((IF(VLOOKUP(F852,'Acompanhamento da Licitação'!$F$2:$O$1000,10,FALSE())="","",VLOOKUP(F852,'Acompanhamento da Licitação'!$F$2:$O$1000,10,FALSE()))),"")</f>
        <v/>
      </c>
      <c r="R852" s="61" t="str">
        <f>IFERROR(IF(F852&gt;0,(Final[[#This Row],[Valor da Venda Real]]-Final[[#This Row],[Valor de Compra Previsto]]-4%*Final[[#This Row],[Valor da Venda Real]])/Final[[#This Row],[Valor da Venda Real]],""),"")</f>
        <v/>
      </c>
      <c r="S852" s="61" t="str">
        <f t="shared" si="57"/>
        <v/>
      </c>
      <c r="T852" s="23" t="str">
        <f>IFERROR((R852*Final[[#This Row],[Valor da Venda Real]]*Final[[#This Row],[Quantidade ]]*S852),"")</f>
        <v/>
      </c>
    </row>
    <row r="853" spans="1:20" ht="15.75" x14ac:dyDescent="0.2">
      <c r="A853">
        <f>COUNTIF($C$2:C853,C853)</f>
        <v>852</v>
      </c>
      <c r="B853" s="1" t="str">
        <f t="shared" si="56"/>
        <v>852</v>
      </c>
      <c r="C853" s="1" t="str">
        <f>IFERROR(VLOOKUP(D853,'Planilha de Cadastro - Previsão'!$A$2:$N$1000,14,FALSE()),"")</f>
        <v/>
      </c>
      <c r="D853" s="1">
        <v>852</v>
      </c>
      <c r="F853" s="40" t="str">
        <f t="shared" si="55"/>
        <v/>
      </c>
      <c r="G853" s="40" t="str">
        <f>IF(F853="","",'Prosposta Inicial'!$O$2)</f>
        <v/>
      </c>
      <c r="H853" s="40" t="str">
        <f t="shared" si="54"/>
        <v xml:space="preserve"> </v>
      </c>
      <c r="I853" s="41" t="str">
        <f>IFERROR((VLOOKUP(F853,'Planilha de Cadastro - Previsão'!$A$2:$N$1100,2,FALSE()))," ")</f>
        <v xml:space="preserve"> </v>
      </c>
      <c r="J853" s="40" t="str">
        <f>IFERROR((VLOOKUP(F853,'Planilha de Cadastro - Previsão'!$A$2:$N$1100,3,FALSE()))," ")</f>
        <v xml:space="preserve"> </v>
      </c>
      <c r="K853" s="40"/>
      <c r="L853" s="42" t="str">
        <f>IFERROR((VLOOKUP(F853,'Planilha de Cadastro - Previsão'!$A$2:$N$1100,11,FALSE()))," ")</f>
        <v xml:space="preserve"> </v>
      </c>
      <c r="M853" s="41" t="str">
        <f>IFERROR((IF(VLOOKUP(F853,'Planilha de Cadastro - Previsão'!$A$2:$N$1100,10,FALSE())="","",VLOOKUP(F853,'Planilha de Cadastro - Previsão'!$A$2:$N$1100,10,FALSE()))),"")</f>
        <v/>
      </c>
      <c r="N853" s="41"/>
      <c r="O853" s="41"/>
      <c r="P853" s="41" t="str">
        <f>IFERROR((IF(VLOOKUP(F853,'Acompanhamento da Licitação'!$F$2:$O$1000,10,FALSE())="","",VLOOKUP(F853,'Acompanhamento da Licitação'!$F$2:$O$1000,10,FALSE()))),"")</f>
        <v/>
      </c>
      <c r="R853" s="61" t="str">
        <f>IFERROR(IF(F853&gt;0,(Final[[#This Row],[Valor da Venda Real]]-Final[[#This Row],[Valor de Compra Previsto]]-4%*Final[[#This Row],[Valor da Venda Real]])/Final[[#This Row],[Valor da Venda Real]],""),"")</f>
        <v/>
      </c>
      <c r="S853" s="61" t="str">
        <f t="shared" si="57"/>
        <v/>
      </c>
      <c r="T853" s="23" t="str">
        <f>IFERROR((R853*Final[[#This Row],[Valor da Venda Real]]*Final[[#This Row],[Quantidade ]]*S853),"")</f>
        <v/>
      </c>
    </row>
    <row r="854" spans="1:20" ht="15.75" x14ac:dyDescent="0.2">
      <c r="A854">
        <f>COUNTIF($C$2:C854,C854)</f>
        <v>853</v>
      </c>
      <c r="B854" s="1" t="str">
        <f t="shared" si="56"/>
        <v>853</v>
      </c>
      <c r="C854" s="1" t="str">
        <f>IFERROR(VLOOKUP(D854,'Planilha de Cadastro - Previsão'!$A$2:$N$1000,14,FALSE()),"")</f>
        <v/>
      </c>
      <c r="D854" s="1">
        <v>853</v>
      </c>
      <c r="F854" s="40" t="str">
        <f t="shared" si="55"/>
        <v/>
      </c>
      <c r="G854" s="40" t="str">
        <f>IF(F854="","",'Prosposta Inicial'!$O$2)</f>
        <v/>
      </c>
      <c r="H854" s="40" t="str">
        <f t="shared" si="54"/>
        <v xml:space="preserve"> </v>
      </c>
      <c r="I854" s="41" t="str">
        <f>IFERROR((VLOOKUP(F854,'Planilha de Cadastro - Previsão'!$A$2:$N$1100,2,FALSE()))," ")</f>
        <v xml:space="preserve"> </v>
      </c>
      <c r="J854" s="40" t="str">
        <f>IFERROR((VLOOKUP(F854,'Planilha de Cadastro - Previsão'!$A$2:$N$1100,3,FALSE()))," ")</f>
        <v xml:space="preserve"> </v>
      </c>
      <c r="K854" s="40"/>
      <c r="L854" s="42" t="str">
        <f>IFERROR((VLOOKUP(F854,'Planilha de Cadastro - Previsão'!$A$2:$N$1100,11,FALSE()))," ")</f>
        <v xml:space="preserve"> </v>
      </c>
      <c r="M854" s="41" t="str">
        <f>IFERROR((IF(VLOOKUP(F854,'Planilha de Cadastro - Previsão'!$A$2:$N$1100,10,FALSE())="","",VLOOKUP(F854,'Planilha de Cadastro - Previsão'!$A$2:$N$1100,10,FALSE()))),"")</f>
        <v/>
      </c>
      <c r="N854" s="41"/>
      <c r="O854" s="41"/>
      <c r="P854" s="41" t="str">
        <f>IFERROR((IF(VLOOKUP(F854,'Acompanhamento da Licitação'!$F$2:$O$1000,10,FALSE())="","",VLOOKUP(F854,'Acompanhamento da Licitação'!$F$2:$O$1000,10,FALSE()))),"")</f>
        <v/>
      </c>
      <c r="R854" s="61" t="str">
        <f>IFERROR(IF(F854&gt;0,(Final[[#This Row],[Valor da Venda Real]]-Final[[#This Row],[Valor de Compra Previsto]]-4%*Final[[#This Row],[Valor da Venda Real]])/Final[[#This Row],[Valor da Venda Real]],""),"")</f>
        <v/>
      </c>
      <c r="S854" s="61" t="str">
        <f t="shared" si="57"/>
        <v/>
      </c>
      <c r="T854" s="23" t="str">
        <f>IFERROR((R854*Final[[#This Row],[Valor da Venda Real]]*Final[[#This Row],[Quantidade ]]*S854),"")</f>
        <v/>
      </c>
    </row>
    <row r="855" spans="1:20" ht="15.75" x14ac:dyDescent="0.2">
      <c r="A855">
        <f>COUNTIF($C$2:C855,C855)</f>
        <v>854</v>
      </c>
      <c r="B855" s="1" t="str">
        <f t="shared" si="56"/>
        <v>854</v>
      </c>
      <c r="C855" s="1" t="str">
        <f>IFERROR(VLOOKUP(D855,'Planilha de Cadastro - Previsão'!$A$2:$N$1000,14,FALSE()),"")</f>
        <v/>
      </c>
      <c r="D855" s="1">
        <v>854</v>
      </c>
      <c r="F855" s="40" t="str">
        <f t="shared" si="55"/>
        <v/>
      </c>
      <c r="G855" s="40" t="str">
        <f>IF(F855="","",'Prosposta Inicial'!$O$2)</f>
        <v/>
      </c>
      <c r="H855" s="40" t="str">
        <f t="shared" si="54"/>
        <v xml:space="preserve"> </v>
      </c>
      <c r="I855" s="41" t="str">
        <f>IFERROR((VLOOKUP(F855,'Planilha de Cadastro - Previsão'!$A$2:$N$1100,2,FALSE()))," ")</f>
        <v xml:space="preserve"> </v>
      </c>
      <c r="J855" s="40" t="str">
        <f>IFERROR((VLOOKUP(F855,'Planilha de Cadastro - Previsão'!$A$2:$N$1100,3,FALSE()))," ")</f>
        <v xml:space="preserve"> </v>
      </c>
      <c r="K855" s="40"/>
      <c r="L855" s="42" t="str">
        <f>IFERROR((VLOOKUP(F855,'Planilha de Cadastro - Previsão'!$A$2:$N$1100,11,FALSE()))," ")</f>
        <v xml:space="preserve"> </v>
      </c>
      <c r="M855" s="41" t="str">
        <f>IFERROR((IF(VLOOKUP(F855,'Planilha de Cadastro - Previsão'!$A$2:$N$1100,10,FALSE())="","",VLOOKUP(F855,'Planilha de Cadastro - Previsão'!$A$2:$N$1100,10,FALSE()))),"")</f>
        <v/>
      </c>
      <c r="N855" s="41"/>
      <c r="O855" s="41"/>
      <c r="P855" s="41" t="str">
        <f>IFERROR((IF(VLOOKUP(F855,'Acompanhamento da Licitação'!$F$2:$O$1000,10,FALSE())="","",VLOOKUP(F855,'Acompanhamento da Licitação'!$F$2:$O$1000,10,FALSE()))),"")</f>
        <v/>
      </c>
      <c r="R855" s="61" t="str">
        <f>IFERROR(IF(F855&gt;0,(Final[[#This Row],[Valor da Venda Real]]-Final[[#This Row],[Valor de Compra Previsto]]-4%*Final[[#This Row],[Valor da Venda Real]])/Final[[#This Row],[Valor da Venda Real]],""),"")</f>
        <v/>
      </c>
      <c r="S855" s="61" t="str">
        <f t="shared" si="57"/>
        <v/>
      </c>
      <c r="T855" s="23" t="str">
        <f>IFERROR((R855*Final[[#This Row],[Valor da Venda Real]]*Final[[#This Row],[Quantidade ]]*S855),"")</f>
        <v/>
      </c>
    </row>
    <row r="856" spans="1:20" ht="15.75" x14ac:dyDescent="0.2">
      <c r="A856">
        <f>COUNTIF($C$2:C856,C856)</f>
        <v>855</v>
      </c>
      <c r="B856" s="1" t="str">
        <f t="shared" si="56"/>
        <v>855</v>
      </c>
      <c r="C856" s="1" t="str">
        <f>IFERROR(VLOOKUP(D856,'Planilha de Cadastro - Previsão'!$A$2:$N$1000,14,FALSE()),"")</f>
        <v/>
      </c>
      <c r="D856" s="1">
        <v>855</v>
      </c>
      <c r="F856" s="40" t="str">
        <f t="shared" si="55"/>
        <v/>
      </c>
      <c r="G856" s="40" t="str">
        <f>IF(F856="","",'Prosposta Inicial'!$O$2)</f>
        <v/>
      </c>
      <c r="H856" s="40" t="str">
        <f t="shared" si="54"/>
        <v xml:space="preserve"> </v>
      </c>
      <c r="I856" s="41" t="str">
        <f>IFERROR((VLOOKUP(F856,'Planilha de Cadastro - Previsão'!$A$2:$N$1100,2,FALSE()))," ")</f>
        <v xml:space="preserve"> </v>
      </c>
      <c r="J856" s="40" t="str">
        <f>IFERROR((VLOOKUP(F856,'Planilha de Cadastro - Previsão'!$A$2:$N$1100,3,FALSE()))," ")</f>
        <v xml:space="preserve"> </v>
      </c>
      <c r="K856" s="40"/>
      <c r="L856" s="42" t="str">
        <f>IFERROR((VLOOKUP(F856,'Planilha de Cadastro - Previsão'!$A$2:$N$1100,11,FALSE()))," ")</f>
        <v xml:space="preserve"> </v>
      </c>
      <c r="M856" s="41" t="str">
        <f>IFERROR((IF(VLOOKUP(F856,'Planilha de Cadastro - Previsão'!$A$2:$N$1100,10,FALSE())="","",VLOOKUP(F856,'Planilha de Cadastro - Previsão'!$A$2:$N$1100,10,FALSE()))),"")</f>
        <v/>
      </c>
      <c r="N856" s="41"/>
      <c r="O856" s="41"/>
      <c r="P856" s="41" t="str">
        <f>IFERROR((IF(VLOOKUP(F856,'Acompanhamento da Licitação'!$F$2:$O$1000,10,FALSE())="","",VLOOKUP(F856,'Acompanhamento da Licitação'!$F$2:$O$1000,10,FALSE()))),"")</f>
        <v/>
      </c>
      <c r="R856" s="61" t="str">
        <f>IFERROR(IF(F856&gt;0,(Final[[#This Row],[Valor da Venda Real]]-Final[[#This Row],[Valor de Compra Previsto]]-4%*Final[[#This Row],[Valor da Venda Real]])/Final[[#This Row],[Valor da Venda Real]],""),"")</f>
        <v/>
      </c>
      <c r="S856" s="61" t="str">
        <f t="shared" si="57"/>
        <v/>
      </c>
      <c r="T856" s="23" t="str">
        <f>IFERROR((R856*Final[[#This Row],[Valor da Venda Real]]*Final[[#This Row],[Quantidade ]]*S856),"")</f>
        <v/>
      </c>
    </row>
    <row r="857" spans="1:20" ht="15.75" x14ac:dyDescent="0.2">
      <c r="A857">
        <f>COUNTIF($C$2:C857,C857)</f>
        <v>856</v>
      </c>
      <c r="B857" s="1" t="str">
        <f t="shared" si="56"/>
        <v>856</v>
      </c>
      <c r="C857" s="1" t="str">
        <f>IFERROR(VLOOKUP(D857,'Planilha de Cadastro - Previsão'!$A$2:$N$1000,14,FALSE()),"")</f>
        <v/>
      </c>
      <c r="D857" s="1">
        <v>856</v>
      </c>
      <c r="F857" s="40" t="str">
        <f t="shared" si="55"/>
        <v/>
      </c>
      <c r="G857" s="40" t="str">
        <f>IF(F857="","",'Prosposta Inicial'!$O$2)</f>
        <v/>
      </c>
      <c r="H857" s="40" t="str">
        <f t="shared" si="54"/>
        <v xml:space="preserve"> </v>
      </c>
      <c r="I857" s="41" t="str">
        <f>IFERROR((VLOOKUP(F857,'Planilha de Cadastro - Previsão'!$A$2:$N$1100,2,FALSE()))," ")</f>
        <v xml:space="preserve"> </v>
      </c>
      <c r="J857" s="40" t="str">
        <f>IFERROR((VLOOKUP(F857,'Planilha de Cadastro - Previsão'!$A$2:$N$1100,3,FALSE()))," ")</f>
        <v xml:space="preserve"> </v>
      </c>
      <c r="K857" s="40"/>
      <c r="L857" s="42" t="str">
        <f>IFERROR((VLOOKUP(F857,'Planilha de Cadastro - Previsão'!$A$2:$N$1100,11,FALSE()))," ")</f>
        <v xml:space="preserve"> </v>
      </c>
      <c r="M857" s="41" t="str">
        <f>IFERROR((IF(VLOOKUP(F857,'Planilha de Cadastro - Previsão'!$A$2:$N$1100,10,FALSE())="","",VLOOKUP(F857,'Planilha de Cadastro - Previsão'!$A$2:$N$1100,10,FALSE()))),"")</f>
        <v/>
      </c>
      <c r="N857" s="41"/>
      <c r="O857" s="41"/>
      <c r="P857" s="41" t="str">
        <f>IFERROR((IF(VLOOKUP(F857,'Acompanhamento da Licitação'!$F$2:$O$1000,10,FALSE())="","",VLOOKUP(F857,'Acompanhamento da Licitação'!$F$2:$O$1000,10,FALSE()))),"")</f>
        <v/>
      </c>
      <c r="R857" s="61" t="str">
        <f>IFERROR(IF(F857&gt;0,(Final[[#This Row],[Valor da Venda Real]]-Final[[#This Row],[Valor de Compra Previsto]]-4%*Final[[#This Row],[Valor da Venda Real]])/Final[[#This Row],[Valor da Venda Real]],""),"")</f>
        <v/>
      </c>
      <c r="S857" s="61" t="str">
        <f t="shared" si="57"/>
        <v/>
      </c>
      <c r="T857" s="23" t="str">
        <f>IFERROR((R857*Final[[#This Row],[Valor da Venda Real]]*Final[[#This Row],[Quantidade ]]*S857),"")</f>
        <v/>
      </c>
    </row>
    <row r="858" spans="1:20" ht="15.75" x14ac:dyDescent="0.2">
      <c r="A858">
        <f>COUNTIF($C$2:C858,C858)</f>
        <v>857</v>
      </c>
      <c r="B858" s="1" t="str">
        <f t="shared" si="56"/>
        <v>857</v>
      </c>
      <c r="C858" s="1" t="str">
        <f>IFERROR(VLOOKUP(D858,'Planilha de Cadastro - Previsão'!$A$2:$N$1000,14,FALSE()),"")</f>
        <v/>
      </c>
      <c r="D858" s="1">
        <v>857</v>
      </c>
      <c r="F858" s="40" t="str">
        <f t="shared" si="55"/>
        <v/>
      </c>
      <c r="G858" s="40" t="str">
        <f>IF(F858="","",'Prosposta Inicial'!$O$2)</f>
        <v/>
      </c>
      <c r="H858" s="40" t="str">
        <f t="shared" si="54"/>
        <v xml:space="preserve"> </v>
      </c>
      <c r="I858" s="41" t="str">
        <f>IFERROR((VLOOKUP(F858,'Planilha de Cadastro - Previsão'!$A$2:$N$1100,2,FALSE()))," ")</f>
        <v xml:space="preserve"> </v>
      </c>
      <c r="J858" s="40" t="str">
        <f>IFERROR((VLOOKUP(F858,'Planilha de Cadastro - Previsão'!$A$2:$N$1100,3,FALSE()))," ")</f>
        <v xml:space="preserve"> </v>
      </c>
      <c r="K858" s="40"/>
      <c r="L858" s="42" t="str">
        <f>IFERROR((VLOOKUP(F858,'Planilha de Cadastro - Previsão'!$A$2:$N$1100,11,FALSE()))," ")</f>
        <v xml:space="preserve"> </v>
      </c>
      <c r="M858" s="41" t="str">
        <f>IFERROR((IF(VLOOKUP(F858,'Planilha de Cadastro - Previsão'!$A$2:$N$1100,10,FALSE())="","",VLOOKUP(F858,'Planilha de Cadastro - Previsão'!$A$2:$N$1100,10,FALSE()))),"")</f>
        <v/>
      </c>
      <c r="N858" s="41"/>
      <c r="O858" s="41"/>
      <c r="P858" s="41" t="str">
        <f>IFERROR((IF(VLOOKUP(F858,'Acompanhamento da Licitação'!$F$2:$O$1000,10,FALSE())="","",VLOOKUP(F858,'Acompanhamento da Licitação'!$F$2:$O$1000,10,FALSE()))),"")</f>
        <v/>
      </c>
      <c r="R858" s="61" t="str">
        <f>IFERROR(IF(F858&gt;0,(Final[[#This Row],[Valor da Venda Real]]-Final[[#This Row],[Valor de Compra Previsto]]-4%*Final[[#This Row],[Valor da Venda Real]])/Final[[#This Row],[Valor da Venda Real]],""),"")</f>
        <v/>
      </c>
      <c r="S858" s="61" t="str">
        <f t="shared" si="57"/>
        <v/>
      </c>
      <c r="T858" s="23" t="str">
        <f>IFERROR((R858*Final[[#This Row],[Valor da Venda Real]]*Final[[#This Row],[Quantidade ]]*S858),"")</f>
        <v/>
      </c>
    </row>
    <row r="859" spans="1:20" ht="15.75" x14ac:dyDescent="0.2">
      <c r="A859">
        <f>COUNTIF($C$2:C859,C859)</f>
        <v>858</v>
      </c>
      <c r="B859" s="1" t="str">
        <f t="shared" si="56"/>
        <v>858</v>
      </c>
      <c r="C859" s="1" t="str">
        <f>IFERROR(VLOOKUP(D859,'Planilha de Cadastro - Previsão'!$A$2:$N$1000,14,FALSE()),"")</f>
        <v/>
      </c>
      <c r="D859" s="1">
        <v>858</v>
      </c>
      <c r="F859" s="40" t="str">
        <f t="shared" si="55"/>
        <v/>
      </c>
      <c r="G859" s="40" t="str">
        <f>IF(F859="","",'Prosposta Inicial'!$O$2)</f>
        <v/>
      </c>
      <c r="H859" s="40" t="str">
        <f t="shared" si="54"/>
        <v xml:space="preserve"> </v>
      </c>
      <c r="I859" s="41" t="str">
        <f>IFERROR((VLOOKUP(F859,'Planilha de Cadastro - Previsão'!$A$2:$N$1100,2,FALSE()))," ")</f>
        <v xml:space="preserve"> </v>
      </c>
      <c r="J859" s="40" t="str">
        <f>IFERROR((VLOOKUP(F859,'Planilha de Cadastro - Previsão'!$A$2:$N$1100,3,FALSE()))," ")</f>
        <v xml:space="preserve"> </v>
      </c>
      <c r="K859" s="40"/>
      <c r="L859" s="42" t="str">
        <f>IFERROR((VLOOKUP(F859,'Planilha de Cadastro - Previsão'!$A$2:$N$1100,11,FALSE()))," ")</f>
        <v xml:space="preserve"> </v>
      </c>
      <c r="M859" s="41" t="str">
        <f>IFERROR((IF(VLOOKUP(F859,'Planilha de Cadastro - Previsão'!$A$2:$N$1100,10,FALSE())="","",VLOOKUP(F859,'Planilha de Cadastro - Previsão'!$A$2:$N$1100,10,FALSE()))),"")</f>
        <v/>
      </c>
      <c r="N859" s="41"/>
      <c r="O859" s="41"/>
      <c r="P859" s="41" t="str">
        <f>IFERROR((IF(VLOOKUP(F859,'Acompanhamento da Licitação'!$F$2:$O$1000,10,FALSE())="","",VLOOKUP(F859,'Acompanhamento da Licitação'!$F$2:$O$1000,10,FALSE()))),"")</f>
        <v/>
      </c>
      <c r="R859" s="61" t="str">
        <f>IFERROR(IF(F859&gt;0,(Final[[#This Row],[Valor da Venda Real]]-Final[[#This Row],[Valor de Compra Previsto]]-4%*Final[[#This Row],[Valor da Venda Real]])/Final[[#This Row],[Valor da Venda Real]],""),"")</f>
        <v/>
      </c>
      <c r="S859" s="61" t="str">
        <f t="shared" si="57"/>
        <v/>
      </c>
      <c r="T859" s="23" t="str">
        <f>IFERROR((R859*Final[[#This Row],[Valor da Venda Real]]*Final[[#This Row],[Quantidade ]]*S859),"")</f>
        <v/>
      </c>
    </row>
    <row r="860" spans="1:20" ht="15.75" x14ac:dyDescent="0.2">
      <c r="A860">
        <f>COUNTIF($C$2:C860,C860)</f>
        <v>859</v>
      </c>
      <c r="B860" s="1" t="str">
        <f t="shared" si="56"/>
        <v>859</v>
      </c>
      <c r="C860" s="1" t="str">
        <f>IFERROR(VLOOKUP(D860,'Planilha de Cadastro - Previsão'!$A$2:$N$1000,14,FALSE()),"")</f>
        <v/>
      </c>
      <c r="D860" s="1">
        <v>859</v>
      </c>
      <c r="F860" s="40" t="str">
        <f t="shared" si="55"/>
        <v/>
      </c>
      <c r="G860" s="40" t="str">
        <f>IF(F860="","",'Prosposta Inicial'!$O$2)</f>
        <v/>
      </c>
      <c r="H860" s="40" t="str">
        <f t="shared" si="54"/>
        <v xml:space="preserve"> </v>
      </c>
      <c r="I860" s="41" t="str">
        <f>IFERROR((VLOOKUP(F860,'Planilha de Cadastro - Previsão'!$A$2:$N$1100,2,FALSE()))," ")</f>
        <v xml:space="preserve"> </v>
      </c>
      <c r="J860" s="40" t="str">
        <f>IFERROR((VLOOKUP(F860,'Planilha de Cadastro - Previsão'!$A$2:$N$1100,3,FALSE()))," ")</f>
        <v xml:space="preserve"> </v>
      </c>
      <c r="K860" s="40"/>
      <c r="L860" s="42" t="str">
        <f>IFERROR((VLOOKUP(F860,'Planilha de Cadastro - Previsão'!$A$2:$N$1100,11,FALSE()))," ")</f>
        <v xml:space="preserve"> </v>
      </c>
      <c r="M860" s="41" t="str">
        <f>IFERROR((IF(VLOOKUP(F860,'Planilha de Cadastro - Previsão'!$A$2:$N$1100,10,FALSE())="","",VLOOKUP(F860,'Planilha de Cadastro - Previsão'!$A$2:$N$1100,10,FALSE()))),"")</f>
        <v/>
      </c>
      <c r="N860" s="41"/>
      <c r="O860" s="41"/>
      <c r="P860" s="41" t="str">
        <f>IFERROR((IF(VLOOKUP(F860,'Acompanhamento da Licitação'!$F$2:$O$1000,10,FALSE())="","",VLOOKUP(F860,'Acompanhamento da Licitação'!$F$2:$O$1000,10,FALSE()))),"")</f>
        <v/>
      </c>
      <c r="R860" s="61" t="str">
        <f>IFERROR(IF(F860&gt;0,(Final[[#This Row],[Valor da Venda Real]]-Final[[#This Row],[Valor de Compra Previsto]]-4%*Final[[#This Row],[Valor da Venda Real]])/Final[[#This Row],[Valor da Venda Real]],""),"")</f>
        <v/>
      </c>
      <c r="S860" s="61" t="str">
        <f t="shared" si="57"/>
        <v/>
      </c>
      <c r="T860" s="23" t="str">
        <f>IFERROR((R860*Final[[#This Row],[Valor da Venda Real]]*Final[[#This Row],[Quantidade ]]*S860),"")</f>
        <v/>
      </c>
    </row>
    <row r="861" spans="1:20" ht="15.75" x14ac:dyDescent="0.2">
      <c r="A861">
        <f>COUNTIF($C$2:C861,C861)</f>
        <v>860</v>
      </c>
      <c r="B861" s="1" t="str">
        <f t="shared" si="56"/>
        <v>860</v>
      </c>
      <c r="C861" s="1" t="str">
        <f>IFERROR(VLOOKUP(D861,'Planilha de Cadastro - Previsão'!$A$2:$N$1000,14,FALSE()),"")</f>
        <v/>
      </c>
      <c r="D861" s="1">
        <v>860</v>
      </c>
      <c r="F861" s="40" t="str">
        <f t="shared" si="55"/>
        <v/>
      </c>
      <c r="G861" s="40" t="str">
        <f>IF(F861="","",'Prosposta Inicial'!$O$2)</f>
        <v/>
      </c>
      <c r="H861" s="40" t="str">
        <f t="shared" si="54"/>
        <v xml:space="preserve"> </v>
      </c>
      <c r="I861" s="41" t="str">
        <f>IFERROR((VLOOKUP(F861,'Planilha de Cadastro - Previsão'!$A$2:$N$1100,2,FALSE()))," ")</f>
        <v xml:space="preserve"> </v>
      </c>
      <c r="J861" s="40" t="str">
        <f>IFERROR((VLOOKUP(F861,'Planilha de Cadastro - Previsão'!$A$2:$N$1100,3,FALSE()))," ")</f>
        <v xml:space="preserve"> </v>
      </c>
      <c r="K861" s="40"/>
      <c r="L861" s="42" t="str">
        <f>IFERROR((VLOOKUP(F861,'Planilha de Cadastro - Previsão'!$A$2:$N$1100,11,FALSE()))," ")</f>
        <v xml:space="preserve"> </v>
      </c>
      <c r="M861" s="41" t="str">
        <f>IFERROR((IF(VLOOKUP(F861,'Planilha de Cadastro - Previsão'!$A$2:$N$1100,10,FALSE())="","",VLOOKUP(F861,'Planilha de Cadastro - Previsão'!$A$2:$N$1100,10,FALSE()))),"")</f>
        <v/>
      </c>
      <c r="N861" s="41"/>
      <c r="O861" s="41"/>
      <c r="P861" s="41" t="str">
        <f>IFERROR((IF(VLOOKUP(F861,'Acompanhamento da Licitação'!$F$2:$O$1000,10,FALSE())="","",VLOOKUP(F861,'Acompanhamento da Licitação'!$F$2:$O$1000,10,FALSE()))),"")</f>
        <v/>
      </c>
      <c r="R861" s="61" t="str">
        <f>IFERROR(IF(F861&gt;0,(Final[[#This Row],[Valor da Venda Real]]-Final[[#This Row],[Valor de Compra Previsto]]-4%*Final[[#This Row],[Valor da Venda Real]])/Final[[#This Row],[Valor da Venda Real]],""),"")</f>
        <v/>
      </c>
      <c r="S861" s="61" t="str">
        <f t="shared" si="57"/>
        <v/>
      </c>
      <c r="T861" s="23" t="str">
        <f>IFERROR((R861*Final[[#This Row],[Valor da Venda Real]]*Final[[#This Row],[Quantidade ]]*S861),"")</f>
        <v/>
      </c>
    </row>
    <row r="862" spans="1:20" ht="15.75" x14ac:dyDescent="0.2">
      <c r="A862">
        <f>COUNTIF($C$2:C862,C862)</f>
        <v>861</v>
      </c>
      <c r="B862" s="1" t="str">
        <f t="shared" si="56"/>
        <v>861</v>
      </c>
      <c r="C862" s="1" t="str">
        <f>IFERROR(VLOOKUP(D862,'Planilha de Cadastro - Previsão'!$A$2:$N$1000,14,FALSE()),"")</f>
        <v/>
      </c>
      <c r="D862" s="1">
        <v>861</v>
      </c>
      <c r="F862" s="40" t="str">
        <f t="shared" si="55"/>
        <v/>
      </c>
      <c r="G862" s="40" t="str">
        <f>IF(F862="","",'Prosposta Inicial'!$O$2)</f>
        <v/>
      </c>
      <c r="H862" s="40" t="str">
        <f t="shared" si="54"/>
        <v xml:space="preserve"> </v>
      </c>
      <c r="I862" s="41" t="str">
        <f>IFERROR((VLOOKUP(F862,'Planilha de Cadastro - Previsão'!$A$2:$N$1100,2,FALSE()))," ")</f>
        <v xml:space="preserve"> </v>
      </c>
      <c r="J862" s="40" t="str">
        <f>IFERROR((VLOOKUP(F862,'Planilha de Cadastro - Previsão'!$A$2:$N$1100,3,FALSE()))," ")</f>
        <v xml:space="preserve"> </v>
      </c>
      <c r="K862" s="40"/>
      <c r="L862" s="42" t="str">
        <f>IFERROR((VLOOKUP(F862,'Planilha de Cadastro - Previsão'!$A$2:$N$1100,11,FALSE()))," ")</f>
        <v xml:space="preserve"> </v>
      </c>
      <c r="M862" s="41" t="str">
        <f>IFERROR((IF(VLOOKUP(F862,'Planilha de Cadastro - Previsão'!$A$2:$N$1100,10,FALSE())="","",VLOOKUP(F862,'Planilha de Cadastro - Previsão'!$A$2:$N$1100,10,FALSE()))),"")</f>
        <v/>
      </c>
      <c r="N862" s="41"/>
      <c r="O862" s="41"/>
      <c r="P862" s="41" t="str">
        <f>IFERROR((IF(VLOOKUP(F862,'Acompanhamento da Licitação'!$F$2:$O$1000,10,FALSE())="","",VLOOKUP(F862,'Acompanhamento da Licitação'!$F$2:$O$1000,10,FALSE()))),"")</f>
        <v/>
      </c>
      <c r="R862" s="61" t="str">
        <f>IFERROR(IF(F862&gt;0,(Final[[#This Row],[Valor da Venda Real]]-Final[[#This Row],[Valor de Compra Previsto]]-4%*Final[[#This Row],[Valor da Venda Real]])/Final[[#This Row],[Valor da Venda Real]],""),"")</f>
        <v/>
      </c>
      <c r="S862" s="61" t="str">
        <f t="shared" si="57"/>
        <v/>
      </c>
      <c r="T862" s="23" t="str">
        <f>IFERROR((R862*Final[[#This Row],[Valor da Venda Real]]*Final[[#This Row],[Quantidade ]]*S862),"")</f>
        <v/>
      </c>
    </row>
    <row r="863" spans="1:20" ht="15.75" x14ac:dyDescent="0.2">
      <c r="A863">
        <f>COUNTIF($C$2:C863,C863)</f>
        <v>862</v>
      </c>
      <c r="B863" s="1" t="str">
        <f t="shared" si="56"/>
        <v>862</v>
      </c>
      <c r="C863" s="1" t="str">
        <f>IFERROR(VLOOKUP(D863,'Planilha de Cadastro - Previsão'!$A$2:$N$1000,14,FALSE()),"")</f>
        <v/>
      </c>
      <c r="D863" s="1">
        <v>862</v>
      </c>
      <c r="F863" s="40" t="str">
        <f t="shared" si="55"/>
        <v/>
      </c>
      <c r="G863" s="40" t="str">
        <f>IF(F863="","",'Prosposta Inicial'!$O$2)</f>
        <v/>
      </c>
      <c r="H863" s="40" t="str">
        <f t="shared" si="54"/>
        <v xml:space="preserve"> </v>
      </c>
      <c r="I863" s="41" t="str">
        <f>IFERROR((VLOOKUP(F863,'Planilha de Cadastro - Previsão'!$A$2:$N$1100,2,FALSE()))," ")</f>
        <v xml:space="preserve"> </v>
      </c>
      <c r="J863" s="40" t="str">
        <f>IFERROR((VLOOKUP(F863,'Planilha de Cadastro - Previsão'!$A$2:$N$1100,3,FALSE()))," ")</f>
        <v xml:space="preserve"> </v>
      </c>
      <c r="K863" s="40"/>
      <c r="L863" s="42" t="str">
        <f>IFERROR((VLOOKUP(F863,'Planilha de Cadastro - Previsão'!$A$2:$N$1100,11,FALSE()))," ")</f>
        <v xml:space="preserve"> </v>
      </c>
      <c r="M863" s="41" t="str">
        <f>IFERROR((IF(VLOOKUP(F863,'Planilha de Cadastro - Previsão'!$A$2:$N$1100,10,FALSE())="","",VLOOKUP(F863,'Planilha de Cadastro - Previsão'!$A$2:$N$1100,10,FALSE()))),"")</f>
        <v/>
      </c>
      <c r="N863" s="41"/>
      <c r="O863" s="41"/>
      <c r="P863" s="41" t="str">
        <f>IFERROR((IF(VLOOKUP(F863,'Acompanhamento da Licitação'!$F$2:$O$1000,10,FALSE())="","",VLOOKUP(F863,'Acompanhamento da Licitação'!$F$2:$O$1000,10,FALSE()))),"")</f>
        <v/>
      </c>
      <c r="R863" s="61" t="str">
        <f>IFERROR(IF(F863&gt;0,(Final[[#This Row],[Valor da Venda Real]]-Final[[#This Row],[Valor de Compra Previsto]]-4%*Final[[#This Row],[Valor da Venda Real]])/Final[[#This Row],[Valor da Venda Real]],""),"")</f>
        <v/>
      </c>
      <c r="S863" s="61" t="str">
        <f t="shared" si="57"/>
        <v/>
      </c>
      <c r="T863" s="23" t="str">
        <f>IFERROR((R863*Final[[#This Row],[Valor da Venda Real]]*Final[[#This Row],[Quantidade ]]*S863),"")</f>
        <v/>
      </c>
    </row>
    <row r="864" spans="1:20" ht="15.75" x14ac:dyDescent="0.2">
      <c r="A864">
        <f>COUNTIF($C$2:C864,C864)</f>
        <v>863</v>
      </c>
      <c r="B864" s="1" t="str">
        <f t="shared" si="56"/>
        <v>863</v>
      </c>
      <c r="C864" s="1" t="str">
        <f>IFERROR(VLOOKUP(D864,'Planilha de Cadastro - Previsão'!$A$2:$N$1000,14,FALSE()),"")</f>
        <v/>
      </c>
      <c r="D864" s="1">
        <v>863</v>
      </c>
      <c r="F864" s="40" t="str">
        <f t="shared" si="55"/>
        <v/>
      </c>
      <c r="G864" s="40" t="str">
        <f>IF(F864="","",'Prosposta Inicial'!$O$2)</f>
        <v/>
      </c>
      <c r="H864" s="40" t="str">
        <f t="shared" si="54"/>
        <v xml:space="preserve"> </v>
      </c>
      <c r="I864" s="41" t="str">
        <f>IFERROR((VLOOKUP(F864,'Planilha de Cadastro - Previsão'!$A$2:$N$1100,2,FALSE()))," ")</f>
        <v xml:space="preserve"> </v>
      </c>
      <c r="J864" s="40" t="str">
        <f>IFERROR((VLOOKUP(F864,'Planilha de Cadastro - Previsão'!$A$2:$N$1100,3,FALSE()))," ")</f>
        <v xml:space="preserve"> </v>
      </c>
      <c r="K864" s="40"/>
      <c r="L864" s="42" t="str">
        <f>IFERROR((VLOOKUP(F864,'Planilha de Cadastro - Previsão'!$A$2:$N$1100,11,FALSE()))," ")</f>
        <v xml:space="preserve"> </v>
      </c>
      <c r="M864" s="41" t="str">
        <f>IFERROR((IF(VLOOKUP(F864,'Planilha de Cadastro - Previsão'!$A$2:$N$1100,10,FALSE())="","",VLOOKUP(F864,'Planilha de Cadastro - Previsão'!$A$2:$N$1100,10,FALSE()))),"")</f>
        <v/>
      </c>
      <c r="N864" s="41"/>
      <c r="O864" s="41"/>
      <c r="P864" s="41" t="str">
        <f>IFERROR((IF(VLOOKUP(F864,'Acompanhamento da Licitação'!$F$2:$O$1000,10,FALSE())="","",VLOOKUP(F864,'Acompanhamento da Licitação'!$F$2:$O$1000,10,FALSE()))),"")</f>
        <v/>
      </c>
      <c r="R864" s="61" t="str">
        <f>IFERROR(IF(F864&gt;0,(Final[[#This Row],[Valor da Venda Real]]-Final[[#This Row],[Valor de Compra Previsto]]-4%*Final[[#This Row],[Valor da Venda Real]])/Final[[#This Row],[Valor da Venda Real]],""),"")</f>
        <v/>
      </c>
      <c r="S864" s="61" t="str">
        <f t="shared" si="57"/>
        <v/>
      </c>
      <c r="T864" s="23" t="str">
        <f>IFERROR((R864*Final[[#This Row],[Valor da Venda Real]]*Final[[#This Row],[Quantidade ]]*S864),"")</f>
        <v/>
      </c>
    </row>
    <row r="865" spans="1:20" ht="15.75" x14ac:dyDescent="0.2">
      <c r="A865">
        <f>COUNTIF($C$2:C865,C865)</f>
        <v>864</v>
      </c>
      <c r="B865" s="1" t="str">
        <f t="shared" si="56"/>
        <v>864</v>
      </c>
      <c r="C865" s="1" t="str">
        <f>IFERROR(VLOOKUP(D865,'Planilha de Cadastro - Previsão'!$A$2:$N$1000,14,FALSE()),"")</f>
        <v/>
      </c>
      <c r="D865" s="1">
        <v>864</v>
      </c>
      <c r="F865" s="40" t="str">
        <f t="shared" si="55"/>
        <v/>
      </c>
      <c r="G865" s="40" t="str">
        <f>IF(F865="","",'Prosposta Inicial'!$O$2)</f>
        <v/>
      </c>
      <c r="H865" s="40" t="str">
        <f t="shared" si="54"/>
        <v xml:space="preserve"> </v>
      </c>
      <c r="I865" s="41" t="str">
        <f>IFERROR((VLOOKUP(F865,'Planilha de Cadastro - Previsão'!$A$2:$N$1100,2,FALSE()))," ")</f>
        <v xml:space="preserve"> </v>
      </c>
      <c r="J865" s="40" t="str">
        <f>IFERROR((VLOOKUP(F865,'Planilha de Cadastro - Previsão'!$A$2:$N$1100,3,FALSE()))," ")</f>
        <v xml:space="preserve"> </v>
      </c>
      <c r="K865" s="40"/>
      <c r="L865" s="42" t="str">
        <f>IFERROR((VLOOKUP(F865,'Planilha de Cadastro - Previsão'!$A$2:$N$1100,11,FALSE()))," ")</f>
        <v xml:space="preserve"> </v>
      </c>
      <c r="M865" s="41" t="str">
        <f>IFERROR((IF(VLOOKUP(F865,'Planilha de Cadastro - Previsão'!$A$2:$N$1100,10,FALSE())="","",VLOOKUP(F865,'Planilha de Cadastro - Previsão'!$A$2:$N$1100,10,FALSE()))),"")</f>
        <v/>
      </c>
      <c r="N865" s="41"/>
      <c r="O865" s="41"/>
      <c r="P865" s="41" t="str">
        <f>IFERROR((IF(VLOOKUP(F865,'Acompanhamento da Licitação'!$F$2:$O$1000,10,FALSE())="","",VLOOKUP(F865,'Acompanhamento da Licitação'!$F$2:$O$1000,10,FALSE()))),"")</f>
        <v/>
      </c>
      <c r="R865" s="61" t="str">
        <f>IFERROR(IF(F865&gt;0,(Final[[#This Row],[Valor da Venda Real]]-Final[[#This Row],[Valor de Compra Previsto]]-4%*Final[[#This Row],[Valor da Venda Real]])/Final[[#This Row],[Valor da Venda Real]],""),"")</f>
        <v/>
      </c>
      <c r="S865" s="61" t="str">
        <f t="shared" si="57"/>
        <v/>
      </c>
      <c r="T865" s="23" t="str">
        <f>IFERROR((R865*Final[[#This Row],[Valor da Venda Real]]*Final[[#This Row],[Quantidade ]]*S865),"")</f>
        <v/>
      </c>
    </row>
    <row r="866" spans="1:20" ht="15.75" x14ac:dyDescent="0.2">
      <c r="A866">
        <f>COUNTIF($C$2:C866,C866)</f>
        <v>865</v>
      </c>
      <c r="B866" s="1" t="str">
        <f t="shared" si="56"/>
        <v>865</v>
      </c>
      <c r="C866" s="1" t="str">
        <f>IFERROR(VLOOKUP(D866,'Planilha de Cadastro - Previsão'!$A$2:$N$1000,14,FALSE()),"")</f>
        <v/>
      </c>
      <c r="D866" s="1">
        <v>865</v>
      </c>
      <c r="F866" s="40" t="str">
        <f t="shared" si="55"/>
        <v/>
      </c>
      <c r="G866" s="40" t="str">
        <f>IF(F866="","",'Prosposta Inicial'!$O$2)</f>
        <v/>
      </c>
      <c r="H866" s="40" t="str">
        <f t="shared" si="54"/>
        <v xml:space="preserve"> </v>
      </c>
      <c r="I866" s="41" t="str">
        <f>IFERROR((VLOOKUP(F866,'Planilha de Cadastro - Previsão'!$A$2:$N$1100,2,FALSE()))," ")</f>
        <v xml:space="preserve"> </v>
      </c>
      <c r="J866" s="40" t="str">
        <f>IFERROR((VLOOKUP(F866,'Planilha de Cadastro - Previsão'!$A$2:$N$1100,3,FALSE()))," ")</f>
        <v xml:space="preserve"> </v>
      </c>
      <c r="K866" s="40"/>
      <c r="L866" s="42" t="str">
        <f>IFERROR((VLOOKUP(F866,'Planilha de Cadastro - Previsão'!$A$2:$N$1100,11,FALSE()))," ")</f>
        <v xml:space="preserve"> </v>
      </c>
      <c r="M866" s="41" t="str">
        <f>IFERROR((IF(VLOOKUP(F866,'Planilha de Cadastro - Previsão'!$A$2:$N$1100,10,FALSE())="","",VLOOKUP(F866,'Planilha de Cadastro - Previsão'!$A$2:$N$1100,10,FALSE()))),"")</f>
        <v/>
      </c>
      <c r="N866" s="41"/>
      <c r="O866" s="41"/>
      <c r="P866" s="41" t="str">
        <f>IFERROR((IF(VLOOKUP(F866,'Acompanhamento da Licitação'!$F$2:$O$1000,10,FALSE())="","",VLOOKUP(F866,'Acompanhamento da Licitação'!$F$2:$O$1000,10,FALSE()))),"")</f>
        <v/>
      </c>
      <c r="R866" s="61" t="str">
        <f>IFERROR(IF(F866&gt;0,(Final[[#This Row],[Valor da Venda Real]]-Final[[#This Row],[Valor de Compra Previsto]]-4%*Final[[#This Row],[Valor da Venda Real]])/Final[[#This Row],[Valor da Venda Real]],""),"")</f>
        <v/>
      </c>
      <c r="S866" s="61" t="str">
        <f t="shared" si="57"/>
        <v/>
      </c>
      <c r="T866" s="23" t="str">
        <f>IFERROR((R866*Final[[#This Row],[Valor da Venda Real]]*Final[[#This Row],[Quantidade ]]*S866),"")</f>
        <v/>
      </c>
    </row>
    <row r="867" spans="1:20" ht="15.75" x14ac:dyDescent="0.2">
      <c r="A867">
        <f>COUNTIF($C$2:C867,C867)</f>
        <v>866</v>
      </c>
      <c r="B867" s="1" t="str">
        <f t="shared" si="56"/>
        <v>866</v>
      </c>
      <c r="C867" s="1" t="str">
        <f>IFERROR(VLOOKUP(D867,'Planilha de Cadastro - Previsão'!$A$2:$N$1000,14,FALSE()),"")</f>
        <v/>
      </c>
      <c r="D867" s="1">
        <v>866</v>
      </c>
      <c r="F867" s="40" t="str">
        <f t="shared" si="55"/>
        <v/>
      </c>
      <c r="G867" s="40" t="str">
        <f>IF(F867="","",'Prosposta Inicial'!$O$2)</f>
        <v/>
      </c>
      <c r="H867" s="40" t="str">
        <f t="shared" si="54"/>
        <v xml:space="preserve"> </v>
      </c>
      <c r="I867" s="41" t="str">
        <f>IFERROR((VLOOKUP(F867,'Planilha de Cadastro - Previsão'!$A$2:$N$1100,2,FALSE()))," ")</f>
        <v xml:space="preserve"> </v>
      </c>
      <c r="J867" s="40" t="str">
        <f>IFERROR((VLOOKUP(F867,'Planilha de Cadastro - Previsão'!$A$2:$N$1100,3,FALSE()))," ")</f>
        <v xml:space="preserve"> </v>
      </c>
      <c r="K867" s="40"/>
      <c r="L867" s="42" t="str">
        <f>IFERROR((VLOOKUP(F867,'Planilha de Cadastro - Previsão'!$A$2:$N$1100,11,FALSE()))," ")</f>
        <v xml:space="preserve"> </v>
      </c>
      <c r="M867" s="41" t="str">
        <f>IFERROR((IF(VLOOKUP(F867,'Planilha de Cadastro - Previsão'!$A$2:$N$1100,10,FALSE())="","",VLOOKUP(F867,'Planilha de Cadastro - Previsão'!$A$2:$N$1100,10,FALSE()))),"")</f>
        <v/>
      </c>
      <c r="N867" s="41"/>
      <c r="O867" s="41"/>
      <c r="P867" s="41" t="str">
        <f>IFERROR((IF(VLOOKUP(F867,'Acompanhamento da Licitação'!$F$2:$O$1000,10,FALSE())="","",VLOOKUP(F867,'Acompanhamento da Licitação'!$F$2:$O$1000,10,FALSE()))),"")</f>
        <v/>
      </c>
      <c r="R867" s="61" t="str">
        <f>IFERROR(IF(F867&gt;0,(Final[[#This Row],[Valor da Venda Real]]-Final[[#This Row],[Valor de Compra Previsto]]-4%*Final[[#This Row],[Valor da Venda Real]])/Final[[#This Row],[Valor da Venda Real]],""),"")</f>
        <v/>
      </c>
      <c r="S867" s="61" t="str">
        <f t="shared" si="57"/>
        <v/>
      </c>
      <c r="T867" s="23" t="str">
        <f>IFERROR((R867*Final[[#This Row],[Valor da Venda Real]]*Final[[#This Row],[Quantidade ]]*S867),"")</f>
        <v/>
      </c>
    </row>
    <row r="868" spans="1:20" ht="15.75" x14ac:dyDescent="0.2">
      <c r="A868">
        <f>COUNTIF($C$2:C868,C868)</f>
        <v>867</v>
      </c>
      <c r="B868" s="1" t="str">
        <f t="shared" si="56"/>
        <v>867</v>
      </c>
      <c r="C868" s="1" t="str">
        <f>IFERROR(VLOOKUP(D868,'Planilha de Cadastro - Previsão'!$A$2:$N$1000,14,FALSE()),"")</f>
        <v/>
      </c>
      <c r="D868" s="1">
        <v>867</v>
      </c>
      <c r="F868" s="40" t="str">
        <f t="shared" si="55"/>
        <v/>
      </c>
      <c r="G868" s="40" t="str">
        <f>IF(F868="","",'Prosposta Inicial'!$O$2)</f>
        <v/>
      </c>
      <c r="H868" s="40" t="str">
        <f t="shared" si="54"/>
        <v xml:space="preserve"> </v>
      </c>
      <c r="I868" s="41" t="str">
        <f>IFERROR((VLOOKUP(F868,'Planilha de Cadastro - Previsão'!$A$2:$N$1100,2,FALSE()))," ")</f>
        <v xml:space="preserve"> </v>
      </c>
      <c r="J868" s="40" t="str">
        <f>IFERROR((VLOOKUP(F868,'Planilha de Cadastro - Previsão'!$A$2:$N$1100,3,FALSE()))," ")</f>
        <v xml:space="preserve"> </v>
      </c>
      <c r="K868" s="40"/>
      <c r="L868" s="42" t="str">
        <f>IFERROR((VLOOKUP(F868,'Planilha de Cadastro - Previsão'!$A$2:$N$1100,11,FALSE()))," ")</f>
        <v xml:space="preserve"> </v>
      </c>
      <c r="M868" s="41" t="str">
        <f>IFERROR((IF(VLOOKUP(F868,'Planilha de Cadastro - Previsão'!$A$2:$N$1100,10,FALSE())="","",VLOOKUP(F868,'Planilha de Cadastro - Previsão'!$A$2:$N$1100,10,FALSE()))),"")</f>
        <v/>
      </c>
      <c r="N868" s="41"/>
      <c r="O868" s="41"/>
      <c r="P868" s="41" t="str">
        <f>IFERROR((IF(VLOOKUP(F868,'Acompanhamento da Licitação'!$F$2:$O$1000,10,FALSE())="","",VLOOKUP(F868,'Acompanhamento da Licitação'!$F$2:$O$1000,10,FALSE()))),"")</f>
        <v/>
      </c>
      <c r="R868" s="61" t="str">
        <f>IFERROR(IF(F868&gt;0,(Final[[#This Row],[Valor da Venda Real]]-Final[[#This Row],[Valor de Compra Previsto]]-4%*Final[[#This Row],[Valor da Venda Real]])/Final[[#This Row],[Valor da Venda Real]],""),"")</f>
        <v/>
      </c>
      <c r="S868" s="61" t="str">
        <f t="shared" si="57"/>
        <v/>
      </c>
      <c r="T868" s="23" t="str">
        <f>IFERROR((R868*Final[[#This Row],[Valor da Venda Real]]*Final[[#This Row],[Quantidade ]]*S868),"")</f>
        <v/>
      </c>
    </row>
    <row r="869" spans="1:20" ht="15.75" x14ac:dyDescent="0.2">
      <c r="A869">
        <f>COUNTIF($C$2:C869,C869)</f>
        <v>868</v>
      </c>
      <c r="B869" s="1" t="str">
        <f t="shared" si="56"/>
        <v>868</v>
      </c>
      <c r="C869" s="1" t="str">
        <f>IFERROR(VLOOKUP(D869,'Planilha de Cadastro - Previsão'!$A$2:$N$1000,14,FALSE()),"")</f>
        <v/>
      </c>
      <c r="D869" s="1">
        <v>868</v>
      </c>
      <c r="F869" s="40" t="str">
        <f t="shared" si="55"/>
        <v/>
      </c>
      <c r="G869" s="40" t="str">
        <f>IF(F869="","",'Prosposta Inicial'!$O$2)</f>
        <v/>
      </c>
      <c r="H869" s="40" t="str">
        <f t="shared" ref="H869:H932" si="58">CONCATENATE(F869,G869,I869)</f>
        <v xml:space="preserve"> </v>
      </c>
      <c r="I869" s="41" t="str">
        <f>IFERROR((VLOOKUP(F869,'Planilha de Cadastro - Previsão'!$A$2:$N$1100,2,FALSE()))," ")</f>
        <v xml:space="preserve"> </v>
      </c>
      <c r="J869" s="40" t="str">
        <f>IFERROR((VLOOKUP(F869,'Planilha de Cadastro - Previsão'!$A$2:$N$1100,3,FALSE()))," ")</f>
        <v xml:space="preserve"> </v>
      </c>
      <c r="K869" s="40"/>
      <c r="L869" s="42" t="str">
        <f>IFERROR((VLOOKUP(F869,'Planilha de Cadastro - Previsão'!$A$2:$N$1100,11,FALSE()))," ")</f>
        <v xml:space="preserve"> </v>
      </c>
      <c r="M869" s="41" t="str">
        <f>IFERROR((IF(VLOOKUP(F869,'Planilha de Cadastro - Previsão'!$A$2:$N$1100,10,FALSE())="","",VLOOKUP(F869,'Planilha de Cadastro - Previsão'!$A$2:$N$1100,10,FALSE()))),"")</f>
        <v/>
      </c>
      <c r="N869" s="41"/>
      <c r="O869" s="41"/>
      <c r="P869" s="41" t="str">
        <f>IFERROR((IF(VLOOKUP(F869,'Acompanhamento da Licitação'!$F$2:$O$1000,10,FALSE())="","",VLOOKUP(F869,'Acompanhamento da Licitação'!$F$2:$O$1000,10,FALSE()))),"")</f>
        <v/>
      </c>
      <c r="R869" s="61" t="str">
        <f>IFERROR(IF(F869&gt;0,(Final[[#This Row],[Valor da Venda Real]]-Final[[#This Row],[Valor de Compra Previsto]]-4%*Final[[#This Row],[Valor da Venda Real]])/Final[[#This Row],[Valor da Venda Real]],""),"")</f>
        <v/>
      </c>
      <c r="S869" s="61" t="str">
        <f t="shared" si="57"/>
        <v/>
      </c>
      <c r="T869" s="23" t="str">
        <f>IFERROR((R869*Final[[#This Row],[Valor da Venda Real]]*Final[[#This Row],[Quantidade ]]*S869),"")</f>
        <v/>
      </c>
    </row>
    <row r="870" spans="1:20" ht="15.75" x14ac:dyDescent="0.2">
      <c r="A870">
        <f>COUNTIF($C$2:C870,C870)</f>
        <v>869</v>
      </c>
      <c r="B870" s="1" t="str">
        <f t="shared" si="56"/>
        <v>869</v>
      </c>
      <c r="C870" s="1" t="str">
        <f>IFERROR(VLOOKUP(D870,'Planilha de Cadastro - Previsão'!$A$2:$N$1000,14,FALSE()),"")</f>
        <v/>
      </c>
      <c r="D870" s="1">
        <v>869</v>
      </c>
      <c r="F870" s="40" t="str">
        <f t="shared" si="55"/>
        <v/>
      </c>
      <c r="G870" s="40" t="str">
        <f>IF(F870="","",'Prosposta Inicial'!$O$2)</f>
        <v/>
      </c>
      <c r="H870" s="40" t="str">
        <f t="shared" si="58"/>
        <v xml:space="preserve"> </v>
      </c>
      <c r="I870" s="41" t="str">
        <f>IFERROR((VLOOKUP(F870,'Planilha de Cadastro - Previsão'!$A$2:$N$1100,2,FALSE()))," ")</f>
        <v xml:space="preserve"> </v>
      </c>
      <c r="J870" s="40" t="str">
        <f>IFERROR((VLOOKUP(F870,'Planilha de Cadastro - Previsão'!$A$2:$N$1100,3,FALSE()))," ")</f>
        <v xml:space="preserve"> </v>
      </c>
      <c r="K870" s="40"/>
      <c r="L870" s="42" t="str">
        <f>IFERROR((VLOOKUP(F870,'Planilha de Cadastro - Previsão'!$A$2:$N$1100,11,FALSE()))," ")</f>
        <v xml:space="preserve"> </v>
      </c>
      <c r="M870" s="41" t="str">
        <f>IFERROR((IF(VLOOKUP(F870,'Planilha de Cadastro - Previsão'!$A$2:$N$1100,10,FALSE())="","",VLOOKUP(F870,'Planilha de Cadastro - Previsão'!$A$2:$N$1100,10,FALSE()))),"")</f>
        <v/>
      </c>
      <c r="N870" s="41"/>
      <c r="O870" s="41"/>
      <c r="P870" s="41" t="str">
        <f>IFERROR((IF(VLOOKUP(F870,'Acompanhamento da Licitação'!$F$2:$O$1000,10,FALSE())="","",VLOOKUP(F870,'Acompanhamento da Licitação'!$F$2:$O$1000,10,FALSE()))),"")</f>
        <v/>
      </c>
      <c r="R870" s="61" t="str">
        <f>IFERROR(IF(F870&gt;0,(Final[[#This Row],[Valor da Venda Real]]-Final[[#This Row],[Valor de Compra Previsto]]-4%*Final[[#This Row],[Valor da Venda Real]])/Final[[#This Row],[Valor da Venda Real]],""),"")</f>
        <v/>
      </c>
      <c r="S870" s="61" t="str">
        <f t="shared" si="57"/>
        <v/>
      </c>
      <c r="T870" s="23" t="str">
        <f>IFERROR((R870*Final[[#This Row],[Valor da Venda Real]]*Final[[#This Row],[Quantidade ]]*S870),"")</f>
        <v/>
      </c>
    </row>
    <row r="871" spans="1:20" ht="15.75" x14ac:dyDescent="0.2">
      <c r="A871">
        <f>COUNTIF($C$2:C871,C871)</f>
        <v>870</v>
      </c>
      <c r="B871" s="1" t="str">
        <f t="shared" si="56"/>
        <v>870</v>
      </c>
      <c r="C871" s="1" t="str">
        <f>IFERROR(VLOOKUP(D871,'Planilha de Cadastro - Previsão'!$A$2:$N$1000,14,FALSE()),"")</f>
        <v/>
      </c>
      <c r="D871" s="1">
        <v>870</v>
      </c>
      <c r="F871" s="40" t="str">
        <f t="shared" si="55"/>
        <v/>
      </c>
      <c r="G871" s="40" t="str">
        <f>IF(F871="","",'Prosposta Inicial'!$O$2)</f>
        <v/>
      </c>
      <c r="H871" s="40" t="str">
        <f t="shared" si="58"/>
        <v xml:space="preserve"> </v>
      </c>
      <c r="I871" s="41" t="str">
        <f>IFERROR((VLOOKUP(F871,'Planilha de Cadastro - Previsão'!$A$2:$N$1100,2,FALSE()))," ")</f>
        <v xml:space="preserve"> </v>
      </c>
      <c r="J871" s="40" t="str">
        <f>IFERROR((VLOOKUP(F871,'Planilha de Cadastro - Previsão'!$A$2:$N$1100,3,FALSE()))," ")</f>
        <v xml:space="preserve"> </v>
      </c>
      <c r="K871" s="40"/>
      <c r="L871" s="42" t="str">
        <f>IFERROR((VLOOKUP(F871,'Planilha de Cadastro - Previsão'!$A$2:$N$1100,11,FALSE()))," ")</f>
        <v xml:space="preserve"> </v>
      </c>
      <c r="M871" s="41" t="str">
        <f>IFERROR((IF(VLOOKUP(F871,'Planilha de Cadastro - Previsão'!$A$2:$N$1100,10,FALSE())="","",VLOOKUP(F871,'Planilha de Cadastro - Previsão'!$A$2:$N$1100,10,FALSE()))),"")</f>
        <v/>
      </c>
      <c r="N871" s="41"/>
      <c r="O871" s="41"/>
      <c r="P871" s="41" t="str">
        <f>IFERROR((IF(VLOOKUP(F871,'Acompanhamento da Licitação'!$F$2:$O$1000,10,FALSE())="","",VLOOKUP(F871,'Acompanhamento da Licitação'!$F$2:$O$1000,10,FALSE()))),"")</f>
        <v/>
      </c>
      <c r="R871" s="61" t="str">
        <f>IFERROR(IF(F871&gt;0,(Final[[#This Row],[Valor da Venda Real]]-Final[[#This Row],[Valor de Compra Previsto]]-4%*Final[[#This Row],[Valor da Venda Real]])/Final[[#This Row],[Valor da Venda Real]],""),"")</f>
        <v/>
      </c>
      <c r="S871" s="61" t="str">
        <f t="shared" si="57"/>
        <v/>
      </c>
      <c r="T871" s="23" t="str">
        <f>IFERROR((R871*Final[[#This Row],[Valor da Venda Real]]*Final[[#This Row],[Quantidade ]]*S871),"")</f>
        <v/>
      </c>
    </row>
    <row r="872" spans="1:20" ht="15.75" x14ac:dyDescent="0.2">
      <c r="A872">
        <f>COUNTIF($C$2:C872,C872)</f>
        <v>871</v>
      </c>
      <c r="B872" s="1" t="str">
        <f t="shared" si="56"/>
        <v>871</v>
      </c>
      <c r="C872" s="1" t="str">
        <f>IFERROR(VLOOKUP(D872,'Planilha de Cadastro - Previsão'!$A$2:$N$1000,14,FALSE()),"")</f>
        <v/>
      </c>
      <c r="D872" s="1">
        <v>871</v>
      </c>
      <c r="F872" s="40" t="str">
        <f t="shared" si="55"/>
        <v/>
      </c>
      <c r="G872" s="40" t="str">
        <f>IF(F872="","",'Prosposta Inicial'!$O$2)</f>
        <v/>
      </c>
      <c r="H872" s="40" t="str">
        <f t="shared" si="58"/>
        <v xml:space="preserve"> </v>
      </c>
      <c r="I872" s="41" t="str">
        <f>IFERROR((VLOOKUP(F872,'Planilha de Cadastro - Previsão'!$A$2:$N$1100,2,FALSE()))," ")</f>
        <v xml:space="preserve"> </v>
      </c>
      <c r="J872" s="40" t="str">
        <f>IFERROR((VLOOKUP(F872,'Planilha de Cadastro - Previsão'!$A$2:$N$1100,3,FALSE()))," ")</f>
        <v xml:space="preserve"> </v>
      </c>
      <c r="K872" s="40"/>
      <c r="L872" s="42" t="str">
        <f>IFERROR((VLOOKUP(F872,'Planilha de Cadastro - Previsão'!$A$2:$N$1100,11,FALSE()))," ")</f>
        <v xml:space="preserve"> </v>
      </c>
      <c r="M872" s="41" t="str">
        <f>IFERROR((IF(VLOOKUP(F872,'Planilha de Cadastro - Previsão'!$A$2:$N$1100,10,FALSE())="","",VLOOKUP(F872,'Planilha de Cadastro - Previsão'!$A$2:$N$1100,10,FALSE()))),"")</f>
        <v/>
      </c>
      <c r="N872" s="41"/>
      <c r="O872" s="41"/>
      <c r="P872" s="41" t="str">
        <f>IFERROR((IF(VLOOKUP(F872,'Acompanhamento da Licitação'!$F$2:$O$1000,10,FALSE())="","",VLOOKUP(F872,'Acompanhamento da Licitação'!$F$2:$O$1000,10,FALSE()))),"")</f>
        <v/>
      </c>
      <c r="R872" s="61" t="str">
        <f>IFERROR(IF(F872&gt;0,(Final[[#This Row],[Valor da Venda Real]]-Final[[#This Row],[Valor de Compra Previsto]]-4%*Final[[#This Row],[Valor da Venda Real]])/Final[[#This Row],[Valor da Venda Real]],""),"")</f>
        <v/>
      </c>
      <c r="S872" s="61" t="str">
        <f t="shared" si="57"/>
        <v/>
      </c>
      <c r="T872" s="23" t="str">
        <f>IFERROR((R872*Final[[#This Row],[Valor da Venda Real]]*Final[[#This Row],[Quantidade ]]*S872),"")</f>
        <v/>
      </c>
    </row>
    <row r="873" spans="1:20" ht="15.75" x14ac:dyDescent="0.2">
      <c r="A873">
        <f>COUNTIF($C$2:C873,C873)</f>
        <v>872</v>
      </c>
      <c r="B873" s="1" t="str">
        <f t="shared" si="56"/>
        <v>872</v>
      </c>
      <c r="C873" s="1" t="str">
        <f>IFERROR(VLOOKUP(D873,'Planilha de Cadastro - Previsão'!$A$2:$N$1000,14,FALSE()),"")</f>
        <v/>
      </c>
      <c r="D873" s="1">
        <v>872</v>
      </c>
      <c r="F873" s="40" t="str">
        <f t="shared" si="55"/>
        <v/>
      </c>
      <c r="G873" s="40" t="str">
        <f>IF(F873="","",'Prosposta Inicial'!$O$2)</f>
        <v/>
      </c>
      <c r="H873" s="40" t="str">
        <f t="shared" si="58"/>
        <v xml:space="preserve"> </v>
      </c>
      <c r="I873" s="41" t="str">
        <f>IFERROR((VLOOKUP(F873,'Planilha de Cadastro - Previsão'!$A$2:$N$1100,2,FALSE()))," ")</f>
        <v xml:space="preserve"> </v>
      </c>
      <c r="J873" s="40" t="str">
        <f>IFERROR((VLOOKUP(F873,'Planilha de Cadastro - Previsão'!$A$2:$N$1100,3,FALSE()))," ")</f>
        <v xml:space="preserve"> </v>
      </c>
      <c r="K873" s="40"/>
      <c r="L873" s="42" t="str">
        <f>IFERROR((VLOOKUP(F873,'Planilha de Cadastro - Previsão'!$A$2:$N$1100,11,FALSE()))," ")</f>
        <v xml:space="preserve"> </v>
      </c>
      <c r="M873" s="41" t="str">
        <f>IFERROR((IF(VLOOKUP(F873,'Planilha de Cadastro - Previsão'!$A$2:$N$1100,10,FALSE())="","",VLOOKUP(F873,'Planilha de Cadastro - Previsão'!$A$2:$N$1100,10,FALSE()))),"")</f>
        <v/>
      </c>
      <c r="N873" s="41"/>
      <c r="O873" s="41"/>
      <c r="P873" s="41" t="str">
        <f>IFERROR((IF(VLOOKUP(F873,'Acompanhamento da Licitação'!$F$2:$O$1000,10,FALSE())="","",VLOOKUP(F873,'Acompanhamento da Licitação'!$F$2:$O$1000,10,FALSE()))),"")</f>
        <v/>
      </c>
      <c r="R873" s="61" t="str">
        <f>IFERROR(IF(F873&gt;0,(Final[[#This Row],[Valor da Venda Real]]-Final[[#This Row],[Valor de Compra Previsto]]-4%*Final[[#This Row],[Valor da Venda Real]])/Final[[#This Row],[Valor da Venda Real]],""),"")</f>
        <v/>
      </c>
      <c r="S873" s="61" t="str">
        <f t="shared" si="57"/>
        <v/>
      </c>
      <c r="T873" s="23" t="str">
        <f>IFERROR((R873*Final[[#This Row],[Valor da Venda Real]]*Final[[#This Row],[Quantidade ]]*S873),"")</f>
        <v/>
      </c>
    </row>
    <row r="874" spans="1:20" ht="15.75" x14ac:dyDescent="0.2">
      <c r="A874">
        <f>COUNTIF($C$2:C874,C874)</f>
        <v>873</v>
      </c>
      <c r="B874" s="1" t="str">
        <f t="shared" si="56"/>
        <v>873</v>
      </c>
      <c r="C874" s="1" t="str">
        <f>IFERROR(VLOOKUP(D874,'Planilha de Cadastro - Previsão'!$A$2:$N$1000,14,FALSE()),"")</f>
        <v/>
      </c>
      <c r="D874" s="1">
        <v>873</v>
      </c>
      <c r="F874" s="40" t="str">
        <f t="shared" si="55"/>
        <v/>
      </c>
      <c r="G874" s="40" t="str">
        <f>IF(F874="","",'Prosposta Inicial'!$O$2)</f>
        <v/>
      </c>
      <c r="H874" s="40" t="str">
        <f t="shared" si="58"/>
        <v xml:space="preserve"> </v>
      </c>
      <c r="I874" s="41" t="str">
        <f>IFERROR((VLOOKUP(F874,'Planilha de Cadastro - Previsão'!$A$2:$N$1100,2,FALSE()))," ")</f>
        <v xml:space="preserve"> </v>
      </c>
      <c r="J874" s="40" t="str">
        <f>IFERROR((VLOOKUP(F874,'Planilha de Cadastro - Previsão'!$A$2:$N$1100,3,FALSE()))," ")</f>
        <v xml:space="preserve"> </v>
      </c>
      <c r="K874" s="40"/>
      <c r="L874" s="42" t="str">
        <f>IFERROR((VLOOKUP(F874,'Planilha de Cadastro - Previsão'!$A$2:$N$1100,11,FALSE()))," ")</f>
        <v xml:space="preserve"> </v>
      </c>
      <c r="M874" s="41" t="str">
        <f>IFERROR((IF(VLOOKUP(F874,'Planilha de Cadastro - Previsão'!$A$2:$N$1100,10,FALSE())="","",VLOOKUP(F874,'Planilha de Cadastro - Previsão'!$A$2:$N$1100,10,FALSE()))),"")</f>
        <v/>
      </c>
      <c r="N874" s="41"/>
      <c r="O874" s="41"/>
      <c r="P874" s="41" t="str">
        <f>IFERROR((IF(VLOOKUP(F874,'Acompanhamento da Licitação'!$F$2:$O$1000,10,FALSE())="","",VLOOKUP(F874,'Acompanhamento da Licitação'!$F$2:$O$1000,10,FALSE()))),"")</f>
        <v/>
      </c>
      <c r="R874" s="61" t="str">
        <f>IFERROR(IF(F874&gt;0,(Final[[#This Row],[Valor da Venda Real]]-Final[[#This Row],[Valor de Compra Previsto]]-4%*Final[[#This Row],[Valor da Venda Real]])/Final[[#This Row],[Valor da Venda Real]],""),"")</f>
        <v/>
      </c>
      <c r="S874" s="61" t="str">
        <f t="shared" si="57"/>
        <v/>
      </c>
      <c r="T874" s="23" t="str">
        <f>IFERROR((R874*Final[[#This Row],[Valor da Venda Real]]*Final[[#This Row],[Quantidade ]]*S874),"")</f>
        <v/>
      </c>
    </row>
    <row r="875" spans="1:20" ht="15.75" x14ac:dyDescent="0.2">
      <c r="A875">
        <f>COUNTIF($C$2:C875,C875)</f>
        <v>874</v>
      </c>
      <c r="B875" s="1" t="str">
        <f t="shared" si="56"/>
        <v>874</v>
      </c>
      <c r="C875" s="1" t="str">
        <f>IFERROR(VLOOKUP(D875,'Planilha de Cadastro - Previsão'!$A$2:$N$1000,14,FALSE()),"")</f>
        <v/>
      </c>
      <c r="D875" s="1">
        <v>874</v>
      </c>
      <c r="F875" s="40" t="str">
        <f t="shared" si="55"/>
        <v/>
      </c>
      <c r="G875" s="40" t="str">
        <f>IF(F875="","",'Prosposta Inicial'!$O$2)</f>
        <v/>
      </c>
      <c r="H875" s="40" t="str">
        <f t="shared" si="58"/>
        <v xml:space="preserve"> </v>
      </c>
      <c r="I875" s="41" t="str">
        <f>IFERROR((VLOOKUP(F875,'Planilha de Cadastro - Previsão'!$A$2:$N$1100,2,FALSE()))," ")</f>
        <v xml:space="preserve"> </v>
      </c>
      <c r="J875" s="40" t="str">
        <f>IFERROR((VLOOKUP(F875,'Planilha de Cadastro - Previsão'!$A$2:$N$1100,3,FALSE()))," ")</f>
        <v xml:space="preserve"> </v>
      </c>
      <c r="K875" s="40"/>
      <c r="L875" s="42" t="str">
        <f>IFERROR((VLOOKUP(F875,'Planilha de Cadastro - Previsão'!$A$2:$N$1100,11,FALSE()))," ")</f>
        <v xml:space="preserve"> </v>
      </c>
      <c r="M875" s="41" t="str">
        <f>IFERROR((IF(VLOOKUP(F875,'Planilha de Cadastro - Previsão'!$A$2:$N$1100,10,FALSE())="","",VLOOKUP(F875,'Planilha de Cadastro - Previsão'!$A$2:$N$1100,10,FALSE()))),"")</f>
        <v/>
      </c>
      <c r="N875" s="41"/>
      <c r="O875" s="41"/>
      <c r="P875" s="41" t="str">
        <f>IFERROR((IF(VLOOKUP(F875,'Acompanhamento da Licitação'!$F$2:$O$1000,10,FALSE())="","",VLOOKUP(F875,'Acompanhamento da Licitação'!$F$2:$O$1000,10,FALSE()))),"")</f>
        <v/>
      </c>
      <c r="R875" s="61" t="str">
        <f>IFERROR(IF(F875&gt;0,(Final[[#This Row],[Valor da Venda Real]]-Final[[#This Row],[Valor de Compra Previsto]]-4%*Final[[#This Row],[Valor da Venda Real]])/Final[[#This Row],[Valor da Venda Real]],""),"")</f>
        <v/>
      </c>
      <c r="S875" s="61" t="str">
        <f t="shared" si="57"/>
        <v/>
      </c>
      <c r="T875" s="23" t="str">
        <f>IFERROR((R875*Final[[#This Row],[Valor da Venda Real]]*Final[[#This Row],[Quantidade ]]*S875),"")</f>
        <v/>
      </c>
    </row>
    <row r="876" spans="1:20" ht="15.75" x14ac:dyDescent="0.2">
      <c r="A876">
        <f>COUNTIF($C$2:C876,C876)</f>
        <v>875</v>
      </c>
      <c r="B876" s="1" t="str">
        <f t="shared" si="56"/>
        <v>875</v>
      </c>
      <c r="C876" s="1" t="str">
        <f>IFERROR(VLOOKUP(D876,'Planilha de Cadastro - Previsão'!$A$2:$N$1000,14,FALSE()),"")</f>
        <v/>
      </c>
      <c r="D876" s="1">
        <v>875</v>
      </c>
      <c r="F876" s="40" t="str">
        <f t="shared" si="55"/>
        <v/>
      </c>
      <c r="G876" s="40" t="str">
        <f>IF(F876="","",'Prosposta Inicial'!$O$2)</f>
        <v/>
      </c>
      <c r="H876" s="40" t="str">
        <f t="shared" si="58"/>
        <v xml:space="preserve"> </v>
      </c>
      <c r="I876" s="41" t="str">
        <f>IFERROR((VLOOKUP(F876,'Planilha de Cadastro - Previsão'!$A$2:$N$1100,2,FALSE()))," ")</f>
        <v xml:space="preserve"> </v>
      </c>
      <c r="J876" s="40" t="str">
        <f>IFERROR((VLOOKUP(F876,'Planilha de Cadastro - Previsão'!$A$2:$N$1100,3,FALSE()))," ")</f>
        <v xml:space="preserve"> </v>
      </c>
      <c r="K876" s="40"/>
      <c r="L876" s="42" t="str">
        <f>IFERROR((VLOOKUP(F876,'Planilha de Cadastro - Previsão'!$A$2:$N$1100,11,FALSE()))," ")</f>
        <v xml:space="preserve"> </v>
      </c>
      <c r="M876" s="41" t="str">
        <f>IFERROR((IF(VLOOKUP(F876,'Planilha de Cadastro - Previsão'!$A$2:$N$1100,10,FALSE())="","",VLOOKUP(F876,'Planilha de Cadastro - Previsão'!$A$2:$N$1100,10,FALSE()))),"")</f>
        <v/>
      </c>
      <c r="N876" s="41"/>
      <c r="O876" s="41"/>
      <c r="P876" s="41" t="str">
        <f>IFERROR((IF(VLOOKUP(F876,'Acompanhamento da Licitação'!$F$2:$O$1000,10,FALSE())="","",VLOOKUP(F876,'Acompanhamento da Licitação'!$F$2:$O$1000,10,FALSE()))),"")</f>
        <v/>
      </c>
      <c r="R876" s="61" t="str">
        <f>IFERROR(IF(F876&gt;0,(Final[[#This Row],[Valor da Venda Real]]-Final[[#This Row],[Valor de Compra Previsto]]-4%*Final[[#This Row],[Valor da Venda Real]])/Final[[#This Row],[Valor da Venda Real]],""),"")</f>
        <v/>
      </c>
      <c r="S876" s="61" t="str">
        <f t="shared" si="57"/>
        <v/>
      </c>
      <c r="T876" s="23" t="str">
        <f>IFERROR((R876*Final[[#This Row],[Valor da Venda Real]]*Final[[#This Row],[Quantidade ]]*S876),"")</f>
        <v/>
      </c>
    </row>
    <row r="877" spans="1:20" ht="15.75" x14ac:dyDescent="0.2">
      <c r="A877">
        <f>COUNTIF($C$2:C877,C877)</f>
        <v>876</v>
      </c>
      <c r="B877" s="1" t="str">
        <f t="shared" si="56"/>
        <v>876</v>
      </c>
      <c r="C877" s="1" t="str">
        <f>IFERROR(VLOOKUP(D877,'Planilha de Cadastro - Previsão'!$A$2:$N$1000,14,FALSE()),"")</f>
        <v/>
      </c>
      <c r="D877" s="1">
        <v>876</v>
      </c>
      <c r="F877" s="40" t="str">
        <f t="shared" si="55"/>
        <v/>
      </c>
      <c r="G877" s="40" t="str">
        <f>IF(F877="","",'Prosposta Inicial'!$O$2)</f>
        <v/>
      </c>
      <c r="H877" s="40" t="str">
        <f t="shared" si="58"/>
        <v xml:space="preserve"> </v>
      </c>
      <c r="I877" s="41" t="str">
        <f>IFERROR((VLOOKUP(F877,'Planilha de Cadastro - Previsão'!$A$2:$N$1100,2,FALSE()))," ")</f>
        <v xml:space="preserve"> </v>
      </c>
      <c r="J877" s="40" t="str">
        <f>IFERROR((VLOOKUP(F877,'Planilha de Cadastro - Previsão'!$A$2:$N$1100,3,FALSE()))," ")</f>
        <v xml:space="preserve"> </v>
      </c>
      <c r="K877" s="40"/>
      <c r="L877" s="42" t="str">
        <f>IFERROR((VLOOKUP(F877,'Planilha de Cadastro - Previsão'!$A$2:$N$1100,11,FALSE()))," ")</f>
        <v xml:space="preserve"> </v>
      </c>
      <c r="M877" s="41" t="str">
        <f>IFERROR((IF(VLOOKUP(F877,'Planilha de Cadastro - Previsão'!$A$2:$N$1100,10,FALSE())="","",VLOOKUP(F877,'Planilha de Cadastro - Previsão'!$A$2:$N$1100,10,FALSE()))),"")</f>
        <v/>
      </c>
      <c r="N877" s="41"/>
      <c r="O877" s="41"/>
      <c r="P877" s="41" t="str">
        <f>IFERROR((IF(VLOOKUP(F877,'Acompanhamento da Licitação'!$F$2:$O$1000,10,FALSE())="","",VLOOKUP(F877,'Acompanhamento da Licitação'!$F$2:$O$1000,10,FALSE()))),"")</f>
        <v/>
      </c>
      <c r="R877" s="61" t="str">
        <f>IFERROR(IF(F877&gt;0,(Final[[#This Row],[Valor da Venda Real]]-Final[[#This Row],[Valor de Compra Previsto]]-4%*Final[[#This Row],[Valor da Venda Real]])/Final[[#This Row],[Valor da Venda Real]],""),"")</f>
        <v/>
      </c>
      <c r="S877" s="61" t="str">
        <f t="shared" si="57"/>
        <v/>
      </c>
      <c r="T877" s="23" t="str">
        <f>IFERROR((R877*Final[[#This Row],[Valor da Venda Real]]*Final[[#This Row],[Quantidade ]]*S877),"")</f>
        <v/>
      </c>
    </row>
    <row r="878" spans="1:20" ht="15.75" x14ac:dyDescent="0.2">
      <c r="A878">
        <f>COUNTIF($C$2:C878,C878)</f>
        <v>877</v>
      </c>
      <c r="B878" s="1" t="str">
        <f t="shared" si="56"/>
        <v>877</v>
      </c>
      <c r="C878" s="1" t="str">
        <f>IFERROR(VLOOKUP(D878,'Planilha de Cadastro - Previsão'!$A$2:$N$1000,14,FALSE()),"")</f>
        <v/>
      </c>
      <c r="D878" s="1">
        <v>877</v>
      </c>
      <c r="F878" s="40" t="str">
        <f t="shared" si="55"/>
        <v/>
      </c>
      <c r="G878" s="40" t="str">
        <f>IF(F878="","",'Prosposta Inicial'!$O$2)</f>
        <v/>
      </c>
      <c r="H878" s="40" t="str">
        <f t="shared" si="58"/>
        <v xml:space="preserve"> </v>
      </c>
      <c r="I878" s="41" t="str">
        <f>IFERROR((VLOOKUP(F878,'Planilha de Cadastro - Previsão'!$A$2:$N$1100,2,FALSE()))," ")</f>
        <v xml:space="preserve"> </v>
      </c>
      <c r="J878" s="40" t="str">
        <f>IFERROR((VLOOKUP(F878,'Planilha de Cadastro - Previsão'!$A$2:$N$1100,3,FALSE()))," ")</f>
        <v xml:space="preserve"> </v>
      </c>
      <c r="K878" s="40"/>
      <c r="L878" s="42" t="str">
        <f>IFERROR((VLOOKUP(F878,'Planilha de Cadastro - Previsão'!$A$2:$N$1100,11,FALSE()))," ")</f>
        <v xml:space="preserve"> </v>
      </c>
      <c r="M878" s="41" t="str">
        <f>IFERROR((IF(VLOOKUP(F878,'Planilha de Cadastro - Previsão'!$A$2:$N$1100,10,FALSE())="","",VLOOKUP(F878,'Planilha de Cadastro - Previsão'!$A$2:$N$1100,10,FALSE()))),"")</f>
        <v/>
      </c>
      <c r="N878" s="41"/>
      <c r="O878" s="41"/>
      <c r="P878" s="41" t="str">
        <f>IFERROR((IF(VLOOKUP(F878,'Acompanhamento da Licitação'!$F$2:$O$1000,10,FALSE())="","",VLOOKUP(F878,'Acompanhamento da Licitação'!$F$2:$O$1000,10,FALSE()))),"")</f>
        <v/>
      </c>
      <c r="R878" s="61" t="str">
        <f>IFERROR(IF(F878&gt;0,(Final[[#This Row],[Valor da Venda Real]]-Final[[#This Row],[Valor de Compra Previsto]]-4%*Final[[#This Row],[Valor da Venda Real]])/Final[[#This Row],[Valor da Venda Real]],""),"")</f>
        <v/>
      </c>
      <c r="S878" s="61" t="str">
        <f t="shared" si="57"/>
        <v/>
      </c>
      <c r="T878" s="23" t="str">
        <f>IFERROR((R878*Final[[#This Row],[Valor da Venda Real]]*Final[[#This Row],[Quantidade ]]*S878),"")</f>
        <v/>
      </c>
    </row>
    <row r="879" spans="1:20" ht="15.75" x14ac:dyDescent="0.2">
      <c r="A879">
        <f>COUNTIF($C$2:C879,C879)</f>
        <v>878</v>
      </c>
      <c r="B879" s="1" t="str">
        <f t="shared" si="56"/>
        <v>878</v>
      </c>
      <c r="C879" s="1" t="str">
        <f>IFERROR(VLOOKUP(D879,'Planilha de Cadastro - Previsão'!$A$2:$N$1000,14,FALSE()),"")</f>
        <v/>
      </c>
      <c r="D879" s="1">
        <v>878</v>
      </c>
      <c r="F879" s="40" t="str">
        <f t="shared" si="55"/>
        <v/>
      </c>
      <c r="G879" s="40" t="str">
        <f>IF(F879="","",'Prosposta Inicial'!$O$2)</f>
        <v/>
      </c>
      <c r="H879" s="40" t="str">
        <f t="shared" si="58"/>
        <v xml:space="preserve"> </v>
      </c>
      <c r="I879" s="41" t="str">
        <f>IFERROR((VLOOKUP(F879,'Planilha de Cadastro - Previsão'!$A$2:$N$1100,2,FALSE()))," ")</f>
        <v xml:space="preserve"> </v>
      </c>
      <c r="J879" s="40" t="str">
        <f>IFERROR((VLOOKUP(F879,'Planilha de Cadastro - Previsão'!$A$2:$N$1100,3,FALSE()))," ")</f>
        <v xml:space="preserve"> </v>
      </c>
      <c r="K879" s="40"/>
      <c r="L879" s="42" t="str">
        <f>IFERROR((VLOOKUP(F879,'Planilha de Cadastro - Previsão'!$A$2:$N$1100,11,FALSE()))," ")</f>
        <v xml:space="preserve"> </v>
      </c>
      <c r="M879" s="41" t="str">
        <f>IFERROR((IF(VLOOKUP(F879,'Planilha de Cadastro - Previsão'!$A$2:$N$1100,10,FALSE())="","",VLOOKUP(F879,'Planilha de Cadastro - Previsão'!$A$2:$N$1100,10,FALSE()))),"")</f>
        <v/>
      </c>
      <c r="N879" s="41"/>
      <c r="O879" s="41"/>
      <c r="P879" s="41" t="str">
        <f>IFERROR((IF(VLOOKUP(F879,'Acompanhamento da Licitação'!$F$2:$O$1000,10,FALSE())="","",VLOOKUP(F879,'Acompanhamento da Licitação'!$F$2:$O$1000,10,FALSE()))),"")</f>
        <v/>
      </c>
      <c r="R879" s="61" t="str">
        <f>IFERROR(IF(F879&gt;0,(Final[[#This Row],[Valor da Venda Real]]-Final[[#This Row],[Valor de Compra Previsto]]-4%*Final[[#This Row],[Valor da Venda Real]])/Final[[#This Row],[Valor da Venda Real]],""),"")</f>
        <v/>
      </c>
      <c r="S879" s="61" t="str">
        <f t="shared" si="57"/>
        <v/>
      </c>
      <c r="T879" s="23" t="str">
        <f>IFERROR((R879*Final[[#This Row],[Valor da Venda Real]]*Final[[#This Row],[Quantidade ]]*S879),"")</f>
        <v/>
      </c>
    </row>
    <row r="880" spans="1:20" ht="15.75" x14ac:dyDescent="0.2">
      <c r="A880">
        <f>COUNTIF($C$2:C880,C880)</f>
        <v>879</v>
      </c>
      <c r="B880" s="1" t="str">
        <f t="shared" si="56"/>
        <v>879</v>
      </c>
      <c r="C880" s="1" t="str">
        <f>IFERROR(VLOOKUP(D880,'Planilha de Cadastro - Previsão'!$A$2:$N$1000,14,FALSE()),"")</f>
        <v/>
      </c>
      <c r="D880" s="1">
        <v>879</v>
      </c>
      <c r="F880" s="40" t="str">
        <f t="shared" si="55"/>
        <v/>
      </c>
      <c r="G880" s="40" t="str">
        <f>IF(F880="","",'Prosposta Inicial'!$O$2)</f>
        <v/>
      </c>
      <c r="H880" s="40" t="str">
        <f t="shared" si="58"/>
        <v xml:space="preserve"> </v>
      </c>
      <c r="I880" s="41" t="str">
        <f>IFERROR((VLOOKUP(F880,'Planilha de Cadastro - Previsão'!$A$2:$N$1100,2,FALSE()))," ")</f>
        <v xml:space="preserve"> </v>
      </c>
      <c r="J880" s="40" t="str">
        <f>IFERROR((VLOOKUP(F880,'Planilha de Cadastro - Previsão'!$A$2:$N$1100,3,FALSE()))," ")</f>
        <v xml:space="preserve"> </v>
      </c>
      <c r="K880" s="40"/>
      <c r="L880" s="42" t="str">
        <f>IFERROR((VLOOKUP(F880,'Planilha de Cadastro - Previsão'!$A$2:$N$1100,11,FALSE()))," ")</f>
        <v xml:space="preserve"> </v>
      </c>
      <c r="M880" s="41" t="str">
        <f>IFERROR((IF(VLOOKUP(F880,'Planilha de Cadastro - Previsão'!$A$2:$N$1100,10,FALSE())="","",VLOOKUP(F880,'Planilha de Cadastro - Previsão'!$A$2:$N$1100,10,FALSE()))),"")</f>
        <v/>
      </c>
      <c r="N880" s="41"/>
      <c r="O880" s="41"/>
      <c r="P880" s="41" t="str">
        <f>IFERROR((IF(VLOOKUP(F880,'Acompanhamento da Licitação'!$F$2:$O$1000,10,FALSE())="","",VLOOKUP(F880,'Acompanhamento da Licitação'!$F$2:$O$1000,10,FALSE()))),"")</f>
        <v/>
      </c>
      <c r="R880" s="61" t="str">
        <f>IFERROR(IF(F880&gt;0,(Final[[#This Row],[Valor da Venda Real]]-Final[[#This Row],[Valor de Compra Previsto]]-4%*Final[[#This Row],[Valor da Venda Real]])/Final[[#This Row],[Valor da Venda Real]],""),"")</f>
        <v/>
      </c>
      <c r="S880" s="61" t="str">
        <f t="shared" si="57"/>
        <v/>
      </c>
      <c r="T880" s="23" t="str">
        <f>IFERROR((R880*Final[[#This Row],[Valor da Venda Real]]*Final[[#This Row],[Quantidade ]]*S880),"")</f>
        <v/>
      </c>
    </row>
    <row r="881" spans="1:20" ht="15.75" x14ac:dyDescent="0.2">
      <c r="A881">
        <f>COUNTIF($C$2:C881,C881)</f>
        <v>880</v>
      </c>
      <c r="B881" s="1" t="str">
        <f t="shared" si="56"/>
        <v>880</v>
      </c>
      <c r="C881" s="1" t="str">
        <f>IFERROR(VLOOKUP(D881,'Planilha de Cadastro - Previsão'!$A$2:$N$1000,14,FALSE()),"")</f>
        <v/>
      </c>
      <c r="D881" s="1">
        <v>880</v>
      </c>
      <c r="F881" s="40" t="str">
        <f t="shared" si="55"/>
        <v/>
      </c>
      <c r="G881" s="40" t="str">
        <f>IF(F881="","",'Prosposta Inicial'!$O$2)</f>
        <v/>
      </c>
      <c r="H881" s="40" t="str">
        <f t="shared" si="58"/>
        <v xml:space="preserve"> </v>
      </c>
      <c r="I881" s="41" t="str">
        <f>IFERROR((VLOOKUP(F881,'Planilha de Cadastro - Previsão'!$A$2:$N$1100,2,FALSE()))," ")</f>
        <v xml:space="preserve"> </v>
      </c>
      <c r="J881" s="40" t="str">
        <f>IFERROR((VLOOKUP(F881,'Planilha de Cadastro - Previsão'!$A$2:$N$1100,3,FALSE()))," ")</f>
        <v xml:space="preserve"> </v>
      </c>
      <c r="K881" s="40"/>
      <c r="L881" s="42" t="str">
        <f>IFERROR((VLOOKUP(F881,'Planilha de Cadastro - Previsão'!$A$2:$N$1100,11,FALSE()))," ")</f>
        <v xml:space="preserve"> </v>
      </c>
      <c r="M881" s="41" t="str">
        <f>IFERROR((IF(VLOOKUP(F881,'Planilha de Cadastro - Previsão'!$A$2:$N$1100,10,FALSE())="","",VLOOKUP(F881,'Planilha de Cadastro - Previsão'!$A$2:$N$1100,10,FALSE()))),"")</f>
        <v/>
      </c>
      <c r="N881" s="41"/>
      <c r="O881" s="41"/>
      <c r="P881" s="41" t="str">
        <f>IFERROR((IF(VLOOKUP(F881,'Acompanhamento da Licitação'!$F$2:$O$1000,10,FALSE())="","",VLOOKUP(F881,'Acompanhamento da Licitação'!$F$2:$O$1000,10,FALSE()))),"")</f>
        <v/>
      </c>
      <c r="R881" s="61" t="str">
        <f>IFERROR(IF(F881&gt;0,(Final[[#This Row],[Valor da Venda Real]]-Final[[#This Row],[Valor de Compra Previsto]]-4%*Final[[#This Row],[Valor da Venda Real]])/Final[[#This Row],[Valor da Venda Real]],""),"")</f>
        <v/>
      </c>
      <c r="S881" s="61" t="str">
        <f t="shared" si="57"/>
        <v/>
      </c>
      <c r="T881" s="23" t="str">
        <f>IFERROR((R881*Final[[#This Row],[Valor da Venda Real]]*Final[[#This Row],[Quantidade ]]*S881),"")</f>
        <v/>
      </c>
    </row>
    <row r="882" spans="1:20" ht="15.75" x14ac:dyDescent="0.2">
      <c r="A882">
        <f>COUNTIF($C$2:C882,C882)</f>
        <v>881</v>
      </c>
      <c r="B882" s="1" t="str">
        <f t="shared" si="56"/>
        <v>881</v>
      </c>
      <c r="C882" s="1" t="str">
        <f>IFERROR(VLOOKUP(D882,'Planilha de Cadastro - Previsão'!$A$2:$N$1000,14,FALSE()),"")</f>
        <v/>
      </c>
      <c r="D882" s="1">
        <v>881</v>
      </c>
      <c r="F882" s="40" t="str">
        <f t="shared" si="55"/>
        <v/>
      </c>
      <c r="G882" s="40" t="str">
        <f>IF(F882="","",'Prosposta Inicial'!$O$2)</f>
        <v/>
      </c>
      <c r="H882" s="40" t="str">
        <f t="shared" si="58"/>
        <v xml:space="preserve"> </v>
      </c>
      <c r="I882" s="41" t="str">
        <f>IFERROR((VLOOKUP(F882,'Planilha de Cadastro - Previsão'!$A$2:$N$1100,2,FALSE()))," ")</f>
        <v xml:space="preserve"> </v>
      </c>
      <c r="J882" s="40" t="str">
        <f>IFERROR((VLOOKUP(F882,'Planilha de Cadastro - Previsão'!$A$2:$N$1100,3,FALSE()))," ")</f>
        <v xml:space="preserve"> </v>
      </c>
      <c r="K882" s="40"/>
      <c r="L882" s="42" t="str">
        <f>IFERROR((VLOOKUP(F882,'Planilha de Cadastro - Previsão'!$A$2:$N$1100,11,FALSE()))," ")</f>
        <v xml:space="preserve"> </v>
      </c>
      <c r="M882" s="41" t="str">
        <f>IFERROR((IF(VLOOKUP(F882,'Planilha de Cadastro - Previsão'!$A$2:$N$1100,10,FALSE())="","",VLOOKUP(F882,'Planilha de Cadastro - Previsão'!$A$2:$N$1100,10,FALSE()))),"")</f>
        <v/>
      </c>
      <c r="N882" s="41"/>
      <c r="O882" s="41"/>
      <c r="P882" s="41" t="str">
        <f>IFERROR((IF(VLOOKUP(F882,'Acompanhamento da Licitação'!$F$2:$O$1000,10,FALSE())="","",VLOOKUP(F882,'Acompanhamento da Licitação'!$F$2:$O$1000,10,FALSE()))),"")</f>
        <v/>
      </c>
      <c r="R882" s="61" t="str">
        <f>IFERROR(IF(F882&gt;0,(Final[[#This Row],[Valor da Venda Real]]-Final[[#This Row],[Valor de Compra Previsto]]-4%*Final[[#This Row],[Valor da Venda Real]])/Final[[#This Row],[Valor da Venda Real]],""),"")</f>
        <v/>
      </c>
      <c r="S882" s="61" t="str">
        <f t="shared" si="57"/>
        <v/>
      </c>
      <c r="T882" s="23" t="str">
        <f>IFERROR((R882*Final[[#This Row],[Valor da Venda Real]]*Final[[#This Row],[Quantidade ]]*S882),"")</f>
        <v/>
      </c>
    </row>
    <row r="883" spans="1:20" ht="15.75" x14ac:dyDescent="0.2">
      <c r="A883">
        <f>COUNTIF($C$2:C883,C883)</f>
        <v>882</v>
      </c>
      <c r="B883" s="1" t="str">
        <f t="shared" si="56"/>
        <v>882</v>
      </c>
      <c r="C883" s="1" t="str">
        <f>IFERROR(VLOOKUP(D883,'Planilha de Cadastro - Previsão'!$A$2:$N$1000,14,FALSE()),"")</f>
        <v/>
      </c>
      <c r="D883" s="1">
        <v>882</v>
      </c>
      <c r="F883" s="40" t="str">
        <f t="shared" si="55"/>
        <v/>
      </c>
      <c r="G883" s="40" t="str">
        <f>IF(F883="","",'Prosposta Inicial'!$O$2)</f>
        <v/>
      </c>
      <c r="H883" s="40" t="str">
        <f t="shared" si="58"/>
        <v xml:space="preserve"> </v>
      </c>
      <c r="I883" s="41" t="str">
        <f>IFERROR((VLOOKUP(F883,'Planilha de Cadastro - Previsão'!$A$2:$N$1100,2,FALSE()))," ")</f>
        <v xml:space="preserve"> </v>
      </c>
      <c r="J883" s="40" t="str">
        <f>IFERROR((VLOOKUP(F883,'Planilha de Cadastro - Previsão'!$A$2:$N$1100,3,FALSE()))," ")</f>
        <v xml:space="preserve"> </v>
      </c>
      <c r="K883" s="40"/>
      <c r="L883" s="42" t="str">
        <f>IFERROR((VLOOKUP(F883,'Planilha de Cadastro - Previsão'!$A$2:$N$1100,11,FALSE()))," ")</f>
        <v xml:space="preserve"> </v>
      </c>
      <c r="M883" s="41" t="str">
        <f>IFERROR((IF(VLOOKUP(F883,'Planilha de Cadastro - Previsão'!$A$2:$N$1100,10,FALSE())="","",VLOOKUP(F883,'Planilha de Cadastro - Previsão'!$A$2:$N$1100,10,FALSE()))),"")</f>
        <v/>
      </c>
      <c r="N883" s="41"/>
      <c r="O883" s="41"/>
      <c r="P883" s="41" t="str">
        <f>IFERROR((IF(VLOOKUP(F883,'Acompanhamento da Licitação'!$F$2:$O$1000,10,FALSE())="","",VLOOKUP(F883,'Acompanhamento da Licitação'!$F$2:$O$1000,10,FALSE()))),"")</f>
        <v/>
      </c>
      <c r="R883" s="61" t="str">
        <f>IFERROR(IF(F883&gt;0,(Final[[#This Row],[Valor da Venda Real]]-Final[[#This Row],[Valor de Compra Previsto]]-4%*Final[[#This Row],[Valor da Venda Real]])/Final[[#This Row],[Valor da Venda Real]],""),"")</f>
        <v/>
      </c>
      <c r="S883" s="61" t="str">
        <f t="shared" si="57"/>
        <v/>
      </c>
      <c r="T883" s="23" t="str">
        <f>IFERROR((R883*Final[[#This Row],[Valor da Venda Real]]*Final[[#This Row],[Quantidade ]]*S883),"")</f>
        <v/>
      </c>
    </row>
    <row r="884" spans="1:20" ht="15.75" x14ac:dyDescent="0.2">
      <c r="A884">
        <f>COUNTIF($C$2:C884,C884)</f>
        <v>883</v>
      </c>
      <c r="B884" s="1" t="str">
        <f t="shared" si="56"/>
        <v>883</v>
      </c>
      <c r="C884" s="1" t="str">
        <f>IFERROR(VLOOKUP(D884,'Planilha de Cadastro - Previsão'!$A$2:$N$1000,14,FALSE()),"")</f>
        <v/>
      </c>
      <c r="D884" s="1">
        <v>883</v>
      </c>
      <c r="F884" s="40" t="str">
        <f t="shared" si="55"/>
        <v/>
      </c>
      <c r="G884" s="40" t="str">
        <f>IF(F884="","",'Prosposta Inicial'!$O$2)</f>
        <v/>
      </c>
      <c r="H884" s="40" t="str">
        <f t="shared" si="58"/>
        <v xml:space="preserve"> </v>
      </c>
      <c r="I884" s="41" t="str">
        <f>IFERROR((VLOOKUP(F884,'Planilha de Cadastro - Previsão'!$A$2:$N$1100,2,FALSE()))," ")</f>
        <v xml:space="preserve"> </v>
      </c>
      <c r="J884" s="40" t="str">
        <f>IFERROR((VLOOKUP(F884,'Planilha de Cadastro - Previsão'!$A$2:$N$1100,3,FALSE()))," ")</f>
        <v xml:space="preserve"> </v>
      </c>
      <c r="K884" s="40"/>
      <c r="L884" s="42" t="str">
        <f>IFERROR((VLOOKUP(F884,'Planilha de Cadastro - Previsão'!$A$2:$N$1100,11,FALSE()))," ")</f>
        <v xml:space="preserve"> </v>
      </c>
      <c r="M884" s="41" t="str">
        <f>IFERROR((IF(VLOOKUP(F884,'Planilha de Cadastro - Previsão'!$A$2:$N$1100,10,FALSE())="","",VLOOKUP(F884,'Planilha de Cadastro - Previsão'!$A$2:$N$1100,10,FALSE()))),"")</f>
        <v/>
      </c>
      <c r="N884" s="41"/>
      <c r="O884" s="41"/>
      <c r="P884" s="41" t="str">
        <f>IFERROR((IF(VLOOKUP(F884,'Acompanhamento da Licitação'!$F$2:$O$1000,10,FALSE())="","",VLOOKUP(F884,'Acompanhamento da Licitação'!$F$2:$O$1000,10,FALSE()))),"")</f>
        <v/>
      </c>
      <c r="R884" s="61" t="str">
        <f>IFERROR(IF(F884&gt;0,(Final[[#This Row],[Valor da Venda Real]]-Final[[#This Row],[Valor de Compra Previsto]]-4%*Final[[#This Row],[Valor da Venda Real]])/Final[[#This Row],[Valor da Venda Real]],""),"")</f>
        <v/>
      </c>
      <c r="S884" s="61" t="str">
        <f t="shared" si="57"/>
        <v/>
      </c>
      <c r="T884" s="23" t="str">
        <f>IFERROR((R884*Final[[#This Row],[Valor da Venda Real]]*Final[[#This Row],[Quantidade ]]*S884),"")</f>
        <v/>
      </c>
    </row>
    <row r="885" spans="1:20" ht="15.75" x14ac:dyDescent="0.2">
      <c r="A885">
        <f>COUNTIF($C$2:C885,C885)</f>
        <v>884</v>
      </c>
      <c r="B885" s="1" t="str">
        <f t="shared" si="56"/>
        <v>884</v>
      </c>
      <c r="C885" s="1" t="str">
        <f>IFERROR(VLOOKUP(D885,'Planilha de Cadastro - Previsão'!$A$2:$N$1000,14,FALSE()),"")</f>
        <v/>
      </c>
      <c r="D885" s="1">
        <v>884</v>
      </c>
      <c r="F885" s="40" t="str">
        <f t="shared" si="55"/>
        <v/>
      </c>
      <c r="G885" s="40" t="str">
        <f>IF(F885="","",'Prosposta Inicial'!$O$2)</f>
        <v/>
      </c>
      <c r="H885" s="40" t="str">
        <f t="shared" si="58"/>
        <v xml:space="preserve"> </v>
      </c>
      <c r="I885" s="41" t="str">
        <f>IFERROR((VLOOKUP(F885,'Planilha de Cadastro - Previsão'!$A$2:$N$1100,2,FALSE()))," ")</f>
        <v xml:space="preserve"> </v>
      </c>
      <c r="J885" s="40" t="str">
        <f>IFERROR((VLOOKUP(F885,'Planilha de Cadastro - Previsão'!$A$2:$N$1100,3,FALSE()))," ")</f>
        <v xml:space="preserve"> </v>
      </c>
      <c r="K885" s="40"/>
      <c r="L885" s="42" t="str">
        <f>IFERROR((VLOOKUP(F885,'Planilha de Cadastro - Previsão'!$A$2:$N$1100,11,FALSE()))," ")</f>
        <v xml:space="preserve"> </v>
      </c>
      <c r="M885" s="41" t="str">
        <f>IFERROR((IF(VLOOKUP(F885,'Planilha de Cadastro - Previsão'!$A$2:$N$1100,10,FALSE())="","",VLOOKUP(F885,'Planilha de Cadastro - Previsão'!$A$2:$N$1100,10,FALSE()))),"")</f>
        <v/>
      </c>
      <c r="N885" s="41"/>
      <c r="O885" s="41"/>
      <c r="P885" s="41" t="str">
        <f>IFERROR((IF(VLOOKUP(F885,'Acompanhamento da Licitação'!$F$2:$O$1000,10,FALSE())="","",VLOOKUP(F885,'Acompanhamento da Licitação'!$F$2:$O$1000,10,FALSE()))),"")</f>
        <v/>
      </c>
      <c r="R885" s="61" t="str">
        <f>IFERROR(IF(F885&gt;0,(Final[[#This Row],[Valor da Venda Real]]-Final[[#This Row],[Valor de Compra Previsto]]-4%*Final[[#This Row],[Valor da Venda Real]])/Final[[#This Row],[Valor da Venda Real]],""),"")</f>
        <v/>
      </c>
      <c r="S885" s="61" t="str">
        <f t="shared" si="57"/>
        <v/>
      </c>
      <c r="T885" s="23" t="str">
        <f>IFERROR((R885*Final[[#This Row],[Valor da Venda Real]]*Final[[#This Row],[Quantidade ]]*S885),"")</f>
        <v/>
      </c>
    </row>
    <row r="886" spans="1:20" ht="15.75" x14ac:dyDescent="0.2">
      <c r="A886">
        <f>COUNTIF($C$2:C886,C886)</f>
        <v>885</v>
      </c>
      <c r="B886" s="1" t="str">
        <f t="shared" si="56"/>
        <v>885</v>
      </c>
      <c r="C886" s="1" t="str">
        <f>IFERROR(VLOOKUP(D886,'Planilha de Cadastro - Previsão'!$A$2:$N$1000,14,FALSE()),"")</f>
        <v/>
      </c>
      <c r="D886" s="1">
        <v>885</v>
      </c>
      <c r="F886" s="40" t="str">
        <f t="shared" si="55"/>
        <v/>
      </c>
      <c r="G886" s="40" t="str">
        <f>IF(F886="","",'Prosposta Inicial'!$O$2)</f>
        <v/>
      </c>
      <c r="H886" s="40" t="str">
        <f t="shared" si="58"/>
        <v xml:space="preserve"> </v>
      </c>
      <c r="I886" s="41" t="str">
        <f>IFERROR((VLOOKUP(F886,'Planilha de Cadastro - Previsão'!$A$2:$N$1100,2,FALSE()))," ")</f>
        <v xml:space="preserve"> </v>
      </c>
      <c r="J886" s="40" t="str">
        <f>IFERROR((VLOOKUP(F886,'Planilha de Cadastro - Previsão'!$A$2:$N$1100,3,FALSE()))," ")</f>
        <v xml:space="preserve"> </v>
      </c>
      <c r="K886" s="40"/>
      <c r="L886" s="42" t="str">
        <f>IFERROR((VLOOKUP(F886,'Planilha de Cadastro - Previsão'!$A$2:$N$1100,11,FALSE()))," ")</f>
        <v xml:space="preserve"> </v>
      </c>
      <c r="M886" s="41" t="str">
        <f>IFERROR((IF(VLOOKUP(F886,'Planilha de Cadastro - Previsão'!$A$2:$N$1100,10,FALSE())="","",VLOOKUP(F886,'Planilha de Cadastro - Previsão'!$A$2:$N$1100,10,FALSE()))),"")</f>
        <v/>
      </c>
      <c r="N886" s="41"/>
      <c r="O886" s="41"/>
      <c r="P886" s="41" t="str">
        <f>IFERROR((IF(VLOOKUP(F886,'Acompanhamento da Licitação'!$F$2:$O$1000,10,FALSE())="","",VLOOKUP(F886,'Acompanhamento da Licitação'!$F$2:$O$1000,10,FALSE()))),"")</f>
        <v/>
      </c>
      <c r="R886" s="61" t="str">
        <f>IFERROR(IF(F886&gt;0,(Final[[#This Row],[Valor da Venda Real]]-Final[[#This Row],[Valor de Compra Previsto]]-4%*Final[[#This Row],[Valor da Venda Real]])/Final[[#This Row],[Valor da Venda Real]],""),"")</f>
        <v/>
      </c>
      <c r="S886" s="61" t="str">
        <f t="shared" si="57"/>
        <v/>
      </c>
      <c r="T886" s="23" t="str">
        <f>IFERROR((R886*Final[[#This Row],[Valor da Venda Real]]*Final[[#This Row],[Quantidade ]]*S886),"")</f>
        <v/>
      </c>
    </row>
    <row r="887" spans="1:20" ht="15.75" x14ac:dyDescent="0.2">
      <c r="A887">
        <f>COUNTIF($C$2:C887,C887)</f>
        <v>886</v>
      </c>
      <c r="B887" s="1" t="str">
        <f t="shared" si="56"/>
        <v>886</v>
      </c>
      <c r="C887" s="1" t="str">
        <f>IFERROR(VLOOKUP(D887,'Planilha de Cadastro - Previsão'!$A$2:$N$1000,14,FALSE()),"")</f>
        <v/>
      </c>
      <c r="D887" s="1">
        <v>886</v>
      </c>
      <c r="F887" s="40" t="str">
        <f t="shared" si="55"/>
        <v/>
      </c>
      <c r="G887" s="40" t="str">
        <f>IF(F887="","",'Prosposta Inicial'!$O$2)</f>
        <v/>
      </c>
      <c r="H887" s="40" t="str">
        <f t="shared" si="58"/>
        <v xml:space="preserve"> </v>
      </c>
      <c r="I887" s="41" t="str">
        <f>IFERROR((VLOOKUP(F887,'Planilha de Cadastro - Previsão'!$A$2:$N$1100,2,FALSE()))," ")</f>
        <v xml:space="preserve"> </v>
      </c>
      <c r="J887" s="40" t="str">
        <f>IFERROR((VLOOKUP(F887,'Planilha de Cadastro - Previsão'!$A$2:$N$1100,3,FALSE()))," ")</f>
        <v xml:space="preserve"> </v>
      </c>
      <c r="K887" s="40"/>
      <c r="L887" s="42" t="str">
        <f>IFERROR((VLOOKUP(F887,'Planilha de Cadastro - Previsão'!$A$2:$N$1100,11,FALSE()))," ")</f>
        <v xml:space="preserve"> </v>
      </c>
      <c r="M887" s="41" t="str">
        <f>IFERROR((IF(VLOOKUP(F887,'Planilha de Cadastro - Previsão'!$A$2:$N$1100,10,FALSE())="","",VLOOKUP(F887,'Planilha de Cadastro - Previsão'!$A$2:$N$1100,10,FALSE()))),"")</f>
        <v/>
      </c>
      <c r="N887" s="41"/>
      <c r="O887" s="41"/>
      <c r="P887" s="41" t="str">
        <f>IFERROR((IF(VLOOKUP(F887,'Acompanhamento da Licitação'!$F$2:$O$1000,10,FALSE())="","",VLOOKUP(F887,'Acompanhamento da Licitação'!$F$2:$O$1000,10,FALSE()))),"")</f>
        <v/>
      </c>
      <c r="R887" s="61" t="str">
        <f>IFERROR(IF(F887&gt;0,(Final[[#This Row],[Valor da Venda Real]]-Final[[#This Row],[Valor de Compra Previsto]]-4%*Final[[#This Row],[Valor da Venda Real]])/Final[[#This Row],[Valor da Venda Real]],""),"")</f>
        <v/>
      </c>
      <c r="S887" s="61" t="str">
        <f t="shared" si="57"/>
        <v/>
      </c>
      <c r="T887" s="23" t="str">
        <f>IFERROR((R887*Final[[#This Row],[Valor da Venda Real]]*Final[[#This Row],[Quantidade ]]*S887),"")</f>
        <v/>
      </c>
    </row>
    <row r="888" spans="1:20" ht="15.75" x14ac:dyDescent="0.2">
      <c r="A888">
        <f>COUNTIF($C$2:C888,C888)</f>
        <v>887</v>
      </c>
      <c r="B888" s="1" t="str">
        <f t="shared" si="56"/>
        <v>887</v>
      </c>
      <c r="C888" s="1" t="str">
        <f>IFERROR(VLOOKUP(D888,'Planilha de Cadastro - Previsão'!$A$2:$N$1000,14,FALSE()),"")</f>
        <v/>
      </c>
      <c r="D888" s="1">
        <v>887</v>
      </c>
      <c r="F888" s="40" t="str">
        <f t="shared" si="55"/>
        <v/>
      </c>
      <c r="G888" s="40" t="str">
        <f>IF(F888="","",'Prosposta Inicial'!$O$2)</f>
        <v/>
      </c>
      <c r="H888" s="40" t="str">
        <f t="shared" si="58"/>
        <v xml:space="preserve"> </v>
      </c>
      <c r="I888" s="41" t="str">
        <f>IFERROR((VLOOKUP(F888,'Planilha de Cadastro - Previsão'!$A$2:$N$1100,2,FALSE()))," ")</f>
        <v xml:space="preserve"> </v>
      </c>
      <c r="J888" s="40" t="str">
        <f>IFERROR((VLOOKUP(F888,'Planilha de Cadastro - Previsão'!$A$2:$N$1100,3,FALSE()))," ")</f>
        <v xml:space="preserve"> </v>
      </c>
      <c r="K888" s="40"/>
      <c r="L888" s="42" t="str">
        <f>IFERROR((VLOOKUP(F888,'Planilha de Cadastro - Previsão'!$A$2:$N$1100,11,FALSE()))," ")</f>
        <v xml:space="preserve"> </v>
      </c>
      <c r="M888" s="41" t="str">
        <f>IFERROR((IF(VLOOKUP(F888,'Planilha de Cadastro - Previsão'!$A$2:$N$1100,10,FALSE())="","",VLOOKUP(F888,'Planilha de Cadastro - Previsão'!$A$2:$N$1100,10,FALSE()))),"")</f>
        <v/>
      </c>
      <c r="N888" s="41"/>
      <c r="O888" s="41"/>
      <c r="P888" s="41" t="str">
        <f>IFERROR((IF(VLOOKUP(F888,'Acompanhamento da Licitação'!$F$2:$O$1000,10,FALSE())="","",VLOOKUP(F888,'Acompanhamento da Licitação'!$F$2:$O$1000,10,FALSE()))),"")</f>
        <v/>
      </c>
      <c r="R888" s="61" t="str">
        <f>IFERROR(IF(F888&gt;0,(Final[[#This Row],[Valor da Venda Real]]-Final[[#This Row],[Valor de Compra Previsto]]-4%*Final[[#This Row],[Valor da Venda Real]])/Final[[#This Row],[Valor da Venda Real]],""),"")</f>
        <v/>
      </c>
      <c r="S888" s="61" t="str">
        <f t="shared" si="57"/>
        <v/>
      </c>
      <c r="T888" s="23" t="str">
        <f>IFERROR((R888*Final[[#This Row],[Valor da Venda Real]]*Final[[#This Row],[Quantidade ]]*S888),"")</f>
        <v/>
      </c>
    </row>
    <row r="889" spans="1:20" ht="15.75" x14ac:dyDescent="0.2">
      <c r="A889">
        <f>COUNTIF($C$2:C889,C889)</f>
        <v>888</v>
      </c>
      <c r="B889" s="1" t="str">
        <f t="shared" si="56"/>
        <v>888</v>
      </c>
      <c r="C889" s="1" t="str">
        <f>IFERROR(VLOOKUP(D889,'Planilha de Cadastro - Previsão'!$A$2:$N$1000,14,FALSE()),"")</f>
        <v/>
      </c>
      <c r="D889" s="1">
        <v>888</v>
      </c>
      <c r="F889" s="40" t="str">
        <f t="shared" si="55"/>
        <v/>
      </c>
      <c r="G889" s="40" t="str">
        <f>IF(F889="","",'Prosposta Inicial'!$O$2)</f>
        <v/>
      </c>
      <c r="H889" s="40" t="str">
        <f t="shared" si="58"/>
        <v xml:space="preserve"> </v>
      </c>
      <c r="I889" s="41" t="str">
        <f>IFERROR((VLOOKUP(F889,'Planilha de Cadastro - Previsão'!$A$2:$N$1100,2,FALSE()))," ")</f>
        <v xml:space="preserve"> </v>
      </c>
      <c r="J889" s="40" t="str">
        <f>IFERROR((VLOOKUP(F889,'Planilha de Cadastro - Previsão'!$A$2:$N$1100,3,FALSE()))," ")</f>
        <v xml:space="preserve"> </v>
      </c>
      <c r="K889" s="40"/>
      <c r="L889" s="42" t="str">
        <f>IFERROR((VLOOKUP(F889,'Planilha de Cadastro - Previsão'!$A$2:$N$1100,11,FALSE()))," ")</f>
        <v xml:space="preserve"> </v>
      </c>
      <c r="M889" s="41" t="str">
        <f>IFERROR((IF(VLOOKUP(F889,'Planilha de Cadastro - Previsão'!$A$2:$N$1100,10,FALSE())="","",VLOOKUP(F889,'Planilha de Cadastro - Previsão'!$A$2:$N$1100,10,FALSE()))),"")</f>
        <v/>
      </c>
      <c r="N889" s="41"/>
      <c r="O889" s="41"/>
      <c r="P889" s="41" t="str">
        <f>IFERROR((IF(VLOOKUP(F889,'Acompanhamento da Licitação'!$F$2:$O$1000,10,FALSE())="","",VLOOKUP(F889,'Acompanhamento da Licitação'!$F$2:$O$1000,10,FALSE()))),"")</f>
        <v/>
      </c>
      <c r="R889" s="61" t="str">
        <f>IFERROR(IF(F889&gt;0,(Final[[#This Row],[Valor da Venda Real]]-Final[[#This Row],[Valor de Compra Previsto]]-4%*Final[[#This Row],[Valor da Venda Real]])/Final[[#This Row],[Valor da Venda Real]],""),"")</f>
        <v/>
      </c>
      <c r="S889" s="61" t="str">
        <f t="shared" si="57"/>
        <v/>
      </c>
      <c r="T889" s="23" t="str">
        <f>IFERROR((R889*Final[[#This Row],[Valor da Venda Real]]*Final[[#This Row],[Quantidade ]]*S889),"")</f>
        <v/>
      </c>
    </row>
    <row r="890" spans="1:20" ht="15.75" x14ac:dyDescent="0.2">
      <c r="A890">
        <f>COUNTIF($C$2:C890,C890)</f>
        <v>889</v>
      </c>
      <c r="B890" s="1" t="str">
        <f t="shared" si="56"/>
        <v>889</v>
      </c>
      <c r="C890" s="1" t="str">
        <f>IFERROR(VLOOKUP(D890,'Planilha de Cadastro - Previsão'!$A$2:$N$1000,14,FALSE()),"")</f>
        <v/>
      </c>
      <c r="D890" s="1">
        <v>889</v>
      </c>
      <c r="F890" s="40" t="str">
        <f t="shared" si="55"/>
        <v/>
      </c>
      <c r="G890" s="40" t="str">
        <f>IF(F890="","",'Prosposta Inicial'!$O$2)</f>
        <v/>
      </c>
      <c r="H890" s="40" t="str">
        <f t="shared" si="58"/>
        <v xml:space="preserve"> </v>
      </c>
      <c r="I890" s="41" t="str">
        <f>IFERROR((VLOOKUP(F890,'Planilha de Cadastro - Previsão'!$A$2:$N$1100,2,FALSE()))," ")</f>
        <v xml:space="preserve"> </v>
      </c>
      <c r="J890" s="40" t="str">
        <f>IFERROR((VLOOKUP(F890,'Planilha de Cadastro - Previsão'!$A$2:$N$1100,3,FALSE()))," ")</f>
        <v xml:space="preserve"> </v>
      </c>
      <c r="K890" s="40"/>
      <c r="L890" s="42" t="str">
        <f>IFERROR((VLOOKUP(F890,'Planilha de Cadastro - Previsão'!$A$2:$N$1100,11,FALSE()))," ")</f>
        <v xml:space="preserve"> </v>
      </c>
      <c r="M890" s="41" t="str">
        <f>IFERROR((IF(VLOOKUP(F890,'Planilha de Cadastro - Previsão'!$A$2:$N$1100,10,FALSE())="","",VLOOKUP(F890,'Planilha de Cadastro - Previsão'!$A$2:$N$1100,10,FALSE()))),"")</f>
        <v/>
      </c>
      <c r="N890" s="41"/>
      <c r="O890" s="41"/>
      <c r="P890" s="41" t="str">
        <f>IFERROR((IF(VLOOKUP(F890,'Acompanhamento da Licitação'!$F$2:$O$1000,10,FALSE())="","",VLOOKUP(F890,'Acompanhamento da Licitação'!$F$2:$O$1000,10,FALSE()))),"")</f>
        <v/>
      </c>
      <c r="R890" s="61" t="str">
        <f>IFERROR(IF(F890&gt;0,(Final[[#This Row],[Valor da Venda Real]]-Final[[#This Row],[Valor de Compra Previsto]]-4%*Final[[#This Row],[Valor da Venda Real]])/Final[[#This Row],[Valor da Venda Real]],""),"")</f>
        <v/>
      </c>
      <c r="S890" s="61" t="str">
        <f t="shared" si="57"/>
        <v/>
      </c>
      <c r="T890" s="23" t="str">
        <f>IFERROR((R890*Final[[#This Row],[Valor da Venda Real]]*Final[[#This Row],[Quantidade ]]*S890),"")</f>
        <v/>
      </c>
    </row>
    <row r="891" spans="1:20" ht="15.75" x14ac:dyDescent="0.2">
      <c r="A891">
        <f>COUNTIF($C$2:C891,C891)</f>
        <v>890</v>
      </c>
      <c r="B891" s="1" t="str">
        <f t="shared" si="56"/>
        <v>890</v>
      </c>
      <c r="C891" s="1" t="str">
        <f>IFERROR(VLOOKUP(D891,'Planilha de Cadastro - Previsão'!$A$2:$N$1000,14,FALSE()),"")</f>
        <v/>
      </c>
      <c r="D891" s="1">
        <v>890</v>
      </c>
      <c r="F891" s="40" t="str">
        <f t="shared" si="55"/>
        <v/>
      </c>
      <c r="G891" s="40" t="str">
        <f>IF(F891="","",'Prosposta Inicial'!$O$2)</f>
        <v/>
      </c>
      <c r="H891" s="40" t="str">
        <f t="shared" si="58"/>
        <v xml:space="preserve"> </v>
      </c>
      <c r="I891" s="41" t="str">
        <f>IFERROR((VLOOKUP(F891,'Planilha de Cadastro - Previsão'!$A$2:$N$1100,2,FALSE()))," ")</f>
        <v xml:space="preserve"> </v>
      </c>
      <c r="J891" s="40" t="str">
        <f>IFERROR((VLOOKUP(F891,'Planilha de Cadastro - Previsão'!$A$2:$N$1100,3,FALSE()))," ")</f>
        <v xml:space="preserve"> </v>
      </c>
      <c r="K891" s="40"/>
      <c r="L891" s="42" t="str">
        <f>IFERROR((VLOOKUP(F891,'Planilha de Cadastro - Previsão'!$A$2:$N$1100,11,FALSE()))," ")</f>
        <v xml:space="preserve"> </v>
      </c>
      <c r="M891" s="41" t="str">
        <f>IFERROR((IF(VLOOKUP(F891,'Planilha de Cadastro - Previsão'!$A$2:$N$1100,10,FALSE())="","",VLOOKUP(F891,'Planilha de Cadastro - Previsão'!$A$2:$N$1100,10,FALSE()))),"")</f>
        <v/>
      </c>
      <c r="N891" s="41"/>
      <c r="O891" s="41"/>
      <c r="P891" s="41" t="str">
        <f>IFERROR((IF(VLOOKUP(F891,'Acompanhamento da Licitação'!$F$2:$O$1000,10,FALSE())="","",VLOOKUP(F891,'Acompanhamento da Licitação'!$F$2:$O$1000,10,FALSE()))),"")</f>
        <v/>
      </c>
      <c r="R891" s="61" t="str">
        <f>IFERROR(IF(F891&gt;0,(Final[[#This Row],[Valor da Venda Real]]-Final[[#This Row],[Valor de Compra Previsto]]-4%*Final[[#This Row],[Valor da Venda Real]])/Final[[#This Row],[Valor da Venda Real]],""),"")</f>
        <v/>
      </c>
      <c r="S891" s="61" t="str">
        <f t="shared" si="57"/>
        <v/>
      </c>
      <c r="T891" s="23" t="str">
        <f>IFERROR((R891*Final[[#This Row],[Valor da Venda Real]]*Final[[#This Row],[Quantidade ]]*S891),"")</f>
        <v/>
      </c>
    </row>
    <row r="892" spans="1:20" ht="15.75" x14ac:dyDescent="0.2">
      <c r="A892">
        <f>COUNTIF($C$2:C892,C892)</f>
        <v>891</v>
      </c>
      <c r="B892" s="1" t="str">
        <f t="shared" si="56"/>
        <v>891</v>
      </c>
      <c r="C892" s="1" t="str">
        <f>IFERROR(VLOOKUP(D892,'Planilha de Cadastro - Previsão'!$A$2:$N$1000,14,FALSE()),"")</f>
        <v/>
      </c>
      <c r="D892" s="1">
        <v>891</v>
      </c>
      <c r="F892" s="40" t="str">
        <f t="shared" si="55"/>
        <v/>
      </c>
      <c r="G892" s="40" t="str">
        <f>IF(F892="","",'Prosposta Inicial'!$O$2)</f>
        <v/>
      </c>
      <c r="H892" s="40" t="str">
        <f t="shared" si="58"/>
        <v xml:space="preserve"> </v>
      </c>
      <c r="I892" s="41" t="str">
        <f>IFERROR((VLOOKUP(F892,'Planilha de Cadastro - Previsão'!$A$2:$N$1100,2,FALSE()))," ")</f>
        <v xml:space="preserve"> </v>
      </c>
      <c r="J892" s="40" t="str">
        <f>IFERROR((VLOOKUP(F892,'Planilha de Cadastro - Previsão'!$A$2:$N$1100,3,FALSE()))," ")</f>
        <v xml:space="preserve"> </v>
      </c>
      <c r="K892" s="40"/>
      <c r="L892" s="42" t="str">
        <f>IFERROR((VLOOKUP(F892,'Planilha de Cadastro - Previsão'!$A$2:$N$1100,11,FALSE()))," ")</f>
        <v xml:space="preserve"> </v>
      </c>
      <c r="M892" s="41" t="str">
        <f>IFERROR((IF(VLOOKUP(F892,'Planilha de Cadastro - Previsão'!$A$2:$N$1100,10,FALSE())="","",VLOOKUP(F892,'Planilha de Cadastro - Previsão'!$A$2:$N$1100,10,FALSE()))),"")</f>
        <v/>
      </c>
      <c r="N892" s="41"/>
      <c r="O892" s="41"/>
      <c r="P892" s="41" t="str">
        <f>IFERROR((IF(VLOOKUP(F892,'Acompanhamento da Licitação'!$F$2:$O$1000,10,FALSE())="","",VLOOKUP(F892,'Acompanhamento da Licitação'!$F$2:$O$1000,10,FALSE()))),"")</f>
        <v/>
      </c>
      <c r="R892" s="61" t="str">
        <f>IFERROR(IF(F892&gt;0,(Final[[#This Row],[Valor da Venda Real]]-Final[[#This Row],[Valor de Compra Previsto]]-4%*Final[[#This Row],[Valor da Venda Real]])/Final[[#This Row],[Valor da Venda Real]],""),"")</f>
        <v/>
      </c>
      <c r="S892" s="61" t="str">
        <f t="shared" si="57"/>
        <v/>
      </c>
      <c r="T892" s="23" t="str">
        <f>IFERROR((R892*Final[[#This Row],[Valor da Venda Real]]*Final[[#This Row],[Quantidade ]]*S892),"")</f>
        <v/>
      </c>
    </row>
    <row r="893" spans="1:20" ht="15.75" x14ac:dyDescent="0.2">
      <c r="A893">
        <f>COUNTIF($C$2:C893,C893)</f>
        <v>892</v>
      </c>
      <c r="B893" s="1" t="str">
        <f t="shared" si="56"/>
        <v>892</v>
      </c>
      <c r="C893" s="1" t="str">
        <f>IFERROR(VLOOKUP(D893,'Planilha de Cadastro - Previsão'!$A$2:$N$1000,14,FALSE()),"")</f>
        <v/>
      </c>
      <c r="D893" s="1">
        <v>892</v>
      </c>
      <c r="F893" s="40" t="str">
        <f t="shared" si="55"/>
        <v/>
      </c>
      <c r="G893" s="40" t="str">
        <f>IF(F893="","",'Prosposta Inicial'!$O$2)</f>
        <v/>
      </c>
      <c r="H893" s="40" t="str">
        <f t="shared" si="58"/>
        <v xml:space="preserve"> </v>
      </c>
      <c r="I893" s="41" t="str">
        <f>IFERROR((VLOOKUP(F893,'Planilha de Cadastro - Previsão'!$A$2:$N$1100,2,FALSE()))," ")</f>
        <v xml:space="preserve"> </v>
      </c>
      <c r="J893" s="40" t="str">
        <f>IFERROR((VLOOKUP(F893,'Planilha de Cadastro - Previsão'!$A$2:$N$1100,3,FALSE()))," ")</f>
        <v xml:space="preserve"> </v>
      </c>
      <c r="K893" s="40"/>
      <c r="L893" s="42" t="str">
        <f>IFERROR((VLOOKUP(F893,'Planilha de Cadastro - Previsão'!$A$2:$N$1100,11,FALSE()))," ")</f>
        <v xml:space="preserve"> </v>
      </c>
      <c r="M893" s="41" t="str">
        <f>IFERROR((IF(VLOOKUP(F893,'Planilha de Cadastro - Previsão'!$A$2:$N$1100,10,FALSE())="","",VLOOKUP(F893,'Planilha de Cadastro - Previsão'!$A$2:$N$1100,10,FALSE()))),"")</f>
        <v/>
      </c>
      <c r="N893" s="41"/>
      <c r="O893" s="41"/>
      <c r="P893" s="41" t="str">
        <f>IFERROR((IF(VLOOKUP(F893,'Acompanhamento da Licitação'!$F$2:$O$1000,10,FALSE())="","",VLOOKUP(F893,'Acompanhamento da Licitação'!$F$2:$O$1000,10,FALSE()))),"")</f>
        <v/>
      </c>
      <c r="R893" s="61" t="str">
        <f>IFERROR(IF(F893&gt;0,(Final[[#This Row],[Valor da Venda Real]]-Final[[#This Row],[Valor de Compra Previsto]]-4%*Final[[#This Row],[Valor da Venda Real]])/Final[[#This Row],[Valor da Venda Real]],""),"")</f>
        <v/>
      </c>
      <c r="S893" s="61" t="str">
        <f t="shared" si="57"/>
        <v/>
      </c>
      <c r="T893" s="23" t="str">
        <f>IFERROR((R893*Final[[#This Row],[Valor da Venda Real]]*Final[[#This Row],[Quantidade ]]*S893),"")</f>
        <v/>
      </c>
    </row>
    <row r="894" spans="1:20" ht="15.75" x14ac:dyDescent="0.2">
      <c r="A894">
        <f>COUNTIF($C$2:C894,C894)</f>
        <v>893</v>
      </c>
      <c r="B894" s="1" t="str">
        <f t="shared" si="56"/>
        <v>893</v>
      </c>
      <c r="C894" s="1" t="str">
        <f>IFERROR(VLOOKUP(D894,'Planilha de Cadastro - Previsão'!$A$2:$N$1000,14,FALSE()),"")</f>
        <v/>
      </c>
      <c r="D894" s="1">
        <v>893</v>
      </c>
      <c r="F894" s="40" t="str">
        <f t="shared" si="55"/>
        <v/>
      </c>
      <c r="G894" s="40" t="str">
        <f>IF(F894="","",'Prosposta Inicial'!$O$2)</f>
        <v/>
      </c>
      <c r="H894" s="40" t="str">
        <f t="shared" si="58"/>
        <v xml:space="preserve"> </v>
      </c>
      <c r="I894" s="41" t="str">
        <f>IFERROR((VLOOKUP(F894,'Planilha de Cadastro - Previsão'!$A$2:$N$1100,2,FALSE()))," ")</f>
        <v xml:space="preserve"> </v>
      </c>
      <c r="J894" s="40" t="str">
        <f>IFERROR((VLOOKUP(F894,'Planilha de Cadastro - Previsão'!$A$2:$N$1100,3,FALSE()))," ")</f>
        <v xml:space="preserve"> </v>
      </c>
      <c r="K894" s="40"/>
      <c r="L894" s="42" t="str">
        <f>IFERROR((VLOOKUP(F894,'Planilha de Cadastro - Previsão'!$A$2:$N$1100,11,FALSE()))," ")</f>
        <v xml:space="preserve"> </v>
      </c>
      <c r="M894" s="41" t="str">
        <f>IFERROR((IF(VLOOKUP(F894,'Planilha de Cadastro - Previsão'!$A$2:$N$1100,10,FALSE())="","",VLOOKUP(F894,'Planilha de Cadastro - Previsão'!$A$2:$N$1100,10,FALSE()))),"")</f>
        <v/>
      </c>
      <c r="N894" s="41"/>
      <c r="O894" s="41"/>
      <c r="P894" s="41" t="str">
        <f>IFERROR((IF(VLOOKUP(F894,'Acompanhamento da Licitação'!$F$2:$O$1000,10,FALSE())="","",VLOOKUP(F894,'Acompanhamento da Licitação'!$F$2:$O$1000,10,FALSE()))),"")</f>
        <v/>
      </c>
      <c r="R894" s="61" t="str">
        <f>IFERROR(IF(F894&gt;0,(Final[[#This Row],[Valor da Venda Real]]-Final[[#This Row],[Valor de Compra Previsto]]-4%*Final[[#This Row],[Valor da Venda Real]])/Final[[#This Row],[Valor da Venda Real]],""),"")</f>
        <v/>
      </c>
      <c r="S894" s="61" t="str">
        <f t="shared" si="57"/>
        <v/>
      </c>
      <c r="T894" s="23" t="str">
        <f>IFERROR((R894*Final[[#This Row],[Valor da Venda Real]]*Final[[#This Row],[Quantidade ]]*S894),"")</f>
        <v/>
      </c>
    </row>
    <row r="895" spans="1:20" ht="15.75" x14ac:dyDescent="0.2">
      <c r="A895">
        <f>COUNTIF($C$2:C895,C895)</f>
        <v>894</v>
      </c>
      <c r="B895" s="1" t="str">
        <f t="shared" si="56"/>
        <v>894</v>
      </c>
      <c r="C895" s="1" t="str">
        <f>IFERROR(VLOOKUP(D895,'Planilha de Cadastro - Previsão'!$A$2:$N$1000,14,FALSE()),"")</f>
        <v/>
      </c>
      <c r="D895" s="1">
        <v>894</v>
      </c>
      <c r="F895" s="40" t="str">
        <f t="shared" si="55"/>
        <v/>
      </c>
      <c r="G895" s="40" t="str">
        <f>IF(F895="","",'Prosposta Inicial'!$O$2)</f>
        <v/>
      </c>
      <c r="H895" s="40" t="str">
        <f t="shared" si="58"/>
        <v xml:space="preserve"> </v>
      </c>
      <c r="I895" s="41" t="str">
        <f>IFERROR((VLOOKUP(F895,'Planilha de Cadastro - Previsão'!$A$2:$N$1100,2,FALSE()))," ")</f>
        <v xml:space="preserve"> </v>
      </c>
      <c r="J895" s="40" t="str">
        <f>IFERROR((VLOOKUP(F895,'Planilha de Cadastro - Previsão'!$A$2:$N$1100,3,FALSE()))," ")</f>
        <v xml:space="preserve"> </v>
      </c>
      <c r="K895" s="40"/>
      <c r="L895" s="42" t="str">
        <f>IFERROR((VLOOKUP(F895,'Planilha de Cadastro - Previsão'!$A$2:$N$1100,11,FALSE()))," ")</f>
        <v xml:space="preserve"> </v>
      </c>
      <c r="M895" s="41" t="str">
        <f>IFERROR((IF(VLOOKUP(F895,'Planilha de Cadastro - Previsão'!$A$2:$N$1100,10,FALSE())="","",VLOOKUP(F895,'Planilha de Cadastro - Previsão'!$A$2:$N$1100,10,FALSE()))),"")</f>
        <v/>
      </c>
      <c r="N895" s="41"/>
      <c r="O895" s="41"/>
      <c r="P895" s="41" t="str">
        <f>IFERROR((IF(VLOOKUP(F895,'Acompanhamento da Licitação'!$F$2:$O$1000,10,FALSE())="","",VLOOKUP(F895,'Acompanhamento da Licitação'!$F$2:$O$1000,10,FALSE()))),"")</f>
        <v/>
      </c>
      <c r="R895" s="61" t="str">
        <f>IFERROR(IF(F895&gt;0,(Final[[#This Row],[Valor da Venda Real]]-Final[[#This Row],[Valor de Compra Previsto]]-4%*Final[[#This Row],[Valor da Venda Real]])/Final[[#This Row],[Valor da Venda Real]],""),"")</f>
        <v/>
      </c>
      <c r="S895" s="61" t="str">
        <f t="shared" si="57"/>
        <v/>
      </c>
      <c r="T895" s="23" t="str">
        <f>IFERROR((R895*Final[[#This Row],[Valor da Venda Real]]*Final[[#This Row],[Quantidade ]]*S895),"")</f>
        <v/>
      </c>
    </row>
    <row r="896" spans="1:20" ht="15.75" x14ac:dyDescent="0.2">
      <c r="A896">
        <f>COUNTIF($C$2:C896,C896)</f>
        <v>895</v>
      </c>
      <c r="B896" s="1" t="str">
        <f t="shared" si="56"/>
        <v>895</v>
      </c>
      <c r="C896" s="1" t="str">
        <f>IFERROR(VLOOKUP(D896,'Planilha de Cadastro - Previsão'!$A$2:$N$1000,14,FALSE()),"")</f>
        <v/>
      </c>
      <c r="D896" s="1">
        <v>895</v>
      </c>
      <c r="F896" s="40" t="str">
        <f t="shared" si="55"/>
        <v/>
      </c>
      <c r="G896" s="40" t="str">
        <f>IF(F896="","",'Prosposta Inicial'!$O$2)</f>
        <v/>
      </c>
      <c r="H896" s="40" t="str">
        <f t="shared" si="58"/>
        <v xml:space="preserve"> </v>
      </c>
      <c r="I896" s="41" t="str">
        <f>IFERROR((VLOOKUP(F896,'Planilha de Cadastro - Previsão'!$A$2:$N$1100,2,FALSE()))," ")</f>
        <v xml:space="preserve"> </v>
      </c>
      <c r="J896" s="40" t="str">
        <f>IFERROR((VLOOKUP(F896,'Planilha de Cadastro - Previsão'!$A$2:$N$1100,3,FALSE()))," ")</f>
        <v xml:space="preserve"> </v>
      </c>
      <c r="K896" s="40"/>
      <c r="L896" s="42" t="str">
        <f>IFERROR((VLOOKUP(F896,'Planilha de Cadastro - Previsão'!$A$2:$N$1100,11,FALSE()))," ")</f>
        <v xml:space="preserve"> </v>
      </c>
      <c r="M896" s="41" t="str">
        <f>IFERROR((IF(VLOOKUP(F896,'Planilha de Cadastro - Previsão'!$A$2:$N$1100,10,FALSE())="","",VLOOKUP(F896,'Planilha de Cadastro - Previsão'!$A$2:$N$1100,10,FALSE()))),"")</f>
        <v/>
      </c>
      <c r="N896" s="41"/>
      <c r="O896" s="41"/>
      <c r="P896" s="41" t="str">
        <f>IFERROR((IF(VLOOKUP(F896,'Acompanhamento da Licitação'!$F$2:$O$1000,10,FALSE())="","",VLOOKUP(F896,'Acompanhamento da Licitação'!$F$2:$O$1000,10,FALSE()))),"")</f>
        <v/>
      </c>
      <c r="R896" s="61" t="str">
        <f>IFERROR(IF(F896&gt;0,(Final[[#This Row],[Valor da Venda Real]]-Final[[#This Row],[Valor de Compra Previsto]]-4%*Final[[#This Row],[Valor da Venda Real]])/Final[[#This Row],[Valor da Venda Real]],""),"")</f>
        <v/>
      </c>
      <c r="S896" s="61" t="str">
        <f t="shared" si="57"/>
        <v/>
      </c>
      <c r="T896" s="23" t="str">
        <f>IFERROR((R896*Final[[#This Row],[Valor da Venda Real]]*Final[[#This Row],[Quantidade ]]*S896),"")</f>
        <v/>
      </c>
    </row>
    <row r="897" spans="1:20" ht="15.75" x14ac:dyDescent="0.2">
      <c r="A897">
        <f>COUNTIF($C$2:C897,C897)</f>
        <v>896</v>
      </c>
      <c r="B897" s="1" t="str">
        <f t="shared" si="56"/>
        <v>896</v>
      </c>
      <c r="C897" s="1" t="str">
        <f>IFERROR(VLOOKUP(D897,'Planilha de Cadastro - Previsão'!$A$2:$N$1000,14,FALSE()),"")</f>
        <v/>
      </c>
      <c r="D897" s="1">
        <v>896</v>
      </c>
      <c r="F897" s="40" t="str">
        <f t="shared" si="55"/>
        <v/>
      </c>
      <c r="G897" s="40" t="str">
        <f>IF(F897="","",'Prosposta Inicial'!$O$2)</f>
        <v/>
      </c>
      <c r="H897" s="40" t="str">
        <f t="shared" si="58"/>
        <v xml:space="preserve"> </v>
      </c>
      <c r="I897" s="41" t="str">
        <f>IFERROR((VLOOKUP(F897,'Planilha de Cadastro - Previsão'!$A$2:$N$1100,2,FALSE()))," ")</f>
        <v xml:space="preserve"> </v>
      </c>
      <c r="J897" s="40" t="str">
        <f>IFERROR((VLOOKUP(F897,'Planilha de Cadastro - Previsão'!$A$2:$N$1100,3,FALSE()))," ")</f>
        <v xml:space="preserve"> </v>
      </c>
      <c r="K897" s="40"/>
      <c r="L897" s="42" t="str">
        <f>IFERROR((VLOOKUP(F897,'Planilha de Cadastro - Previsão'!$A$2:$N$1100,11,FALSE()))," ")</f>
        <v xml:space="preserve"> </v>
      </c>
      <c r="M897" s="41" t="str">
        <f>IFERROR((IF(VLOOKUP(F897,'Planilha de Cadastro - Previsão'!$A$2:$N$1100,10,FALSE())="","",VLOOKUP(F897,'Planilha de Cadastro - Previsão'!$A$2:$N$1100,10,FALSE()))),"")</f>
        <v/>
      </c>
      <c r="N897" s="41"/>
      <c r="O897" s="41"/>
      <c r="P897" s="41" t="str">
        <f>IFERROR((IF(VLOOKUP(F897,'Acompanhamento da Licitação'!$F$2:$O$1000,10,FALSE())="","",VLOOKUP(F897,'Acompanhamento da Licitação'!$F$2:$O$1000,10,FALSE()))),"")</f>
        <v/>
      </c>
      <c r="R897" s="61" t="str">
        <f>IFERROR(IF(F897&gt;0,(Final[[#This Row],[Valor da Venda Real]]-Final[[#This Row],[Valor de Compra Previsto]]-4%*Final[[#This Row],[Valor da Venda Real]])/Final[[#This Row],[Valor da Venda Real]],""),"")</f>
        <v/>
      </c>
      <c r="S897" s="61" t="str">
        <f t="shared" si="57"/>
        <v/>
      </c>
      <c r="T897" s="23" t="str">
        <f>IFERROR((R897*Final[[#This Row],[Valor da Venda Real]]*Final[[#This Row],[Quantidade ]]*S897),"")</f>
        <v/>
      </c>
    </row>
    <row r="898" spans="1:20" ht="15.75" x14ac:dyDescent="0.2">
      <c r="A898">
        <f>COUNTIF($C$2:C898,C898)</f>
        <v>897</v>
      </c>
      <c r="B898" s="1" t="str">
        <f t="shared" si="56"/>
        <v>897</v>
      </c>
      <c r="C898" s="1" t="str">
        <f>IFERROR(VLOOKUP(D898,'Planilha de Cadastro - Previsão'!$A$2:$N$1000,14,FALSE()),"")</f>
        <v/>
      </c>
      <c r="D898" s="1">
        <v>897</v>
      </c>
      <c r="F898" s="40" t="str">
        <f t="shared" ref="F898:F961" si="59">IFERROR((VLOOKUP(CONCATENATE("Sim",D898),$B$2:$D$1000,3,FALSE())),"")</f>
        <v/>
      </c>
      <c r="G898" s="40" t="str">
        <f>IF(F898="","",'Prosposta Inicial'!$O$2)</f>
        <v/>
      </c>
      <c r="H898" s="40" t="str">
        <f t="shared" si="58"/>
        <v xml:space="preserve"> </v>
      </c>
      <c r="I898" s="41" t="str">
        <f>IFERROR((VLOOKUP(F898,'Planilha de Cadastro - Previsão'!$A$2:$N$1100,2,FALSE()))," ")</f>
        <v xml:space="preserve"> </v>
      </c>
      <c r="J898" s="40" t="str">
        <f>IFERROR((VLOOKUP(F898,'Planilha de Cadastro - Previsão'!$A$2:$N$1100,3,FALSE()))," ")</f>
        <v xml:space="preserve"> </v>
      </c>
      <c r="K898" s="40"/>
      <c r="L898" s="42" t="str">
        <f>IFERROR((VLOOKUP(F898,'Planilha de Cadastro - Previsão'!$A$2:$N$1100,11,FALSE()))," ")</f>
        <v xml:space="preserve"> </v>
      </c>
      <c r="M898" s="41" t="str">
        <f>IFERROR((IF(VLOOKUP(F898,'Planilha de Cadastro - Previsão'!$A$2:$N$1100,10,FALSE())="","",VLOOKUP(F898,'Planilha de Cadastro - Previsão'!$A$2:$N$1100,10,FALSE()))),"")</f>
        <v/>
      </c>
      <c r="N898" s="41"/>
      <c r="O898" s="41"/>
      <c r="P898" s="41" t="str">
        <f>IFERROR((IF(VLOOKUP(F898,'Acompanhamento da Licitação'!$F$2:$O$1000,10,FALSE())="","",VLOOKUP(F898,'Acompanhamento da Licitação'!$F$2:$O$1000,10,FALSE()))),"")</f>
        <v/>
      </c>
      <c r="R898" s="61" t="str">
        <f>IFERROR(IF(F898&gt;0,(Final[[#This Row],[Valor da Venda Real]]-Final[[#This Row],[Valor de Compra Previsto]]-4%*Final[[#This Row],[Valor da Venda Real]])/Final[[#This Row],[Valor da Venda Real]],""),"")</f>
        <v/>
      </c>
      <c r="S898" s="61" t="str">
        <f t="shared" si="57"/>
        <v/>
      </c>
      <c r="T898" s="23" t="str">
        <f>IFERROR((R898*Final[[#This Row],[Valor da Venda Real]]*Final[[#This Row],[Quantidade ]]*S898),"")</f>
        <v/>
      </c>
    </row>
    <row r="899" spans="1:20" ht="15.75" x14ac:dyDescent="0.2">
      <c r="A899">
        <f>COUNTIF($C$2:C899,C899)</f>
        <v>898</v>
      </c>
      <c r="B899" s="1" t="str">
        <f t="shared" ref="B899:B962" si="60">IFERROR(CONCATENATE(C899,A899),"")</f>
        <v>898</v>
      </c>
      <c r="C899" s="1" t="str">
        <f>IFERROR(VLOOKUP(D899,'Planilha de Cadastro - Previsão'!$A$2:$N$1000,14,FALSE()),"")</f>
        <v/>
      </c>
      <c r="D899" s="1">
        <v>898</v>
      </c>
      <c r="F899" s="40" t="str">
        <f t="shared" si="59"/>
        <v/>
      </c>
      <c r="G899" s="40" t="str">
        <f>IF(F899="","",'Prosposta Inicial'!$O$2)</f>
        <v/>
      </c>
      <c r="H899" s="40" t="str">
        <f t="shared" si="58"/>
        <v xml:space="preserve"> </v>
      </c>
      <c r="I899" s="41" t="str">
        <f>IFERROR((VLOOKUP(F899,'Planilha de Cadastro - Previsão'!$A$2:$N$1100,2,FALSE()))," ")</f>
        <v xml:space="preserve"> </v>
      </c>
      <c r="J899" s="40" t="str">
        <f>IFERROR((VLOOKUP(F899,'Planilha de Cadastro - Previsão'!$A$2:$N$1100,3,FALSE()))," ")</f>
        <v xml:space="preserve"> </v>
      </c>
      <c r="K899" s="40"/>
      <c r="L899" s="42" t="str">
        <f>IFERROR((VLOOKUP(F899,'Planilha de Cadastro - Previsão'!$A$2:$N$1100,11,FALSE()))," ")</f>
        <v xml:space="preserve"> </v>
      </c>
      <c r="M899" s="41" t="str">
        <f>IFERROR((IF(VLOOKUP(F899,'Planilha de Cadastro - Previsão'!$A$2:$N$1100,10,FALSE())="","",VLOOKUP(F899,'Planilha de Cadastro - Previsão'!$A$2:$N$1100,10,FALSE()))),"")</f>
        <v/>
      </c>
      <c r="N899" s="41"/>
      <c r="O899" s="41"/>
      <c r="P899" s="41" t="str">
        <f>IFERROR((IF(VLOOKUP(F899,'Acompanhamento da Licitação'!$F$2:$O$1000,10,FALSE())="","",VLOOKUP(F899,'Acompanhamento da Licitação'!$F$2:$O$1000,10,FALSE()))),"")</f>
        <v/>
      </c>
      <c r="R899" s="61" t="str">
        <f>IFERROR(IF(F899&gt;0,(Final[[#This Row],[Valor da Venda Real]]-Final[[#This Row],[Valor de Compra Previsto]]-4%*Final[[#This Row],[Valor da Venda Real]])/Final[[#This Row],[Valor da Venda Real]],""),"")</f>
        <v/>
      </c>
      <c r="S899" s="61" t="str">
        <f t="shared" ref="S899:S962" si="61">IF(R899="","",IF(R899&lt;0.2,0.05,IF(R899&lt;0.25,0.1,IF(R899&lt;0.3,0.15,IF(R899&lt;0.35,0.2,IF(R899&lt;0.45,0.25,IF(R899&lt;0.5,0.3,IF(R899&lt;0.6,0.35,0.4))))))))</f>
        <v/>
      </c>
      <c r="T899" s="23" t="str">
        <f>IFERROR((R899*Final[[#This Row],[Valor da Venda Real]]*Final[[#This Row],[Quantidade ]]*S899),"")</f>
        <v/>
      </c>
    </row>
    <row r="900" spans="1:20" ht="15.75" x14ac:dyDescent="0.2">
      <c r="A900">
        <f>COUNTIF($C$2:C900,C900)</f>
        <v>899</v>
      </c>
      <c r="B900" s="1" t="str">
        <f t="shared" si="60"/>
        <v>899</v>
      </c>
      <c r="C900" s="1" t="str">
        <f>IFERROR(VLOOKUP(D900,'Planilha de Cadastro - Previsão'!$A$2:$N$1000,14,FALSE()),"")</f>
        <v/>
      </c>
      <c r="D900" s="1">
        <v>899</v>
      </c>
      <c r="F900" s="40" t="str">
        <f t="shared" si="59"/>
        <v/>
      </c>
      <c r="G900" s="40" t="str">
        <f>IF(F900="","",'Prosposta Inicial'!$O$2)</f>
        <v/>
      </c>
      <c r="H900" s="40" t="str">
        <f t="shared" si="58"/>
        <v xml:space="preserve"> </v>
      </c>
      <c r="I900" s="41" t="str">
        <f>IFERROR((VLOOKUP(F900,'Planilha de Cadastro - Previsão'!$A$2:$N$1100,2,FALSE()))," ")</f>
        <v xml:space="preserve"> </v>
      </c>
      <c r="J900" s="40" t="str">
        <f>IFERROR((VLOOKUP(F900,'Planilha de Cadastro - Previsão'!$A$2:$N$1100,3,FALSE()))," ")</f>
        <v xml:space="preserve"> </v>
      </c>
      <c r="K900" s="40"/>
      <c r="L900" s="42" t="str">
        <f>IFERROR((VLOOKUP(F900,'Planilha de Cadastro - Previsão'!$A$2:$N$1100,11,FALSE()))," ")</f>
        <v xml:space="preserve"> </v>
      </c>
      <c r="M900" s="41" t="str">
        <f>IFERROR((IF(VLOOKUP(F900,'Planilha de Cadastro - Previsão'!$A$2:$N$1100,10,FALSE())="","",VLOOKUP(F900,'Planilha de Cadastro - Previsão'!$A$2:$N$1100,10,FALSE()))),"")</f>
        <v/>
      </c>
      <c r="N900" s="41"/>
      <c r="O900" s="41"/>
      <c r="P900" s="41" t="str">
        <f>IFERROR((IF(VLOOKUP(F900,'Acompanhamento da Licitação'!$F$2:$O$1000,10,FALSE())="","",VLOOKUP(F900,'Acompanhamento da Licitação'!$F$2:$O$1000,10,FALSE()))),"")</f>
        <v/>
      </c>
      <c r="R900" s="61" t="str">
        <f>IFERROR(IF(F900&gt;0,(Final[[#This Row],[Valor da Venda Real]]-Final[[#This Row],[Valor de Compra Previsto]]-4%*Final[[#This Row],[Valor da Venda Real]])/Final[[#This Row],[Valor da Venda Real]],""),"")</f>
        <v/>
      </c>
      <c r="S900" s="61" t="str">
        <f t="shared" si="61"/>
        <v/>
      </c>
      <c r="T900" s="23" t="str">
        <f>IFERROR((R900*Final[[#This Row],[Valor da Venda Real]]*Final[[#This Row],[Quantidade ]]*S900),"")</f>
        <v/>
      </c>
    </row>
    <row r="901" spans="1:20" ht="15.75" x14ac:dyDescent="0.2">
      <c r="A901">
        <f>COUNTIF($C$2:C901,C901)</f>
        <v>900</v>
      </c>
      <c r="B901" s="1" t="str">
        <f t="shared" si="60"/>
        <v>900</v>
      </c>
      <c r="C901" s="1" t="str">
        <f>IFERROR(VLOOKUP(D901,'Planilha de Cadastro - Previsão'!$A$2:$N$1000,14,FALSE()),"")</f>
        <v/>
      </c>
      <c r="D901" s="1">
        <v>900</v>
      </c>
      <c r="F901" s="40" t="str">
        <f t="shared" si="59"/>
        <v/>
      </c>
      <c r="G901" s="40" t="str">
        <f>IF(F901="","",'Prosposta Inicial'!$O$2)</f>
        <v/>
      </c>
      <c r="H901" s="40" t="str">
        <f t="shared" si="58"/>
        <v xml:space="preserve"> </v>
      </c>
      <c r="I901" s="41" t="str">
        <f>IFERROR((VLOOKUP(F901,'Planilha de Cadastro - Previsão'!$A$2:$N$1100,2,FALSE()))," ")</f>
        <v xml:space="preserve"> </v>
      </c>
      <c r="J901" s="40" t="str">
        <f>IFERROR((VLOOKUP(F901,'Planilha de Cadastro - Previsão'!$A$2:$N$1100,3,FALSE()))," ")</f>
        <v xml:space="preserve"> </v>
      </c>
      <c r="K901" s="40"/>
      <c r="L901" s="42" t="str">
        <f>IFERROR((VLOOKUP(F901,'Planilha de Cadastro - Previsão'!$A$2:$N$1100,11,FALSE()))," ")</f>
        <v xml:space="preserve"> </v>
      </c>
      <c r="M901" s="41" t="str">
        <f>IFERROR((IF(VLOOKUP(F901,'Planilha de Cadastro - Previsão'!$A$2:$N$1100,10,FALSE())="","",VLOOKUP(F901,'Planilha de Cadastro - Previsão'!$A$2:$N$1100,10,FALSE()))),"")</f>
        <v/>
      </c>
      <c r="N901" s="41"/>
      <c r="O901" s="41"/>
      <c r="P901" s="41" t="str">
        <f>IFERROR((IF(VLOOKUP(F901,'Acompanhamento da Licitação'!$F$2:$O$1000,10,FALSE())="","",VLOOKUP(F901,'Acompanhamento da Licitação'!$F$2:$O$1000,10,FALSE()))),"")</f>
        <v/>
      </c>
      <c r="R901" s="61" t="str">
        <f>IFERROR(IF(F901&gt;0,(Final[[#This Row],[Valor da Venda Real]]-Final[[#This Row],[Valor de Compra Previsto]]-4%*Final[[#This Row],[Valor da Venda Real]])/Final[[#This Row],[Valor da Venda Real]],""),"")</f>
        <v/>
      </c>
      <c r="S901" s="61" t="str">
        <f t="shared" si="61"/>
        <v/>
      </c>
      <c r="T901" s="23" t="str">
        <f>IFERROR((R901*Final[[#This Row],[Valor da Venda Real]]*Final[[#This Row],[Quantidade ]]*S901),"")</f>
        <v/>
      </c>
    </row>
    <row r="902" spans="1:20" ht="15.75" x14ac:dyDescent="0.2">
      <c r="A902">
        <f>COUNTIF($C$2:C902,C902)</f>
        <v>901</v>
      </c>
      <c r="B902" s="1" t="str">
        <f t="shared" si="60"/>
        <v>901</v>
      </c>
      <c r="C902" s="1" t="str">
        <f>IFERROR(VLOOKUP(D902,'Planilha de Cadastro - Previsão'!$A$2:$N$1000,14,FALSE()),"")</f>
        <v/>
      </c>
      <c r="D902" s="1">
        <v>901</v>
      </c>
      <c r="F902" s="40" t="str">
        <f t="shared" si="59"/>
        <v/>
      </c>
      <c r="G902" s="40" t="str">
        <f>IF(F902="","",'Prosposta Inicial'!$O$2)</f>
        <v/>
      </c>
      <c r="H902" s="40" t="str">
        <f t="shared" si="58"/>
        <v xml:space="preserve"> </v>
      </c>
      <c r="I902" s="41" t="str">
        <f>IFERROR((VLOOKUP(F902,'Planilha de Cadastro - Previsão'!$A$2:$N$1100,2,FALSE()))," ")</f>
        <v xml:space="preserve"> </v>
      </c>
      <c r="J902" s="40" t="str">
        <f>IFERROR((VLOOKUP(F902,'Planilha de Cadastro - Previsão'!$A$2:$N$1100,3,FALSE()))," ")</f>
        <v xml:space="preserve"> </v>
      </c>
      <c r="K902" s="40"/>
      <c r="L902" s="42" t="str">
        <f>IFERROR((VLOOKUP(F902,'Planilha de Cadastro - Previsão'!$A$2:$N$1100,11,FALSE()))," ")</f>
        <v xml:space="preserve"> </v>
      </c>
      <c r="M902" s="41" t="str">
        <f>IFERROR((IF(VLOOKUP(F902,'Planilha de Cadastro - Previsão'!$A$2:$N$1100,10,FALSE())="","",VLOOKUP(F902,'Planilha de Cadastro - Previsão'!$A$2:$N$1100,10,FALSE()))),"")</f>
        <v/>
      </c>
      <c r="N902" s="41"/>
      <c r="O902" s="41"/>
      <c r="P902" s="41" t="str">
        <f>IFERROR((IF(VLOOKUP(F902,'Acompanhamento da Licitação'!$F$2:$O$1000,10,FALSE())="","",VLOOKUP(F902,'Acompanhamento da Licitação'!$F$2:$O$1000,10,FALSE()))),"")</f>
        <v/>
      </c>
      <c r="R902" s="61" t="str">
        <f>IFERROR(IF(F902&gt;0,(Final[[#This Row],[Valor da Venda Real]]-Final[[#This Row],[Valor de Compra Previsto]]-4%*Final[[#This Row],[Valor da Venda Real]])/Final[[#This Row],[Valor da Venda Real]],""),"")</f>
        <v/>
      </c>
      <c r="S902" s="61" t="str">
        <f t="shared" si="61"/>
        <v/>
      </c>
      <c r="T902" s="23" t="str">
        <f>IFERROR((R902*Final[[#This Row],[Valor da Venda Real]]*Final[[#This Row],[Quantidade ]]*S902),"")</f>
        <v/>
      </c>
    </row>
    <row r="903" spans="1:20" ht="15.75" x14ac:dyDescent="0.2">
      <c r="A903">
        <f>COUNTIF($C$2:C903,C903)</f>
        <v>902</v>
      </c>
      <c r="B903" s="1" t="str">
        <f t="shared" si="60"/>
        <v>902</v>
      </c>
      <c r="C903" s="1" t="str">
        <f>IFERROR(VLOOKUP(D903,'Planilha de Cadastro - Previsão'!$A$2:$N$1000,14,FALSE()),"")</f>
        <v/>
      </c>
      <c r="D903" s="1">
        <v>902</v>
      </c>
      <c r="F903" s="40" t="str">
        <f t="shared" si="59"/>
        <v/>
      </c>
      <c r="G903" s="40" t="str">
        <f>IF(F903="","",'Prosposta Inicial'!$O$2)</f>
        <v/>
      </c>
      <c r="H903" s="40" t="str">
        <f t="shared" si="58"/>
        <v xml:space="preserve"> </v>
      </c>
      <c r="I903" s="41" t="str">
        <f>IFERROR((VLOOKUP(F903,'Planilha de Cadastro - Previsão'!$A$2:$N$1100,2,FALSE()))," ")</f>
        <v xml:space="preserve"> </v>
      </c>
      <c r="J903" s="40" t="str">
        <f>IFERROR((VLOOKUP(F903,'Planilha de Cadastro - Previsão'!$A$2:$N$1100,3,FALSE()))," ")</f>
        <v xml:space="preserve"> </v>
      </c>
      <c r="K903" s="40"/>
      <c r="L903" s="42" t="str">
        <f>IFERROR((VLOOKUP(F903,'Planilha de Cadastro - Previsão'!$A$2:$N$1100,11,FALSE()))," ")</f>
        <v xml:space="preserve"> </v>
      </c>
      <c r="M903" s="41" t="str">
        <f>IFERROR((IF(VLOOKUP(F903,'Planilha de Cadastro - Previsão'!$A$2:$N$1100,10,FALSE())="","",VLOOKUP(F903,'Planilha de Cadastro - Previsão'!$A$2:$N$1100,10,FALSE()))),"")</f>
        <v/>
      </c>
      <c r="N903" s="41"/>
      <c r="O903" s="41"/>
      <c r="P903" s="41" t="str">
        <f>IFERROR((IF(VLOOKUP(F903,'Acompanhamento da Licitação'!$F$2:$O$1000,10,FALSE())="","",VLOOKUP(F903,'Acompanhamento da Licitação'!$F$2:$O$1000,10,FALSE()))),"")</f>
        <v/>
      </c>
      <c r="R903" s="61" t="str">
        <f>IFERROR(IF(F903&gt;0,(Final[[#This Row],[Valor da Venda Real]]-Final[[#This Row],[Valor de Compra Previsto]]-4%*Final[[#This Row],[Valor da Venda Real]])/Final[[#This Row],[Valor da Venda Real]],""),"")</f>
        <v/>
      </c>
      <c r="S903" s="61" t="str">
        <f t="shared" si="61"/>
        <v/>
      </c>
      <c r="T903" s="23" t="str">
        <f>IFERROR((R903*Final[[#This Row],[Valor da Venda Real]]*Final[[#This Row],[Quantidade ]]*S903),"")</f>
        <v/>
      </c>
    </row>
    <row r="904" spans="1:20" ht="15.75" x14ac:dyDescent="0.2">
      <c r="A904">
        <f>COUNTIF($C$2:C904,C904)</f>
        <v>903</v>
      </c>
      <c r="B904" s="1" t="str">
        <f t="shared" si="60"/>
        <v>903</v>
      </c>
      <c r="C904" s="1" t="str">
        <f>IFERROR(VLOOKUP(D904,'Planilha de Cadastro - Previsão'!$A$2:$N$1000,14,FALSE()),"")</f>
        <v/>
      </c>
      <c r="D904" s="1">
        <v>903</v>
      </c>
      <c r="F904" s="40" t="str">
        <f t="shared" si="59"/>
        <v/>
      </c>
      <c r="G904" s="40" t="str">
        <f>IF(F904="","",'Prosposta Inicial'!$O$2)</f>
        <v/>
      </c>
      <c r="H904" s="40" t="str">
        <f t="shared" si="58"/>
        <v xml:space="preserve"> </v>
      </c>
      <c r="I904" s="41" t="str">
        <f>IFERROR((VLOOKUP(F904,'Planilha de Cadastro - Previsão'!$A$2:$N$1100,2,FALSE()))," ")</f>
        <v xml:space="preserve"> </v>
      </c>
      <c r="J904" s="40" t="str">
        <f>IFERROR((VLOOKUP(F904,'Planilha de Cadastro - Previsão'!$A$2:$N$1100,3,FALSE()))," ")</f>
        <v xml:space="preserve"> </v>
      </c>
      <c r="K904" s="40"/>
      <c r="L904" s="42" t="str">
        <f>IFERROR((VLOOKUP(F904,'Planilha de Cadastro - Previsão'!$A$2:$N$1100,11,FALSE()))," ")</f>
        <v xml:space="preserve"> </v>
      </c>
      <c r="M904" s="41" t="str">
        <f>IFERROR((IF(VLOOKUP(F904,'Planilha de Cadastro - Previsão'!$A$2:$N$1100,10,FALSE())="","",VLOOKUP(F904,'Planilha de Cadastro - Previsão'!$A$2:$N$1100,10,FALSE()))),"")</f>
        <v/>
      </c>
      <c r="N904" s="41"/>
      <c r="O904" s="41"/>
      <c r="P904" s="41" t="str">
        <f>IFERROR((IF(VLOOKUP(F904,'Acompanhamento da Licitação'!$F$2:$O$1000,10,FALSE())="","",VLOOKUP(F904,'Acompanhamento da Licitação'!$F$2:$O$1000,10,FALSE()))),"")</f>
        <v/>
      </c>
      <c r="R904" s="61" t="str">
        <f>IFERROR(IF(F904&gt;0,(Final[[#This Row],[Valor da Venda Real]]-Final[[#This Row],[Valor de Compra Previsto]]-4%*Final[[#This Row],[Valor da Venda Real]])/Final[[#This Row],[Valor da Venda Real]],""),"")</f>
        <v/>
      </c>
      <c r="S904" s="61" t="str">
        <f t="shared" si="61"/>
        <v/>
      </c>
      <c r="T904" s="23" t="str">
        <f>IFERROR((R904*Final[[#This Row],[Valor da Venda Real]]*Final[[#This Row],[Quantidade ]]*S904),"")</f>
        <v/>
      </c>
    </row>
    <row r="905" spans="1:20" ht="15.75" x14ac:dyDescent="0.2">
      <c r="A905">
        <f>COUNTIF($C$2:C905,C905)</f>
        <v>904</v>
      </c>
      <c r="B905" s="1" t="str">
        <f t="shared" si="60"/>
        <v>904</v>
      </c>
      <c r="C905" s="1" t="str">
        <f>IFERROR(VLOOKUP(D905,'Planilha de Cadastro - Previsão'!$A$2:$N$1000,14,FALSE()),"")</f>
        <v/>
      </c>
      <c r="D905" s="1">
        <v>904</v>
      </c>
      <c r="F905" s="40" t="str">
        <f t="shared" si="59"/>
        <v/>
      </c>
      <c r="G905" s="40" t="str">
        <f>IF(F905="","",'Prosposta Inicial'!$O$2)</f>
        <v/>
      </c>
      <c r="H905" s="40" t="str">
        <f t="shared" si="58"/>
        <v xml:space="preserve"> </v>
      </c>
      <c r="I905" s="41" t="str">
        <f>IFERROR((VLOOKUP(F905,'Planilha de Cadastro - Previsão'!$A$2:$N$1100,2,FALSE()))," ")</f>
        <v xml:space="preserve"> </v>
      </c>
      <c r="J905" s="40" t="str">
        <f>IFERROR((VLOOKUP(F905,'Planilha de Cadastro - Previsão'!$A$2:$N$1100,3,FALSE()))," ")</f>
        <v xml:space="preserve"> </v>
      </c>
      <c r="K905" s="40"/>
      <c r="L905" s="42" t="str">
        <f>IFERROR((VLOOKUP(F905,'Planilha de Cadastro - Previsão'!$A$2:$N$1100,11,FALSE()))," ")</f>
        <v xml:space="preserve"> </v>
      </c>
      <c r="M905" s="41" t="str">
        <f>IFERROR((IF(VLOOKUP(F905,'Planilha de Cadastro - Previsão'!$A$2:$N$1100,10,FALSE())="","",VLOOKUP(F905,'Planilha de Cadastro - Previsão'!$A$2:$N$1100,10,FALSE()))),"")</f>
        <v/>
      </c>
      <c r="N905" s="41"/>
      <c r="O905" s="41"/>
      <c r="P905" s="41" t="str">
        <f>IFERROR((IF(VLOOKUP(F905,'Acompanhamento da Licitação'!$F$2:$O$1000,10,FALSE())="","",VLOOKUP(F905,'Acompanhamento da Licitação'!$F$2:$O$1000,10,FALSE()))),"")</f>
        <v/>
      </c>
      <c r="R905" s="61" t="str">
        <f>IFERROR(IF(F905&gt;0,(Final[[#This Row],[Valor da Venda Real]]-Final[[#This Row],[Valor de Compra Previsto]]-4%*Final[[#This Row],[Valor da Venda Real]])/Final[[#This Row],[Valor da Venda Real]],""),"")</f>
        <v/>
      </c>
      <c r="S905" s="61" t="str">
        <f t="shared" si="61"/>
        <v/>
      </c>
      <c r="T905" s="23" t="str">
        <f>IFERROR((R905*Final[[#This Row],[Valor da Venda Real]]*Final[[#This Row],[Quantidade ]]*S905),"")</f>
        <v/>
      </c>
    </row>
    <row r="906" spans="1:20" ht="15.75" x14ac:dyDescent="0.2">
      <c r="A906">
        <f>COUNTIF($C$2:C906,C906)</f>
        <v>905</v>
      </c>
      <c r="B906" s="1" t="str">
        <f t="shared" si="60"/>
        <v>905</v>
      </c>
      <c r="C906" s="1" t="str">
        <f>IFERROR(VLOOKUP(D906,'Planilha de Cadastro - Previsão'!$A$2:$N$1000,14,FALSE()),"")</f>
        <v/>
      </c>
      <c r="D906" s="1">
        <v>905</v>
      </c>
      <c r="F906" s="40" t="str">
        <f t="shared" si="59"/>
        <v/>
      </c>
      <c r="G906" s="40" t="str">
        <f>IF(F906="","",'Prosposta Inicial'!$O$2)</f>
        <v/>
      </c>
      <c r="H906" s="40" t="str">
        <f t="shared" si="58"/>
        <v xml:space="preserve"> </v>
      </c>
      <c r="I906" s="41" t="str">
        <f>IFERROR((VLOOKUP(F906,'Planilha de Cadastro - Previsão'!$A$2:$N$1100,2,FALSE()))," ")</f>
        <v xml:space="preserve"> </v>
      </c>
      <c r="J906" s="40" t="str">
        <f>IFERROR((VLOOKUP(F906,'Planilha de Cadastro - Previsão'!$A$2:$N$1100,3,FALSE()))," ")</f>
        <v xml:space="preserve"> </v>
      </c>
      <c r="K906" s="40"/>
      <c r="L906" s="42" t="str">
        <f>IFERROR((VLOOKUP(F906,'Planilha de Cadastro - Previsão'!$A$2:$N$1100,11,FALSE()))," ")</f>
        <v xml:space="preserve"> </v>
      </c>
      <c r="M906" s="41" t="str">
        <f>IFERROR((IF(VLOOKUP(F906,'Planilha de Cadastro - Previsão'!$A$2:$N$1100,10,FALSE())="","",VLOOKUP(F906,'Planilha de Cadastro - Previsão'!$A$2:$N$1100,10,FALSE()))),"")</f>
        <v/>
      </c>
      <c r="N906" s="41"/>
      <c r="O906" s="41"/>
      <c r="P906" s="41" t="str">
        <f>IFERROR((IF(VLOOKUP(F906,'Acompanhamento da Licitação'!$F$2:$O$1000,10,FALSE())="","",VLOOKUP(F906,'Acompanhamento da Licitação'!$F$2:$O$1000,10,FALSE()))),"")</f>
        <v/>
      </c>
      <c r="R906" s="61" t="str">
        <f>IFERROR(IF(F906&gt;0,(Final[[#This Row],[Valor da Venda Real]]-Final[[#This Row],[Valor de Compra Previsto]]-4%*Final[[#This Row],[Valor da Venda Real]])/Final[[#This Row],[Valor da Venda Real]],""),"")</f>
        <v/>
      </c>
      <c r="S906" s="61" t="str">
        <f t="shared" si="61"/>
        <v/>
      </c>
      <c r="T906" s="23" t="str">
        <f>IFERROR((R906*Final[[#This Row],[Valor da Venda Real]]*Final[[#This Row],[Quantidade ]]*S906),"")</f>
        <v/>
      </c>
    </row>
    <row r="907" spans="1:20" ht="15.75" x14ac:dyDescent="0.2">
      <c r="A907">
        <f>COUNTIF($C$2:C907,C907)</f>
        <v>906</v>
      </c>
      <c r="B907" s="1" t="str">
        <f t="shared" si="60"/>
        <v>906</v>
      </c>
      <c r="C907" s="1" t="str">
        <f>IFERROR(VLOOKUP(D907,'Planilha de Cadastro - Previsão'!$A$2:$N$1000,14,FALSE()),"")</f>
        <v/>
      </c>
      <c r="D907" s="1">
        <v>906</v>
      </c>
      <c r="F907" s="40" t="str">
        <f t="shared" si="59"/>
        <v/>
      </c>
      <c r="G907" s="40" t="str">
        <f>IF(F907="","",'Prosposta Inicial'!$O$2)</f>
        <v/>
      </c>
      <c r="H907" s="40" t="str">
        <f t="shared" si="58"/>
        <v xml:space="preserve"> </v>
      </c>
      <c r="I907" s="41" t="str">
        <f>IFERROR((VLOOKUP(F907,'Planilha de Cadastro - Previsão'!$A$2:$N$1100,2,FALSE()))," ")</f>
        <v xml:space="preserve"> </v>
      </c>
      <c r="J907" s="40" t="str">
        <f>IFERROR((VLOOKUP(F907,'Planilha de Cadastro - Previsão'!$A$2:$N$1100,3,FALSE()))," ")</f>
        <v xml:space="preserve"> </v>
      </c>
      <c r="K907" s="40"/>
      <c r="L907" s="42" t="str">
        <f>IFERROR((VLOOKUP(F907,'Planilha de Cadastro - Previsão'!$A$2:$N$1100,11,FALSE()))," ")</f>
        <v xml:space="preserve"> </v>
      </c>
      <c r="M907" s="41" t="str">
        <f>IFERROR((IF(VLOOKUP(F907,'Planilha de Cadastro - Previsão'!$A$2:$N$1100,10,FALSE())="","",VLOOKUP(F907,'Planilha de Cadastro - Previsão'!$A$2:$N$1100,10,FALSE()))),"")</f>
        <v/>
      </c>
      <c r="N907" s="41"/>
      <c r="O907" s="41"/>
      <c r="P907" s="41" t="str">
        <f>IFERROR((IF(VLOOKUP(F907,'Acompanhamento da Licitação'!$F$2:$O$1000,10,FALSE())="","",VLOOKUP(F907,'Acompanhamento da Licitação'!$F$2:$O$1000,10,FALSE()))),"")</f>
        <v/>
      </c>
      <c r="R907" s="61" t="str">
        <f>IFERROR(IF(F907&gt;0,(Final[[#This Row],[Valor da Venda Real]]-Final[[#This Row],[Valor de Compra Previsto]]-4%*Final[[#This Row],[Valor da Venda Real]])/Final[[#This Row],[Valor da Venda Real]],""),"")</f>
        <v/>
      </c>
      <c r="S907" s="61" t="str">
        <f t="shared" si="61"/>
        <v/>
      </c>
      <c r="T907" s="23" t="str">
        <f>IFERROR((R907*Final[[#This Row],[Valor da Venda Real]]*Final[[#This Row],[Quantidade ]]*S907),"")</f>
        <v/>
      </c>
    </row>
    <row r="908" spans="1:20" ht="15.75" x14ac:dyDescent="0.2">
      <c r="A908">
        <f>COUNTIF($C$2:C908,C908)</f>
        <v>907</v>
      </c>
      <c r="B908" s="1" t="str">
        <f t="shared" si="60"/>
        <v>907</v>
      </c>
      <c r="C908" s="1" t="str">
        <f>IFERROR(VLOOKUP(D908,'Planilha de Cadastro - Previsão'!$A$2:$N$1000,14,FALSE()),"")</f>
        <v/>
      </c>
      <c r="D908" s="1">
        <v>907</v>
      </c>
      <c r="F908" s="40" t="str">
        <f t="shared" si="59"/>
        <v/>
      </c>
      <c r="G908" s="40" t="str">
        <f>IF(F908="","",'Prosposta Inicial'!$O$2)</f>
        <v/>
      </c>
      <c r="H908" s="40" t="str">
        <f t="shared" si="58"/>
        <v xml:space="preserve"> </v>
      </c>
      <c r="I908" s="41" t="str">
        <f>IFERROR((VLOOKUP(F908,'Planilha de Cadastro - Previsão'!$A$2:$N$1100,2,FALSE()))," ")</f>
        <v xml:space="preserve"> </v>
      </c>
      <c r="J908" s="40" t="str">
        <f>IFERROR((VLOOKUP(F908,'Planilha de Cadastro - Previsão'!$A$2:$N$1100,3,FALSE()))," ")</f>
        <v xml:space="preserve"> </v>
      </c>
      <c r="K908" s="40"/>
      <c r="L908" s="42" t="str">
        <f>IFERROR((VLOOKUP(F908,'Planilha de Cadastro - Previsão'!$A$2:$N$1100,11,FALSE()))," ")</f>
        <v xml:space="preserve"> </v>
      </c>
      <c r="M908" s="41" t="str">
        <f>IFERROR((IF(VLOOKUP(F908,'Planilha de Cadastro - Previsão'!$A$2:$N$1100,10,FALSE())="","",VLOOKUP(F908,'Planilha de Cadastro - Previsão'!$A$2:$N$1100,10,FALSE()))),"")</f>
        <v/>
      </c>
      <c r="N908" s="41"/>
      <c r="O908" s="41"/>
      <c r="P908" s="41" t="str">
        <f>IFERROR((IF(VLOOKUP(F908,'Acompanhamento da Licitação'!$F$2:$O$1000,10,FALSE())="","",VLOOKUP(F908,'Acompanhamento da Licitação'!$F$2:$O$1000,10,FALSE()))),"")</f>
        <v/>
      </c>
      <c r="R908" s="61" t="str">
        <f>IFERROR(IF(F908&gt;0,(Final[[#This Row],[Valor da Venda Real]]-Final[[#This Row],[Valor de Compra Previsto]]-4%*Final[[#This Row],[Valor da Venda Real]])/Final[[#This Row],[Valor da Venda Real]],""),"")</f>
        <v/>
      </c>
      <c r="S908" s="61" t="str">
        <f t="shared" si="61"/>
        <v/>
      </c>
      <c r="T908" s="23" t="str">
        <f>IFERROR((R908*Final[[#This Row],[Valor da Venda Real]]*Final[[#This Row],[Quantidade ]]*S908),"")</f>
        <v/>
      </c>
    </row>
    <row r="909" spans="1:20" ht="15.75" x14ac:dyDescent="0.2">
      <c r="A909">
        <f>COUNTIF($C$2:C909,C909)</f>
        <v>908</v>
      </c>
      <c r="B909" s="1" t="str">
        <f t="shared" si="60"/>
        <v>908</v>
      </c>
      <c r="C909" s="1" t="str">
        <f>IFERROR(VLOOKUP(D909,'Planilha de Cadastro - Previsão'!$A$2:$N$1000,14,FALSE()),"")</f>
        <v/>
      </c>
      <c r="D909" s="1">
        <v>908</v>
      </c>
      <c r="F909" s="40" t="str">
        <f t="shared" si="59"/>
        <v/>
      </c>
      <c r="G909" s="40" t="str">
        <f>IF(F909="","",'Prosposta Inicial'!$O$2)</f>
        <v/>
      </c>
      <c r="H909" s="40" t="str">
        <f t="shared" si="58"/>
        <v xml:space="preserve"> </v>
      </c>
      <c r="I909" s="41" t="str">
        <f>IFERROR((VLOOKUP(F909,'Planilha de Cadastro - Previsão'!$A$2:$N$1100,2,FALSE()))," ")</f>
        <v xml:space="preserve"> </v>
      </c>
      <c r="J909" s="40" t="str">
        <f>IFERROR((VLOOKUP(F909,'Planilha de Cadastro - Previsão'!$A$2:$N$1100,3,FALSE()))," ")</f>
        <v xml:space="preserve"> </v>
      </c>
      <c r="K909" s="40"/>
      <c r="L909" s="42" t="str">
        <f>IFERROR((VLOOKUP(F909,'Planilha de Cadastro - Previsão'!$A$2:$N$1100,11,FALSE()))," ")</f>
        <v xml:space="preserve"> </v>
      </c>
      <c r="M909" s="41" t="str">
        <f>IFERROR((IF(VLOOKUP(F909,'Planilha de Cadastro - Previsão'!$A$2:$N$1100,10,FALSE())="","",VLOOKUP(F909,'Planilha de Cadastro - Previsão'!$A$2:$N$1100,10,FALSE()))),"")</f>
        <v/>
      </c>
      <c r="N909" s="41"/>
      <c r="O909" s="41"/>
      <c r="P909" s="41" t="str">
        <f>IFERROR((IF(VLOOKUP(F909,'Acompanhamento da Licitação'!$F$2:$O$1000,10,FALSE())="","",VLOOKUP(F909,'Acompanhamento da Licitação'!$F$2:$O$1000,10,FALSE()))),"")</f>
        <v/>
      </c>
      <c r="R909" s="61" t="str">
        <f>IFERROR(IF(F909&gt;0,(Final[[#This Row],[Valor da Venda Real]]-Final[[#This Row],[Valor de Compra Previsto]]-4%*Final[[#This Row],[Valor da Venda Real]])/Final[[#This Row],[Valor da Venda Real]],""),"")</f>
        <v/>
      </c>
      <c r="S909" s="61" t="str">
        <f t="shared" si="61"/>
        <v/>
      </c>
      <c r="T909" s="23" t="str">
        <f>IFERROR((R909*Final[[#This Row],[Valor da Venda Real]]*Final[[#This Row],[Quantidade ]]*S909),"")</f>
        <v/>
      </c>
    </row>
    <row r="910" spans="1:20" ht="15.75" x14ac:dyDescent="0.2">
      <c r="A910">
        <f>COUNTIF($C$2:C910,C910)</f>
        <v>909</v>
      </c>
      <c r="B910" s="1" t="str">
        <f t="shared" si="60"/>
        <v>909</v>
      </c>
      <c r="C910" s="1" t="str">
        <f>IFERROR(VLOOKUP(D910,'Planilha de Cadastro - Previsão'!$A$2:$N$1000,14,FALSE()),"")</f>
        <v/>
      </c>
      <c r="D910" s="1">
        <v>909</v>
      </c>
      <c r="F910" s="40" t="str">
        <f t="shared" si="59"/>
        <v/>
      </c>
      <c r="G910" s="40" t="str">
        <f>IF(F910="","",'Prosposta Inicial'!$O$2)</f>
        <v/>
      </c>
      <c r="H910" s="40" t="str">
        <f t="shared" si="58"/>
        <v xml:space="preserve"> </v>
      </c>
      <c r="I910" s="41" t="str">
        <f>IFERROR((VLOOKUP(F910,'Planilha de Cadastro - Previsão'!$A$2:$N$1100,2,FALSE()))," ")</f>
        <v xml:space="preserve"> </v>
      </c>
      <c r="J910" s="40" t="str">
        <f>IFERROR((VLOOKUP(F910,'Planilha de Cadastro - Previsão'!$A$2:$N$1100,3,FALSE()))," ")</f>
        <v xml:space="preserve"> </v>
      </c>
      <c r="K910" s="40"/>
      <c r="L910" s="42" t="str">
        <f>IFERROR((VLOOKUP(F910,'Planilha de Cadastro - Previsão'!$A$2:$N$1100,11,FALSE()))," ")</f>
        <v xml:space="preserve"> </v>
      </c>
      <c r="M910" s="41" t="str">
        <f>IFERROR((IF(VLOOKUP(F910,'Planilha de Cadastro - Previsão'!$A$2:$N$1100,10,FALSE())="","",VLOOKUP(F910,'Planilha de Cadastro - Previsão'!$A$2:$N$1100,10,FALSE()))),"")</f>
        <v/>
      </c>
      <c r="N910" s="41"/>
      <c r="O910" s="41"/>
      <c r="P910" s="41" t="str">
        <f>IFERROR((IF(VLOOKUP(F910,'Acompanhamento da Licitação'!$F$2:$O$1000,10,FALSE())="","",VLOOKUP(F910,'Acompanhamento da Licitação'!$F$2:$O$1000,10,FALSE()))),"")</f>
        <v/>
      </c>
      <c r="R910" s="61" t="str">
        <f>IFERROR(IF(F910&gt;0,(Final[[#This Row],[Valor da Venda Real]]-Final[[#This Row],[Valor de Compra Previsto]]-4%*Final[[#This Row],[Valor da Venda Real]])/Final[[#This Row],[Valor da Venda Real]],""),"")</f>
        <v/>
      </c>
      <c r="S910" s="61" t="str">
        <f t="shared" si="61"/>
        <v/>
      </c>
      <c r="T910" s="23" t="str">
        <f>IFERROR((R910*Final[[#This Row],[Valor da Venda Real]]*Final[[#This Row],[Quantidade ]]*S910),"")</f>
        <v/>
      </c>
    </row>
    <row r="911" spans="1:20" ht="15.75" x14ac:dyDescent="0.2">
      <c r="A911">
        <f>COUNTIF($C$2:C911,C911)</f>
        <v>910</v>
      </c>
      <c r="B911" s="1" t="str">
        <f t="shared" si="60"/>
        <v>910</v>
      </c>
      <c r="C911" s="1" t="str">
        <f>IFERROR(VLOOKUP(D911,'Planilha de Cadastro - Previsão'!$A$2:$N$1000,14,FALSE()),"")</f>
        <v/>
      </c>
      <c r="D911" s="1">
        <v>910</v>
      </c>
      <c r="F911" s="40" t="str">
        <f t="shared" si="59"/>
        <v/>
      </c>
      <c r="G911" s="40" t="str">
        <f>IF(F911="","",'Prosposta Inicial'!$O$2)</f>
        <v/>
      </c>
      <c r="H911" s="40" t="str">
        <f t="shared" si="58"/>
        <v xml:space="preserve"> </v>
      </c>
      <c r="I911" s="41" t="str">
        <f>IFERROR((VLOOKUP(F911,'Planilha de Cadastro - Previsão'!$A$2:$N$1100,2,FALSE()))," ")</f>
        <v xml:space="preserve"> </v>
      </c>
      <c r="J911" s="40" t="str">
        <f>IFERROR((VLOOKUP(F911,'Planilha de Cadastro - Previsão'!$A$2:$N$1100,3,FALSE()))," ")</f>
        <v xml:space="preserve"> </v>
      </c>
      <c r="K911" s="40"/>
      <c r="L911" s="42" t="str">
        <f>IFERROR((VLOOKUP(F911,'Planilha de Cadastro - Previsão'!$A$2:$N$1100,11,FALSE()))," ")</f>
        <v xml:space="preserve"> </v>
      </c>
      <c r="M911" s="41" t="str">
        <f>IFERROR((IF(VLOOKUP(F911,'Planilha de Cadastro - Previsão'!$A$2:$N$1100,10,FALSE())="","",VLOOKUP(F911,'Planilha de Cadastro - Previsão'!$A$2:$N$1100,10,FALSE()))),"")</f>
        <v/>
      </c>
      <c r="N911" s="41"/>
      <c r="O911" s="41"/>
      <c r="P911" s="41" t="str">
        <f>IFERROR((IF(VLOOKUP(F911,'Acompanhamento da Licitação'!$F$2:$O$1000,10,FALSE())="","",VLOOKUP(F911,'Acompanhamento da Licitação'!$F$2:$O$1000,10,FALSE()))),"")</f>
        <v/>
      </c>
      <c r="R911" s="61" t="str">
        <f>IFERROR(IF(F911&gt;0,(Final[[#This Row],[Valor da Venda Real]]-Final[[#This Row],[Valor de Compra Previsto]]-4%*Final[[#This Row],[Valor da Venda Real]])/Final[[#This Row],[Valor da Venda Real]],""),"")</f>
        <v/>
      </c>
      <c r="S911" s="61" t="str">
        <f t="shared" si="61"/>
        <v/>
      </c>
      <c r="T911" s="23" t="str">
        <f>IFERROR((R911*Final[[#This Row],[Valor da Venda Real]]*Final[[#This Row],[Quantidade ]]*S911),"")</f>
        <v/>
      </c>
    </row>
    <row r="912" spans="1:20" ht="15.75" x14ac:dyDescent="0.2">
      <c r="A912">
        <f>COUNTIF($C$2:C912,C912)</f>
        <v>911</v>
      </c>
      <c r="B912" s="1" t="str">
        <f t="shared" si="60"/>
        <v>911</v>
      </c>
      <c r="C912" s="1" t="str">
        <f>IFERROR(VLOOKUP(D912,'Planilha de Cadastro - Previsão'!$A$2:$N$1000,14,FALSE()),"")</f>
        <v/>
      </c>
      <c r="D912" s="1">
        <v>911</v>
      </c>
      <c r="F912" s="40" t="str">
        <f t="shared" si="59"/>
        <v/>
      </c>
      <c r="G912" s="40" t="str">
        <f>IF(F912="","",'Prosposta Inicial'!$O$2)</f>
        <v/>
      </c>
      <c r="H912" s="40" t="str">
        <f t="shared" si="58"/>
        <v xml:space="preserve"> </v>
      </c>
      <c r="I912" s="41" t="str">
        <f>IFERROR((VLOOKUP(F912,'Planilha de Cadastro - Previsão'!$A$2:$N$1100,2,FALSE()))," ")</f>
        <v xml:space="preserve"> </v>
      </c>
      <c r="J912" s="40" t="str">
        <f>IFERROR((VLOOKUP(F912,'Planilha de Cadastro - Previsão'!$A$2:$N$1100,3,FALSE()))," ")</f>
        <v xml:space="preserve"> </v>
      </c>
      <c r="K912" s="40"/>
      <c r="L912" s="42" t="str">
        <f>IFERROR((VLOOKUP(F912,'Planilha de Cadastro - Previsão'!$A$2:$N$1100,11,FALSE()))," ")</f>
        <v xml:space="preserve"> </v>
      </c>
      <c r="M912" s="41" t="str">
        <f>IFERROR((IF(VLOOKUP(F912,'Planilha de Cadastro - Previsão'!$A$2:$N$1100,10,FALSE())="","",VLOOKUP(F912,'Planilha de Cadastro - Previsão'!$A$2:$N$1100,10,FALSE()))),"")</f>
        <v/>
      </c>
      <c r="N912" s="41"/>
      <c r="O912" s="41"/>
      <c r="P912" s="41" t="str">
        <f>IFERROR((IF(VLOOKUP(F912,'Acompanhamento da Licitação'!$F$2:$O$1000,10,FALSE())="","",VLOOKUP(F912,'Acompanhamento da Licitação'!$F$2:$O$1000,10,FALSE()))),"")</f>
        <v/>
      </c>
      <c r="R912" s="61" t="str">
        <f>IFERROR(IF(F912&gt;0,(Final[[#This Row],[Valor da Venda Real]]-Final[[#This Row],[Valor de Compra Previsto]]-4%*Final[[#This Row],[Valor da Venda Real]])/Final[[#This Row],[Valor da Venda Real]],""),"")</f>
        <v/>
      </c>
      <c r="S912" s="61" t="str">
        <f t="shared" si="61"/>
        <v/>
      </c>
      <c r="T912" s="23" t="str">
        <f>IFERROR((R912*Final[[#This Row],[Valor da Venda Real]]*Final[[#This Row],[Quantidade ]]*S912),"")</f>
        <v/>
      </c>
    </row>
    <row r="913" spans="1:20" ht="15.75" x14ac:dyDescent="0.2">
      <c r="A913">
        <f>COUNTIF($C$2:C913,C913)</f>
        <v>912</v>
      </c>
      <c r="B913" s="1" t="str">
        <f t="shared" si="60"/>
        <v>912</v>
      </c>
      <c r="C913" s="1" t="str">
        <f>IFERROR(VLOOKUP(D913,'Planilha de Cadastro - Previsão'!$A$2:$N$1000,14,FALSE()),"")</f>
        <v/>
      </c>
      <c r="D913" s="1">
        <v>912</v>
      </c>
      <c r="F913" s="40" t="str">
        <f t="shared" si="59"/>
        <v/>
      </c>
      <c r="G913" s="40" t="str">
        <f>IF(F913="","",'Prosposta Inicial'!$O$2)</f>
        <v/>
      </c>
      <c r="H913" s="40" t="str">
        <f t="shared" si="58"/>
        <v xml:space="preserve"> </v>
      </c>
      <c r="I913" s="41" t="str">
        <f>IFERROR((VLOOKUP(F913,'Planilha de Cadastro - Previsão'!$A$2:$N$1100,2,FALSE()))," ")</f>
        <v xml:space="preserve"> </v>
      </c>
      <c r="J913" s="40" t="str">
        <f>IFERROR((VLOOKUP(F913,'Planilha de Cadastro - Previsão'!$A$2:$N$1100,3,FALSE()))," ")</f>
        <v xml:space="preserve"> </v>
      </c>
      <c r="K913" s="40"/>
      <c r="L913" s="42" t="str">
        <f>IFERROR((VLOOKUP(F913,'Planilha de Cadastro - Previsão'!$A$2:$N$1100,11,FALSE()))," ")</f>
        <v xml:space="preserve"> </v>
      </c>
      <c r="M913" s="41" t="str">
        <f>IFERROR((IF(VLOOKUP(F913,'Planilha de Cadastro - Previsão'!$A$2:$N$1100,10,FALSE())="","",VLOOKUP(F913,'Planilha de Cadastro - Previsão'!$A$2:$N$1100,10,FALSE()))),"")</f>
        <v/>
      </c>
      <c r="N913" s="41"/>
      <c r="O913" s="41"/>
      <c r="P913" s="41" t="str">
        <f>IFERROR((IF(VLOOKUP(F913,'Acompanhamento da Licitação'!$F$2:$O$1000,10,FALSE())="","",VLOOKUP(F913,'Acompanhamento da Licitação'!$F$2:$O$1000,10,FALSE()))),"")</f>
        <v/>
      </c>
      <c r="R913" s="61" t="str">
        <f>IFERROR(IF(F913&gt;0,(Final[[#This Row],[Valor da Venda Real]]-Final[[#This Row],[Valor de Compra Previsto]]-4%*Final[[#This Row],[Valor da Venda Real]])/Final[[#This Row],[Valor da Venda Real]],""),"")</f>
        <v/>
      </c>
      <c r="S913" s="61" t="str">
        <f t="shared" si="61"/>
        <v/>
      </c>
      <c r="T913" s="23" t="str">
        <f>IFERROR((R913*Final[[#This Row],[Valor da Venda Real]]*Final[[#This Row],[Quantidade ]]*S913),"")</f>
        <v/>
      </c>
    </row>
    <row r="914" spans="1:20" ht="15.75" x14ac:dyDescent="0.2">
      <c r="A914">
        <f>COUNTIF($C$2:C914,C914)</f>
        <v>913</v>
      </c>
      <c r="B914" s="1" t="str">
        <f t="shared" si="60"/>
        <v>913</v>
      </c>
      <c r="C914" s="1" t="str">
        <f>IFERROR(VLOOKUP(D914,'Planilha de Cadastro - Previsão'!$A$2:$N$1000,14,FALSE()),"")</f>
        <v/>
      </c>
      <c r="D914" s="1">
        <v>913</v>
      </c>
      <c r="F914" s="40" t="str">
        <f t="shared" si="59"/>
        <v/>
      </c>
      <c r="G914" s="40" t="str">
        <f>IF(F914="","",'Prosposta Inicial'!$O$2)</f>
        <v/>
      </c>
      <c r="H914" s="40" t="str">
        <f t="shared" si="58"/>
        <v xml:space="preserve"> </v>
      </c>
      <c r="I914" s="41" t="str">
        <f>IFERROR((VLOOKUP(F914,'Planilha de Cadastro - Previsão'!$A$2:$N$1100,2,FALSE()))," ")</f>
        <v xml:space="preserve"> </v>
      </c>
      <c r="J914" s="40" t="str">
        <f>IFERROR((VLOOKUP(F914,'Planilha de Cadastro - Previsão'!$A$2:$N$1100,3,FALSE()))," ")</f>
        <v xml:space="preserve"> </v>
      </c>
      <c r="K914" s="40"/>
      <c r="L914" s="42" t="str">
        <f>IFERROR((VLOOKUP(F914,'Planilha de Cadastro - Previsão'!$A$2:$N$1100,11,FALSE()))," ")</f>
        <v xml:space="preserve"> </v>
      </c>
      <c r="M914" s="41" t="str">
        <f>IFERROR((IF(VLOOKUP(F914,'Planilha de Cadastro - Previsão'!$A$2:$N$1100,10,FALSE())="","",VLOOKUP(F914,'Planilha de Cadastro - Previsão'!$A$2:$N$1100,10,FALSE()))),"")</f>
        <v/>
      </c>
      <c r="N914" s="41"/>
      <c r="O914" s="41"/>
      <c r="P914" s="41" t="str">
        <f>IFERROR((IF(VLOOKUP(F914,'Acompanhamento da Licitação'!$F$2:$O$1000,10,FALSE())="","",VLOOKUP(F914,'Acompanhamento da Licitação'!$F$2:$O$1000,10,FALSE()))),"")</f>
        <v/>
      </c>
      <c r="R914" s="61" t="str">
        <f>IFERROR(IF(F914&gt;0,(Final[[#This Row],[Valor da Venda Real]]-Final[[#This Row],[Valor de Compra Previsto]]-4%*Final[[#This Row],[Valor da Venda Real]])/Final[[#This Row],[Valor da Venda Real]],""),"")</f>
        <v/>
      </c>
      <c r="S914" s="61" t="str">
        <f t="shared" si="61"/>
        <v/>
      </c>
      <c r="T914" s="23" t="str">
        <f>IFERROR((R914*Final[[#This Row],[Valor da Venda Real]]*Final[[#This Row],[Quantidade ]]*S914),"")</f>
        <v/>
      </c>
    </row>
    <row r="915" spans="1:20" ht="15.75" x14ac:dyDescent="0.2">
      <c r="A915">
        <f>COUNTIF($C$2:C915,C915)</f>
        <v>914</v>
      </c>
      <c r="B915" s="1" t="str">
        <f t="shared" si="60"/>
        <v>914</v>
      </c>
      <c r="C915" s="1" t="str">
        <f>IFERROR(VLOOKUP(D915,'Planilha de Cadastro - Previsão'!$A$2:$N$1000,14,FALSE()),"")</f>
        <v/>
      </c>
      <c r="D915" s="1">
        <v>914</v>
      </c>
      <c r="F915" s="40" t="str">
        <f t="shared" si="59"/>
        <v/>
      </c>
      <c r="G915" s="40" t="str">
        <f>IF(F915="","",'Prosposta Inicial'!$O$2)</f>
        <v/>
      </c>
      <c r="H915" s="40" t="str">
        <f t="shared" si="58"/>
        <v xml:space="preserve"> </v>
      </c>
      <c r="I915" s="41" t="str">
        <f>IFERROR((VLOOKUP(F915,'Planilha de Cadastro - Previsão'!$A$2:$N$1100,2,FALSE()))," ")</f>
        <v xml:space="preserve"> </v>
      </c>
      <c r="J915" s="40" t="str">
        <f>IFERROR((VLOOKUP(F915,'Planilha de Cadastro - Previsão'!$A$2:$N$1100,3,FALSE()))," ")</f>
        <v xml:space="preserve"> </v>
      </c>
      <c r="K915" s="40"/>
      <c r="L915" s="42" t="str">
        <f>IFERROR((VLOOKUP(F915,'Planilha de Cadastro - Previsão'!$A$2:$N$1100,11,FALSE()))," ")</f>
        <v xml:space="preserve"> </v>
      </c>
      <c r="M915" s="41" t="str">
        <f>IFERROR((IF(VLOOKUP(F915,'Planilha de Cadastro - Previsão'!$A$2:$N$1100,10,FALSE())="","",VLOOKUP(F915,'Planilha de Cadastro - Previsão'!$A$2:$N$1100,10,FALSE()))),"")</f>
        <v/>
      </c>
      <c r="N915" s="41"/>
      <c r="O915" s="41"/>
      <c r="P915" s="41" t="str">
        <f>IFERROR((IF(VLOOKUP(F915,'Acompanhamento da Licitação'!$F$2:$O$1000,10,FALSE())="","",VLOOKUP(F915,'Acompanhamento da Licitação'!$F$2:$O$1000,10,FALSE()))),"")</f>
        <v/>
      </c>
      <c r="R915" s="61" t="str">
        <f>IFERROR(IF(F915&gt;0,(Final[[#This Row],[Valor da Venda Real]]-Final[[#This Row],[Valor de Compra Previsto]]-4%*Final[[#This Row],[Valor da Venda Real]])/Final[[#This Row],[Valor da Venda Real]],""),"")</f>
        <v/>
      </c>
      <c r="S915" s="61" t="str">
        <f t="shared" si="61"/>
        <v/>
      </c>
      <c r="T915" s="23" t="str">
        <f>IFERROR((R915*Final[[#This Row],[Valor da Venda Real]]*Final[[#This Row],[Quantidade ]]*S915),"")</f>
        <v/>
      </c>
    </row>
    <row r="916" spans="1:20" ht="15.75" x14ac:dyDescent="0.2">
      <c r="A916">
        <f>COUNTIF($C$2:C916,C916)</f>
        <v>915</v>
      </c>
      <c r="B916" s="1" t="str">
        <f t="shared" si="60"/>
        <v>915</v>
      </c>
      <c r="C916" s="1" t="str">
        <f>IFERROR(VLOOKUP(D916,'Planilha de Cadastro - Previsão'!$A$2:$N$1000,14,FALSE()),"")</f>
        <v/>
      </c>
      <c r="D916" s="1">
        <v>915</v>
      </c>
      <c r="F916" s="40" t="str">
        <f t="shared" si="59"/>
        <v/>
      </c>
      <c r="G916" s="40" t="str">
        <f>IF(F916="","",'Prosposta Inicial'!$O$2)</f>
        <v/>
      </c>
      <c r="H916" s="40" t="str">
        <f t="shared" si="58"/>
        <v xml:space="preserve"> </v>
      </c>
      <c r="I916" s="41" t="str">
        <f>IFERROR((VLOOKUP(F916,'Planilha de Cadastro - Previsão'!$A$2:$N$1100,2,FALSE()))," ")</f>
        <v xml:space="preserve"> </v>
      </c>
      <c r="J916" s="40" t="str">
        <f>IFERROR((VLOOKUP(F916,'Planilha de Cadastro - Previsão'!$A$2:$N$1100,3,FALSE()))," ")</f>
        <v xml:space="preserve"> </v>
      </c>
      <c r="K916" s="40"/>
      <c r="L916" s="42" t="str">
        <f>IFERROR((VLOOKUP(F916,'Planilha de Cadastro - Previsão'!$A$2:$N$1100,11,FALSE()))," ")</f>
        <v xml:space="preserve"> </v>
      </c>
      <c r="M916" s="41" t="str">
        <f>IFERROR((IF(VLOOKUP(F916,'Planilha de Cadastro - Previsão'!$A$2:$N$1100,10,FALSE())="","",VLOOKUP(F916,'Planilha de Cadastro - Previsão'!$A$2:$N$1100,10,FALSE()))),"")</f>
        <v/>
      </c>
      <c r="N916" s="41"/>
      <c r="O916" s="41"/>
      <c r="P916" s="41" t="str">
        <f>IFERROR((IF(VLOOKUP(F916,'Acompanhamento da Licitação'!$F$2:$O$1000,10,FALSE())="","",VLOOKUP(F916,'Acompanhamento da Licitação'!$F$2:$O$1000,10,FALSE()))),"")</f>
        <v/>
      </c>
      <c r="R916" s="61" t="str">
        <f>IFERROR(IF(F916&gt;0,(Final[[#This Row],[Valor da Venda Real]]-Final[[#This Row],[Valor de Compra Previsto]]-4%*Final[[#This Row],[Valor da Venda Real]])/Final[[#This Row],[Valor da Venda Real]],""),"")</f>
        <v/>
      </c>
      <c r="S916" s="61" t="str">
        <f t="shared" si="61"/>
        <v/>
      </c>
      <c r="T916" s="23" t="str">
        <f>IFERROR((R916*Final[[#This Row],[Valor da Venda Real]]*Final[[#This Row],[Quantidade ]]*S916),"")</f>
        <v/>
      </c>
    </row>
    <row r="917" spans="1:20" ht="15.75" x14ac:dyDescent="0.2">
      <c r="A917">
        <f>COUNTIF($C$2:C917,C917)</f>
        <v>916</v>
      </c>
      <c r="B917" s="1" t="str">
        <f t="shared" si="60"/>
        <v>916</v>
      </c>
      <c r="C917" s="1" t="str">
        <f>IFERROR(VLOOKUP(D917,'Planilha de Cadastro - Previsão'!$A$2:$N$1000,14,FALSE()),"")</f>
        <v/>
      </c>
      <c r="D917" s="1">
        <v>916</v>
      </c>
      <c r="F917" s="40" t="str">
        <f t="shared" si="59"/>
        <v/>
      </c>
      <c r="G917" s="40" t="str">
        <f>IF(F917="","",'Prosposta Inicial'!$O$2)</f>
        <v/>
      </c>
      <c r="H917" s="40" t="str">
        <f t="shared" si="58"/>
        <v xml:space="preserve"> </v>
      </c>
      <c r="I917" s="41" t="str">
        <f>IFERROR((VLOOKUP(F917,'Planilha de Cadastro - Previsão'!$A$2:$N$1100,2,FALSE()))," ")</f>
        <v xml:space="preserve"> </v>
      </c>
      <c r="J917" s="40" t="str">
        <f>IFERROR((VLOOKUP(F917,'Planilha de Cadastro - Previsão'!$A$2:$N$1100,3,FALSE()))," ")</f>
        <v xml:space="preserve"> </v>
      </c>
      <c r="K917" s="40"/>
      <c r="L917" s="42" t="str">
        <f>IFERROR((VLOOKUP(F917,'Planilha de Cadastro - Previsão'!$A$2:$N$1100,11,FALSE()))," ")</f>
        <v xml:space="preserve"> </v>
      </c>
      <c r="M917" s="41" t="str">
        <f>IFERROR((IF(VLOOKUP(F917,'Planilha de Cadastro - Previsão'!$A$2:$N$1100,10,FALSE())="","",VLOOKUP(F917,'Planilha de Cadastro - Previsão'!$A$2:$N$1100,10,FALSE()))),"")</f>
        <v/>
      </c>
      <c r="N917" s="41"/>
      <c r="O917" s="41"/>
      <c r="P917" s="41" t="str">
        <f>IFERROR((IF(VLOOKUP(F917,'Acompanhamento da Licitação'!$F$2:$O$1000,10,FALSE())="","",VLOOKUP(F917,'Acompanhamento da Licitação'!$F$2:$O$1000,10,FALSE()))),"")</f>
        <v/>
      </c>
      <c r="R917" s="61" t="str">
        <f>IFERROR(IF(F917&gt;0,(Final[[#This Row],[Valor da Venda Real]]-Final[[#This Row],[Valor de Compra Previsto]]-4%*Final[[#This Row],[Valor da Venda Real]])/Final[[#This Row],[Valor da Venda Real]],""),"")</f>
        <v/>
      </c>
      <c r="S917" s="61" t="str">
        <f t="shared" si="61"/>
        <v/>
      </c>
      <c r="T917" s="23" t="str">
        <f>IFERROR((R917*Final[[#This Row],[Valor da Venda Real]]*Final[[#This Row],[Quantidade ]]*S917),"")</f>
        <v/>
      </c>
    </row>
    <row r="918" spans="1:20" ht="15.75" x14ac:dyDescent="0.2">
      <c r="A918">
        <f>COUNTIF($C$2:C918,C918)</f>
        <v>917</v>
      </c>
      <c r="B918" s="1" t="str">
        <f t="shared" si="60"/>
        <v>917</v>
      </c>
      <c r="C918" s="1" t="str">
        <f>IFERROR(VLOOKUP(D918,'Planilha de Cadastro - Previsão'!$A$2:$N$1000,14,FALSE()),"")</f>
        <v/>
      </c>
      <c r="D918" s="1">
        <v>917</v>
      </c>
      <c r="F918" s="40" t="str">
        <f t="shared" si="59"/>
        <v/>
      </c>
      <c r="G918" s="40" t="str">
        <f>IF(F918="","",'Prosposta Inicial'!$O$2)</f>
        <v/>
      </c>
      <c r="H918" s="40" t="str">
        <f t="shared" si="58"/>
        <v xml:space="preserve"> </v>
      </c>
      <c r="I918" s="41" t="str">
        <f>IFERROR((VLOOKUP(F918,'Planilha de Cadastro - Previsão'!$A$2:$N$1100,2,FALSE()))," ")</f>
        <v xml:space="preserve"> </v>
      </c>
      <c r="J918" s="40" t="str">
        <f>IFERROR((VLOOKUP(F918,'Planilha de Cadastro - Previsão'!$A$2:$N$1100,3,FALSE()))," ")</f>
        <v xml:space="preserve"> </v>
      </c>
      <c r="K918" s="40"/>
      <c r="L918" s="42" t="str">
        <f>IFERROR((VLOOKUP(F918,'Planilha de Cadastro - Previsão'!$A$2:$N$1100,11,FALSE()))," ")</f>
        <v xml:space="preserve"> </v>
      </c>
      <c r="M918" s="41" t="str">
        <f>IFERROR((IF(VLOOKUP(F918,'Planilha de Cadastro - Previsão'!$A$2:$N$1100,10,FALSE())="","",VLOOKUP(F918,'Planilha de Cadastro - Previsão'!$A$2:$N$1100,10,FALSE()))),"")</f>
        <v/>
      </c>
      <c r="N918" s="41"/>
      <c r="O918" s="41"/>
      <c r="P918" s="41" t="str">
        <f>IFERROR((IF(VLOOKUP(F918,'Acompanhamento da Licitação'!$F$2:$O$1000,10,FALSE())="","",VLOOKUP(F918,'Acompanhamento da Licitação'!$F$2:$O$1000,10,FALSE()))),"")</f>
        <v/>
      </c>
      <c r="R918" s="61" t="str">
        <f>IFERROR(IF(F918&gt;0,(Final[[#This Row],[Valor da Venda Real]]-Final[[#This Row],[Valor de Compra Previsto]]-4%*Final[[#This Row],[Valor da Venda Real]])/Final[[#This Row],[Valor da Venda Real]],""),"")</f>
        <v/>
      </c>
      <c r="S918" s="61" t="str">
        <f t="shared" si="61"/>
        <v/>
      </c>
      <c r="T918" s="23" t="str">
        <f>IFERROR((R918*Final[[#This Row],[Valor da Venda Real]]*Final[[#This Row],[Quantidade ]]*S918),"")</f>
        <v/>
      </c>
    </row>
    <row r="919" spans="1:20" ht="15.75" x14ac:dyDescent="0.2">
      <c r="A919">
        <f>COUNTIF($C$2:C919,C919)</f>
        <v>918</v>
      </c>
      <c r="B919" s="1" t="str">
        <f t="shared" si="60"/>
        <v>918</v>
      </c>
      <c r="C919" s="1" t="str">
        <f>IFERROR(VLOOKUP(D919,'Planilha de Cadastro - Previsão'!$A$2:$N$1000,14,FALSE()),"")</f>
        <v/>
      </c>
      <c r="D919" s="1">
        <v>918</v>
      </c>
      <c r="F919" s="40" t="str">
        <f t="shared" si="59"/>
        <v/>
      </c>
      <c r="G919" s="40" t="str">
        <f>IF(F919="","",'Prosposta Inicial'!$O$2)</f>
        <v/>
      </c>
      <c r="H919" s="40" t="str">
        <f t="shared" si="58"/>
        <v xml:space="preserve"> </v>
      </c>
      <c r="I919" s="41" t="str">
        <f>IFERROR((VLOOKUP(F919,'Planilha de Cadastro - Previsão'!$A$2:$N$1100,2,FALSE()))," ")</f>
        <v xml:space="preserve"> </v>
      </c>
      <c r="J919" s="40" t="str">
        <f>IFERROR((VLOOKUP(F919,'Planilha de Cadastro - Previsão'!$A$2:$N$1100,3,FALSE()))," ")</f>
        <v xml:space="preserve"> </v>
      </c>
      <c r="K919" s="40"/>
      <c r="L919" s="42" t="str">
        <f>IFERROR((VLOOKUP(F919,'Planilha de Cadastro - Previsão'!$A$2:$N$1100,11,FALSE()))," ")</f>
        <v xml:space="preserve"> </v>
      </c>
      <c r="M919" s="41" t="str">
        <f>IFERROR((IF(VLOOKUP(F919,'Planilha de Cadastro - Previsão'!$A$2:$N$1100,10,FALSE())="","",VLOOKUP(F919,'Planilha de Cadastro - Previsão'!$A$2:$N$1100,10,FALSE()))),"")</f>
        <v/>
      </c>
      <c r="N919" s="41"/>
      <c r="O919" s="41"/>
      <c r="P919" s="41" t="str">
        <f>IFERROR((IF(VLOOKUP(F919,'Acompanhamento da Licitação'!$F$2:$O$1000,10,FALSE())="","",VLOOKUP(F919,'Acompanhamento da Licitação'!$F$2:$O$1000,10,FALSE()))),"")</f>
        <v/>
      </c>
      <c r="R919" s="61" t="str">
        <f>IFERROR(IF(F919&gt;0,(Final[[#This Row],[Valor da Venda Real]]-Final[[#This Row],[Valor de Compra Previsto]]-4%*Final[[#This Row],[Valor da Venda Real]])/Final[[#This Row],[Valor da Venda Real]],""),"")</f>
        <v/>
      </c>
      <c r="S919" s="61" t="str">
        <f t="shared" si="61"/>
        <v/>
      </c>
      <c r="T919" s="23" t="str">
        <f>IFERROR((R919*Final[[#This Row],[Valor da Venda Real]]*Final[[#This Row],[Quantidade ]]*S919),"")</f>
        <v/>
      </c>
    </row>
    <row r="920" spans="1:20" ht="15.75" x14ac:dyDescent="0.2">
      <c r="A920">
        <f>COUNTIF($C$2:C920,C920)</f>
        <v>919</v>
      </c>
      <c r="B920" s="1" t="str">
        <f t="shared" si="60"/>
        <v>919</v>
      </c>
      <c r="C920" s="1" t="str">
        <f>IFERROR(VLOOKUP(D920,'Planilha de Cadastro - Previsão'!$A$2:$N$1000,14,FALSE()),"")</f>
        <v/>
      </c>
      <c r="D920" s="1">
        <v>919</v>
      </c>
      <c r="F920" s="40" t="str">
        <f t="shared" si="59"/>
        <v/>
      </c>
      <c r="G920" s="40" t="str">
        <f>IF(F920="","",'Prosposta Inicial'!$O$2)</f>
        <v/>
      </c>
      <c r="H920" s="40" t="str">
        <f t="shared" si="58"/>
        <v xml:space="preserve"> </v>
      </c>
      <c r="I920" s="41" t="str">
        <f>IFERROR((VLOOKUP(F920,'Planilha de Cadastro - Previsão'!$A$2:$N$1100,2,FALSE()))," ")</f>
        <v xml:space="preserve"> </v>
      </c>
      <c r="J920" s="40" t="str">
        <f>IFERROR((VLOOKUP(F920,'Planilha de Cadastro - Previsão'!$A$2:$N$1100,3,FALSE()))," ")</f>
        <v xml:space="preserve"> </v>
      </c>
      <c r="K920" s="40"/>
      <c r="L920" s="42" t="str">
        <f>IFERROR((VLOOKUP(F920,'Planilha de Cadastro - Previsão'!$A$2:$N$1100,11,FALSE()))," ")</f>
        <v xml:space="preserve"> </v>
      </c>
      <c r="M920" s="41" t="str">
        <f>IFERROR((IF(VLOOKUP(F920,'Planilha de Cadastro - Previsão'!$A$2:$N$1100,10,FALSE())="","",VLOOKUP(F920,'Planilha de Cadastro - Previsão'!$A$2:$N$1100,10,FALSE()))),"")</f>
        <v/>
      </c>
      <c r="N920" s="41"/>
      <c r="O920" s="41"/>
      <c r="P920" s="41" t="str">
        <f>IFERROR((IF(VLOOKUP(F920,'Acompanhamento da Licitação'!$F$2:$O$1000,10,FALSE())="","",VLOOKUP(F920,'Acompanhamento da Licitação'!$F$2:$O$1000,10,FALSE()))),"")</f>
        <v/>
      </c>
      <c r="R920" s="61" t="str">
        <f>IFERROR(IF(F920&gt;0,(Final[[#This Row],[Valor da Venda Real]]-Final[[#This Row],[Valor de Compra Previsto]]-4%*Final[[#This Row],[Valor da Venda Real]])/Final[[#This Row],[Valor da Venda Real]],""),"")</f>
        <v/>
      </c>
      <c r="S920" s="61" t="str">
        <f t="shared" si="61"/>
        <v/>
      </c>
      <c r="T920" s="23" t="str">
        <f>IFERROR((R920*Final[[#This Row],[Valor da Venda Real]]*Final[[#This Row],[Quantidade ]]*S920),"")</f>
        <v/>
      </c>
    </row>
    <row r="921" spans="1:20" ht="15.75" x14ac:dyDescent="0.2">
      <c r="A921">
        <f>COUNTIF($C$2:C921,C921)</f>
        <v>920</v>
      </c>
      <c r="B921" s="1" t="str">
        <f t="shared" si="60"/>
        <v>920</v>
      </c>
      <c r="C921" s="1" t="str">
        <f>IFERROR(VLOOKUP(D921,'Planilha de Cadastro - Previsão'!$A$2:$N$1000,14,FALSE()),"")</f>
        <v/>
      </c>
      <c r="D921" s="1">
        <v>920</v>
      </c>
      <c r="F921" s="40" t="str">
        <f t="shared" si="59"/>
        <v/>
      </c>
      <c r="G921" s="40" t="str">
        <f>IF(F921="","",'Prosposta Inicial'!$O$2)</f>
        <v/>
      </c>
      <c r="H921" s="40" t="str">
        <f t="shared" si="58"/>
        <v xml:space="preserve"> </v>
      </c>
      <c r="I921" s="41" t="str">
        <f>IFERROR((VLOOKUP(F921,'Planilha de Cadastro - Previsão'!$A$2:$N$1100,2,FALSE()))," ")</f>
        <v xml:space="preserve"> </v>
      </c>
      <c r="J921" s="40" t="str">
        <f>IFERROR((VLOOKUP(F921,'Planilha de Cadastro - Previsão'!$A$2:$N$1100,3,FALSE()))," ")</f>
        <v xml:space="preserve"> </v>
      </c>
      <c r="K921" s="40"/>
      <c r="L921" s="42" t="str">
        <f>IFERROR((VLOOKUP(F921,'Planilha de Cadastro - Previsão'!$A$2:$N$1100,11,FALSE()))," ")</f>
        <v xml:space="preserve"> </v>
      </c>
      <c r="M921" s="41" t="str">
        <f>IFERROR((IF(VLOOKUP(F921,'Planilha de Cadastro - Previsão'!$A$2:$N$1100,10,FALSE())="","",VLOOKUP(F921,'Planilha de Cadastro - Previsão'!$A$2:$N$1100,10,FALSE()))),"")</f>
        <v/>
      </c>
      <c r="N921" s="41"/>
      <c r="O921" s="41"/>
      <c r="P921" s="41" t="str">
        <f>IFERROR((IF(VLOOKUP(F921,'Acompanhamento da Licitação'!$F$2:$O$1000,10,FALSE())="","",VLOOKUP(F921,'Acompanhamento da Licitação'!$F$2:$O$1000,10,FALSE()))),"")</f>
        <v/>
      </c>
      <c r="R921" s="61" t="str">
        <f>IFERROR(IF(F921&gt;0,(Final[[#This Row],[Valor da Venda Real]]-Final[[#This Row],[Valor de Compra Previsto]]-4%*Final[[#This Row],[Valor da Venda Real]])/Final[[#This Row],[Valor da Venda Real]],""),"")</f>
        <v/>
      </c>
      <c r="S921" s="61" t="str">
        <f t="shared" si="61"/>
        <v/>
      </c>
      <c r="T921" s="23" t="str">
        <f>IFERROR((R921*Final[[#This Row],[Valor da Venda Real]]*Final[[#This Row],[Quantidade ]]*S921),"")</f>
        <v/>
      </c>
    </row>
    <row r="922" spans="1:20" ht="15.75" x14ac:dyDescent="0.2">
      <c r="A922">
        <f>COUNTIF($C$2:C922,C922)</f>
        <v>921</v>
      </c>
      <c r="B922" s="1" t="str">
        <f t="shared" si="60"/>
        <v>921</v>
      </c>
      <c r="C922" s="1" t="str">
        <f>IFERROR(VLOOKUP(D922,'Planilha de Cadastro - Previsão'!$A$2:$N$1000,14,FALSE()),"")</f>
        <v/>
      </c>
      <c r="D922" s="1">
        <v>921</v>
      </c>
      <c r="F922" s="40" t="str">
        <f t="shared" si="59"/>
        <v/>
      </c>
      <c r="G922" s="40" t="str">
        <f>IF(F922="","",'Prosposta Inicial'!$O$2)</f>
        <v/>
      </c>
      <c r="H922" s="40" t="str">
        <f t="shared" si="58"/>
        <v xml:space="preserve"> </v>
      </c>
      <c r="I922" s="41" t="str">
        <f>IFERROR((VLOOKUP(F922,'Planilha de Cadastro - Previsão'!$A$2:$N$1100,2,FALSE()))," ")</f>
        <v xml:space="preserve"> </v>
      </c>
      <c r="J922" s="40" t="str">
        <f>IFERROR((VLOOKUP(F922,'Planilha de Cadastro - Previsão'!$A$2:$N$1100,3,FALSE()))," ")</f>
        <v xml:space="preserve"> </v>
      </c>
      <c r="K922" s="40"/>
      <c r="L922" s="42" t="str">
        <f>IFERROR((VLOOKUP(F922,'Planilha de Cadastro - Previsão'!$A$2:$N$1100,11,FALSE()))," ")</f>
        <v xml:space="preserve"> </v>
      </c>
      <c r="M922" s="41" t="str">
        <f>IFERROR((IF(VLOOKUP(F922,'Planilha de Cadastro - Previsão'!$A$2:$N$1100,10,FALSE())="","",VLOOKUP(F922,'Planilha de Cadastro - Previsão'!$A$2:$N$1100,10,FALSE()))),"")</f>
        <v/>
      </c>
      <c r="N922" s="41"/>
      <c r="O922" s="41"/>
      <c r="P922" s="41" t="str">
        <f>IFERROR((IF(VLOOKUP(F922,'Acompanhamento da Licitação'!$F$2:$O$1000,10,FALSE())="","",VLOOKUP(F922,'Acompanhamento da Licitação'!$F$2:$O$1000,10,FALSE()))),"")</f>
        <v/>
      </c>
      <c r="R922" s="61" t="str">
        <f>IFERROR(IF(F922&gt;0,(Final[[#This Row],[Valor da Venda Real]]-Final[[#This Row],[Valor de Compra Previsto]]-4%*Final[[#This Row],[Valor da Venda Real]])/Final[[#This Row],[Valor da Venda Real]],""),"")</f>
        <v/>
      </c>
      <c r="S922" s="61" t="str">
        <f t="shared" si="61"/>
        <v/>
      </c>
      <c r="T922" s="23" t="str">
        <f>IFERROR((R922*Final[[#This Row],[Valor da Venda Real]]*Final[[#This Row],[Quantidade ]]*S922),"")</f>
        <v/>
      </c>
    </row>
    <row r="923" spans="1:20" ht="15.75" x14ac:dyDescent="0.2">
      <c r="A923">
        <f>COUNTIF($C$2:C923,C923)</f>
        <v>922</v>
      </c>
      <c r="B923" s="1" t="str">
        <f t="shared" si="60"/>
        <v>922</v>
      </c>
      <c r="C923" s="1" t="str">
        <f>IFERROR(VLOOKUP(D923,'Planilha de Cadastro - Previsão'!$A$2:$N$1000,14,FALSE()),"")</f>
        <v/>
      </c>
      <c r="D923" s="1">
        <v>922</v>
      </c>
      <c r="F923" s="40" t="str">
        <f t="shared" si="59"/>
        <v/>
      </c>
      <c r="G923" s="40" t="str">
        <f>IF(F923="","",'Prosposta Inicial'!$O$2)</f>
        <v/>
      </c>
      <c r="H923" s="40" t="str">
        <f t="shared" si="58"/>
        <v xml:space="preserve"> </v>
      </c>
      <c r="I923" s="41" t="str">
        <f>IFERROR((VLOOKUP(F923,'Planilha de Cadastro - Previsão'!$A$2:$N$1100,2,FALSE()))," ")</f>
        <v xml:space="preserve"> </v>
      </c>
      <c r="J923" s="40" t="str">
        <f>IFERROR((VLOOKUP(F923,'Planilha de Cadastro - Previsão'!$A$2:$N$1100,3,FALSE()))," ")</f>
        <v xml:space="preserve"> </v>
      </c>
      <c r="K923" s="40"/>
      <c r="L923" s="42" t="str">
        <f>IFERROR((VLOOKUP(F923,'Planilha de Cadastro - Previsão'!$A$2:$N$1100,11,FALSE()))," ")</f>
        <v xml:space="preserve"> </v>
      </c>
      <c r="M923" s="41" t="str">
        <f>IFERROR((IF(VLOOKUP(F923,'Planilha de Cadastro - Previsão'!$A$2:$N$1100,10,FALSE())="","",VLOOKUP(F923,'Planilha de Cadastro - Previsão'!$A$2:$N$1100,10,FALSE()))),"")</f>
        <v/>
      </c>
      <c r="N923" s="41"/>
      <c r="O923" s="41"/>
      <c r="P923" s="41" t="str">
        <f>IFERROR((IF(VLOOKUP(F923,'Acompanhamento da Licitação'!$F$2:$O$1000,10,FALSE())="","",VLOOKUP(F923,'Acompanhamento da Licitação'!$F$2:$O$1000,10,FALSE()))),"")</f>
        <v/>
      </c>
      <c r="R923" s="61" t="str">
        <f>IFERROR(IF(F923&gt;0,(Final[[#This Row],[Valor da Venda Real]]-Final[[#This Row],[Valor de Compra Previsto]]-4%*Final[[#This Row],[Valor da Venda Real]])/Final[[#This Row],[Valor da Venda Real]],""),"")</f>
        <v/>
      </c>
      <c r="S923" s="61" t="str">
        <f t="shared" si="61"/>
        <v/>
      </c>
      <c r="T923" s="23" t="str">
        <f>IFERROR((R923*Final[[#This Row],[Valor da Venda Real]]*Final[[#This Row],[Quantidade ]]*S923),"")</f>
        <v/>
      </c>
    </row>
    <row r="924" spans="1:20" ht="15.75" x14ac:dyDescent="0.2">
      <c r="A924">
        <f>COUNTIF($C$2:C924,C924)</f>
        <v>923</v>
      </c>
      <c r="B924" s="1" t="str">
        <f t="shared" si="60"/>
        <v>923</v>
      </c>
      <c r="C924" s="1" t="str">
        <f>IFERROR(VLOOKUP(D924,'Planilha de Cadastro - Previsão'!$A$2:$N$1000,14,FALSE()),"")</f>
        <v/>
      </c>
      <c r="D924" s="1">
        <v>923</v>
      </c>
      <c r="F924" s="40" t="str">
        <f t="shared" si="59"/>
        <v/>
      </c>
      <c r="G924" s="40" t="str">
        <f>IF(F924="","",'Prosposta Inicial'!$O$2)</f>
        <v/>
      </c>
      <c r="H924" s="40" t="str">
        <f t="shared" si="58"/>
        <v xml:space="preserve"> </v>
      </c>
      <c r="I924" s="41" t="str">
        <f>IFERROR((VLOOKUP(F924,'Planilha de Cadastro - Previsão'!$A$2:$N$1100,2,FALSE()))," ")</f>
        <v xml:space="preserve"> </v>
      </c>
      <c r="J924" s="40" t="str">
        <f>IFERROR((VLOOKUP(F924,'Planilha de Cadastro - Previsão'!$A$2:$N$1100,3,FALSE()))," ")</f>
        <v xml:space="preserve"> </v>
      </c>
      <c r="K924" s="40"/>
      <c r="L924" s="42" t="str">
        <f>IFERROR((VLOOKUP(F924,'Planilha de Cadastro - Previsão'!$A$2:$N$1100,11,FALSE()))," ")</f>
        <v xml:space="preserve"> </v>
      </c>
      <c r="M924" s="41" t="str">
        <f>IFERROR((IF(VLOOKUP(F924,'Planilha de Cadastro - Previsão'!$A$2:$N$1100,10,FALSE())="","",VLOOKUP(F924,'Planilha de Cadastro - Previsão'!$A$2:$N$1100,10,FALSE()))),"")</f>
        <v/>
      </c>
      <c r="N924" s="41"/>
      <c r="O924" s="41"/>
      <c r="P924" s="41" t="str">
        <f>IFERROR((IF(VLOOKUP(F924,'Acompanhamento da Licitação'!$F$2:$O$1000,10,FALSE())="","",VLOOKUP(F924,'Acompanhamento da Licitação'!$F$2:$O$1000,10,FALSE()))),"")</f>
        <v/>
      </c>
      <c r="R924" s="61" t="str">
        <f>IFERROR(IF(F924&gt;0,(Final[[#This Row],[Valor da Venda Real]]-Final[[#This Row],[Valor de Compra Previsto]]-4%*Final[[#This Row],[Valor da Venda Real]])/Final[[#This Row],[Valor da Venda Real]],""),"")</f>
        <v/>
      </c>
      <c r="S924" s="61" t="str">
        <f t="shared" si="61"/>
        <v/>
      </c>
      <c r="T924" s="23" t="str">
        <f>IFERROR((R924*Final[[#This Row],[Valor da Venda Real]]*Final[[#This Row],[Quantidade ]]*S924),"")</f>
        <v/>
      </c>
    </row>
    <row r="925" spans="1:20" ht="15.75" x14ac:dyDescent="0.2">
      <c r="A925">
        <f>COUNTIF($C$2:C925,C925)</f>
        <v>924</v>
      </c>
      <c r="B925" s="1" t="str">
        <f t="shared" si="60"/>
        <v>924</v>
      </c>
      <c r="C925" s="1" t="str">
        <f>IFERROR(VLOOKUP(D925,'Planilha de Cadastro - Previsão'!$A$2:$N$1000,14,FALSE()),"")</f>
        <v/>
      </c>
      <c r="D925" s="1">
        <v>924</v>
      </c>
      <c r="F925" s="40" t="str">
        <f t="shared" si="59"/>
        <v/>
      </c>
      <c r="G925" s="40" t="str">
        <f>IF(F925="","",'Prosposta Inicial'!$O$2)</f>
        <v/>
      </c>
      <c r="H925" s="40" t="str">
        <f t="shared" si="58"/>
        <v xml:space="preserve"> </v>
      </c>
      <c r="I925" s="41" t="str">
        <f>IFERROR((VLOOKUP(F925,'Planilha de Cadastro - Previsão'!$A$2:$N$1100,2,FALSE()))," ")</f>
        <v xml:space="preserve"> </v>
      </c>
      <c r="J925" s="40" t="str">
        <f>IFERROR((VLOOKUP(F925,'Planilha de Cadastro - Previsão'!$A$2:$N$1100,3,FALSE()))," ")</f>
        <v xml:space="preserve"> </v>
      </c>
      <c r="K925" s="40"/>
      <c r="L925" s="42" t="str">
        <f>IFERROR((VLOOKUP(F925,'Planilha de Cadastro - Previsão'!$A$2:$N$1100,11,FALSE()))," ")</f>
        <v xml:space="preserve"> </v>
      </c>
      <c r="M925" s="41" t="str">
        <f>IFERROR((IF(VLOOKUP(F925,'Planilha de Cadastro - Previsão'!$A$2:$N$1100,10,FALSE())="","",VLOOKUP(F925,'Planilha de Cadastro - Previsão'!$A$2:$N$1100,10,FALSE()))),"")</f>
        <v/>
      </c>
      <c r="N925" s="41"/>
      <c r="O925" s="41"/>
      <c r="P925" s="41" t="str">
        <f>IFERROR((IF(VLOOKUP(F925,'Acompanhamento da Licitação'!$F$2:$O$1000,10,FALSE())="","",VLOOKUP(F925,'Acompanhamento da Licitação'!$F$2:$O$1000,10,FALSE()))),"")</f>
        <v/>
      </c>
      <c r="R925" s="61" t="str">
        <f>IFERROR(IF(F925&gt;0,(Final[[#This Row],[Valor da Venda Real]]-Final[[#This Row],[Valor de Compra Previsto]]-4%*Final[[#This Row],[Valor da Venda Real]])/Final[[#This Row],[Valor da Venda Real]],""),"")</f>
        <v/>
      </c>
      <c r="S925" s="61" t="str">
        <f t="shared" si="61"/>
        <v/>
      </c>
      <c r="T925" s="23" t="str">
        <f>IFERROR((R925*Final[[#This Row],[Valor da Venda Real]]*Final[[#This Row],[Quantidade ]]*S925),"")</f>
        <v/>
      </c>
    </row>
    <row r="926" spans="1:20" ht="15.75" x14ac:dyDescent="0.2">
      <c r="A926">
        <f>COUNTIF($C$2:C926,C926)</f>
        <v>925</v>
      </c>
      <c r="B926" s="1" t="str">
        <f t="shared" si="60"/>
        <v>925</v>
      </c>
      <c r="C926" s="1" t="str">
        <f>IFERROR(VLOOKUP(D926,'Planilha de Cadastro - Previsão'!$A$2:$N$1000,14,FALSE()),"")</f>
        <v/>
      </c>
      <c r="D926" s="1">
        <v>925</v>
      </c>
      <c r="F926" s="40" t="str">
        <f t="shared" si="59"/>
        <v/>
      </c>
      <c r="G926" s="40" t="str">
        <f>IF(F926="","",'Prosposta Inicial'!$O$2)</f>
        <v/>
      </c>
      <c r="H926" s="40" t="str">
        <f t="shared" si="58"/>
        <v xml:space="preserve"> </v>
      </c>
      <c r="I926" s="41" t="str">
        <f>IFERROR((VLOOKUP(F926,'Planilha de Cadastro - Previsão'!$A$2:$N$1100,2,FALSE()))," ")</f>
        <v xml:space="preserve"> </v>
      </c>
      <c r="J926" s="40" t="str">
        <f>IFERROR((VLOOKUP(F926,'Planilha de Cadastro - Previsão'!$A$2:$N$1100,3,FALSE()))," ")</f>
        <v xml:space="preserve"> </v>
      </c>
      <c r="K926" s="40"/>
      <c r="L926" s="42" t="str">
        <f>IFERROR((VLOOKUP(F926,'Planilha de Cadastro - Previsão'!$A$2:$N$1100,11,FALSE()))," ")</f>
        <v xml:space="preserve"> </v>
      </c>
      <c r="M926" s="41" t="str">
        <f>IFERROR((IF(VLOOKUP(F926,'Planilha de Cadastro - Previsão'!$A$2:$N$1100,10,FALSE())="","",VLOOKUP(F926,'Planilha de Cadastro - Previsão'!$A$2:$N$1100,10,FALSE()))),"")</f>
        <v/>
      </c>
      <c r="N926" s="41"/>
      <c r="O926" s="41"/>
      <c r="P926" s="41" t="str">
        <f>IFERROR((IF(VLOOKUP(F926,'Acompanhamento da Licitação'!$F$2:$O$1000,10,FALSE())="","",VLOOKUP(F926,'Acompanhamento da Licitação'!$F$2:$O$1000,10,FALSE()))),"")</f>
        <v/>
      </c>
      <c r="R926" s="61" t="str">
        <f>IFERROR(IF(F926&gt;0,(Final[[#This Row],[Valor da Venda Real]]-Final[[#This Row],[Valor de Compra Previsto]]-4%*Final[[#This Row],[Valor da Venda Real]])/Final[[#This Row],[Valor da Venda Real]],""),"")</f>
        <v/>
      </c>
      <c r="S926" s="61" t="str">
        <f t="shared" si="61"/>
        <v/>
      </c>
      <c r="T926" s="23" t="str">
        <f>IFERROR((R926*Final[[#This Row],[Valor da Venda Real]]*Final[[#This Row],[Quantidade ]]*S926),"")</f>
        <v/>
      </c>
    </row>
    <row r="927" spans="1:20" ht="15.75" x14ac:dyDescent="0.2">
      <c r="A927">
        <f>COUNTIF($C$2:C927,C927)</f>
        <v>926</v>
      </c>
      <c r="B927" s="1" t="str">
        <f t="shared" si="60"/>
        <v>926</v>
      </c>
      <c r="C927" s="1" t="str">
        <f>IFERROR(VLOOKUP(D927,'Planilha de Cadastro - Previsão'!$A$2:$N$1000,14,FALSE()),"")</f>
        <v/>
      </c>
      <c r="D927" s="1">
        <v>926</v>
      </c>
      <c r="F927" s="40" t="str">
        <f t="shared" si="59"/>
        <v/>
      </c>
      <c r="G927" s="40" t="str">
        <f>IF(F927="","",'Prosposta Inicial'!$O$2)</f>
        <v/>
      </c>
      <c r="H927" s="40" t="str">
        <f t="shared" si="58"/>
        <v xml:space="preserve"> </v>
      </c>
      <c r="I927" s="41" t="str">
        <f>IFERROR((VLOOKUP(F927,'Planilha de Cadastro - Previsão'!$A$2:$N$1100,2,FALSE()))," ")</f>
        <v xml:space="preserve"> </v>
      </c>
      <c r="J927" s="40" t="str">
        <f>IFERROR((VLOOKUP(F927,'Planilha de Cadastro - Previsão'!$A$2:$N$1100,3,FALSE()))," ")</f>
        <v xml:space="preserve"> </v>
      </c>
      <c r="K927" s="40"/>
      <c r="L927" s="42" t="str">
        <f>IFERROR((VLOOKUP(F927,'Planilha de Cadastro - Previsão'!$A$2:$N$1100,11,FALSE()))," ")</f>
        <v xml:space="preserve"> </v>
      </c>
      <c r="M927" s="41" t="str">
        <f>IFERROR((IF(VLOOKUP(F927,'Planilha de Cadastro - Previsão'!$A$2:$N$1100,10,FALSE())="","",VLOOKUP(F927,'Planilha de Cadastro - Previsão'!$A$2:$N$1100,10,FALSE()))),"")</f>
        <v/>
      </c>
      <c r="N927" s="41"/>
      <c r="O927" s="41"/>
      <c r="P927" s="41" t="str">
        <f>IFERROR((IF(VLOOKUP(F927,'Acompanhamento da Licitação'!$F$2:$O$1000,10,FALSE())="","",VLOOKUP(F927,'Acompanhamento da Licitação'!$F$2:$O$1000,10,FALSE()))),"")</f>
        <v/>
      </c>
      <c r="R927" s="61" t="str">
        <f>IFERROR(IF(F927&gt;0,(Final[[#This Row],[Valor da Venda Real]]-Final[[#This Row],[Valor de Compra Previsto]]-4%*Final[[#This Row],[Valor da Venda Real]])/Final[[#This Row],[Valor da Venda Real]],""),"")</f>
        <v/>
      </c>
      <c r="S927" s="61" t="str">
        <f t="shared" si="61"/>
        <v/>
      </c>
      <c r="T927" s="23" t="str">
        <f>IFERROR((R927*Final[[#This Row],[Valor da Venda Real]]*Final[[#This Row],[Quantidade ]]*S927),"")</f>
        <v/>
      </c>
    </row>
    <row r="928" spans="1:20" ht="15.75" x14ac:dyDescent="0.2">
      <c r="A928">
        <f>COUNTIF($C$2:C928,C928)</f>
        <v>927</v>
      </c>
      <c r="B928" s="1" t="str">
        <f t="shared" si="60"/>
        <v>927</v>
      </c>
      <c r="C928" s="1" t="str">
        <f>IFERROR(VLOOKUP(D928,'Planilha de Cadastro - Previsão'!$A$2:$N$1000,14,FALSE()),"")</f>
        <v/>
      </c>
      <c r="D928" s="1">
        <v>927</v>
      </c>
      <c r="F928" s="40" t="str">
        <f t="shared" si="59"/>
        <v/>
      </c>
      <c r="G928" s="40" t="str">
        <f>IF(F928="","",'Prosposta Inicial'!$O$2)</f>
        <v/>
      </c>
      <c r="H928" s="40" t="str">
        <f t="shared" si="58"/>
        <v xml:space="preserve"> </v>
      </c>
      <c r="I928" s="41" t="str">
        <f>IFERROR((VLOOKUP(F928,'Planilha de Cadastro - Previsão'!$A$2:$N$1100,2,FALSE()))," ")</f>
        <v xml:space="preserve"> </v>
      </c>
      <c r="J928" s="40" t="str">
        <f>IFERROR((VLOOKUP(F928,'Planilha de Cadastro - Previsão'!$A$2:$N$1100,3,FALSE()))," ")</f>
        <v xml:space="preserve"> </v>
      </c>
      <c r="K928" s="40"/>
      <c r="L928" s="42" t="str">
        <f>IFERROR((VLOOKUP(F928,'Planilha de Cadastro - Previsão'!$A$2:$N$1100,11,FALSE()))," ")</f>
        <v xml:space="preserve"> </v>
      </c>
      <c r="M928" s="41" t="str">
        <f>IFERROR((IF(VLOOKUP(F928,'Planilha de Cadastro - Previsão'!$A$2:$N$1100,10,FALSE())="","",VLOOKUP(F928,'Planilha de Cadastro - Previsão'!$A$2:$N$1100,10,FALSE()))),"")</f>
        <v/>
      </c>
      <c r="N928" s="41"/>
      <c r="O928" s="41"/>
      <c r="P928" s="41" t="str">
        <f>IFERROR((IF(VLOOKUP(F928,'Acompanhamento da Licitação'!$F$2:$O$1000,10,FALSE())="","",VLOOKUP(F928,'Acompanhamento da Licitação'!$F$2:$O$1000,10,FALSE()))),"")</f>
        <v/>
      </c>
      <c r="R928" s="61" t="str">
        <f>IFERROR(IF(F928&gt;0,(Final[[#This Row],[Valor da Venda Real]]-Final[[#This Row],[Valor de Compra Previsto]]-4%*Final[[#This Row],[Valor da Venda Real]])/Final[[#This Row],[Valor da Venda Real]],""),"")</f>
        <v/>
      </c>
      <c r="S928" s="61" t="str">
        <f t="shared" si="61"/>
        <v/>
      </c>
      <c r="T928" s="23" t="str">
        <f>IFERROR((R928*Final[[#This Row],[Valor da Venda Real]]*Final[[#This Row],[Quantidade ]]*S928),"")</f>
        <v/>
      </c>
    </row>
    <row r="929" spans="1:20" ht="15.75" x14ac:dyDescent="0.2">
      <c r="A929">
        <f>COUNTIF($C$2:C929,C929)</f>
        <v>928</v>
      </c>
      <c r="B929" s="1" t="str">
        <f t="shared" si="60"/>
        <v>928</v>
      </c>
      <c r="C929" s="1" t="str">
        <f>IFERROR(VLOOKUP(D929,'Planilha de Cadastro - Previsão'!$A$2:$N$1000,14,FALSE()),"")</f>
        <v/>
      </c>
      <c r="D929" s="1">
        <v>928</v>
      </c>
      <c r="F929" s="40" t="str">
        <f t="shared" si="59"/>
        <v/>
      </c>
      <c r="G929" s="40" t="str">
        <f>IF(F929="","",'Prosposta Inicial'!$O$2)</f>
        <v/>
      </c>
      <c r="H929" s="40" t="str">
        <f t="shared" si="58"/>
        <v xml:space="preserve"> </v>
      </c>
      <c r="I929" s="41" t="str">
        <f>IFERROR((VLOOKUP(F929,'Planilha de Cadastro - Previsão'!$A$2:$N$1100,2,FALSE()))," ")</f>
        <v xml:space="preserve"> </v>
      </c>
      <c r="J929" s="40" t="str">
        <f>IFERROR((VLOOKUP(F929,'Planilha de Cadastro - Previsão'!$A$2:$N$1100,3,FALSE()))," ")</f>
        <v xml:space="preserve"> </v>
      </c>
      <c r="K929" s="40"/>
      <c r="L929" s="42" t="str">
        <f>IFERROR((VLOOKUP(F929,'Planilha de Cadastro - Previsão'!$A$2:$N$1100,11,FALSE()))," ")</f>
        <v xml:space="preserve"> </v>
      </c>
      <c r="M929" s="41" t="str">
        <f>IFERROR((IF(VLOOKUP(F929,'Planilha de Cadastro - Previsão'!$A$2:$N$1100,10,FALSE())="","",VLOOKUP(F929,'Planilha de Cadastro - Previsão'!$A$2:$N$1100,10,FALSE()))),"")</f>
        <v/>
      </c>
      <c r="N929" s="41"/>
      <c r="O929" s="41"/>
      <c r="P929" s="41" t="str">
        <f>IFERROR((IF(VLOOKUP(F929,'Acompanhamento da Licitação'!$F$2:$O$1000,10,FALSE())="","",VLOOKUP(F929,'Acompanhamento da Licitação'!$F$2:$O$1000,10,FALSE()))),"")</f>
        <v/>
      </c>
      <c r="R929" s="61" t="str">
        <f>IFERROR(IF(F929&gt;0,(Final[[#This Row],[Valor da Venda Real]]-Final[[#This Row],[Valor de Compra Previsto]]-4%*Final[[#This Row],[Valor da Venda Real]])/Final[[#This Row],[Valor da Venda Real]],""),"")</f>
        <v/>
      </c>
      <c r="S929" s="61" t="str">
        <f t="shared" si="61"/>
        <v/>
      </c>
      <c r="T929" s="23" t="str">
        <f>IFERROR((R929*Final[[#This Row],[Valor da Venda Real]]*Final[[#This Row],[Quantidade ]]*S929),"")</f>
        <v/>
      </c>
    </row>
    <row r="930" spans="1:20" ht="15.75" x14ac:dyDescent="0.2">
      <c r="A930">
        <f>COUNTIF($C$2:C930,C930)</f>
        <v>929</v>
      </c>
      <c r="B930" s="1" t="str">
        <f t="shared" si="60"/>
        <v>929</v>
      </c>
      <c r="C930" s="1" t="str">
        <f>IFERROR(VLOOKUP(D930,'Planilha de Cadastro - Previsão'!$A$2:$N$1000,14,FALSE()),"")</f>
        <v/>
      </c>
      <c r="D930" s="1">
        <v>929</v>
      </c>
      <c r="F930" s="40" t="str">
        <f t="shared" si="59"/>
        <v/>
      </c>
      <c r="G930" s="40" t="str">
        <f>IF(F930="","",'Prosposta Inicial'!$O$2)</f>
        <v/>
      </c>
      <c r="H930" s="40" t="str">
        <f t="shared" si="58"/>
        <v xml:space="preserve"> </v>
      </c>
      <c r="I930" s="41" t="str">
        <f>IFERROR((VLOOKUP(F930,'Planilha de Cadastro - Previsão'!$A$2:$N$1100,2,FALSE()))," ")</f>
        <v xml:space="preserve"> </v>
      </c>
      <c r="J930" s="40" t="str">
        <f>IFERROR((VLOOKUP(F930,'Planilha de Cadastro - Previsão'!$A$2:$N$1100,3,FALSE()))," ")</f>
        <v xml:space="preserve"> </v>
      </c>
      <c r="K930" s="40"/>
      <c r="L930" s="42" t="str">
        <f>IFERROR((VLOOKUP(F930,'Planilha de Cadastro - Previsão'!$A$2:$N$1100,11,FALSE()))," ")</f>
        <v xml:space="preserve"> </v>
      </c>
      <c r="M930" s="41" t="str">
        <f>IFERROR((IF(VLOOKUP(F930,'Planilha de Cadastro - Previsão'!$A$2:$N$1100,10,FALSE())="","",VLOOKUP(F930,'Planilha de Cadastro - Previsão'!$A$2:$N$1100,10,FALSE()))),"")</f>
        <v/>
      </c>
      <c r="N930" s="41"/>
      <c r="O930" s="41"/>
      <c r="P930" s="41" t="str">
        <f>IFERROR((IF(VLOOKUP(F930,'Acompanhamento da Licitação'!$F$2:$O$1000,10,FALSE())="","",VLOOKUP(F930,'Acompanhamento da Licitação'!$F$2:$O$1000,10,FALSE()))),"")</f>
        <v/>
      </c>
      <c r="R930" s="61" t="str">
        <f>IFERROR(IF(F930&gt;0,(Final[[#This Row],[Valor da Venda Real]]-Final[[#This Row],[Valor de Compra Previsto]]-4%*Final[[#This Row],[Valor da Venda Real]])/Final[[#This Row],[Valor da Venda Real]],""),"")</f>
        <v/>
      </c>
      <c r="S930" s="61" t="str">
        <f t="shared" si="61"/>
        <v/>
      </c>
      <c r="T930" s="23" t="str">
        <f>IFERROR((R930*Final[[#This Row],[Valor da Venda Real]]*Final[[#This Row],[Quantidade ]]*S930),"")</f>
        <v/>
      </c>
    </row>
    <row r="931" spans="1:20" ht="15.75" x14ac:dyDescent="0.2">
      <c r="A931">
        <f>COUNTIF($C$2:C931,C931)</f>
        <v>930</v>
      </c>
      <c r="B931" s="1" t="str">
        <f t="shared" si="60"/>
        <v>930</v>
      </c>
      <c r="C931" s="1" t="str">
        <f>IFERROR(VLOOKUP(D931,'Planilha de Cadastro - Previsão'!$A$2:$N$1000,14,FALSE()),"")</f>
        <v/>
      </c>
      <c r="D931" s="1">
        <v>930</v>
      </c>
      <c r="F931" s="40" t="str">
        <f t="shared" si="59"/>
        <v/>
      </c>
      <c r="G931" s="40" t="str">
        <f>IF(F931="","",'Prosposta Inicial'!$O$2)</f>
        <v/>
      </c>
      <c r="H931" s="40" t="str">
        <f t="shared" si="58"/>
        <v xml:space="preserve"> </v>
      </c>
      <c r="I931" s="41" t="str">
        <f>IFERROR((VLOOKUP(F931,'Planilha de Cadastro - Previsão'!$A$2:$N$1100,2,FALSE()))," ")</f>
        <v xml:space="preserve"> </v>
      </c>
      <c r="J931" s="40" t="str">
        <f>IFERROR((VLOOKUP(F931,'Planilha de Cadastro - Previsão'!$A$2:$N$1100,3,FALSE()))," ")</f>
        <v xml:space="preserve"> </v>
      </c>
      <c r="K931" s="40"/>
      <c r="L931" s="42" t="str">
        <f>IFERROR((VLOOKUP(F931,'Planilha de Cadastro - Previsão'!$A$2:$N$1100,11,FALSE()))," ")</f>
        <v xml:space="preserve"> </v>
      </c>
      <c r="M931" s="41" t="str">
        <f>IFERROR((IF(VLOOKUP(F931,'Planilha de Cadastro - Previsão'!$A$2:$N$1100,10,FALSE())="","",VLOOKUP(F931,'Planilha de Cadastro - Previsão'!$A$2:$N$1100,10,FALSE()))),"")</f>
        <v/>
      </c>
      <c r="N931" s="41"/>
      <c r="O931" s="41"/>
      <c r="P931" s="41" t="str">
        <f>IFERROR((IF(VLOOKUP(F931,'Acompanhamento da Licitação'!$F$2:$O$1000,10,FALSE())="","",VLOOKUP(F931,'Acompanhamento da Licitação'!$F$2:$O$1000,10,FALSE()))),"")</f>
        <v/>
      </c>
      <c r="R931" s="61" t="str">
        <f>IFERROR(IF(F931&gt;0,(Final[[#This Row],[Valor da Venda Real]]-Final[[#This Row],[Valor de Compra Previsto]]-4%*Final[[#This Row],[Valor da Venda Real]])/Final[[#This Row],[Valor da Venda Real]],""),"")</f>
        <v/>
      </c>
      <c r="S931" s="61" t="str">
        <f t="shared" si="61"/>
        <v/>
      </c>
      <c r="T931" s="23" t="str">
        <f>IFERROR((R931*Final[[#This Row],[Valor da Venda Real]]*Final[[#This Row],[Quantidade ]]*S931),"")</f>
        <v/>
      </c>
    </row>
    <row r="932" spans="1:20" ht="15.75" x14ac:dyDescent="0.2">
      <c r="A932">
        <f>COUNTIF($C$2:C932,C932)</f>
        <v>931</v>
      </c>
      <c r="B932" s="1" t="str">
        <f t="shared" si="60"/>
        <v>931</v>
      </c>
      <c r="C932" s="1" t="str">
        <f>IFERROR(VLOOKUP(D932,'Planilha de Cadastro - Previsão'!$A$2:$N$1000,14,FALSE()),"")</f>
        <v/>
      </c>
      <c r="D932" s="1">
        <v>931</v>
      </c>
      <c r="F932" s="40" t="str">
        <f t="shared" si="59"/>
        <v/>
      </c>
      <c r="G932" s="40" t="str">
        <f>IF(F932="","",'Prosposta Inicial'!$O$2)</f>
        <v/>
      </c>
      <c r="H932" s="40" t="str">
        <f t="shared" si="58"/>
        <v xml:space="preserve"> </v>
      </c>
      <c r="I932" s="41" t="str">
        <f>IFERROR((VLOOKUP(F932,'Planilha de Cadastro - Previsão'!$A$2:$N$1100,2,FALSE()))," ")</f>
        <v xml:space="preserve"> </v>
      </c>
      <c r="J932" s="40" t="str">
        <f>IFERROR((VLOOKUP(F932,'Planilha de Cadastro - Previsão'!$A$2:$N$1100,3,FALSE()))," ")</f>
        <v xml:space="preserve"> </v>
      </c>
      <c r="K932" s="40"/>
      <c r="L932" s="42" t="str">
        <f>IFERROR((VLOOKUP(F932,'Planilha de Cadastro - Previsão'!$A$2:$N$1100,11,FALSE()))," ")</f>
        <v xml:space="preserve"> </v>
      </c>
      <c r="M932" s="41" t="str">
        <f>IFERROR((IF(VLOOKUP(F932,'Planilha de Cadastro - Previsão'!$A$2:$N$1100,10,FALSE())="","",VLOOKUP(F932,'Planilha de Cadastro - Previsão'!$A$2:$N$1100,10,FALSE()))),"")</f>
        <v/>
      </c>
      <c r="N932" s="41"/>
      <c r="O932" s="41"/>
      <c r="P932" s="41" t="str">
        <f>IFERROR((IF(VLOOKUP(F932,'Acompanhamento da Licitação'!$F$2:$O$1000,10,FALSE())="","",VLOOKUP(F932,'Acompanhamento da Licitação'!$F$2:$O$1000,10,FALSE()))),"")</f>
        <v/>
      </c>
      <c r="R932" s="61" t="str">
        <f>IFERROR(IF(F932&gt;0,(Final[[#This Row],[Valor da Venda Real]]-Final[[#This Row],[Valor de Compra Previsto]]-4%*Final[[#This Row],[Valor da Venda Real]])/Final[[#This Row],[Valor da Venda Real]],""),"")</f>
        <v/>
      </c>
      <c r="S932" s="61" t="str">
        <f t="shared" si="61"/>
        <v/>
      </c>
      <c r="T932" s="23" t="str">
        <f>IFERROR((R932*Final[[#This Row],[Valor da Venda Real]]*Final[[#This Row],[Quantidade ]]*S932),"")</f>
        <v/>
      </c>
    </row>
    <row r="933" spans="1:20" ht="15.75" x14ac:dyDescent="0.2">
      <c r="A933">
        <f>COUNTIF($C$2:C933,C933)</f>
        <v>932</v>
      </c>
      <c r="B933" s="1" t="str">
        <f t="shared" si="60"/>
        <v>932</v>
      </c>
      <c r="C933" s="1" t="str">
        <f>IFERROR(VLOOKUP(D933,'Planilha de Cadastro - Previsão'!$A$2:$N$1000,14,FALSE()),"")</f>
        <v/>
      </c>
      <c r="D933" s="1">
        <v>932</v>
      </c>
      <c r="F933" s="40" t="str">
        <f t="shared" si="59"/>
        <v/>
      </c>
      <c r="G933" s="40" t="str">
        <f>IF(F933="","",'Prosposta Inicial'!$O$2)</f>
        <v/>
      </c>
      <c r="H933" s="40" t="str">
        <f t="shared" ref="H933:H996" si="62">CONCATENATE(F933,G933,I933)</f>
        <v xml:space="preserve"> </v>
      </c>
      <c r="I933" s="41" t="str">
        <f>IFERROR((VLOOKUP(F933,'Planilha de Cadastro - Previsão'!$A$2:$N$1100,2,FALSE()))," ")</f>
        <v xml:space="preserve"> </v>
      </c>
      <c r="J933" s="40" t="str">
        <f>IFERROR((VLOOKUP(F933,'Planilha de Cadastro - Previsão'!$A$2:$N$1100,3,FALSE()))," ")</f>
        <v xml:space="preserve"> </v>
      </c>
      <c r="K933" s="40"/>
      <c r="L933" s="42" t="str">
        <f>IFERROR((VLOOKUP(F933,'Planilha de Cadastro - Previsão'!$A$2:$N$1100,11,FALSE()))," ")</f>
        <v xml:space="preserve"> </v>
      </c>
      <c r="M933" s="41" t="str">
        <f>IFERROR((IF(VLOOKUP(F933,'Planilha de Cadastro - Previsão'!$A$2:$N$1100,10,FALSE())="","",VLOOKUP(F933,'Planilha de Cadastro - Previsão'!$A$2:$N$1100,10,FALSE()))),"")</f>
        <v/>
      </c>
      <c r="N933" s="41"/>
      <c r="O933" s="41"/>
      <c r="P933" s="41" t="str">
        <f>IFERROR((IF(VLOOKUP(F933,'Acompanhamento da Licitação'!$F$2:$O$1000,10,FALSE())="","",VLOOKUP(F933,'Acompanhamento da Licitação'!$F$2:$O$1000,10,FALSE()))),"")</f>
        <v/>
      </c>
      <c r="R933" s="61" t="str">
        <f>IFERROR(IF(F933&gt;0,(Final[[#This Row],[Valor da Venda Real]]-Final[[#This Row],[Valor de Compra Previsto]]-4%*Final[[#This Row],[Valor da Venda Real]])/Final[[#This Row],[Valor da Venda Real]],""),"")</f>
        <v/>
      </c>
      <c r="S933" s="61" t="str">
        <f t="shared" si="61"/>
        <v/>
      </c>
      <c r="T933" s="23" t="str">
        <f>IFERROR((R933*Final[[#This Row],[Valor da Venda Real]]*Final[[#This Row],[Quantidade ]]*S933),"")</f>
        <v/>
      </c>
    </row>
    <row r="934" spans="1:20" ht="15.75" x14ac:dyDescent="0.2">
      <c r="A934">
        <f>COUNTIF($C$2:C934,C934)</f>
        <v>933</v>
      </c>
      <c r="B934" s="1" t="str">
        <f t="shared" si="60"/>
        <v>933</v>
      </c>
      <c r="C934" s="1" t="str">
        <f>IFERROR(VLOOKUP(D934,'Planilha de Cadastro - Previsão'!$A$2:$N$1000,14,FALSE()),"")</f>
        <v/>
      </c>
      <c r="D934" s="1">
        <v>933</v>
      </c>
      <c r="F934" s="40" t="str">
        <f t="shared" si="59"/>
        <v/>
      </c>
      <c r="G934" s="40" t="str">
        <f>IF(F934="","",'Prosposta Inicial'!$O$2)</f>
        <v/>
      </c>
      <c r="H934" s="40" t="str">
        <f t="shared" si="62"/>
        <v xml:space="preserve"> </v>
      </c>
      <c r="I934" s="41" t="str">
        <f>IFERROR((VLOOKUP(F934,'Planilha de Cadastro - Previsão'!$A$2:$N$1100,2,FALSE()))," ")</f>
        <v xml:space="preserve"> </v>
      </c>
      <c r="J934" s="40" t="str">
        <f>IFERROR((VLOOKUP(F934,'Planilha de Cadastro - Previsão'!$A$2:$N$1100,3,FALSE()))," ")</f>
        <v xml:space="preserve"> </v>
      </c>
      <c r="K934" s="40"/>
      <c r="L934" s="42" t="str">
        <f>IFERROR((VLOOKUP(F934,'Planilha de Cadastro - Previsão'!$A$2:$N$1100,11,FALSE()))," ")</f>
        <v xml:space="preserve"> </v>
      </c>
      <c r="M934" s="41" t="str">
        <f>IFERROR((IF(VLOOKUP(F934,'Planilha de Cadastro - Previsão'!$A$2:$N$1100,10,FALSE())="","",VLOOKUP(F934,'Planilha de Cadastro - Previsão'!$A$2:$N$1100,10,FALSE()))),"")</f>
        <v/>
      </c>
      <c r="N934" s="41"/>
      <c r="O934" s="41"/>
      <c r="P934" s="41" t="str">
        <f>IFERROR((IF(VLOOKUP(F934,'Acompanhamento da Licitação'!$F$2:$O$1000,10,FALSE())="","",VLOOKUP(F934,'Acompanhamento da Licitação'!$F$2:$O$1000,10,FALSE()))),"")</f>
        <v/>
      </c>
      <c r="R934" s="61" t="str">
        <f>IFERROR(IF(F934&gt;0,(Final[[#This Row],[Valor da Venda Real]]-Final[[#This Row],[Valor de Compra Previsto]]-4%*Final[[#This Row],[Valor da Venda Real]])/Final[[#This Row],[Valor da Venda Real]],""),"")</f>
        <v/>
      </c>
      <c r="S934" s="61" t="str">
        <f t="shared" si="61"/>
        <v/>
      </c>
      <c r="T934" s="23" t="str">
        <f>IFERROR((R934*Final[[#This Row],[Valor da Venda Real]]*Final[[#This Row],[Quantidade ]]*S934),"")</f>
        <v/>
      </c>
    </row>
    <row r="935" spans="1:20" ht="15.75" x14ac:dyDescent="0.2">
      <c r="A935">
        <f>COUNTIF($C$2:C935,C935)</f>
        <v>934</v>
      </c>
      <c r="B935" s="1" t="str">
        <f t="shared" si="60"/>
        <v>934</v>
      </c>
      <c r="C935" s="1" t="str">
        <f>IFERROR(VLOOKUP(D935,'Planilha de Cadastro - Previsão'!$A$2:$N$1000,14,FALSE()),"")</f>
        <v/>
      </c>
      <c r="D935" s="1">
        <v>934</v>
      </c>
      <c r="F935" s="40" t="str">
        <f t="shared" si="59"/>
        <v/>
      </c>
      <c r="G935" s="40" t="str">
        <f>IF(F935="","",'Prosposta Inicial'!$O$2)</f>
        <v/>
      </c>
      <c r="H935" s="40" t="str">
        <f t="shared" si="62"/>
        <v xml:space="preserve"> </v>
      </c>
      <c r="I935" s="41" t="str">
        <f>IFERROR((VLOOKUP(F935,'Planilha de Cadastro - Previsão'!$A$2:$N$1100,2,FALSE()))," ")</f>
        <v xml:space="preserve"> </v>
      </c>
      <c r="J935" s="40" t="str">
        <f>IFERROR((VLOOKUP(F935,'Planilha de Cadastro - Previsão'!$A$2:$N$1100,3,FALSE()))," ")</f>
        <v xml:space="preserve"> </v>
      </c>
      <c r="K935" s="40"/>
      <c r="L935" s="42" t="str">
        <f>IFERROR((VLOOKUP(F935,'Planilha de Cadastro - Previsão'!$A$2:$N$1100,11,FALSE()))," ")</f>
        <v xml:space="preserve"> </v>
      </c>
      <c r="M935" s="41" t="str">
        <f>IFERROR((IF(VLOOKUP(F935,'Planilha de Cadastro - Previsão'!$A$2:$N$1100,10,FALSE())="","",VLOOKUP(F935,'Planilha de Cadastro - Previsão'!$A$2:$N$1100,10,FALSE()))),"")</f>
        <v/>
      </c>
      <c r="N935" s="41"/>
      <c r="O935" s="41"/>
      <c r="P935" s="41" t="str">
        <f>IFERROR((IF(VLOOKUP(F935,'Acompanhamento da Licitação'!$F$2:$O$1000,10,FALSE())="","",VLOOKUP(F935,'Acompanhamento da Licitação'!$F$2:$O$1000,10,FALSE()))),"")</f>
        <v/>
      </c>
      <c r="R935" s="61" t="str">
        <f>IFERROR(IF(F935&gt;0,(Final[[#This Row],[Valor da Venda Real]]-Final[[#This Row],[Valor de Compra Previsto]]-4%*Final[[#This Row],[Valor da Venda Real]])/Final[[#This Row],[Valor da Venda Real]],""),"")</f>
        <v/>
      </c>
      <c r="S935" s="61" t="str">
        <f t="shared" si="61"/>
        <v/>
      </c>
      <c r="T935" s="23" t="str">
        <f>IFERROR((R935*Final[[#This Row],[Valor da Venda Real]]*Final[[#This Row],[Quantidade ]]*S935),"")</f>
        <v/>
      </c>
    </row>
    <row r="936" spans="1:20" ht="15.75" x14ac:dyDescent="0.2">
      <c r="A936">
        <f>COUNTIF($C$2:C936,C936)</f>
        <v>935</v>
      </c>
      <c r="B936" s="1" t="str">
        <f t="shared" si="60"/>
        <v>935</v>
      </c>
      <c r="C936" s="1" t="str">
        <f>IFERROR(VLOOKUP(D936,'Planilha de Cadastro - Previsão'!$A$2:$N$1000,14,FALSE()),"")</f>
        <v/>
      </c>
      <c r="D936" s="1">
        <v>935</v>
      </c>
      <c r="F936" s="40" t="str">
        <f t="shared" si="59"/>
        <v/>
      </c>
      <c r="G936" s="40" t="str">
        <f>IF(F936="","",'Prosposta Inicial'!$O$2)</f>
        <v/>
      </c>
      <c r="H936" s="40" t="str">
        <f t="shared" si="62"/>
        <v xml:space="preserve"> </v>
      </c>
      <c r="I936" s="41" t="str">
        <f>IFERROR((VLOOKUP(F936,'Planilha de Cadastro - Previsão'!$A$2:$N$1100,2,FALSE()))," ")</f>
        <v xml:space="preserve"> </v>
      </c>
      <c r="J936" s="40" t="str">
        <f>IFERROR((VLOOKUP(F936,'Planilha de Cadastro - Previsão'!$A$2:$N$1100,3,FALSE()))," ")</f>
        <v xml:space="preserve"> </v>
      </c>
      <c r="K936" s="40"/>
      <c r="L936" s="42" t="str">
        <f>IFERROR((VLOOKUP(F936,'Planilha de Cadastro - Previsão'!$A$2:$N$1100,11,FALSE()))," ")</f>
        <v xml:space="preserve"> </v>
      </c>
      <c r="M936" s="41" t="str">
        <f>IFERROR((IF(VLOOKUP(F936,'Planilha de Cadastro - Previsão'!$A$2:$N$1100,10,FALSE())="","",VLOOKUP(F936,'Planilha de Cadastro - Previsão'!$A$2:$N$1100,10,FALSE()))),"")</f>
        <v/>
      </c>
      <c r="N936" s="41"/>
      <c r="O936" s="41"/>
      <c r="P936" s="41" t="str">
        <f>IFERROR((IF(VLOOKUP(F936,'Acompanhamento da Licitação'!$F$2:$O$1000,10,FALSE())="","",VLOOKUP(F936,'Acompanhamento da Licitação'!$F$2:$O$1000,10,FALSE()))),"")</f>
        <v/>
      </c>
      <c r="R936" s="61" t="str">
        <f>IFERROR(IF(F936&gt;0,(Final[[#This Row],[Valor da Venda Real]]-Final[[#This Row],[Valor de Compra Previsto]]-4%*Final[[#This Row],[Valor da Venda Real]])/Final[[#This Row],[Valor da Venda Real]],""),"")</f>
        <v/>
      </c>
      <c r="S936" s="61" t="str">
        <f t="shared" si="61"/>
        <v/>
      </c>
      <c r="T936" s="23" t="str">
        <f>IFERROR((R936*Final[[#This Row],[Valor da Venda Real]]*Final[[#This Row],[Quantidade ]]*S936),"")</f>
        <v/>
      </c>
    </row>
    <row r="937" spans="1:20" ht="15.75" x14ac:dyDescent="0.2">
      <c r="A937">
        <f>COUNTIF($C$2:C937,C937)</f>
        <v>936</v>
      </c>
      <c r="B937" s="1" t="str">
        <f t="shared" si="60"/>
        <v>936</v>
      </c>
      <c r="C937" s="1" t="str">
        <f>IFERROR(VLOOKUP(D937,'Planilha de Cadastro - Previsão'!$A$2:$N$1000,14,FALSE()),"")</f>
        <v/>
      </c>
      <c r="D937" s="1">
        <v>936</v>
      </c>
      <c r="F937" s="40" t="str">
        <f t="shared" si="59"/>
        <v/>
      </c>
      <c r="G937" s="40" t="str">
        <f>IF(F937="","",'Prosposta Inicial'!$O$2)</f>
        <v/>
      </c>
      <c r="H937" s="40" t="str">
        <f t="shared" si="62"/>
        <v xml:space="preserve"> </v>
      </c>
      <c r="I937" s="41" t="str">
        <f>IFERROR((VLOOKUP(F937,'Planilha de Cadastro - Previsão'!$A$2:$N$1100,2,FALSE()))," ")</f>
        <v xml:space="preserve"> </v>
      </c>
      <c r="J937" s="40" t="str">
        <f>IFERROR((VLOOKUP(F937,'Planilha de Cadastro - Previsão'!$A$2:$N$1100,3,FALSE()))," ")</f>
        <v xml:space="preserve"> </v>
      </c>
      <c r="K937" s="40"/>
      <c r="L937" s="42" t="str">
        <f>IFERROR((VLOOKUP(F937,'Planilha de Cadastro - Previsão'!$A$2:$N$1100,11,FALSE()))," ")</f>
        <v xml:space="preserve"> </v>
      </c>
      <c r="M937" s="41" t="str">
        <f>IFERROR((IF(VLOOKUP(F937,'Planilha de Cadastro - Previsão'!$A$2:$N$1100,10,FALSE())="","",VLOOKUP(F937,'Planilha de Cadastro - Previsão'!$A$2:$N$1100,10,FALSE()))),"")</f>
        <v/>
      </c>
      <c r="N937" s="41"/>
      <c r="O937" s="41"/>
      <c r="P937" s="41" t="str">
        <f>IFERROR((IF(VLOOKUP(F937,'Acompanhamento da Licitação'!$F$2:$O$1000,10,FALSE())="","",VLOOKUP(F937,'Acompanhamento da Licitação'!$F$2:$O$1000,10,FALSE()))),"")</f>
        <v/>
      </c>
      <c r="R937" s="61" t="str">
        <f>IFERROR(IF(F937&gt;0,(Final[[#This Row],[Valor da Venda Real]]-Final[[#This Row],[Valor de Compra Previsto]]-4%*Final[[#This Row],[Valor da Venda Real]])/Final[[#This Row],[Valor da Venda Real]],""),"")</f>
        <v/>
      </c>
      <c r="S937" s="61" t="str">
        <f t="shared" si="61"/>
        <v/>
      </c>
      <c r="T937" s="23" t="str">
        <f>IFERROR((R937*Final[[#This Row],[Valor da Venda Real]]*Final[[#This Row],[Quantidade ]]*S937),"")</f>
        <v/>
      </c>
    </row>
    <row r="938" spans="1:20" ht="15.75" x14ac:dyDescent="0.2">
      <c r="A938">
        <f>COUNTIF($C$2:C938,C938)</f>
        <v>937</v>
      </c>
      <c r="B938" s="1" t="str">
        <f t="shared" si="60"/>
        <v>937</v>
      </c>
      <c r="C938" s="1" t="str">
        <f>IFERROR(VLOOKUP(D938,'Planilha de Cadastro - Previsão'!$A$2:$N$1000,14,FALSE()),"")</f>
        <v/>
      </c>
      <c r="D938" s="1">
        <v>937</v>
      </c>
      <c r="F938" s="40" t="str">
        <f t="shared" si="59"/>
        <v/>
      </c>
      <c r="G938" s="40" t="str">
        <f>IF(F938="","",'Prosposta Inicial'!$O$2)</f>
        <v/>
      </c>
      <c r="H938" s="40" t="str">
        <f t="shared" si="62"/>
        <v xml:space="preserve"> </v>
      </c>
      <c r="I938" s="41" t="str">
        <f>IFERROR((VLOOKUP(F938,'Planilha de Cadastro - Previsão'!$A$2:$N$1100,2,FALSE()))," ")</f>
        <v xml:space="preserve"> </v>
      </c>
      <c r="J938" s="40" t="str">
        <f>IFERROR((VLOOKUP(F938,'Planilha de Cadastro - Previsão'!$A$2:$N$1100,3,FALSE()))," ")</f>
        <v xml:space="preserve"> </v>
      </c>
      <c r="K938" s="40"/>
      <c r="L938" s="42" t="str">
        <f>IFERROR((VLOOKUP(F938,'Planilha de Cadastro - Previsão'!$A$2:$N$1100,11,FALSE()))," ")</f>
        <v xml:space="preserve"> </v>
      </c>
      <c r="M938" s="41" t="str">
        <f>IFERROR((IF(VLOOKUP(F938,'Planilha de Cadastro - Previsão'!$A$2:$N$1100,10,FALSE())="","",VLOOKUP(F938,'Planilha de Cadastro - Previsão'!$A$2:$N$1100,10,FALSE()))),"")</f>
        <v/>
      </c>
      <c r="N938" s="41"/>
      <c r="O938" s="41"/>
      <c r="P938" s="41" t="str">
        <f>IFERROR((IF(VLOOKUP(F938,'Acompanhamento da Licitação'!$F$2:$O$1000,10,FALSE())="","",VLOOKUP(F938,'Acompanhamento da Licitação'!$F$2:$O$1000,10,FALSE()))),"")</f>
        <v/>
      </c>
      <c r="R938" s="61" t="str">
        <f>IFERROR(IF(F938&gt;0,(Final[[#This Row],[Valor da Venda Real]]-Final[[#This Row],[Valor de Compra Previsto]]-4%*Final[[#This Row],[Valor da Venda Real]])/Final[[#This Row],[Valor da Venda Real]],""),"")</f>
        <v/>
      </c>
      <c r="S938" s="61" t="str">
        <f t="shared" si="61"/>
        <v/>
      </c>
      <c r="T938" s="23" t="str">
        <f>IFERROR((R938*Final[[#This Row],[Valor da Venda Real]]*Final[[#This Row],[Quantidade ]]*S938),"")</f>
        <v/>
      </c>
    </row>
    <row r="939" spans="1:20" ht="15.75" x14ac:dyDescent="0.2">
      <c r="A939">
        <f>COUNTIF($C$2:C939,C939)</f>
        <v>938</v>
      </c>
      <c r="B939" s="1" t="str">
        <f t="shared" si="60"/>
        <v>938</v>
      </c>
      <c r="C939" s="1" t="str">
        <f>IFERROR(VLOOKUP(D939,'Planilha de Cadastro - Previsão'!$A$2:$N$1000,14,FALSE()),"")</f>
        <v/>
      </c>
      <c r="D939" s="1">
        <v>938</v>
      </c>
      <c r="F939" s="40" t="str">
        <f t="shared" si="59"/>
        <v/>
      </c>
      <c r="G939" s="40" t="str">
        <f>IF(F939="","",'Prosposta Inicial'!$O$2)</f>
        <v/>
      </c>
      <c r="H939" s="40" t="str">
        <f t="shared" si="62"/>
        <v xml:space="preserve"> </v>
      </c>
      <c r="I939" s="41" t="str">
        <f>IFERROR((VLOOKUP(F939,'Planilha de Cadastro - Previsão'!$A$2:$N$1100,2,FALSE()))," ")</f>
        <v xml:space="preserve"> </v>
      </c>
      <c r="J939" s="40" t="str">
        <f>IFERROR((VLOOKUP(F939,'Planilha de Cadastro - Previsão'!$A$2:$N$1100,3,FALSE()))," ")</f>
        <v xml:space="preserve"> </v>
      </c>
      <c r="K939" s="40"/>
      <c r="L939" s="42" t="str">
        <f>IFERROR((VLOOKUP(F939,'Planilha de Cadastro - Previsão'!$A$2:$N$1100,11,FALSE()))," ")</f>
        <v xml:space="preserve"> </v>
      </c>
      <c r="M939" s="41" t="str">
        <f>IFERROR((IF(VLOOKUP(F939,'Planilha de Cadastro - Previsão'!$A$2:$N$1100,10,FALSE())="","",VLOOKUP(F939,'Planilha de Cadastro - Previsão'!$A$2:$N$1100,10,FALSE()))),"")</f>
        <v/>
      </c>
      <c r="N939" s="41"/>
      <c r="O939" s="41"/>
      <c r="P939" s="41" t="str">
        <f>IFERROR((IF(VLOOKUP(F939,'Acompanhamento da Licitação'!$F$2:$O$1000,10,FALSE())="","",VLOOKUP(F939,'Acompanhamento da Licitação'!$F$2:$O$1000,10,FALSE()))),"")</f>
        <v/>
      </c>
      <c r="R939" s="61" t="str">
        <f>IFERROR(IF(F939&gt;0,(Final[[#This Row],[Valor da Venda Real]]-Final[[#This Row],[Valor de Compra Previsto]]-4%*Final[[#This Row],[Valor da Venda Real]])/Final[[#This Row],[Valor da Venda Real]],""),"")</f>
        <v/>
      </c>
      <c r="S939" s="61" t="str">
        <f t="shared" si="61"/>
        <v/>
      </c>
      <c r="T939" s="23" t="str">
        <f>IFERROR((R939*Final[[#This Row],[Valor da Venda Real]]*Final[[#This Row],[Quantidade ]]*S939),"")</f>
        <v/>
      </c>
    </row>
    <row r="940" spans="1:20" ht="15.75" x14ac:dyDescent="0.2">
      <c r="A940">
        <f>COUNTIF($C$2:C940,C940)</f>
        <v>939</v>
      </c>
      <c r="B940" s="1" t="str">
        <f t="shared" si="60"/>
        <v>939</v>
      </c>
      <c r="C940" s="1" t="str">
        <f>IFERROR(VLOOKUP(D940,'Planilha de Cadastro - Previsão'!$A$2:$N$1000,14,FALSE()),"")</f>
        <v/>
      </c>
      <c r="D940" s="1">
        <v>939</v>
      </c>
      <c r="F940" s="40" t="str">
        <f t="shared" si="59"/>
        <v/>
      </c>
      <c r="G940" s="40" t="str">
        <f>IF(F940="","",'Prosposta Inicial'!$O$2)</f>
        <v/>
      </c>
      <c r="H940" s="40" t="str">
        <f t="shared" si="62"/>
        <v xml:space="preserve"> </v>
      </c>
      <c r="I940" s="41" t="str">
        <f>IFERROR((VLOOKUP(F940,'Planilha de Cadastro - Previsão'!$A$2:$N$1100,2,FALSE()))," ")</f>
        <v xml:space="preserve"> </v>
      </c>
      <c r="J940" s="40" t="str">
        <f>IFERROR((VLOOKUP(F940,'Planilha de Cadastro - Previsão'!$A$2:$N$1100,3,FALSE()))," ")</f>
        <v xml:space="preserve"> </v>
      </c>
      <c r="K940" s="40"/>
      <c r="L940" s="42" t="str">
        <f>IFERROR((VLOOKUP(F940,'Planilha de Cadastro - Previsão'!$A$2:$N$1100,11,FALSE()))," ")</f>
        <v xml:space="preserve"> </v>
      </c>
      <c r="M940" s="41" t="str">
        <f>IFERROR((IF(VLOOKUP(F940,'Planilha de Cadastro - Previsão'!$A$2:$N$1100,10,FALSE())="","",VLOOKUP(F940,'Planilha de Cadastro - Previsão'!$A$2:$N$1100,10,FALSE()))),"")</f>
        <v/>
      </c>
      <c r="N940" s="41"/>
      <c r="O940" s="41"/>
      <c r="P940" s="41" t="str">
        <f>IFERROR((IF(VLOOKUP(F940,'Acompanhamento da Licitação'!$F$2:$O$1000,10,FALSE())="","",VLOOKUP(F940,'Acompanhamento da Licitação'!$F$2:$O$1000,10,FALSE()))),"")</f>
        <v/>
      </c>
      <c r="R940" s="61" t="str">
        <f>IFERROR(IF(F940&gt;0,(Final[[#This Row],[Valor da Venda Real]]-Final[[#This Row],[Valor de Compra Previsto]]-4%*Final[[#This Row],[Valor da Venda Real]])/Final[[#This Row],[Valor da Venda Real]],""),"")</f>
        <v/>
      </c>
      <c r="S940" s="61" t="str">
        <f t="shared" si="61"/>
        <v/>
      </c>
      <c r="T940" s="23" t="str">
        <f>IFERROR((R940*Final[[#This Row],[Valor da Venda Real]]*Final[[#This Row],[Quantidade ]]*S940),"")</f>
        <v/>
      </c>
    </row>
    <row r="941" spans="1:20" ht="15.75" x14ac:dyDescent="0.2">
      <c r="A941">
        <f>COUNTIF($C$2:C941,C941)</f>
        <v>940</v>
      </c>
      <c r="B941" s="1" t="str">
        <f t="shared" si="60"/>
        <v>940</v>
      </c>
      <c r="C941" s="1" t="str">
        <f>IFERROR(VLOOKUP(D941,'Planilha de Cadastro - Previsão'!$A$2:$N$1000,14,FALSE()),"")</f>
        <v/>
      </c>
      <c r="D941" s="1">
        <v>940</v>
      </c>
      <c r="F941" s="40" t="str">
        <f t="shared" si="59"/>
        <v/>
      </c>
      <c r="G941" s="40" t="str">
        <f>IF(F941="","",'Prosposta Inicial'!$O$2)</f>
        <v/>
      </c>
      <c r="H941" s="40" t="str">
        <f t="shared" si="62"/>
        <v xml:space="preserve"> </v>
      </c>
      <c r="I941" s="41" t="str">
        <f>IFERROR((VLOOKUP(F941,'Planilha de Cadastro - Previsão'!$A$2:$N$1100,2,FALSE()))," ")</f>
        <v xml:space="preserve"> </v>
      </c>
      <c r="J941" s="40" t="str">
        <f>IFERROR((VLOOKUP(F941,'Planilha de Cadastro - Previsão'!$A$2:$N$1100,3,FALSE()))," ")</f>
        <v xml:space="preserve"> </v>
      </c>
      <c r="K941" s="40"/>
      <c r="L941" s="42" t="str">
        <f>IFERROR((VLOOKUP(F941,'Planilha de Cadastro - Previsão'!$A$2:$N$1100,11,FALSE()))," ")</f>
        <v xml:space="preserve"> </v>
      </c>
      <c r="M941" s="41" t="str">
        <f>IFERROR((IF(VLOOKUP(F941,'Planilha de Cadastro - Previsão'!$A$2:$N$1100,10,FALSE())="","",VLOOKUP(F941,'Planilha de Cadastro - Previsão'!$A$2:$N$1100,10,FALSE()))),"")</f>
        <v/>
      </c>
      <c r="N941" s="41"/>
      <c r="O941" s="41"/>
      <c r="P941" s="41" t="str">
        <f>IFERROR((IF(VLOOKUP(F941,'Acompanhamento da Licitação'!$F$2:$O$1000,10,FALSE())="","",VLOOKUP(F941,'Acompanhamento da Licitação'!$F$2:$O$1000,10,FALSE()))),"")</f>
        <v/>
      </c>
      <c r="R941" s="61" t="str">
        <f>IFERROR(IF(F941&gt;0,(Final[[#This Row],[Valor da Venda Real]]-Final[[#This Row],[Valor de Compra Previsto]]-4%*Final[[#This Row],[Valor da Venda Real]])/Final[[#This Row],[Valor da Venda Real]],""),"")</f>
        <v/>
      </c>
      <c r="S941" s="61" t="str">
        <f t="shared" si="61"/>
        <v/>
      </c>
      <c r="T941" s="23" t="str">
        <f>IFERROR((R941*Final[[#This Row],[Valor da Venda Real]]*Final[[#This Row],[Quantidade ]]*S941),"")</f>
        <v/>
      </c>
    </row>
    <row r="942" spans="1:20" ht="15.75" x14ac:dyDescent="0.2">
      <c r="A942">
        <f>COUNTIF($C$2:C942,C942)</f>
        <v>941</v>
      </c>
      <c r="B942" s="1" t="str">
        <f t="shared" si="60"/>
        <v>941</v>
      </c>
      <c r="C942" s="1" t="str">
        <f>IFERROR(VLOOKUP(D942,'Planilha de Cadastro - Previsão'!$A$2:$N$1000,14,FALSE()),"")</f>
        <v/>
      </c>
      <c r="D942" s="1">
        <v>941</v>
      </c>
      <c r="F942" s="40" t="str">
        <f t="shared" si="59"/>
        <v/>
      </c>
      <c r="G942" s="40" t="str">
        <f>IF(F942="","",'Prosposta Inicial'!$O$2)</f>
        <v/>
      </c>
      <c r="H942" s="40" t="str">
        <f t="shared" si="62"/>
        <v xml:space="preserve"> </v>
      </c>
      <c r="I942" s="41" t="str">
        <f>IFERROR((VLOOKUP(F942,'Planilha de Cadastro - Previsão'!$A$2:$N$1100,2,FALSE()))," ")</f>
        <v xml:space="preserve"> </v>
      </c>
      <c r="J942" s="40" t="str">
        <f>IFERROR((VLOOKUP(F942,'Planilha de Cadastro - Previsão'!$A$2:$N$1100,3,FALSE()))," ")</f>
        <v xml:space="preserve"> </v>
      </c>
      <c r="K942" s="40"/>
      <c r="L942" s="42" t="str">
        <f>IFERROR((VLOOKUP(F942,'Planilha de Cadastro - Previsão'!$A$2:$N$1100,11,FALSE()))," ")</f>
        <v xml:space="preserve"> </v>
      </c>
      <c r="M942" s="41" t="str">
        <f>IFERROR((IF(VLOOKUP(F942,'Planilha de Cadastro - Previsão'!$A$2:$N$1100,10,FALSE())="","",VLOOKUP(F942,'Planilha de Cadastro - Previsão'!$A$2:$N$1100,10,FALSE()))),"")</f>
        <v/>
      </c>
      <c r="N942" s="41"/>
      <c r="O942" s="41"/>
      <c r="P942" s="41" t="str">
        <f>IFERROR((IF(VLOOKUP(F942,'Acompanhamento da Licitação'!$F$2:$O$1000,10,FALSE())="","",VLOOKUP(F942,'Acompanhamento da Licitação'!$F$2:$O$1000,10,FALSE()))),"")</f>
        <v/>
      </c>
      <c r="R942" s="61" t="str">
        <f>IFERROR(IF(F942&gt;0,(Final[[#This Row],[Valor da Venda Real]]-Final[[#This Row],[Valor de Compra Previsto]]-4%*Final[[#This Row],[Valor da Venda Real]])/Final[[#This Row],[Valor da Venda Real]],""),"")</f>
        <v/>
      </c>
      <c r="S942" s="61" t="str">
        <f t="shared" si="61"/>
        <v/>
      </c>
      <c r="T942" s="23" t="str">
        <f>IFERROR((R942*Final[[#This Row],[Valor da Venda Real]]*Final[[#This Row],[Quantidade ]]*S942),"")</f>
        <v/>
      </c>
    </row>
    <row r="943" spans="1:20" ht="15.75" x14ac:dyDescent="0.2">
      <c r="A943">
        <f>COUNTIF($C$2:C943,C943)</f>
        <v>942</v>
      </c>
      <c r="B943" s="1" t="str">
        <f t="shared" si="60"/>
        <v>942</v>
      </c>
      <c r="C943" s="1" t="str">
        <f>IFERROR(VLOOKUP(D943,'Planilha de Cadastro - Previsão'!$A$2:$N$1000,14,FALSE()),"")</f>
        <v/>
      </c>
      <c r="D943" s="1">
        <v>942</v>
      </c>
      <c r="F943" s="40" t="str">
        <f t="shared" si="59"/>
        <v/>
      </c>
      <c r="G943" s="40" t="str">
        <f>IF(F943="","",'Prosposta Inicial'!$O$2)</f>
        <v/>
      </c>
      <c r="H943" s="40" t="str">
        <f t="shared" si="62"/>
        <v xml:space="preserve"> </v>
      </c>
      <c r="I943" s="41" t="str">
        <f>IFERROR((VLOOKUP(F943,'Planilha de Cadastro - Previsão'!$A$2:$N$1100,2,FALSE()))," ")</f>
        <v xml:space="preserve"> </v>
      </c>
      <c r="J943" s="40" t="str">
        <f>IFERROR((VLOOKUP(F943,'Planilha de Cadastro - Previsão'!$A$2:$N$1100,3,FALSE()))," ")</f>
        <v xml:space="preserve"> </v>
      </c>
      <c r="K943" s="40"/>
      <c r="L943" s="42" t="str">
        <f>IFERROR((VLOOKUP(F943,'Planilha de Cadastro - Previsão'!$A$2:$N$1100,11,FALSE()))," ")</f>
        <v xml:space="preserve"> </v>
      </c>
      <c r="M943" s="41" t="str">
        <f>IFERROR((IF(VLOOKUP(F943,'Planilha de Cadastro - Previsão'!$A$2:$N$1100,10,FALSE())="","",VLOOKUP(F943,'Planilha de Cadastro - Previsão'!$A$2:$N$1100,10,FALSE()))),"")</f>
        <v/>
      </c>
      <c r="N943" s="41"/>
      <c r="O943" s="41"/>
      <c r="P943" s="41" t="str">
        <f>IFERROR((IF(VLOOKUP(F943,'Acompanhamento da Licitação'!$F$2:$O$1000,10,FALSE())="","",VLOOKUP(F943,'Acompanhamento da Licitação'!$F$2:$O$1000,10,FALSE()))),"")</f>
        <v/>
      </c>
      <c r="R943" s="61" t="str">
        <f>IFERROR(IF(F943&gt;0,(Final[[#This Row],[Valor da Venda Real]]-Final[[#This Row],[Valor de Compra Previsto]]-4%*Final[[#This Row],[Valor da Venda Real]])/Final[[#This Row],[Valor da Venda Real]],""),"")</f>
        <v/>
      </c>
      <c r="S943" s="61" t="str">
        <f t="shared" si="61"/>
        <v/>
      </c>
      <c r="T943" s="23" t="str">
        <f>IFERROR((R943*Final[[#This Row],[Valor da Venda Real]]*Final[[#This Row],[Quantidade ]]*S943),"")</f>
        <v/>
      </c>
    </row>
    <row r="944" spans="1:20" ht="15.75" x14ac:dyDescent="0.2">
      <c r="A944">
        <f>COUNTIF($C$2:C944,C944)</f>
        <v>943</v>
      </c>
      <c r="B944" s="1" t="str">
        <f t="shared" si="60"/>
        <v>943</v>
      </c>
      <c r="C944" s="1" t="str">
        <f>IFERROR(VLOOKUP(D944,'Planilha de Cadastro - Previsão'!$A$2:$N$1000,14,FALSE()),"")</f>
        <v/>
      </c>
      <c r="D944" s="1">
        <v>943</v>
      </c>
      <c r="F944" s="40" t="str">
        <f t="shared" si="59"/>
        <v/>
      </c>
      <c r="G944" s="40" t="str">
        <f>IF(F944="","",'Prosposta Inicial'!$O$2)</f>
        <v/>
      </c>
      <c r="H944" s="40" t="str">
        <f t="shared" si="62"/>
        <v xml:space="preserve"> </v>
      </c>
      <c r="I944" s="41" t="str">
        <f>IFERROR((VLOOKUP(F944,'Planilha de Cadastro - Previsão'!$A$2:$N$1100,2,FALSE()))," ")</f>
        <v xml:space="preserve"> </v>
      </c>
      <c r="J944" s="40" t="str">
        <f>IFERROR((VLOOKUP(F944,'Planilha de Cadastro - Previsão'!$A$2:$N$1100,3,FALSE()))," ")</f>
        <v xml:space="preserve"> </v>
      </c>
      <c r="K944" s="40"/>
      <c r="L944" s="42" t="str">
        <f>IFERROR((VLOOKUP(F944,'Planilha de Cadastro - Previsão'!$A$2:$N$1100,11,FALSE()))," ")</f>
        <v xml:space="preserve"> </v>
      </c>
      <c r="M944" s="41" t="str">
        <f>IFERROR((IF(VLOOKUP(F944,'Planilha de Cadastro - Previsão'!$A$2:$N$1100,10,FALSE())="","",VLOOKUP(F944,'Planilha de Cadastro - Previsão'!$A$2:$N$1100,10,FALSE()))),"")</f>
        <v/>
      </c>
      <c r="N944" s="41"/>
      <c r="O944" s="41"/>
      <c r="P944" s="41" t="str">
        <f>IFERROR((IF(VLOOKUP(F944,'Acompanhamento da Licitação'!$F$2:$O$1000,10,FALSE())="","",VLOOKUP(F944,'Acompanhamento da Licitação'!$F$2:$O$1000,10,FALSE()))),"")</f>
        <v/>
      </c>
      <c r="R944" s="61" t="str">
        <f>IFERROR(IF(F944&gt;0,(Final[[#This Row],[Valor da Venda Real]]-Final[[#This Row],[Valor de Compra Previsto]]-4%*Final[[#This Row],[Valor da Venda Real]])/Final[[#This Row],[Valor da Venda Real]],""),"")</f>
        <v/>
      </c>
      <c r="S944" s="61" t="str">
        <f t="shared" si="61"/>
        <v/>
      </c>
      <c r="T944" s="23" t="str">
        <f>IFERROR((R944*Final[[#This Row],[Valor da Venda Real]]*Final[[#This Row],[Quantidade ]]*S944),"")</f>
        <v/>
      </c>
    </row>
    <row r="945" spans="1:20" ht="15.75" x14ac:dyDescent="0.2">
      <c r="A945">
        <f>COUNTIF($C$2:C945,C945)</f>
        <v>944</v>
      </c>
      <c r="B945" s="1" t="str">
        <f t="shared" si="60"/>
        <v>944</v>
      </c>
      <c r="C945" s="1" t="str">
        <f>IFERROR(VLOOKUP(D945,'Planilha de Cadastro - Previsão'!$A$2:$N$1000,14,FALSE()),"")</f>
        <v/>
      </c>
      <c r="D945" s="1">
        <v>944</v>
      </c>
      <c r="F945" s="40" t="str">
        <f t="shared" si="59"/>
        <v/>
      </c>
      <c r="G945" s="40" t="str">
        <f>IF(F945="","",'Prosposta Inicial'!$O$2)</f>
        <v/>
      </c>
      <c r="H945" s="40" t="str">
        <f t="shared" si="62"/>
        <v xml:space="preserve"> </v>
      </c>
      <c r="I945" s="41" t="str">
        <f>IFERROR((VLOOKUP(F945,'Planilha de Cadastro - Previsão'!$A$2:$N$1100,2,FALSE()))," ")</f>
        <v xml:space="preserve"> </v>
      </c>
      <c r="J945" s="40" t="str">
        <f>IFERROR((VLOOKUP(F945,'Planilha de Cadastro - Previsão'!$A$2:$N$1100,3,FALSE()))," ")</f>
        <v xml:space="preserve"> </v>
      </c>
      <c r="K945" s="40"/>
      <c r="L945" s="42" t="str">
        <f>IFERROR((VLOOKUP(F945,'Planilha de Cadastro - Previsão'!$A$2:$N$1100,11,FALSE()))," ")</f>
        <v xml:space="preserve"> </v>
      </c>
      <c r="M945" s="41" t="str">
        <f>IFERROR((IF(VLOOKUP(F945,'Planilha de Cadastro - Previsão'!$A$2:$N$1100,10,FALSE())="","",VLOOKUP(F945,'Planilha de Cadastro - Previsão'!$A$2:$N$1100,10,FALSE()))),"")</f>
        <v/>
      </c>
      <c r="N945" s="41"/>
      <c r="O945" s="41"/>
      <c r="P945" s="41" t="str">
        <f>IFERROR((IF(VLOOKUP(F945,'Acompanhamento da Licitação'!$F$2:$O$1000,10,FALSE())="","",VLOOKUP(F945,'Acompanhamento da Licitação'!$F$2:$O$1000,10,FALSE()))),"")</f>
        <v/>
      </c>
      <c r="R945" s="61" t="str">
        <f>IFERROR(IF(F945&gt;0,(Final[[#This Row],[Valor da Venda Real]]-Final[[#This Row],[Valor de Compra Previsto]]-4%*Final[[#This Row],[Valor da Venda Real]])/Final[[#This Row],[Valor da Venda Real]],""),"")</f>
        <v/>
      </c>
      <c r="S945" s="61" t="str">
        <f t="shared" si="61"/>
        <v/>
      </c>
      <c r="T945" s="23" t="str">
        <f>IFERROR((R945*Final[[#This Row],[Valor da Venda Real]]*Final[[#This Row],[Quantidade ]]*S945),"")</f>
        <v/>
      </c>
    </row>
    <row r="946" spans="1:20" ht="15.75" x14ac:dyDescent="0.2">
      <c r="A946">
        <f>COUNTIF($C$2:C946,C946)</f>
        <v>945</v>
      </c>
      <c r="B946" s="1" t="str">
        <f t="shared" si="60"/>
        <v>945</v>
      </c>
      <c r="C946" s="1" t="str">
        <f>IFERROR(VLOOKUP(D946,'Planilha de Cadastro - Previsão'!$A$2:$N$1000,14,FALSE()),"")</f>
        <v/>
      </c>
      <c r="D946" s="1">
        <v>945</v>
      </c>
      <c r="F946" s="40" t="str">
        <f t="shared" si="59"/>
        <v/>
      </c>
      <c r="G946" s="40" t="str">
        <f>IF(F946="","",'Prosposta Inicial'!$O$2)</f>
        <v/>
      </c>
      <c r="H946" s="40" t="str">
        <f t="shared" si="62"/>
        <v xml:space="preserve"> </v>
      </c>
      <c r="I946" s="41" t="str">
        <f>IFERROR((VLOOKUP(F946,'Planilha de Cadastro - Previsão'!$A$2:$N$1100,2,FALSE()))," ")</f>
        <v xml:space="preserve"> </v>
      </c>
      <c r="J946" s="40" t="str">
        <f>IFERROR((VLOOKUP(F946,'Planilha de Cadastro - Previsão'!$A$2:$N$1100,3,FALSE()))," ")</f>
        <v xml:space="preserve"> </v>
      </c>
      <c r="K946" s="40"/>
      <c r="L946" s="42" t="str">
        <f>IFERROR((VLOOKUP(F946,'Planilha de Cadastro - Previsão'!$A$2:$N$1100,11,FALSE()))," ")</f>
        <v xml:space="preserve"> </v>
      </c>
      <c r="M946" s="41" t="str">
        <f>IFERROR((IF(VLOOKUP(F946,'Planilha de Cadastro - Previsão'!$A$2:$N$1100,10,FALSE())="","",VLOOKUP(F946,'Planilha de Cadastro - Previsão'!$A$2:$N$1100,10,FALSE()))),"")</f>
        <v/>
      </c>
      <c r="N946" s="41"/>
      <c r="O946" s="41"/>
      <c r="P946" s="41" t="str">
        <f>IFERROR((IF(VLOOKUP(F946,'Acompanhamento da Licitação'!$F$2:$O$1000,10,FALSE())="","",VLOOKUP(F946,'Acompanhamento da Licitação'!$F$2:$O$1000,10,FALSE()))),"")</f>
        <v/>
      </c>
      <c r="R946" s="61" t="str">
        <f>IFERROR(IF(F946&gt;0,(Final[[#This Row],[Valor da Venda Real]]-Final[[#This Row],[Valor de Compra Previsto]]-4%*Final[[#This Row],[Valor da Venda Real]])/Final[[#This Row],[Valor da Venda Real]],""),"")</f>
        <v/>
      </c>
      <c r="S946" s="61" t="str">
        <f t="shared" si="61"/>
        <v/>
      </c>
      <c r="T946" s="23" t="str">
        <f>IFERROR((R946*Final[[#This Row],[Valor da Venda Real]]*Final[[#This Row],[Quantidade ]]*S946),"")</f>
        <v/>
      </c>
    </row>
    <row r="947" spans="1:20" ht="15.75" x14ac:dyDescent="0.2">
      <c r="A947">
        <f>COUNTIF($C$2:C947,C947)</f>
        <v>946</v>
      </c>
      <c r="B947" s="1" t="str">
        <f t="shared" si="60"/>
        <v>946</v>
      </c>
      <c r="C947" s="1" t="str">
        <f>IFERROR(VLOOKUP(D947,'Planilha de Cadastro - Previsão'!$A$2:$N$1000,14,FALSE()),"")</f>
        <v/>
      </c>
      <c r="D947" s="1">
        <v>946</v>
      </c>
      <c r="F947" s="40" t="str">
        <f t="shared" si="59"/>
        <v/>
      </c>
      <c r="G947" s="40" t="str">
        <f>IF(F947="","",'Prosposta Inicial'!$O$2)</f>
        <v/>
      </c>
      <c r="H947" s="40" t="str">
        <f t="shared" si="62"/>
        <v xml:space="preserve"> </v>
      </c>
      <c r="I947" s="41" t="str">
        <f>IFERROR((VLOOKUP(F947,'Planilha de Cadastro - Previsão'!$A$2:$N$1100,2,FALSE()))," ")</f>
        <v xml:space="preserve"> </v>
      </c>
      <c r="J947" s="40" t="str">
        <f>IFERROR((VLOOKUP(F947,'Planilha de Cadastro - Previsão'!$A$2:$N$1100,3,FALSE()))," ")</f>
        <v xml:space="preserve"> </v>
      </c>
      <c r="K947" s="40"/>
      <c r="L947" s="42" t="str">
        <f>IFERROR((VLOOKUP(F947,'Planilha de Cadastro - Previsão'!$A$2:$N$1100,11,FALSE()))," ")</f>
        <v xml:space="preserve"> </v>
      </c>
      <c r="M947" s="41" t="str">
        <f>IFERROR((IF(VLOOKUP(F947,'Planilha de Cadastro - Previsão'!$A$2:$N$1100,10,FALSE())="","",VLOOKUP(F947,'Planilha de Cadastro - Previsão'!$A$2:$N$1100,10,FALSE()))),"")</f>
        <v/>
      </c>
      <c r="N947" s="41"/>
      <c r="O947" s="41"/>
      <c r="P947" s="41" t="str">
        <f>IFERROR((IF(VLOOKUP(F947,'Acompanhamento da Licitação'!$F$2:$O$1000,10,FALSE())="","",VLOOKUP(F947,'Acompanhamento da Licitação'!$F$2:$O$1000,10,FALSE()))),"")</f>
        <v/>
      </c>
      <c r="R947" s="61" t="str">
        <f>IFERROR(IF(F947&gt;0,(Final[[#This Row],[Valor da Venda Real]]-Final[[#This Row],[Valor de Compra Previsto]]-4%*Final[[#This Row],[Valor da Venda Real]])/Final[[#This Row],[Valor da Venda Real]],""),"")</f>
        <v/>
      </c>
      <c r="S947" s="61" t="str">
        <f t="shared" si="61"/>
        <v/>
      </c>
      <c r="T947" s="23" t="str">
        <f>IFERROR((R947*Final[[#This Row],[Valor da Venda Real]]*Final[[#This Row],[Quantidade ]]*S947),"")</f>
        <v/>
      </c>
    </row>
    <row r="948" spans="1:20" ht="15.75" x14ac:dyDescent="0.2">
      <c r="A948">
        <f>COUNTIF($C$2:C948,C948)</f>
        <v>947</v>
      </c>
      <c r="B948" s="1" t="str">
        <f t="shared" si="60"/>
        <v>947</v>
      </c>
      <c r="C948" s="1" t="str">
        <f>IFERROR(VLOOKUP(D948,'Planilha de Cadastro - Previsão'!$A$2:$N$1000,14,FALSE()),"")</f>
        <v/>
      </c>
      <c r="D948" s="1">
        <v>947</v>
      </c>
      <c r="F948" s="40" t="str">
        <f t="shared" si="59"/>
        <v/>
      </c>
      <c r="G948" s="40" t="str">
        <f>IF(F948="","",'Prosposta Inicial'!$O$2)</f>
        <v/>
      </c>
      <c r="H948" s="40" t="str">
        <f t="shared" si="62"/>
        <v xml:space="preserve"> </v>
      </c>
      <c r="I948" s="41" t="str">
        <f>IFERROR((VLOOKUP(F948,'Planilha de Cadastro - Previsão'!$A$2:$N$1100,2,FALSE()))," ")</f>
        <v xml:space="preserve"> </v>
      </c>
      <c r="J948" s="40" t="str">
        <f>IFERROR((VLOOKUP(F948,'Planilha de Cadastro - Previsão'!$A$2:$N$1100,3,FALSE()))," ")</f>
        <v xml:space="preserve"> </v>
      </c>
      <c r="K948" s="40"/>
      <c r="L948" s="42" t="str">
        <f>IFERROR((VLOOKUP(F948,'Planilha de Cadastro - Previsão'!$A$2:$N$1100,11,FALSE()))," ")</f>
        <v xml:space="preserve"> </v>
      </c>
      <c r="M948" s="41" t="str">
        <f>IFERROR((IF(VLOOKUP(F948,'Planilha de Cadastro - Previsão'!$A$2:$N$1100,10,FALSE())="","",VLOOKUP(F948,'Planilha de Cadastro - Previsão'!$A$2:$N$1100,10,FALSE()))),"")</f>
        <v/>
      </c>
      <c r="N948" s="41"/>
      <c r="O948" s="41"/>
      <c r="P948" s="41" t="str">
        <f>IFERROR((IF(VLOOKUP(F948,'Acompanhamento da Licitação'!$F$2:$O$1000,10,FALSE())="","",VLOOKUP(F948,'Acompanhamento da Licitação'!$F$2:$O$1000,10,FALSE()))),"")</f>
        <v/>
      </c>
      <c r="R948" s="61" t="str">
        <f>IFERROR(IF(F948&gt;0,(Final[[#This Row],[Valor da Venda Real]]-Final[[#This Row],[Valor de Compra Previsto]]-4%*Final[[#This Row],[Valor da Venda Real]])/Final[[#This Row],[Valor da Venda Real]],""),"")</f>
        <v/>
      </c>
      <c r="S948" s="61" t="str">
        <f t="shared" si="61"/>
        <v/>
      </c>
      <c r="T948" s="23" t="str">
        <f>IFERROR((R948*Final[[#This Row],[Valor da Venda Real]]*Final[[#This Row],[Quantidade ]]*S948),"")</f>
        <v/>
      </c>
    </row>
    <row r="949" spans="1:20" ht="15.75" x14ac:dyDescent="0.2">
      <c r="A949">
        <f>COUNTIF($C$2:C949,C949)</f>
        <v>948</v>
      </c>
      <c r="B949" s="1" t="str">
        <f t="shared" si="60"/>
        <v>948</v>
      </c>
      <c r="C949" s="1" t="str">
        <f>IFERROR(VLOOKUP(D949,'Planilha de Cadastro - Previsão'!$A$2:$N$1000,14,FALSE()),"")</f>
        <v/>
      </c>
      <c r="D949" s="1">
        <v>948</v>
      </c>
      <c r="F949" s="40" t="str">
        <f t="shared" si="59"/>
        <v/>
      </c>
      <c r="G949" s="40" t="str">
        <f>IF(F949="","",'Prosposta Inicial'!$O$2)</f>
        <v/>
      </c>
      <c r="H949" s="40" t="str">
        <f t="shared" si="62"/>
        <v xml:space="preserve"> </v>
      </c>
      <c r="I949" s="41" t="str">
        <f>IFERROR((VLOOKUP(F949,'Planilha de Cadastro - Previsão'!$A$2:$N$1100,2,FALSE()))," ")</f>
        <v xml:space="preserve"> </v>
      </c>
      <c r="J949" s="40" t="str">
        <f>IFERROR((VLOOKUP(F949,'Planilha de Cadastro - Previsão'!$A$2:$N$1100,3,FALSE()))," ")</f>
        <v xml:space="preserve"> </v>
      </c>
      <c r="K949" s="40"/>
      <c r="L949" s="42" t="str">
        <f>IFERROR((VLOOKUP(F949,'Planilha de Cadastro - Previsão'!$A$2:$N$1100,11,FALSE()))," ")</f>
        <v xml:space="preserve"> </v>
      </c>
      <c r="M949" s="41" t="str">
        <f>IFERROR((IF(VLOOKUP(F949,'Planilha de Cadastro - Previsão'!$A$2:$N$1100,10,FALSE())="","",VLOOKUP(F949,'Planilha de Cadastro - Previsão'!$A$2:$N$1100,10,FALSE()))),"")</f>
        <v/>
      </c>
      <c r="N949" s="41"/>
      <c r="O949" s="41"/>
      <c r="P949" s="41" t="str">
        <f>IFERROR((IF(VLOOKUP(F949,'Acompanhamento da Licitação'!$F$2:$O$1000,10,FALSE())="","",VLOOKUP(F949,'Acompanhamento da Licitação'!$F$2:$O$1000,10,FALSE()))),"")</f>
        <v/>
      </c>
      <c r="R949" s="61" t="str">
        <f>IFERROR(IF(F949&gt;0,(Final[[#This Row],[Valor da Venda Real]]-Final[[#This Row],[Valor de Compra Previsto]]-4%*Final[[#This Row],[Valor da Venda Real]])/Final[[#This Row],[Valor da Venda Real]],""),"")</f>
        <v/>
      </c>
      <c r="S949" s="61" t="str">
        <f t="shared" si="61"/>
        <v/>
      </c>
      <c r="T949" s="23" t="str">
        <f>IFERROR((R949*Final[[#This Row],[Valor da Venda Real]]*Final[[#This Row],[Quantidade ]]*S949),"")</f>
        <v/>
      </c>
    </row>
    <row r="950" spans="1:20" ht="15.75" x14ac:dyDescent="0.2">
      <c r="A950">
        <f>COUNTIF($C$2:C950,C950)</f>
        <v>949</v>
      </c>
      <c r="B950" s="1" t="str">
        <f t="shared" si="60"/>
        <v>949</v>
      </c>
      <c r="C950" s="1" t="str">
        <f>IFERROR(VLOOKUP(D950,'Planilha de Cadastro - Previsão'!$A$2:$N$1000,14,FALSE()),"")</f>
        <v/>
      </c>
      <c r="D950" s="1">
        <v>949</v>
      </c>
      <c r="F950" s="40" t="str">
        <f t="shared" si="59"/>
        <v/>
      </c>
      <c r="G950" s="40" t="str">
        <f>IF(F950="","",'Prosposta Inicial'!$O$2)</f>
        <v/>
      </c>
      <c r="H950" s="40" t="str">
        <f t="shared" si="62"/>
        <v xml:space="preserve"> </v>
      </c>
      <c r="I950" s="41" t="str">
        <f>IFERROR((VLOOKUP(F950,'Planilha de Cadastro - Previsão'!$A$2:$N$1100,2,FALSE()))," ")</f>
        <v xml:space="preserve"> </v>
      </c>
      <c r="J950" s="40" t="str">
        <f>IFERROR((VLOOKUP(F950,'Planilha de Cadastro - Previsão'!$A$2:$N$1100,3,FALSE()))," ")</f>
        <v xml:space="preserve"> </v>
      </c>
      <c r="K950" s="40"/>
      <c r="L950" s="42" t="str">
        <f>IFERROR((VLOOKUP(F950,'Planilha de Cadastro - Previsão'!$A$2:$N$1100,11,FALSE()))," ")</f>
        <v xml:space="preserve"> </v>
      </c>
      <c r="M950" s="41" t="str">
        <f>IFERROR((IF(VLOOKUP(F950,'Planilha de Cadastro - Previsão'!$A$2:$N$1100,10,FALSE())="","",VLOOKUP(F950,'Planilha de Cadastro - Previsão'!$A$2:$N$1100,10,FALSE()))),"")</f>
        <v/>
      </c>
      <c r="N950" s="41"/>
      <c r="O950" s="41"/>
      <c r="P950" s="41" t="str">
        <f>IFERROR((IF(VLOOKUP(F950,'Acompanhamento da Licitação'!$F$2:$O$1000,10,FALSE())="","",VLOOKUP(F950,'Acompanhamento da Licitação'!$F$2:$O$1000,10,FALSE()))),"")</f>
        <v/>
      </c>
      <c r="R950" s="61" t="str">
        <f>IFERROR(IF(F950&gt;0,(Final[[#This Row],[Valor da Venda Real]]-Final[[#This Row],[Valor de Compra Previsto]]-4%*Final[[#This Row],[Valor da Venda Real]])/Final[[#This Row],[Valor da Venda Real]],""),"")</f>
        <v/>
      </c>
      <c r="S950" s="61" t="str">
        <f t="shared" si="61"/>
        <v/>
      </c>
      <c r="T950" s="23" t="str">
        <f>IFERROR((R950*Final[[#This Row],[Valor da Venda Real]]*Final[[#This Row],[Quantidade ]]*S950),"")</f>
        <v/>
      </c>
    </row>
    <row r="951" spans="1:20" ht="15.75" x14ac:dyDescent="0.2">
      <c r="A951">
        <f>COUNTIF($C$2:C951,C951)</f>
        <v>950</v>
      </c>
      <c r="B951" s="1" t="str">
        <f t="shared" si="60"/>
        <v>950</v>
      </c>
      <c r="C951" s="1" t="str">
        <f>IFERROR(VLOOKUP(D951,'Planilha de Cadastro - Previsão'!$A$2:$N$1000,14,FALSE()),"")</f>
        <v/>
      </c>
      <c r="D951" s="1">
        <v>950</v>
      </c>
      <c r="F951" s="40" t="str">
        <f t="shared" si="59"/>
        <v/>
      </c>
      <c r="G951" s="40" t="str">
        <f>IF(F951="","",'Prosposta Inicial'!$O$2)</f>
        <v/>
      </c>
      <c r="H951" s="40" t="str">
        <f t="shared" si="62"/>
        <v xml:space="preserve"> </v>
      </c>
      <c r="I951" s="41" t="str">
        <f>IFERROR((VLOOKUP(F951,'Planilha de Cadastro - Previsão'!$A$2:$N$1100,2,FALSE()))," ")</f>
        <v xml:space="preserve"> </v>
      </c>
      <c r="J951" s="40" t="str">
        <f>IFERROR((VLOOKUP(F951,'Planilha de Cadastro - Previsão'!$A$2:$N$1100,3,FALSE()))," ")</f>
        <v xml:space="preserve"> </v>
      </c>
      <c r="K951" s="40"/>
      <c r="L951" s="42" t="str">
        <f>IFERROR((VLOOKUP(F951,'Planilha de Cadastro - Previsão'!$A$2:$N$1100,11,FALSE()))," ")</f>
        <v xml:space="preserve"> </v>
      </c>
      <c r="M951" s="41" t="str">
        <f>IFERROR((IF(VLOOKUP(F951,'Planilha de Cadastro - Previsão'!$A$2:$N$1100,10,FALSE())="","",VLOOKUP(F951,'Planilha de Cadastro - Previsão'!$A$2:$N$1100,10,FALSE()))),"")</f>
        <v/>
      </c>
      <c r="N951" s="41"/>
      <c r="O951" s="41"/>
      <c r="P951" s="41" t="str">
        <f>IFERROR((IF(VLOOKUP(F951,'Acompanhamento da Licitação'!$F$2:$O$1000,10,FALSE())="","",VLOOKUP(F951,'Acompanhamento da Licitação'!$F$2:$O$1000,10,FALSE()))),"")</f>
        <v/>
      </c>
      <c r="R951" s="61" t="str">
        <f>IFERROR(IF(F951&gt;0,(Final[[#This Row],[Valor da Venda Real]]-Final[[#This Row],[Valor de Compra Previsto]]-4%*Final[[#This Row],[Valor da Venda Real]])/Final[[#This Row],[Valor da Venda Real]],""),"")</f>
        <v/>
      </c>
      <c r="S951" s="61" t="str">
        <f t="shared" si="61"/>
        <v/>
      </c>
      <c r="T951" s="23" t="str">
        <f>IFERROR((R951*Final[[#This Row],[Valor da Venda Real]]*Final[[#This Row],[Quantidade ]]*S951),"")</f>
        <v/>
      </c>
    </row>
    <row r="952" spans="1:20" ht="15.75" x14ac:dyDescent="0.2">
      <c r="A952">
        <f>COUNTIF($C$2:C952,C952)</f>
        <v>951</v>
      </c>
      <c r="B952" s="1" t="str">
        <f t="shared" si="60"/>
        <v>951</v>
      </c>
      <c r="C952" s="1" t="str">
        <f>IFERROR(VLOOKUP(D952,'Planilha de Cadastro - Previsão'!$A$2:$N$1000,14,FALSE()),"")</f>
        <v/>
      </c>
      <c r="D952" s="1">
        <v>951</v>
      </c>
      <c r="F952" s="40" t="str">
        <f t="shared" si="59"/>
        <v/>
      </c>
      <c r="G952" s="40" t="str">
        <f>IF(F952="","",'Prosposta Inicial'!$O$2)</f>
        <v/>
      </c>
      <c r="H952" s="40" t="str">
        <f t="shared" si="62"/>
        <v xml:space="preserve"> </v>
      </c>
      <c r="I952" s="41" t="str">
        <f>IFERROR((VLOOKUP(F952,'Planilha de Cadastro - Previsão'!$A$2:$N$1100,2,FALSE()))," ")</f>
        <v xml:space="preserve"> </v>
      </c>
      <c r="J952" s="40" t="str">
        <f>IFERROR((VLOOKUP(F952,'Planilha de Cadastro - Previsão'!$A$2:$N$1100,3,FALSE()))," ")</f>
        <v xml:space="preserve"> </v>
      </c>
      <c r="K952" s="40"/>
      <c r="L952" s="42" t="str">
        <f>IFERROR((VLOOKUP(F952,'Planilha de Cadastro - Previsão'!$A$2:$N$1100,11,FALSE()))," ")</f>
        <v xml:space="preserve"> </v>
      </c>
      <c r="M952" s="41" t="str">
        <f>IFERROR((IF(VLOOKUP(F952,'Planilha de Cadastro - Previsão'!$A$2:$N$1100,10,FALSE())="","",VLOOKUP(F952,'Planilha de Cadastro - Previsão'!$A$2:$N$1100,10,FALSE()))),"")</f>
        <v/>
      </c>
      <c r="N952" s="41"/>
      <c r="O952" s="41"/>
      <c r="P952" s="41" t="str">
        <f>IFERROR((IF(VLOOKUP(F952,'Acompanhamento da Licitação'!$F$2:$O$1000,10,FALSE())="","",VLOOKUP(F952,'Acompanhamento da Licitação'!$F$2:$O$1000,10,FALSE()))),"")</f>
        <v/>
      </c>
      <c r="R952" s="61" t="str">
        <f>IFERROR(IF(F952&gt;0,(Final[[#This Row],[Valor da Venda Real]]-Final[[#This Row],[Valor de Compra Previsto]]-4%*Final[[#This Row],[Valor da Venda Real]])/Final[[#This Row],[Valor da Venda Real]],""),"")</f>
        <v/>
      </c>
      <c r="S952" s="61" t="str">
        <f t="shared" si="61"/>
        <v/>
      </c>
      <c r="T952" s="23" t="str">
        <f>IFERROR((R952*Final[[#This Row],[Valor da Venda Real]]*Final[[#This Row],[Quantidade ]]*S952),"")</f>
        <v/>
      </c>
    </row>
    <row r="953" spans="1:20" ht="15.75" x14ac:dyDescent="0.2">
      <c r="A953">
        <f>COUNTIF($C$2:C953,C953)</f>
        <v>952</v>
      </c>
      <c r="B953" s="1" t="str">
        <f t="shared" si="60"/>
        <v>952</v>
      </c>
      <c r="C953" s="1" t="str">
        <f>IFERROR(VLOOKUP(D953,'Planilha de Cadastro - Previsão'!$A$2:$N$1000,14,FALSE()),"")</f>
        <v/>
      </c>
      <c r="D953" s="1">
        <v>952</v>
      </c>
      <c r="F953" s="40" t="str">
        <f t="shared" si="59"/>
        <v/>
      </c>
      <c r="G953" s="40" t="str">
        <f>IF(F953="","",'Prosposta Inicial'!$O$2)</f>
        <v/>
      </c>
      <c r="H953" s="40" t="str">
        <f t="shared" si="62"/>
        <v xml:space="preserve"> </v>
      </c>
      <c r="I953" s="41" t="str">
        <f>IFERROR((VLOOKUP(F953,'Planilha de Cadastro - Previsão'!$A$2:$N$1100,2,FALSE()))," ")</f>
        <v xml:space="preserve"> </v>
      </c>
      <c r="J953" s="40" t="str">
        <f>IFERROR((VLOOKUP(F953,'Planilha de Cadastro - Previsão'!$A$2:$N$1100,3,FALSE()))," ")</f>
        <v xml:space="preserve"> </v>
      </c>
      <c r="K953" s="40"/>
      <c r="L953" s="42" t="str">
        <f>IFERROR((VLOOKUP(F953,'Planilha de Cadastro - Previsão'!$A$2:$N$1100,11,FALSE()))," ")</f>
        <v xml:space="preserve"> </v>
      </c>
      <c r="M953" s="41" t="str">
        <f>IFERROR((IF(VLOOKUP(F953,'Planilha de Cadastro - Previsão'!$A$2:$N$1100,10,FALSE())="","",VLOOKUP(F953,'Planilha de Cadastro - Previsão'!$A$2:$N$1100,10,FALSE()))),"")</f>
        <v/>
      </c>
      <c r="N953" s="41"/>
      <c r="O953" s="41"/>
      <c r="P953" s="41" t="str">
        <f>IFERROR((IF(VLOOKUP(F953,'Acompanhamento da Licitação'!$F$2:$O$1000,10,FALSE())="","",VLOOKUP(F953,'Acompanhamento da Licitação'!$F$2:$O$1000,10,FALSE()))),"")</f>
        <v/>
      </c>
      <c r="R953" s="61" t="str">
        <f>IFERROR(IF(F953&gt;0,(Final[[#This Row],[Valor da Venda Real]]-Final[[#This Row],[Valor de Compra Previsto]]-4%*Final[[#This Row],[Valor da Venda Real]])/Final[[#This Row],[Valor da Venda Real]],""),"")</f>
        <v/>
      </c>
      <c r="S953" s="61" t="str">
        <f t="shared" si="61"/>
        <v/>
      </c>
      <c r="T953" s="23" t="str">
        <f>IFERROR((R953*Final[[#This Row],[Valor da Venda Real]]*Final[[#This Row],[Quantidade ]]*S953),"")</f>
        <v/>
      </c>
    </row>
    <row r="954" spans="1:20" ht="15.75" x14ac:dyDescent="0.2">
      <c r="A954">
        <f>COUNTIF($C$2:C954,C954)</f>
        <v>953</v>
      </c>
      <c r="B954" s="1" t="str">
        <f t="shared" si="60"/>
        <v>953</v>
      </c>
      <c r="C954" s="1" t="str">
        <f>IFERROR(VLOOKUP(D954,'Planilha de Cadastro - Previsão'!$A$2:$N$1000,14,FALSE()),"")</f>
        <v/>
      </c>
      <c r="D954" s="1">
        <v>953</v>
      </c>
      <c r="F954" s="40" t="str">
        <f t="shared" si="59"/>
        <v/>
      </c>
      <c r="G954" s="40" t="str">
        <f>IF(F954="","",'Prosposta Inicial'!$O$2)</f>
        <v/>
      </c>
      <c r="H954" s="40" t="str">
        <f t="shared" si="62"/>
        <v xml:space="preserve"> </v>
      </c>
      <c r="I954" s="41" t="str">
        <f>IFERROR((VLOOKUP(F954,'Planilha de Cadastro - Previsão'!$A$2:$N$1100,2,FALSE()))," ")</f>
        <v xml:space="preserve"> </v>
      </c>
      <c r="J954" s="40" t="str">
        <f>IFERROR((VLOOKUP(F954,'Planilha de Cadastro - Previsão'!$A$2:$N$1100,3,FALSE()))," ")</f>
        <v xml:space="preserve"> </v>
      </c>
      <c r="K954" s="40"/>
      <c r="L954" s="42" t="str">
        <f>IFERROR((VLOOKUP(F954,'Planilha de Cadastro - Previsão'!$A$2:$N$1100,11,FALSE()))," ")</f>
        <v xml:space="preserve"> </v>
      </c>
      <c r="M954" s="41" t="str">
        <f>IFERROR((IF(VLOOKUP(F954,'Planilha de Cadastro - Previsão'!$A$2:$N$1100,10,FALSE())="","",VLOOKUP(F954,'Planilha de Cadastro - Previsão'!$A$2:$N$1100,10,FALSE()))),"")</f>
        <v/>
      </c>
      <c r="N954" s="41"/>
      <c r="O954" s="41"/>
      <c r="P954" s="41" t="str">
        <f>IFERROR((IF(VLOOKUP(F954,'Acompanhamento da Licitação'!$F$2:$O$1000,10,FALSE())="","",VLOOKUP(F954,'Acompanhamento da Licitação'!$F$2:$O$1000,10,FALSE()))),"")</f>
        <v/>
      </c>
      <c r="R954" s="61" t="str">
        <f>IFERROR(IF(F954&gt;0,(Final[[#This Row],[Valor da Venda Real]]-Final[[#This Row],[Valor de Compra Previsto]]-4%*Final[[#This Row],[Valor da Venda Real]])/Final[[#This Row],[Valor da Venda Real]],""),"")</f>
        <v/>
      </c>
      <c r="S954" s="61" t="str">
        <f t="shared" si="61"/>
        <v/>
      </c>
      <c r="T954" s="23" t="str">
        <f>IFERROR((R954*Final[[#This Row],[Valor da Venda Real]]*Final[[#This Row],[Quantidade ]]*S954),"")</f>
        <v/>
      </c>
    </row>
    <row r="955" spans="1:20" ht="15.75" x14ac:dyDescent="0.2">
      <c r="A955">
        <f>COUNTIF($C$2:C955,C955)</f>
        <v>954</v>
      </c>
      <c r="B955" s="1" t="str">
        <f t="shared" si="60"/>
        <v>954</v>
      </c>
      <c r="C955" s="1" t="str">
        <f>IFERROR(VLOOKUP(D955,'Planilha de Cadastro - Previsão'!$A$2:$N$1000,14,FALSE()),"")</f>
        <v/>
      </c>
      <c r="D955" s="1">
        <v>954</v>
      </c>
      <c r="F955" s="40" t="str">
        <f t="shared" si="59"/>
        <v/>
      </c>
      <c r="G955" s="40" t="str">
        <f>IF(F955="","",'Prosposta Inicial'!$O$2)</f>
        <v/>
      </c>
      <c r="H955" s="40" t="str">
        <f t="shared" si="62"/>
        <v xml:space="preserve"> </v>
      </c>
      <c r="I955" s="41" t="str">
        <f>IFERROR((VLOOKUP(F955,'Planilha de Cadastro - Previsão'!$A$2:$N$1100,2,FALSE()))," ")</f>
        <v xml:space="preserve"> </v>
      </c>
      <c r="J955" s="40" t="str">
        <f>IFERROR((VLOOKUP(F955,'Planilha de Cadastro - Previsão'!$A$2:$N$1100,3,FALSE()))," ")</f>
        <v xml:space="preserve"> </v>
      </c>
      <c r="K955" s="40"/>
      <c r="L955" s="42" t="str">
        <f>IFERROR((VLOOKUP(F955,'Planilha de Cadastro - Previsão'!$A$2:$N$1100,11,FALSE()))," ")</f>
        <v xml:space="preserve"> </v>
      </c>
      <c r="M955" s="41" t="str">
        <f>IFERROR((IF(VLOOKUP(F955,'Planilha de Cadastro - Previsão'!$A$2:$N$1100,10,FALSE())="","",VLOOKUP(F955,'Planilha de Cadastro - Previsão'!$A$2:$N$1100,10,FALSE()))),"")</f>
        <v/>
      </c>
      <c r="N955" s="41"/>
      <c r="O955" s="41"/>
      <c r="P955" s="41" t="str">
        <f>IFERROR((IF(VLOOKUP(F955,'Acompanhamento da Licitação'!$F$2:$O$1000,10,FALSE())="","",VLOOKUP(F955,'Acompanhamento da Licitação'!$F$2:$O$1000,10,FALSE()))),"")</f>
        <v/>
      </c>
      <c r="R955" s="61" t="str">
        <f>IFERROR(IF(F955&gt;0,(Final[[#This Row],[Valor da Venda Real]]-Final[[#This Row],[Valor de Compra Previsto]]-4%*Final[[#This Row],[Valor da Venda Real]])/Final[[#This Row],[Valor da Venda Real]],""),"")</f>
        <v/>
      </c>
      <c r="S955" s="61" t="str">
        <f t="shared" si="61"/>
        <v/>
      </c>
      <c r="T955" s="23" t="str">
        <f>IFERROR((R955*Final[[#This Row],[Valor da Venda Real]]*Final[[#This Row],[Quantidade ]]*S955),"")</f>
        <v/>
      </c>
    </row>
    <row r="956" spans="1:20" ht="15.75" x14ac:dyDescent="0.2">
      <c r="A956">
        <f>COUNTIF($C$2:C956,C956)</f>
        <v>955</v>
      </c>
      <c r="B956" s="1" t="str">
        <f t="shared" si="60"/>
        <v>955</v>
      </c>
      <c r="C956" s="1" t="str">
        <f>IFERROR(VLOOKUP(D956,'Planilha de Cadastro - Previsão'!$A$2:$N$1000,14,FALSE()),"")</f>
        <v/>
      </c>
      <c r="D956" s="1">
        <v>955</v>
      </c>
      <c r="F956" s="40" t="str">
        <f t="shared" si="59"/>
        <v/>
      </c>
      <c r="G956" s="40" t="str">
        <f>IF(F956="","",'Prosposta Inicial'!$O$2)</f>
        <v/>
      </c>
      <c r="H956" s="40" t="str">
        <f t="shared" si="62"/>
        <v xml:space="preserve"> </v>
      </c>
      <c r="I956" s="41" t="str">
        <f>IFERROR((VLOOKUP(F956,'Planilha de Cadastro - Previsão'!$A$2:$N$1100,2,FALSE()))," ")</f>
        <v xml:space="preserve"> </v>
      </c>
      <c r="J956" s="40" t="str">
        <f>IFERROR((VLOOKUP(F956,'Planilha de Cadastro - Previsão'!$A$2:$N$1100,3,FALSE()))," ")</f>
        <v xml:space="preserve"> </v>
      </c>
      <c r="K956" s="40"/>
      <c r="L956" s="42" t="str">
        <f>IFERROR((VLOOKUP(F956,'Planilha de Cadastro - Previsão'!$A$2:$N$1100,11,FALSE()))," ")</f>
        <v xml:space="preserve"> </v>
      </c>
      <c r="M956" s="41" t="str">
        <f>IFERROR((IF(VLOOKUP(F956,'Planilha de Cadastro - Previsão'!$A$2:$N$1100,10,FALSE())="","",VLOOKUP(F956,'Planilha de Cadastro - Previsão'!$A$2:$N$1100,10,FALSE()))),"")</f>
        <v/>
      </c>
      <c r="N956" s="41"/>
      <c r="O956" s="41"/>
      <c r="P956" s="41" t="str">
        <f>IFERROR((IF(VLOOKUP(F956,'Acompanhamento da Licitação'!$F$2:$O$1000,10,FALSE())="","",VLOOKUP(F956,'Acompanhamento da Licitação'!$F$2:$O$1000,10,FALSE()))),"")</f>
        <v/>
      </c>
      <c r="R956" s="61" t="str">
        <f>IFERROR(IF(F956&gt;0,(Final[[#This Row],[Valor da Venda Real]]-Final[[#This Row],[Valor de Compra Previsto]]-4%*Final[[#This Row],[Valor da Venda Real]])/Final[[#This Row],[Valor da Venda Real]],""),"")</f>
        <v/>
      </c>
      <c r="S956" s="61" t="str">
        <f t="shared" si="61"/>
        <v/>
      </c>
      <c r="T956" s="23" t="str">
        <f>IFERROR((R956*Final[[#This Row],[Valor da Venda Real]]*Final[[#This Row],[Quantidade ]]*S956),"")</f>
        <v/>
      </c>
    </row>
    <row r="957" spans="1:20" ht="15.75" x14ac:dyDescent="0.2">
      <c r="A957">
        <f>COUNTIF($C$2:C957,C957)</f>
        <v>956</v>
      </c>
      <c r="B957" s="1" t="str">
        <f t="shared" si="60"/>
        <v>956</v>
      </c>
      <c r="C957" s="1" t="str">
        <f>IFERROR(VLOOKUP(D957,'Planilha de Cadastro - Previsão'!$A$2:$N$1000,14,FALSE()),"")</f>
        <v/>
      </c>
      <c r="D957" s="1">
        <v>956</v>
      </c>
      <c r="F957" s="40" t="str">
        <f t="shared" si="59"/>
        <v/>
      </c>
      <c r="G957" s="40" t="str">
        <f>IF(F957="","",'Prosposta Inicial'!$O$2)</f>
        <v/>
      </c>
      <c r="H957" s="40" t="str">
        <f t="shared" si="62"/>
        <v xml:space="preserve"> </v>
      </c>
      <c r="I957" s="41" t="str">
        <f>IFERROR((VLOOKUP(F957,'Planilha de Cadastro - Previsão'!$A$2:$N$1100,2,FALSE()))," ")</f>
        <v xml:space="preserve"> </v>
      </c>
      <c r="J957" s="40" t="str">
        <f>IFERROR((VLOOKUP(F957,'Planilha de Cadastro - Previsão'!$A$2:$N$1100,3,FALSE()))," ")</f>
        <v xml:space="preserve"> </v>
      </c>
      <c r="K957" s="40"/>
      <c r="L957" s="42" t="str">
        <f>IFERROR((VLOOKUP(F957,'Planilha de Cadastro - Previsão'!$A$2:$N$1100,11,FALSE()))," ")</f>
        <v xml:space="preserve"> </v>
      </c>
      <c r="M957" s="41" t="str">
        <f>IFERROR((IF(VLOOKUP(F957,'Planilha de Cadastro - Previsão'!$A$2:$N$1100,10,FALSE())="","",VLOOKUP(F957,'Planilha de Cadastro - Previsão'!$A$2:$N$1100,10,FALSE()))),"")</f>
        <v/>
      </c>
      <c r="N957" s="41"/>
      <c r="O957" s="41"/>
      <c r="P957" s="41" t="str">
        <f>IFERROR((IF(VLOOKUP(F957,'Acompanhamento da Licitação'!$F$2:$O$1000,10,FALSE())="","",VLOOKUP(F957,'Acompanhamento da Licitação'!$F$2:$O$1000,10,FALSE()))),"")</f>
        <v/>
      </c>
      <c r="R957" s="61" t="str">
        <f>IFERROR(IF(F957&gt;0,(Final[[#This Row],[Valor da Venda Real]]-Final[[#This Row],[Valor de Compra Previsto]]-4%*Final[[#This Row],[Valor da Venda Real]])/Final[[#This Row],[Valor da Venda Real]],""),"")</f>
        <v/>
      </c>
      <c r="S957" s="61" t="str">
        <f t="shared" si="61"/>
        <v/>
      </c>
      <c r="T957" s="23" t="str">
        <f>IFERROR((R957*Final[[#This Row],[Valor da Venda Real]]*Final[[#This Row],[Quantidade ]]*S957),"")</f>
        <v/>
      </c>
    </row>
    <row r="958" spans="1:20" ht="15.75" x14ac:dyDescent="0.2">
      <c r="A958">
        <f>COUNTIF($C$2:C958,C958)</f>
        <v>957</v>
      </c>
      <c r="B958" s="1" t="str">
        <f t="shared" si="60"/>
        <v>957</v>
      </c>
      <c r="C958" s="1" t="str">
        <f>IFERROR(VLOOKUP(D958,'Planilha de Cadastro - Previsão'!$A$2:$N$1000,14,FALSE()),"")</f>
        <v/>
      </c>
      <c r="D958" s="1">
        <v>957</v>
      </c>
      <c r="F958" s="40" t="str">
        <f t="shared" si="59"/>
        <v/>
      </c>
      <c r="G958" s="40" t="str">
        <f>IF(F958="","",'Prosposta Inicial'!$O$2)</f>
        <v/>
      </c>
      <c r="H958" s="40" t="str">
        <f t="shared" si="62"/>
        <v xml:space="preserve"> </v>
      </c>
      <c r="I958" s="41" t="str">
        <f>IFERROR((VLOOKUP(F958,'Planilha de Cadastro - Previsão'!$A$2:$N$1100,2,FALSE()))," ")</f>
        <v xml:space="preserve"> </v>
      </c>
      <c r="J958" s="40" t="str">
        <f>IFERROR((VLOOKUP(F958,'Planilha de Cadastro - Previsão'!$A$2:$N$1100,3,FALSE()))," ")</f>
        <v xml:space="preserve"> </v>
      </c>
      <c r="K958" s="40"/>
      <c r="L958" s="42" t="str">
        <f>IFERROR((VLOOKUP(F958,'Planilha de Cadastro - Previsão'!$A$2:$N$1100,11,FALSE()))," ")</f>
        <v xml:space="preserve"> </v>
      </c>
      <c r="M958" s="41" t="str">
        <f>IFERROR((IF(VLOOKUP(F958,'Planilha de Cadastro - Previsão'!$A$2:$N$1100,10,FALSE())="","",VLOOKUP(F958,'Planilha de Cadastro - Previsão'!$A$2:$N$1100,10,FALSE()))),"")</f>
        <v/>
      </c>
      <c r="N958" s="41"/>
      <c r="O958" s="41"/>
      <c r="P958" s="41" t="str">
        <f>IFERROR((IF(VLOOKUP(F958,'Acompanhamento da Licitação'!$F$2:$O$1000,10,FALSE())="","",VLOOKUP(F958,'Acompanhamento da Licitação'!$F$2:$O$1000,10,FALSE()))),"")</f>
        <v/>
      </c>
      <c r="R958" s="61" t="str">
        <f>IFERROR(IF(F958&gt;0,(Final[[#This Row],[Valor da Venda Real]]-Final[[#This Row],[Valor de Compra Previsto]]-4%*Final[[#This Row],[Valor da Venda Real]])/Final[[#This Row],[Valor da Venda Real]],""),"")</f>
        <v/>
      </c>
      <c r="S958" s="61" t="str">
        <f t="shared" si="61"/>
        <v/>
      </c>
      <c r="T958" s="23" t="str">
        <f>IFERROR((R958*Final[[#This Row],[Valor da Venda Real]]*Final[[#This Row],[Quantidade ]]*S958),"")</f>
        <v/>
      </c>
    </row>
    <row r="959" spans="1:20" ht="15.75" x14ac:dyDescent="0.2">
      <c r="A959">
        <f>COUNTIF($C$2:C959,C959)</f>
        <v>958</v>
      </c>
      <c r="B959" s="1" t="str">
        <f t="shared" si="60"/>
        <v>958</v>
      </c>
      <c r="C959" s="1" t="str">
        <f>IFERROR(VLOOKUP(D959,'Planilha de Cadastro - Previsão'!$A$2:$N$1000,14,FALSE()),"")</f>
        <v/>
      </c>
      <c r="D959" s="1">
        <v>958</v>
      </c>
      <c r="F959" s="40" t="str">
        <f t="shared" si="59"/>
        <v/>
      </c>
      <c r="G959" s="40" t="str">
        <f>IF(F959="","",'Prosposta Inicial'!$O$2)</f>
        <v/>
      </c>
      <c r="H959" s="40" t="str">
        <f t="shared" si="62"/>
        <v xml:space="preserve"> </v>
      </c>
      <c r="I959" s="41" t="str">
        <f>IFERROR((VLOOKUP(F959,'Planilha de Cadastro - Previsão'!$A$2:$N$1100,2,FALSE()))," ")</f>
        <v xml:space="preserve"> </v>
      </c>
      <c r="J959" s="40" t="str">
        <f>IFERROR((VLOOKUP(F959,'Planilha de Cadastro - Previsão'!$A$2:$N$1100,3,FALSE()))," ")</f>
        <v xml:space="preserve"> </v>
      </c>
      <c r="K959" s="40"/>
      <c r="L959" s="42" t="str">
        <f>IFERROR((VLOOKUP(F959,'Planilha de Cadastro - Previsão'!$A$2:$N$1100,11,FALSE()))," ")</f>
        <v xml:space="preserve"> </v>
      </c>
      <c r="M959" s="41" t="str">
        <f>IFERROR((IF(VLOOKUP(F959,'Planilha de Cadastro - Previsão'!$A$2:$N$1100,10,FALSE())="","",VLOOKUP(F959,'Planilha de Cadastro - Previsão'!$A$2:$N$1100,10,FALSE()))),"")</f>
        <v/>
      </c>
      <c r="N959" s="41"/>
      <c r="O959" s="41"/>
      <c r="P959" s="41" t="str">
        <f>IFERROR((IF(VLOOKUP(F959,'Acompanhamento da Licitação'!$F$2:$O$1000,10,FALSE())="","",VLOOKUP(F959,'Acompanhamento da Licitação'!$F$2:$O$1000,10,FALSE()))),"")</f>
        <v/>
      </c>
      <c r="R959" s="61" t="str">
        <f>IFERROR(IF(F959&gt;0,(Final[[#This Row],[Valor da Venda Real]]-Final[[#This Row],[Valor de Compra Previsto]]-4%*Final[[#This Row],[Valor da Venda Real]])/Final[[#This Row],[Valor da Venda Real]],""),"")</f>
        <v/>
      </c>
      <c r="S959" s="61" t="str">
        <f t="shared" si="61"/>
        <v/>
      </c>
      <c r="T959" s="23" t="str">
        <f>IFERROR((R959*Final[[#This Row],[Valor da Venda Real]]*Final[[#This Row],[Quantidade ]]*S959),"")</f>
        <v/>
      </c>
    </row>
    <row r="960" spans="1:20" ht="15.75" x14ac:dyDescent="0.2">
      <c r="A960">
        <f>COUNTIF($C$2:C960,C960)</f>
        <v>959</v>
      </c>
      <c r="B960" s="1" t="str">
        <f t="shared" si="60"/>
        <v>959</v>
      </c>
      <c r="C960" s="1" t="str">
        <f>IFERROR(VLOOKUP(D960,'Planilha de Cadastro - Previsão'!$A$2:$N$1000,14,FALSE()),"")</f>
        <v/>
      </c>
      <c r="D960" s="1">
        <v>959</v>
      </c>
      <c r="F960" s="40" t="str">
        <f t="shared" si="59"/>
        <v/>
      </c>
      <c r="G960" s="40" t="str">
        <f>IF(F960="","",'Prosposta Inicial'!$O$2)</f>
        <v/>
      </c>
      <c r="H960" s="40" t="str">
        <f t="shared" si="62"/>
        <v xml:space="preserve"> </v>
      </c>
      <c r="I960" s="41" t="str">
        <f>IFERROR((VLOOKUP(F960,'Planilha de Cadastro - Previsão'!$A$2:$N$1100,2,FALSE()))," ")</f>
        <v xml:space="preserve"> </v>
      </c>
      <c r="J960" s="40" t="str">
        <f>IFERROR((VLOOKUP(F960,'Planilha de Cadastro - Previsão'!$A$2:$N$1100,3,FALSE()))," ")</f>
        <v xml:space="preserve"> </v>
      </c>
      <c r="K960" s="40"/>
      <c r="L960" s="42" t="str">
        <f>IFERROR((VLOOKUP(F960,'Planilha de Cadastro - Previsão'!$A$2:$N$1100,11,FALSE()))," ")</f>
        <v xml:space="preserve"> </v>
      </c>
      <c r="M960" s="41" t="str">
        <f>IFERROR((IF(VLOOKUP(F960,'Planilha de Cadastro - Previsão'!$A$2:$N$1100,10,FALSE())="","",VLOOKUP(F960,'Planilha de Cadastro - Previsão'!$A$2:$N$1100,10,FALSE()))),"")</f>
        <v/>
      </c>
      <c r="N960" s="41"/>
      <c r="O960" s="41"/>
      <c r="P960" s="41" t="str">
        <f>IFERROR((IF(VLOOKUP(F960,'Acompanhamento da Licitação'!$F$2:$O$1000,10,FALSE())="","",VLOOKUP(F960,'Acompanhamento da Licitação'!$F$2:$O$1000,10,FALSE()))),"")</f>
        <v/>
      </c>
      <c r="R960" s="61" t="str">
        <f>IFERROR(IF(F960&gt;0,(Final[[#This Row],[Valor da Venda Real]]-Final[[#This Row],[Valor de Compra Previsto]]-4%*Final[[#This Row],[Valor da Venda Real]])/Final[[#This Row],[Valor da Venda Real]],""),"")</f>
        <v/>
      </c>
      <c r="S960" s="61" t="str">
        <f t="shared" si="61"/>
        <v/>
      </c>
      <c r="T960" s="23" t="str">
        <f>IFERROR((R960*Final[[#This Row],[Valor da Venda Real]]*Final[[#This Row],[Quantidade ]]*S960),"")</f>
        <v/>
      </c>
    </row>
    <row r="961" spans="1:20" ht="15.75" x14ac:dyDescent="0.2">
      <c r="A961">
        <f>COUNTIF($C$2:C961,C961)</f>
        <v>960</v>
      </c>
      <c r="B961" s="1" t="str">
        <f t="shared" si="60"/>
        <v>960</v>
      </c>
      <c r="C961" s="1" t="str">
        <f>IFERROR(VLOOKUP(D961,'Planilha de Cadastro - Previsão'!$A$2:$N$1000,14,FALSE()),"")</f>
        <v/>
      </c>
      <c r="D961" s="1">
        <v>960</v>
      </c>
      <c r="F961" s="40" t="str">
        <f t="shared" si="59"/>
        <v/>
      </c>
      <c r="G961" s="40" t="str">
        <f>IF(F961="","",'Prosposta Inicial'!$O$2)</f>
        <v/>
      </c>
      <c r="H961" s="40" t="str">
        <f t="shared" si="62"/>
        <v xml:space="preserve"> </v>
      </c>
      <c r="I961" s="41" t="str">
        <f>IFERROR((VLOOKUP(F961,'Planilha de Cadastro - Previsão'!$A$2:$N$1100,2,FALSE()))," ")</f>
        <v xml:space="preserve"> </v>
      </c>
      <c r="J961" s="40" t="str">
        <f>IFERROR((VLOOKUP(F961,'Planilha de Cadastro - Previsão'!$A$2:$N$1100,3,FALSE()))," ")</f>
        <v xml:space="preserve"> </v>
      </c>
      <c r="K961" s="40"/>
      <c r="L961" s="42" t="str">
        <f>IFERROR((VLOOKUP(F961,'Planilha de Cadastro - Previsão'!$A$2:$N$1100,11,FALSE()))," ")</f>
        <v xml:space="preserve"> </v>
      </c>
      <c r="M961" s="41" t="str">
        <f>IFERROR((IF(VLOOKUP(F961,'Planilha de Cadastro - Previsão'!$A$2:$N$1100,10,FALSE())="","",VLOOKUP(F961,'Planilha de Cadastro - Previsão'!$A$2:$N$1100,10,FALSE()))),"")</f>
        <v/>
      </c>
      <c r="N961" s="41"/>
      <c r="O961" s="41"/>
      <c r="P961" s="41" t="str">
        <f>IFERROR((IF(VLOOKUP(F961,'Acompanhamento da Licitação'!$F$2:$O$1000,10,FALSE())="","",VLOOKUP(F961,'Acompanhamento da Licitação'!$F$2:$O$1000,10,FALSE()))),"")</f>
        <v/>
      </c>
      <c r="R961" s="61" t="str">
        <f>IFERROR(IF(F961&gt;0,(Final[[#This Row],[Valor da Venda Real]]-Final[[#This Row],[Valor de Compra Previsto]]-4%*Final[[#This Row],[Valor da Venda Real]])/Final[[#This Row],[Valor da Venda Real]],""),"")</f>
        <v/>
      </c>
      <c r="S961" s="61" t="str">
        <f t="shared" si="61"/>
        <v/>
      </c>
      <c r="T961" s="23" t="str">
        <f>IFERROR((R961*Final[[#This Row],[Valor da Venda Real]]*Final[[#This Row],[Quantidade ]]*S961),"")</f>
        <v/>
      </c>
    </row>
    <row r="962" spans="1:20" ht="15.75" x14ac:dyDescent="0.2">
      <c r="A962">
        <f>COUNTIF($C$2:C962,C962)</f>
        <v>961</v>
      </c>
      <c r="B962" s="1" t="str">
        <f t="shared" si="60"/>
        <v>961</v>
      </c>
      <c r="C962" s="1" t="str">
        <f>IFERROR(VLOOKUP(D962,'Planilha de Cadastro - Previsão'!$A$2:$N$1000,14,FALSE()),"")</f>
        <v/>
      </c>
      <c r="D962" s="1">
        <v>961</v>
      </c>
      <c r="F962" s="40" t="str">
        <f t="shared" ref="F962:F999" si="63">IFERROR((VLOOKUP(CONCATENATE("Sim",D962),$B$2:$D$1000,3,FALSE())),"")</f>
        <v/>
      </c>
      <c r="G962" s="40" t="str">
        <f>IF(F962="","",'Prosposta Inicial'!$O$2)</f>
        <v/>
      </c>
      <c r="H962" s="40" t="str">
        <f t="shared" si="62"/>
        <v xml:space="preserve"> </v>
      </c>
      <c r="I962" s="41" t="str">
        <f>IFERROR((VLOOKUP(F962,'Planilha de Cadastro - Previsão'!$A$2:$N$1100,2,FALSE()))," ")</f>
        <v xml:space="preserve"> </v>
      </c>
      <c r="J962" s="40" t="str">
        <f>IFERROR((VLOOKUP(F962,'Planilha de Cadastro - Previsão'!$A$2:$N$1100,3,FALSE()))," ")</f>
        <v xml:space="preserve"> </v>
      </c>
      <c r="K962" s="40"/>
      <c r="L962" s="42" t="str">
        <f>IFERROR((VLOOKUP(F962,'Planilha de Cadastro - Previsão'!$A$2:$N$1100,11,FALSE()))," ")</f>
        <v xml:space="preserve"> </v>
      </c>
      <c r="M962" s="41" t="str">
        <f>IFERROR((IF(VLOOKUP(F962,'Planilha de Cadastro - Previsão'!$A$2:$N$1100,10,FALSE())="","",VLOOKUP(F962,'Planilha de Cadastro - Previsão'!$A$2:$N$1100,10,FALSE()))),"")</f>
        <v/>
      </c>
      <c r="N962" s="41"/>
      <c r="O962" s="41"/>
      <c r="P962" s="41" t="str">
        <f>IFERROR((IF(VLOOKUP(F962,'Acompanhamento da Licitação'!$F$2:$O$1000,10,FALSE())="","",VLOOKUP(F962,'Acompanhamento da Licitação'!$F$2:$O$1000,10,FALSE()))),"")</f>
        <v/>
      </c>
      <c r="R962" s="61" t="str">
        <f>IFERROR(IF(F962&gt;0,(Final[[#This Row],[Valor da Venda Real]]-Final[[#This Row],[Valor de Compra Previsto]]-4%*Final[[#This Row],[Valor da Venda Real]])/Final[[#This Row],[Valor da Venda Real]],""),"")</f>
        <v/>
      </c>
      <c r="S962" s="61" t="str">
        <f t="shared" si="61"/>
        <v/>
      </c>
      <c r="T962" s="23" t="str">
        <f>IFERROR((R962*Final[[#This Row],[Valor da Venda Real]]*Final[[#This Row],[Quantidade ]]*S962),"")</f>
        <v/>
      </c>
    </row>
    <row r="963" spans="1:20" ht="15.75" x14ac:dyDescent="0.2">
      <c r="A963">
        <f>COUNTIF($C$2:C963,C963)</f>
        <v>962</v>
      </c>
      <c r="B963" s="1" t="str">
        <f t="shared" ref="B963:B1000" si="64">IFERROR(CONCATENATE(C963,A963),"")</f>
        <v>962</v>
      </c>
      <c r="C963" s="1" t="str">
        <f>IFERROR(VLOOKUP(D963,'Planilha de Cadastro - Previsão'!$A$2:$N$1000,14,FALSE()),"")</f>
        <v/>
      </c>
      <c r="D963" s="1">
        <v>962</v>
      </c>
      <c r="F963" s="40" t="str">
        <f t="shared" si="63"/>
        <v/>
      </c>
      <c r="G963" s="40" t="str">
        <f>IF(F963="","",'Prosposta Inicial'!$O$2)</f>
        <v/>
      </c>
      <c r="H963" s="40" t="str">
        <f t="shared" si="62"/>
        <v xml:space="preserve"> </v>
      </c>
      <c r="I963" s="41" t="str">
        <f>IFERROR((VLOOKUP(F963,'Planilha de Cadastro - Previsão'!$A$2:$N$1100,2,FALSE()))," ")</f>
        <v xml:space="preserve"> </v>
      </c>
      <c r="J963" s="40" t="str">
        <f>IFERROR((VLOOKUP(F963,'Planilha de Cadastro - Previsão'!$A$2:$N$1100,3,FALSE()))," ")</f>
        <v xml:space="preserve"> </v>
      </c>
      <c r="K963" s="40"/>
      <c r="L963" s="42" t="str">
        <f>IFERROR((VLOOKUP(F963,'Planilha de Cadastro - Previsão'!$A$2:$N$1100,11,FALSE()))," ")</f>
        <v xml:space="preserve"> </v>
      </c>
      <c r="M963" s="41" t="str">
        <f>IFERROR((IF(VLOOKUP(F963,'Planilha de Cadastro - Previsão'!$A$2:$N$1100,10,FALSE())="","",VLOOKUP(F963,'Planilha de Cadastro - Previsão'!$A$2:$N$1100,10,FALSE()))),"")</f>
        <v/>
      </c>
      <c r="N963" s="41"/>
      <c r="O963" s="41"/>
      <c r="P963" s="41" t="str">
        <f>IFERROR((IF(VLOOKUP(F963,'Acompanhamento da Licitação'!$F$2:$O$1000,10,FALSE())="","",VLOOKUP(F963,'Acompanhamento da Licitação'!$F$2:$O$1000,10,FALSE()))),"")</f>
        <v/>
      </c>
      <c r="R963" s="61" t="str">
        <f>IFERROR(IF(F963&gt;0,(Final[[#This Row],[Valor da Venda Real]]-Final[[#This Row],[Valor de Compra Previsto]]-4%*Final[[#This Row],[Valor da Venda Real]])/Final[[#This Row],[Valor da Venda Real]],""),"")</f>
        <v/>
      </c>
      <c r="S963" s="61" t="str">
        <f t="shared" ref="S963:S1000" si="65">IF(R963="","",IF(R963&lt;0.2,0.05,IF(R963&lt;0.25,0.1,IF(R963&lt;0.3,0.15,IF(R963&lt;0.35,0.2,IF(R963&lt;0.45,0.25,IF(R963&lt;0.5,0.3,IF(R963&lt;0.6,0.35,0.4))))))))</f>
        <v/>
      </c>
      <c r="T963" s="23" t="str">
        <f>IFERROR((R963*Final[[#This Row],[Valor da Venda Real]]*Final[[#This Row],[Quantidade ]]*S963),"")</f>
        <v/>
      </c>
    </row>
    <row r="964" spans="1:20" ht="15.75" x14ac:dyDescent="0.2">
      <c r="A964">
        <f>COUNTIF($C$2:C964,C964)</f>
        <v>963</v>
      </c>
      <c r="B964" s="1" t="str">
        <f t="shared" si="64"/>
        <v>963</v>
      </c>
      <c r="C964" s="1" t="str">
        <f>IFERROR(VLOOKUP(D964,'Planilha de Cadastro - Previsão'!$A$2:$N$1000,14,FALSE()),"")</f>
        <v/>
      </c>
      <c r="D964" s="1">
        <v>963</v>
      </c>
      <c r="F964" s="40" t="str">
        <f t="shared" si="63"/>
        <v/>
      </c>
      <c r="G964" s="40" t="str">
        <f>IF(F964="","",'Prosposta Inicial'!$O$2)</f>
        <v/>
      </c>
      <c r="H964" s="40" t="str">
        <f t="shared" si="62"/>
        <v xml:space="preserve"> </v>
      </c>
      <c r="I964" s="41" t="str">
        <f>IFERROR((VLOOKUP(F964,'Planilha de Cadastro - Previsão'!$A$2:$N$1100,2,FALSE()))," ")</f>
        <v xml:space="preserve"> </v>
      </c>
      <c r="J964" s="40" t="str">
        <f>IFERROR((VLOOKUP(F964,'Planilha de Cadastro - Previsão'!$A$2:$N$1100,3,FALSE()))," ")</f>
        <v xml:space="preserve"> </v>
      </c>
      <c r="K964" s="40"/>
      <c r="L964" s="42" t="str">
        <f>IFERROR((VLOOKUP(F964,'Planilha de Cadastro - Previsão'!$A$2:$N$1100,11,FALSE()))," ")</f>
        <v xml:space="preserve"> </v>
      </c>
      <c r="M964" s="41" t="str">
        <f>IFERROR((IF(VLOOKUP(F964,'Planilha de Cadastro - Previsão'!$A$2:$N$1100,10,FALSE())="","",VLOOKUP(F964,'Planilha de Cadastro - Previsão'!$A$2:$N$1100,10,FALSE()))),"")</f>
        <v/>
      </c>
      <c r="N964" s="41"/>
      <c r="O964" s="41"/>
      <c r="P964" s="41" t="str">
        <f>IFERROR((IF(VLOOKUP(F964,'Acompanhamento da Licitação'!$F$2:$O$1000,10,FALSE())="","",VLOOKUP(F964,'Acompanhamento da Licitação'!$F$2:$O$1000,10,FALSE()))),"")</f>
        <v/>
      </c>
      <c r="R964" s="61" t="str">
        <f>IFERROR(IF(F964&gt;0,(Final[[#This Row],[Valor da Venda Real]]-Final[[#This Row],[Valor de Compra Previsto]]-4%*Final[[#This Row],[Valor da Venda Real]])/Final[[#This Row],[Valor da Venda Real]],""),"")</f>
        <v/>
      </c>
      <c r="S964" s="61" t="str">
        <f t="shared" si="65"/>
        <v/>
      </c>
      <c r="T964" s="23" t="str">
        <f>IFERROR((R964*Final[[#This Row],[Valor da Venda Real]]*Final[[#This Row],[Quantidade ]]*S964),"")</f>
        <v/>
      </c>
    </row>
    <row r="965" spans="1:20" ht="15.75" x14ac:dyDescent="0.2">
      <c r="A965">
        <f>COUNTIF($C$2:C965,C965)</f>
        <v>964</v>
      </c>
      <c r="B965" s="1" t="str">
        <f t="shared" si="64"/>
        <v>964</v>
      </c>
      <c r="C965" s="1" t="str">
        <f>IFERROR(VLOOKUP(D965,'Planilha de Cadastro - Previsão'!$A$2:$N$1000,14,FALSE()),"")</f>
        <v/>
      </c>
      <c r="D965" s="1">
        <v>964</v>
      </c>
      <c r="F965" s="40" t="str">
        <f t="shared" si="63"/>
        <v/>
      </c>
      <c r="G965" s="40" t="str">
        <f>IF(F965="","",'Prosposta Inicial'!$O$2)</f>
        <v/>
      </c>
      <c r="H965" s="40" t="str">
        <f t="shared" si="62"/>
        <v xml:space="preserve"> </v>
      </c>
      <c r="I965" s="41" t="str">
        <f>IFERROR((VLOOKUP(F965,'Planilha de Cadastro - Previsão'!$A$2:$N$1100,2,FALSE()))," ")</f>
        <v xml:space="preserve"> </v>
      </c>
      <c r="J965" s="40" t="str">
        <f>IFERROR((VLOOKUP(F965,'Planilha de Cadastro - Previsão'!$A$2:$N$1100,3,FALSE()))," ")</f>
        <v xml:space="preserve"> </v>
      </c>
      <c r="K965" s="40"/>
      <c r="L965" s="42" t="str">
        <f>IFERROR((VLOOKUP(F965,'Planilha de Cadastro - Previsão'!$A$2:$N$1100,11,FALSE()))," ")</f>
        <v xml:space="preserve"> </v>
      </c>
      <c r="M965" s="41" t="str">
        <f>IFERROR((IF(VLOOKUP(F965,'Planilha de Cadastro - Previsão'!$A$2:$N$1100,10,FALSE())="","",VLOOKUP(F965,'Planilha de Cadastro - Previsão'!$A$2:$N$1100,10,FALSE()))),"")</f>
        <v/>
      </c>
      <c r="N965" s="41"/>
      <c r="O965" s="41"/>
      <c r="P965" s="41" t="str">
        <f>IFERROR((IF(VLOOKUP(F965,'Acompanhamento da Licitação'!$F$2:$O$1000,10,FALSE())="","",VLOOKUP(F965,'Acompanhamento da Licitação'!$F$2:$O$1000,10,FALSE()))),"")</f>
        <v/>
      </c>
      <c r="R965" s="61" t="str">
        <f>IFERROR(IF(F965&gt;0,(Final[[#This Row],[Valor da Venda Real]]-Final[[#This Row],[Valor de Compra Previsto]]-4%*Final[[#This Row],[Valor da Venda Real]])/Final[[#This Row],[Valor da Venda Real]],""),"")</f>
        <v/>
      </c>
      <c r="S965" s="61" t="str">
        <f t="shared" si="65"/>
        <v/>
      </c>
      <c r="T965" s="23" t="str">
        <f>IFERROR((R965*Final[[#This Row],[Valor da Venda Real]]*Final[[#This Row],[Quantidade ]]*S965),"")</f>
        <v/>
      </c>
    </row>
    <row r="966" spans="1:20" ht="15.75" x14ac:dyDescent="0.2">
      <c r="A966">
        <f>COUNTIF($C$2:C966,C966)</f>
        <v>965</v>
      </c>
      <c r="B966" s="1" t="str">
        <f t="shared" si="64"/>
        <v>965</v>
      </c>
      <c r="C966" s="1" t="str">
        <f>IFERROR(VLOOKUP(D966,'Planilha de Cadastro - Previsão'!$A$2:$N$1000,14,FALSE()),"")</f>
        <v/>
      </c>
      <c r="D966" s="1">
        <v>965</v>
      </c>
      <c r="F966" s="40" t="str">
        <f t="shared" si="63"/>
        <v/>
      </c>
      <c r="G966" s="40" t="str">
        <f>IF(F966="","",'Prosposta Inicial'!$O$2)</f>
        <v/>
      </c>
      <c r="H966" s="40" t="str">
        <f t="shared" si="62"/>
        <v xml:space="preserve"> </v>
      </c>
      <c r="I966" s="41" t="str">
        <f>IFERROR((VLOOKUP(F966,'Planilha de Cadastro - Previsão'!$A$2:$N$1100,2,FALSE()))," ")</f>
        <v xml:space="preserve"> </v>
      </c>
      <c r="J966" s="40" t="str">
        <f>IFERROR((VLOOKUP(F966,'Planilha de Cadastro - Previsão'!$A$2:$N$1100,3,FALSE()))," ")</f>
        <v xml:space="preserve"> </v>
      </c>
      <c r="K966" s="40"/>
      <c r="L966" s="42" t="str">
        <f>IFERROR((VLOOKUP(F966,'Planilha de Cadastro - Previsão'!$A$2:$N$1100,11,FALSE()))," ")</f>
        <v xml:space="preserve"> </v>
      </c>
      <c r="M966" s="41" t="str">
        <f>IFERROR((IF(VLOOKUP(F966,'Planilha de Cadastro - Previsão'!$A$2:$N$1100,10,FALSE())="","",VLOOKUP(F966,'Planilha de Cadastro - Previsão'!$A$2:$N$1100,10,FALSE()))),"")</f>
        <v/>
      </c>
      <c r="N966" s="41"/>
      <c r="O966" s="41"/>
      <c r="P966" s="41" t="str">
        <f>IFERROR((IF(VLOOKUP(F966,'Acompanhamento da Licitação'!$F$2:$O$1000,10,FALSE())="","",VLOOKUP(F966,'Acompanhamento da Licitação'!$F$2:$O$1000,10,FALSE()))),"")</f>
        <v/>
      </c>
      <c r="R966" s="61" t="str">
        <f>IFERROR(IF(F966&gt;0,(Final[[#This Row],[Valor da Venda Real]]-Final[[#This Row],[Valor de Compra Previsto]]-4%*Final[[#This Row],[Valor da Venda Real]])/Final[[#This Row],[Valor da Venda Real]],""),"")</f>
        <v/>
      </c>
      <c r="S966" s="61" t="str">
        <f t="shared" si="65"/>
        <v/>
      </c>
      <c r="T966" s="23" t="str">
        <f>IFERROR((R966*Final[[#This Row],[Valor da Venda Real]]*Final[[#This Row],[Quantidade ]]*S966),"")</f>
        <v/>
      </c>
    </row>
    <row r="967" spans="1:20" ht="15.75" x14ac:dyDescent="0.2">
      <c r="A967">
        <f>COUNTIF($C$2:C967,C967)</f>
        <v>966</v>
      </c>
      <c r="B967" s="1" t="str">
        <f t="shared" si="64"/>
        <v>966</v>
      </c>
      <c r="C967" s="1" t="str">
        <f>IFERROR(VLOOKUP(D967,'Planilha de Cadastro - Previsão'!$A$2:$N$1000,14,FALSE()),"")</f>
        <v/>
      </c>
      <c r="D967" s="1">
        <v>966</v>
      </c>
      <c r="F967" s="40" t="str">
        <f t="shared" si="63"/>
        <v/>
      </c>
      <c r="G967" s="40" t="str">
        <f>IF(F967="","",'Prosposta Inicial'!$O$2)</f>
        <v/>
      </c>
      <c r="H967" s="40" t="str">
        <f t="shared" si="62"/>
        <v xml:space="preserve"> </v>
      </c>
      <c r="I967" s="41" t="str">
        <f>IFERROR((VLOOKUP(F967,'Planilha de Cadastro - Previsão'!$A$2:$N$1100,2,FALSE()))," ")</f>
        <v xml:space="preserve"> </v>
      </c>
      <c r="J967" s="40" t="str">
        <f>IFERROR((VLOOKUP(F967,'Planilha de Cadastro - Previsão'!$A$2:$N$1100,3,FALSE()))," ")</f>
        <v xml:space="preserve"> </v>
      </c>
      <c r="K967" s="40"/>
      <c r="L967" s="42" t="str">
        <f>IFERROR((VLOOKUP(F967,'Planilha de Cadastro - Previsão'!$A$2:$N$1100,11,FALSE()))," ")</f>
        <v xml:space="preserve"> </v>
      </c>
      <c r="M967" s="41" t="str">
        <f>IFERROR((IF(VLOOKUP(F967,'Planilha de Cadastro - Previsão'!$A$2:$N$1100,10,FALSE())="","",VLOOKUP(F967,'Planilha de Cadastro - Previsão'!$A$2:$N$1100,10,FALSE()))),"")</f>
        <v/>
      </c>
      <c r="N967" s="41"/>
      <c r="O967" s="41"/>
      <c r="P967" s="41" t="str">
        <f>IFERROR((IF(VLOOKUP(F967,'Acompanhamento da Licitação'!$F$2:$O$1000,10,FALSE())="","",VLOOKUP(F967,'Acompanhamento da Licitação'!$F$2:$O$1000,10,FALSE()))),"")</f>
        <v/>
      </c>
      <c r="R967" s="61" t="str">
        <f>IFERROR(IF(F967&gt;0,(Final[[#This Row],[Valor da Venda Real]]-Final[[#This Row],[Valor de Compra Previsto]]-4%*Final[[#This Row],[Valor da Venda Real]])/Final[[#This Row],[Valor da Venda Real]],""),"")</f>
        <v/>
      </c>
      <c r="S967" s="61" t="str">
        <f t="shared" si="65"/>
        <v/>
      </c>
      <c r="T967" s="23" t="str">
        <f>IFERROR((R967*Final[[#This Row],[Valor da Venda Real]]*Final[[#This Row],[Quantidade ]]*S967),"")</f>
        <v/>
      </c>
    </row>
    <row r="968" spans="1:20" ht="15.75" x14ac:dyDescent="0.2">
      <c r="A968">
        <f>COUNTIF($C$2:C968,C968)</f>
        <v>967</v>
      </c>
      <c r="B968" s="1" t="str">
        <f t="shared" si="64"/>
        <v>967</v>
      </c>
      <c r="C968" s="1" t="str">
        <f>IFERROR(VLOOKUP(D968,'Planilha de Cadastro - Previsão'!$A$2:$N$1000,14,FALSE()),"")</f>
        <v/>
      </c>
      <c r="D968" s="1">
        <v>967</v>
      </c>
      <c r="F968" s="40" t="str">
        <f t="shared" si="63"/>
        <v/>
      </c>
      <c r="G968" s="40" t="str">
        <f>IF(F968="","",'Prosposta Inicial'!$O$2)</f>
        <v/>
      </c>
      <c r="H968" s="40" t="str">
        <f t="shared" si="62"/>
        <v xml:space="preserve"> </v>
      </c>
      <c r="I968" s="41" t="str">
        <f>IFERROR((VLOOKUP(F968,'Planilha de Cadastro - Previsão'!$A$2:$N$1100,2,FALSE()))," ")</f>
        <v xml:space="preserve"> </v>
      </c>
      <c r="J968" s="40" t="str">
        <f>IFERROR((VLOOKUP(F968,'Planilha de Cadastro - Previsão'!$A$2:$N$1100,3,FALSE()))," ")</f>
        <v xml:space="preserve"> </v>
      </c>
      <c r="K968" s="40"/>
      <c r="L968" s="42" t="str">
        <f>IFERROR((VLOOKUP(F968,'Planilha de Cadastro - Previsão'!$A$2:$N$1100,11,FALSE()))," ")</f>
        <v xml:space="preserve"> </v>
      </c>
      <c r="M968" s="41" t="str">
        <f>IFERROR((IF(VLOOKUP(F968,'Planilha de Cadastro - Previsão'!$A$2:$N$1100,10,FALSE())="","",VLOOKUP(F968,'Planilha de Cadastro - Previsão'!$A$2:$N$1100,10,FALSE()))),"")</f>
        <v/>
      </c>
      <c r="N968" s="41"/>
      <c r="O968" s="41"/>
      <c r="P968" s="41" t="str">
        <f>IFERROR((IF(VLOOKUP(F968,'Acompanhamento da Licitação'!$F$2:$O$1000,10,FALSE())="","",VLOOKUP(F968,'Acompanhamento da Licitação'!$F$2:$O$1000,10,FALSE()))),"")</f>
        <v/>
      </c>
      <c r="R968" s="61" t="str">
        <f>IFERROR(IF(F968&gt;0,(Final[[#This Row],[Valor da Venda Real]]-Final[[#This Row],[Valor de Compra Previsto]]-4%*Final[[#This Row],[Valor da Venda Real]])/Final[[#This Row],[Valor da Venda Real]],""),"")</f>
        <v/>
      </c>
      <c r="S968" s="61" t="str">
        <f t="shared" si="65"/>
        <v/>
      </c>
      <c r="T968" s="23" t="str">
        <f>IFERROR((R968*Final[[#This Row],[Valor da Venda Real]]*Final[[#This Row],[Quantidade ]]*S968),"")</f>
        <v/>
      </c>
    </row>
    <row r="969" spans="1:20" ht="15.75" x14ac:dyDescent="0.2">
      <c r="A969">
        <f>COUNTIF($C$2:C969,C969)</f>
        <v>968</v>
      </c>
      <c r="B969" s="1" t="str">
        <f t="shared" si="64"/>
        <v>968</v>
      </c>
      <c r="C969" s="1" t="str">
        <f>IFERROR(VLOOKUP(D969,'Planilha de Cadastro - Previsão'!$A$2:$N$1000,14,FALSE()),"")</f>
        <v/>
      </c>
      <c r="D969" s="1">
        <v>968</v>
      </c>
      <c r="F969" s="40" t="str">
        <f t="shared" si="63"/>
        <v/>
      </c>
      <c r="G969" s="40" t="str">
        <f>IF(F969="","",'Prosposta Inicial'!$O$2)</f>
        <v/>
      </c>
      <c r="H969" s="40" t="str">
        <f t="shared" si="62"/>
        <v xml:space="preserve"> </v>
      </c>
      <c r="I969" s="41" t="str">
        <f>IFERROR((VLOOKUP(F969,'Planilha de Cadastro - Previsão'!$A$2:$N$1100,2,FALSE()))," ")</f>
        <v xml:space="preserve"> </v>
      </c>
      <c r="J969" s="40" t="str">
        <f>IFERROR((VLOOKUP(F969,'Planilha de Cadastro - Previsão'!$A$2:$N$1100,3,FALSE()))," ")</f>
        <v xml:space="preserve"> </v>
      </c>
      <c r="K969" s="40"/>
      <c r="L969" s="42" t="str">
        <f>IFERROR((VLOOKUP(F969,'Planilha de Cadastro - Previsão'!$A$2:$N$1100,11,FALSE()))," ")</f>
        <v xml:space="preserve"> </v>
      </c>
      <c r="M969" s="41" t="str">
        <f>IFERROR((IF(VLOOKUP(F969,'Planilha de Cadastro - Previsão'!$A$2:$N$1100,10,FALSE())="","",VLOOKUP(F969,'Planilha de Cadastro - Previsão'!$A$2:$N$1100,10,FALSE()))),"")</f>
        <v/>
      </c>
      <c r="N969" s="41"/>
      <c r="O969" s="41"/>
      <c r="P969" s="41" t="str">
        <f>IFERROR((IF(VLOOKUP(F969,'Acompanhamento da Licitação'!$F$2:$O$1000,10,FALSE())="","",VLOOKUP(F969,'Acompanhamento da Licitação'!$F$2:$O$1000,10,FALSE()))),"")</f>
        <v/>
      </c>
      <c r="R969" s="61" t="str">
        <f>IFERROR(IF(F969&gt;0,(Final[[#This Row],[Valor da Venda Real]]-Final[[#This Row],[Valor de Compra Previsto]]-4%*Final[[#This Row],[Valor da Venda Real]])/Final[[#This Row],[Valor da Venda Real]],""),"")</f>
        <v/>
      </c>
      <c r="S969" s="61" t="str">
        <f t="shared" si="65"/>
        <v/>
      </c>
      <c r="T969" s="23" t="str">
        <f>IFERROR((R969*Final[[#This Row],[Valor da Venda Real]]*Final[[#This Row],[Quantidade ]]*S969),"")</f>
        <v/>
      </c>
    </row>
    <row r="970" spans="1:20" ht="15.75" x14ac:dyDescent="0.2">
      <c r="A970">
        <f>COUNTIF($C$2:C970,C970)</f>
        <v>969</v>
      </c>
      <c r="B970" s="1" t="str">
        <f t="shared" si="64"/>
        <v>969</v>
      </c>
      <c r="C970" s="1" t="str">
        <f>IFERROR(VLOOKUP(D970,'Planilha de Cadastro - Previsão'!$A$2:$N$1000,14,FALSE()),"")</f>
        <v/>
      </c>
      <c r="D970" s="1">
        <v>969</v>
      </c>
      <c r="F970" s="40" t="str">
        <f t="shared" si="63"/>
        <v/>
      </c>
      <c r="G970" s="40" t="str">
        <f>IF(F970="","",'Prosposta Inicial'!$O$2)</f>
        <v/>
      </c>
      <c r="H970" s="40" t="str">
        <f t="shared" si="62"/>
        <v xml:space="preserve"> </v>
      </c>
      <c r="I970" s="41" t="str">
        <f>IFERROR((VLOOKUP(F970,'Planilha de Cadastro - Previsão'!$A$2:$N$1100,2,FALSE()))," ")</f>
        <v xml:space="preserve"> </v>
      </c>
      <c r="J970" s="40" t="str">
        <f>IFERROR((VLOOKUP(F970,'Planilha de Cadastro - Previsão'!$A$2:$N$1100,3,FALSE()))," ")</f>
        <v xml:space="preserve"> </v>
      </c>
      <c r="K970" s="40"/>
      <c r="L970" s="42" t="str">
        <f>IFERROR((VLOOKUP(F970,'Planilha de Cadastro - Previsão'!$A$2:$N$1100,11,FALSE()))," ")</f>
        <v xml:space="preserve"> </v>
      </c>
      <c r="M970" s="41" t="str">
        <f>IFERROR((IF(VLOOKUP(F970,'Planilha de Cadastro - Previsão'!$A$2:$N$1100,10,FALSE())="","",VLOOKUP(F970,'Planilha de Cadastro - Previsão'!$A$2:$N$1100,10,FALSE()))),"")</f>
        <v/>
      </c>
      <c r="N970" s="41"/>
      <c r="O970" s="41"/>
      <c r="P970" s="41" t="str">
        <f>IFERROR((IF(VLOOKUP(F970,'Acompanhamento da Licitação'!$F$2:$O$1000,10,FALSE())="","",VLOOKUP(F970,'Acompanhamento da Licitação'!$F$2:$O$1000,10,FALSE()))),"")</f>
        <v/>
      </c>
      <c r="R970" s="61" t="str">
        <f>IFERROR(IF(F970&gt;0,(Final[[#This Row],[Valor da Venda Real]]-Final[[#This Row],[Valor de Compra Previsto]]-4%*Final[[#This Row],[Valor da Venda Real]])/Final[[#This Row],[Valor da Venda Real]],""),"")</f>
        <v/>
      </c>
      <c r="S970" s="61" t="str">
        <f t="shared" si="65"/>
        <v/>
      </c>
      <c r="T970" s="23" t="str">
        <f>IFERROR((R970*Final[[#This Row],[Valor da Venda Real]]*Final[[#This Row],[Quantidade ]]*S970),"")</f>
        <v/>
      </c>
    </row>
    <row r="971" spans="1:20" ht="15.75" x14ac:dyDescent="0.2">
      <c r="A971">
        <f>COUNTIF($C$2:C971,C971)</f>
        <v>970</v>
      </c>
      <c r="B971" s="1" t="str">
        <f t="shared" si="64"/>
        <v>970</v>
      </c>
      <c r="C971" s="1" t="str">
        <f>IFERROR(VLOOKUP(D971,'Planilha de Cadastro - Previsão'!$A$2:$N$1000,14,FALSE()),"")</f>
        <v/>
      </c>
      <c r="D971" s="1">
        <v>970</v>
      </c>
      <c r="F971" s="40" t="str">
        <f t="shared" si="63"/>
        <v/>
      </c>
      <c r="G971" s="40" t="str">
        <f>IF(F971="","",'Prosposta Inicial'!$O$2)</f>
        <v/>
      </c>
      <c r="H971" s="40" t="str">
        <f t="shared" si="62"/>
        <v xml:space="preserve"> </v>
      </c>
      <c r="I971" s="41" t="str">
        <f>IFERROR((VLOOKUP(F971,'Planilha de Cadastro - Previsão'!$A$2:$N$1100,2,FALSE()))," ")</f>
        <v xml:space="preserve"> </v>
      </c>
      <c r="J971" s="40" t="str">
        <f>IFERROR((VLOOKUP(F971,'Planilha de Cadastro - Previsão'!$A$2:$N$1100,3,FALSE()))," ")</f>
        <v xml:space="preserve"> </v>
      </c>
      <c r="K971" s="40"/>
      <c r="L971" s="42" t="str">
        <f>IFERROR((VLOOKUP(F971,'Planilha de Cadastro - Previsão'!$A$2:$N$1100,11,FALSE()))," ")</f>
        <v xml:space="preserve"> </v>
      </c>
      <c r="M971" s="41" t="str">
        <f>IFERROR((IF(VLOOKUP(F971,'Planilha de Cadastro - Previsão'!$A$2:$N$1100,10,FALSE())="","",VLOOKUP(F971,'Planilha de Cadastro - Previsão'!$A$2:$N$1100,10,FALSE()))),"")</f>
        <v/>
      </c>
      <c r="N971" s="41"/>
      <c r="O971" s="41"/>
      <c r="P971" s="41" t="str">
        <f>IFERROR((IF(VLOOKUP(F971,'Acompanhamento da Licitação'!$F$2:$O$1000,10,FALSE())="","",VLOOKUP(F971,'Acompanhamento da Licitação'!$F$2:$O$1000,10,FALSE()))),"")</f>
        <v/>
      </c>
      <c r="R971" s="61" t="str">
        <f>IFERROR(IF(F971&gt;0,(Final[[#This Row],[Valor da Venda Real]]-Final[[#This Row],[Valor de Compra Previsto]]-4%*Final[[#This Row],[Valor da Venda Real]])/Final[[#This Row],[Valor da Venda Real]],""),"")</f>
        <v/>
      </c>
      <c r="S971" s="61" t="str">
        <f t="shared" si="65"/>
        <v/>
      </c>
      <c r="T971" s="23" t="str">
        <f>IFERROR((R971*Final[[#This Row],[Valor da Venda Real]]*Final[[#This Row],[Quantidade ]]*S971),"")</f>
        <v/>
      </c>
    </row>
    <row r="972" spans="1:20" ht="15.75" x14ac:dyDescent="0.2">
      <c r="A972">
        <f>COUNTIF($C$2:C972,C972)</f>
        <v>971</v>
      </c>
      <c r="B972" s="1" t="str">
        <f t="shared" si="64"/>
        <v>971</v>
      </c>
      <c r="C972" s="1" t="str">
        <f>IFERROR(VLOOKUP(D972,'Planilha de Cadastro - Previsão'!$A$2:$N$1000,14,FALSE()),"")</f>
        <v/>
      </c>
      <c r="D972" s="1">
        <v>971</v>
      </c>
      <c r="F972" s="40" t="str">
        <f t="shared" si="63"/>
        <v/>
      </c>
      <c r="G972" s="40" t="str">
        <f>IF(F972="","",'Prosposta Inicial'!$O$2)</f>
        <v/>
      </c>
      <c r="H972" s="40" t="str">
        <f t="shared" si="62"/>
        <v xml:space="preserve"> </v>
      </c>
      <c r="I972" s="41" t="str">
        <f>IFERROR((VLOOKUP(F972,'Planilha de Cadastro - Previsão'!$A$2:$N$1100,2,FALSE()))," ")</f>
        <v xml:space="preserve"> </v>
      </c>
      <c r="J972" s="40" t="str">
        <f>IFERROR((VLOOKUP(F972,'Planilha de Cadastro - Previsão'!$A$2:$N$1100,3,FALSE()))," ")</f>
        <v xml:space="preserve"> </v>
      </c>
      <c r="K972" s="40"/>
      <c r="L972" s="42" t="str">
        <f>IFERROR((VLOOKUP(F972,'Planilha de Cadastro - Previsão'!$A$2:$N$1100,11,FALSE()))," ")</f>
        <v xml:space="preserve"> </v>
      </c>
      <c r="M972" s="41" t="str">
        <f>IFERROR((IF(VLOOKUP(F972,'Planilha de Cadastro - Previsão'!$A$2:$N$1100,10,FALSE())="","",VLOOKUP(F972,'Planilha de Cadastro - Previsão'!$A$2:$N$1100,10,FALSE()))),"")</f>
        <v/>
      </c>
      <c r="N972" s="41"/>
      <c r="O972" s="41"/>
      <c r="P972" s="41" t="str">
        <f>IFERROR((IF(VLOOKUP(F972,'Acompanhamento da Licitação'!$F$2:$O$1000,10,FALSE())="","",VLOOKUP(F972,'Acompanhamento da Licitação'!$F$2:$O$1000,10,FALSE()))),"")</f>
        <v/>
      </c>
      <c r="R972" s="61" t="str">
        <f>IFERROR(IF(F972&gt;0,(Final[[#This Row],[Valor da Venda Real]]-Final[[#This Row],[Valor de Compra Previsto]]-4%*Final[[#This Row],[Valor da Venda Real]])/Final[[#This Row],[Valor da Venda Real]],""),"")</f>
        <v/>
      </c>
      <c r="S972" s="61" t="str">
        <f t="shared" si="65"/>
        <v/>
      </c>
      <c r="T972" s="23" t="str">
        <f>IFERROR((R972*Final[[#This Row],[Valor da Venda Real]]*Final[[#This Row],[Quantidade ]]*S972),"")</f>
        <v/>
      </c>
    </row>
    <row r="973" spans="1:20" ht="15.75" x14ac:dyDescent="0.2">
      <c r="A973">
        <f>COUNTIF($C$2:C973,C973)</f>
        <v>972</v>
      </c>
      <c r="B973" s="1" t="str">
        <f t="shared" si="64"/>
        <v>972</v>
      </c>
      <c r="C973" s="1" t="str">
        <f>IFERROR(VLOOKUP(D973,'Planilha de Cadastro - Previsão'!$A$2:$N$1000,14,FALSE()),"")</f>
        <v/>
      </c>
      <c r="D973" s="1">
        <v>972</v>
      </c>
      <c r="F973" s="40" t="str">
        <f t="shared" si="63"/>
        <v/>
      </c>
      <c r="G973" s="40" t="str">
        <f>IF(F973="","",'Prosposta Inicial'!$O$2)</f>
        <v/>
      </c>
      <c r="H973" s="40" t="str">
        <f t="shared" si="62"/>
        <v xml:space="preserve"> </v>
      </c>
      <c r="I973" s="41" t="str">
        <f>IFERROR((VLOOKUP(F973,'Planilha de Cadastro - Previsão'!$A$2:$N$1100,2,FALSE()))," ")</f>
        <v xml:space="preserve"> </v>
      </c>
      <c r="J973" s="40" t="str">
        <f>IFERROR((VLOOKUP(F973,'Planilha de Cadastro - Previsão'!$A$2:$N$1100,3,FALSE()))," ")</f>
        <v xml:space="preserve"> </v>
      </c>
      <c r="K973" s="40"/>
      <c r="L973" s="42" t="str">
        <f>IFERROR((VLOOKUP(F973,'Planilha de Cadastro - Previsão'!$A$2:$N$1100,11,FALSE()))," ")</f>
        <v xml:space="preserve"> </v>
      </c>
      <c r="M973" s="41" t="str">
        <f>IFERROR((IF(VLOOKUP(F973,'Planilha de Cadastro - Previsão'!$A$2:$N$1100,10,FALSE())="","",VLOOKUP(F973,'Planilha de Cadastro - Previsão'!$A$2:$N$1100,10,FALSE()))),"")</f>
        <v/>
      </c>
      <c r="N973" s="41"/>
      <c r="O973" s="41"/>
      <c r="P973" s="41" t="str">
        <f>IFERROR((IF(VLOOKUP(F973,'Acompanhamento da Licitação'!$F$2:$O$1000,10,FALSE())="","",VLOOKUP(F973,'Acompanhamento da Licitação'!$F$2:$O$1000,10,FALSE()))),"")</f>
        <v/>
      </c>
      <c r="R973" s="61" t="str">
        <f>IFERROR(IF(F973&gt;0,(Final[[#This Row],[Valor da Venda Real]]-Final[[#This Row],[Valor de Compra Previsto]]-4%*Final[[#This Row],[Valor da Venda Real]])/Final[[#This Row],[Valor da Venda Real]],""),"")</f>
        <v/>
      </c>
      <c r="S973" s="61" t="str">
        <f t="shared" si="65"/>
        <v/>
      </c>
      <c r="T973" s="23" t="str">
        <f>IFERROR((R973*Final[[#This Row],[Valor da Venda Real]]*Final[[#This Row],[Quantidade ]]*S973),"")</f>
        <v/>
      </c>
    </row>
    <row r="974" spans="1:20" ht="15.75" x14ac:dyDescent="0.2">
      <c r="A974">
        <f>COUNTIF($C$2:C974,C974)</f>
        <v>973</v>
      </c>
      <c r="B974" s="1" t="str">
        <f t="shared" si="64"/>
        <v>973</v>
      </c>
      <c r="C974" s="1" t="str">
        <f>IFERROR(VLOOKUP(D974,'Planilha de Cadastro - Previsão'!$A$2:$N$1000,14,FALSE()),"")</f>
        <v/>
      </c>
      <c r="D974" s="1">
        <v>973</v>
      </c>
      <c r="F974" s="40" t="str">
        <f t="shared" si="63"/>
        <v/>
      </c>
      <c r="G974" s="40" t="str">
        <f>IF(F974="","",'Prosposta Inicial'!$O$2)</f>
        <v/>
      </c>
      <c r="H974" s="40" t="str">
        <f t="shared" si="62"/>
        <v xml:space="preserve"> </v>
      </c>
      <c r="I974" s="41" t="str">
        <f>IFERROR((VLOOKUP(F974,'Planilha de Cadastro - Previsão'!$A$2:$N$1100,2,FALSE()))," ")</f>
        <v xml:space="preserve"> </v>
      </c>
      <c r="J974" s="40" t="str">
        <f>IFERROR((VLOOKUP(F974,'Planilha de Cadastro - Previsão'!$A$2:$N$1100,3,FALSE()))," ")</f>
        <v xml:space="preserve"> </v>
      </c>
      <c r="K974" s="40"/>
      <c r="L974" s="42" t="str">
        <f>IFERROR((VLOOKUP(F974,'Planilha de Cadastro - Previsão'!$A$2:$N$1100,11,FALSE()))," ")</f>
        <v xml:space="preserve"> </v>
      </c>
      <c r="M974" s="41" t="str">
        <f>IFERROR((IF(VLOOKUP(F974,'Planilha de Cadastro - Previsão'!$A$2:$N$1100,10,FALSE())="","",VLOOKUP(F974,'Planilha de Cadastro - Previsão'!$A$2:$N$1100,10,FALSE()))),"")</f>
        <v/>
      </c>
      <c r="N974" s="41"/>
      <c r="O974" s="41"/>
      <c r="P974" s="41" t="str">
        <f>IFERROR((IF(VLOOKUP(F974,'Acompanhamento da Licitação'!$F$2:$O$1000,10,FALSE())="","",VLOOKUP(F974,'Acompanhamento da Licitação'!$F$2:$O$1000,10,FALSE()))),"")</f>
        <v/>
      </c>
      <c r="R974" s="61" t="str">
        <f>IFERROR(IF(F974&gt;0,(Final[[#This Row],[Valor da Venda Real]]-Final[[#This Row],[Valor de Compra Previsto]]-4%*Final[[#This Row],[Valor da Venda Real]])/Final[[#This Row],[Valor da Venda Real]],""),"")</f>
        <v/>
      </c>
      <c r="S974" s="61" t="str">
        <f t="shared" si="65"/>
        <v/>
      </c>
      <c r="T974" s="23" t="str">
        <f>IFERROR((R974*Final[[#This Row],[Valor da Venda Real]]*Final[[#This Row],[Quantidade ]]*S974),"")</f>
        <v/>
      </c>
    </row>
    <row r="975" spans="1:20" ht="15.75" x14ac:dyDescent="0.2">
      <c r="A975">
        <f>COUNTIF($C$2:C975,C975)</f>
        <v>974</v>
      </c>
      <c r="B975" s="1" t="str">
        <f t="shared" si="64"/>
        <v>974</v>
      </c>
      <c r="C975" s="1" t="str">
        <f>IFERROR(VLOOKUP(D975,'Planilha de Cadastro - Previsão'!$A$2:$N$1000,14,FALSE()),"")</f>
        <v/>
      </c>
      <c r="D975" s="1">
        <v>974</v>
      </c>
      <c r="F975" s="40" t="str">
        <f t="shared" si="63"/>
        <v/>
      </c>
      <c r="G975" s="40" t="str">
        <f>IF(F975="","",'Prosposta Inicial'!$O$2)</f>
        <v/>
      </c>
      <c r="H975" s="40" t="str">
        <f t="shared" si="62"/>
        <v xml:space="preserve"> </v>
      </c>
      <c r="I975" s="41" t="str">
        <f>IFERROR((VLOOKUP(F975,'Planilha de Cadastro - Previsão'!$A$2:$N$1100,2,FALSE()))," ")</f>
        <v xml:space="preserve"> </v>
      </c>
      <c r="J975" s="40" t="str">
        <f>IFERROR((VLOOKUP(F975,'Planilha de Cadastro - Previsão'!$A$2:$N$1100,3,FALSE()))," ")</f>
        <v xml:space="preserve"> </v>
      </c>
      <c r="K975" s="40"/>
      <c r="L975" s="42" t="str">
        <f>IFERROR((VLOOKUP(F975,'Planilha de Cadastro - Previsão'!$A$2:$N$1100,11,FALSE()))," ")</f>
        <v xml:space="preserve"> </v>
      </c>
      <c r="M975" s="41" t="str">
        <f>IFERROR((IF(VLOOKUP(F975,'Planilha de Cadastro - Previsão'!$A$2:$N$1100,10,FALSE())="","",VLOOKUP(F975,'Planilha de Cadastro - Previsão'!$A$2:$N$1100,10,FALSE()))),"")</f>
        <v/>
      </c>
      <c r="N975" s="41"/>
      <c r="O975" s="41"/>
      <c r="P975" s="41" t="str">
        <f>IFERROR((IF(VLOOKUP(F975,'Acompanhamento da Licitação'!$F$2:$O$1000,10,FALSE())="","",VLOOKUP(F975,'Acompanhamento da Licitação'!$F$2:$O$1000,10,FALSE()))),"")</f>
        <v/>
      </c>
      <c r="R975" s="61" t="str">
        <f>IFERROR(IF(F975&gt;0,(Final[[#This Row],[Valor da Venda Real]]-Final[[#This Row],[Valor de Compra Previsto]]-4%*Final[[#This Row],[Valor da Venda Real]])/Final[[#This Row],[Valor da Venda Real]],""),"")</f>
        <v/>
      </c>
      <c r="S975" s="61" t="str">
        <f t="shared" si="65"/>
        <v/>
      </c>
      <c r="T975" s="23" t="str">
        <f>IFERROR((R975*Final[[#This Row],[Valor da Venda Real]]*Final[[#This Row],[Quantidade ]]*S975),"")</f>
        <v/>
      </c>
    </row>
    <row r="976" spans="1:20" ht="15.75" x14ac:dyDescent="0.2">
      <c r="A976">
        <f>COUNTIF($C$2:C976,C976)</f>
        <v>975</v>
      </c>
      <c r="B976" s="1" t="str">
        <f t="shared" si="64"/>
        <v>975</v>
      </c>
      <c r="C976" s="1" t="str">
        <f>IFERROR(VLOOKUP(D976,'Planilha de Cadastro - Previsão'!$A$2:$N$1000,14,FALSE()),"")</f>
        <v/>
      </c>
      <c r="D976" s="1">
        <v>975</v>
      </c>
      <c r="F976" s="40" t="str">
        <f t="shared" si="63"/>
        <v/>
      </c>
      <c r="G976" s="40" t="str">
        <f>IF(F976="","",'Prosposta Inicial'!$O$2)</f>
        <v/>
      </c>
      <c r="H976" s="40" t="str">
        <f t="shared" si="62"/>
        <v xml:space="preserve"> </v>
      </c>
      <c r="I976" s="41" t="str">
        <f>IFERROR((VLOOKUP(F976,'Planilha de Cadastro - Previsão'!$A$2:$N$1100,2,FALSE()))," ")</f>
        <v xml:space="preserve"> </v>
      </c>
      <c r="J976" s="40" t="str">
        <f>IFERROR((VLOOKUP(F976,'Planilha de Cadastro - Previsão'!$A$2:$N$1100,3,FALSE()))," ")</f>
        <v xml:space="preserve"> </v>
      </c>
      <c r="K976" s="40"/>
      <c r="L976" s="42" t="str">
        <f>IFERROR((VLOOKUP(F976,'Planilha de Cadastro - Previsão'!$A$2:$N$1100,11,FALSE()))," ")</f>
        <v xml:space="preserve"> </v>
      </c>
      <c r="M976" s="41" t="str">
        <f>IFERROR((IF(VLOOKUP(F976,'Planilha de Cadastro - Previsão'!$A$2:$N$1100,10,FALSE())="","",VLOOKUP(F976,'Planilha de Cadastro - Previsão'!$A$2:$N$1100,10,FALSE()))),"")</f>
        <v/>
      </c>
      <c r="N976" s="41"/>
      <c r="O976" s="41"/>
      <c r="P976" s="41" t="str">
        <f>IFERROR((IF(VLOOKUP(F976,'Acompanhamento da Licitação'!$F$2:$O$1000,10,FALSE())="","",VLOOKUP(F976,'Acompanhamento da Licitação'!$F$2:$O$1000,10,FALSE()))),"")</f>
        <v/>
      </c>
      <c r="R976" s="61" t="str">
        <f>IFERROR(IF(F976&gt;0,(Final[[#This Row],[Valor da Venda Real]]-Final[[#This Row],[Valor de Compra Previsto]]-4%*Final[[#This Row],[Valor da Venda Real]])/Final[[#This Row],[Valor da Venda Real]],""),"")</f>
        <v/>
      </c>
      <c r="S976" s="61" t="str">
        <f t="shared" si="65"/>
        <v/>
      </c>
      <c r="T976" s="23" t="str">
        <f>IFERROR((R976*Final[[#This Row],[Valor da Venda Real]]*Final[[#This Row],[Quantidade ]]*S976),"")</f>
        <v/>
      </c>
    </row>
    <row r="977" spans="1:20" ht="15.75" x14ac:dyDescent="0.2">
      <c r="A977">
        <f>COUNTIF($C$2:C977,C977)</f>
        <v>976</v>
      </c>
      <c r="B977" s="1" t="str">
        <f t="shared" si="64"/>
        <v>976</v>
      </c>
      <c r="C977" s="1" t="str">
        <f>IFERROR(VLOOKUP(D977,'Planilha de Cadastro - Previsão'!$A$2:$N$1000,14,FALSE()),"")</f>
        <v/>
      </c>
      <c r="D977" s="1">
        <v>976</v>
      </c>
      <c r="F977" s="40" t="str">
        <f t="shared" si="63"/>
        <v/>
      </c>
      <c r="G977" s="40" t="str">
        <f>IF(F977="","",'Prosposta Inicial'!$O$2)</f>
        <v/>
      </c>
      <c r="H977" s="40" t="str">
        <f t="shared" si="62"/>
        <v xml:space="preserve"> </v>
      </c>
      <c r="I977" s="41" t="str">
        <f>IFERROR((VLOOKUP(F977,'Planilha de Cadastro - Previsão'!$A$2:$N$1100,2,FALSE()))," ")</f>
        <v xml:space="preserve"> </v>
      </c>
      <c r="J977" s="40" t="str">
        <f>IFERROR((VLOOKUP(F977,'Planilha de Cadastro - Previsão'!$A$2:$N$1100,3,FALSE()))," ")</f>
        <v xml:space="preserve"> </v>
      </c>
      <c r="K977" s="40"/>
      <c r="L977" s="42" t="str">
        <f>IFERROR((VLOOKUP(F977,'Planilha de Cadastro - Previsão'!$A$2:$N$1100,11,FALSE()))," ")</f>
        <v xml:space="preserve"> </v>
      </c>
      <c r="M977" s="41" t="str">
        <f>IFERROR((IF(VLOOKUP(F977,'Planilha de Cadastro - Previsão'!$A$2:$N$1100,10,FALSE())="","",VLOOKUP(F977,'Planilha de Cadastro - Previsão'!$A$2:$N$1100,10,FALSE()))),"")</f>
        <v/>
      </c>
      <c r="N977" s="41"/>
      <c r="O977" s="41"/>
      <c r="P977" s="41" t="str">
        <f>IFERROR((IF(VLOOKUP(F977,'Acompanhamento da Licitação'!$F$2:$O$1000,10,FALSE())="","",VLOOKUP(F977,'Acompanhamento da Licitação'!$F$2:$O$1000,10,FALSE()))),"")</f>
        <v/>
      </c>
      <c r="R977" s="61" t="str">
        <f>IFERROR(IF(F977&gt;0,(Final[[#This Row],[Valor da Venda Real]]-Final[[#This Row],[Valor de Compra Previsto]]-4%*Final[[#This Row],[Valor da Venda Real]])/Final[[#This Row],[Valor da Venda Real]],""),"")</f>
        <v/>
      </c>
      <c r="S977" s="61" t="str">
        <f t="shared" si="65"/>
        <v/>
      </c>
      <c r="T977" s="23" t="str">
        <f>IFERROR((R977*Final[[#This Row],[Valor da Venda Real]]*Final[[#This Row],[Quantidade ]]*S977),"")</f>
        <v/>
      </c>
    </row>
    <row r="978" spans="1:20" ht="15.75" x14ac:dyDescent="0.2">
      <c r="A978">
        <f>COUNTIF($C$2:C978,C978)</f>
        <v>977</v>
      </c>
      <c r="B978" s="1" t="str">
        <f t="shared" si="64"/>
        <v>977</v>
      </c>
      <c r="C978" s="1" t="str">
        <f>IFERROR(VLOOKUP(D978,'Planilha de Cadastro - Previsão'!$A$2:$N$1000,14,FALSE()),"")</f>
        <v/>
      </c>
      <c r="D978" s="1">
        <v>977</v>
      </c>
      <c r="F978" s="40" t="str">
        <f t="shared" si="63"/>
        <v/>
      </c>
      <c r="G978" s="40" t="str">
        <f>IF(F978="","",'Prosposta Inicial'!$O$2)</f>
        <v/>
      </c>
      <c r="H978" s="40" t="str">
        <f t="shared" si="62"/>
        <v xml:space="preserve"> </v>
      </c>
      <c r="I978" s="41" t="str">
        <f>IFERROR((VLOOKUP(F978,'Planilha de Cadastro - Previsão'!$A$2:$N$1100,2,FALSE()))," ")</f>
        <v xml:space="preserve"> </v>
      </c>
      <c r="J978" s="40" t="str">
        <f>IFERROR((VLOOKUP(F978,'Planilha de Cadastro - Previsão'!$A$2:$N$1100,3,FALSE()))," ")</f>
        <v xml:space="preserve"> </v>
      </c>
      <c r="K978" s="40"/>
      <c r="L978" s="42" t="str">
        <f>IFERROR((VLOOKUP(F978,'Planilha de Cadastro - Previsão'!$A$2:$N$1100,11,FALSE()))," ")</f>
        <v xml:space="preserve"> </v>
      </c>
      <c r="M978" s="41" t="str">
        <f>IFERROR((IF(VLOOKUP(F978,'Planilha de Cadastro - Previsão'!$A$2:$N$1100,10,FALSE())="","",VLOOKUP(F978,'Planilha de Cadastro - Previsão'!$A$2:$N$1100,10,FALSE()))),"")</f>
        <v/>
      </c>
      <c r="N978" s="41"/>
      <c r="O978" s="41"/>
      <c r="P978" s="41" t="str">
        <f>IFERROR((IF(VLOOKUP(F978,'Acompanhamento da Licitação'!$F$2:$O$1000,10,FALSE())="","",VLOOKUP(F978,'Acompanhamento da Licitação'!$F$2:$O$1000,10,FALSE()))),"")</f>
        <v/>
      </c>
      <c r="R978" s="61" t="str">
        <f>IFERROR(IF(F978&gt;0,(Final[[#This Row],[Valor da Venda Real]]-Final[[#This Row],[Valor de Compra Previsto]]-4%*Final[[#This Row],[Valor da Venda Real]])/Final[[#This Row],[Valor da Venda Real]],""),"")</f>
        <v/>
      </c>
      <c r="S978" s="61" t="str">
        <f t="shared" si="65"/>
        <v/>
      </c>
      <c r="T978" s="23" t="str">
        <f>IFERROR((R978*Final[[#This Row],[Valor da Venda Real]]*Final[[#This Row],[Quantidade ]]*S978),"")</f>
        <v/>
      </c>
    </row>
    <row r="979" spans="1:20" ht="15.75" x14ac:dyDescent="0.2">
      <c r="A979">
        <f>COUNTIF($C$2:C979,C979)</f>
        <v>978</v>
      </c>
      <c r="B979" s="1" t="str">
        <f t="shared" si="64"/>
        <v>978</v>
      </c>
      <c r="C979" s="1" t="str">
        <f>IFERROR(VLOOKUP(D979,'Planilha de Cadastro - Previsão'!$A$2:$N$1000,14,FALSE()),"")</f>
        <v/>
      </c>
      <c r="D979" s="1">
        <v>978</v>
      </c>
      <c r="F979" s="40" t="str">
        <f t="shared" si="63"/>
        <v/>
      </c>
      <c r="G979" s="40" t="str">
        <f>IF(F979="","",'Prosposta Inicial'!$O$2)</f>
        <v/>
      </c>
      <c r="H979" s="40" t="str">
        <f t="shared" si="62"/>
        <v xml:space="preserve"> </v>
      </c>
      <c r="I979" s="41" t="str">
        <f>IFERROR((VLOOKUP(F979,'Planilha de Cadastro - Previsão'!$A$2:$N$1100,2,FALSE()))," ")</f>
        <v xml:space="preserve"> </v>
      </c>
      <c r="J979" s="40" t="str">
        <f>IFERROR((VLOOKUP(F979,'Planilha de Cadastro - Previsão'!$A$2:$N$1100,3,FALSE()))," ")</f>
        <v xml:space="preserve"> </v>
      </c>
      <c r="K979" s="40"/>
      <c r="L979" s="42" t="str">
        <f>IFERROR((VLOOKUP(F979,'Planilha de Cadastro - Previsão'!$A$2:$N$1100,11,FALSE()))," ")</f>
        <v xml:space="preserve"> </v>
      </c>
      <c r="M979" s="41" t="str">
        <f>IFERROR((IF(VLOOKUP(F979,'Planilha de Cadastro - Previsão'!$A$2:$N$1100,10,FALSE())="","",VLOOKUP(F979,'Planilha de Cadastro - Previsão'!$A$2:$N$1100,10,FALSE()))),"")</f>
        <v/>
      </c>
      <c r="N979" s="41"/>
      <c r="O979" s="41"/>
      <c r="P979" s="41" t="str">
        <f>IFERROR((IF(VLOOKUP(F979,'Acompanhamento da Licitação'!$F$2:$O$1000,10,FALSE())="","",VLOOKUP(F979,'Acompanhamento da Licitação'!$F$2:$O$1000,10,FALSE()))),"")</f>
        <v/>
      </c>
      <c r="R979" s="61" t="str">
        <f>IFERROR(IF(F979&gt;0,(Final[[#This Row],[Valor da Venda Real]]-Final[[#This Row],[Valor de Compra Previsto]]-4%*Final[[#This Row],[Valor da Venda Real]])/Final[[#This Row],[Valor da Venda Real]],""),"")</f>
        <v/>
      </c>
      <c r="S979" s="61" t="str">
        <f t="shared" si="65"/>
        <v/>
      </c>
      <c r="T979" s="23" t="str">
        <f>IFERROR((R979*Final[[#This Row],[Valor da Venda Real]]*Final[[#This Row],[Quantidade ]]*S979),"")</f>
        <v/>
      </c>
    </row>
    <row r="980" spans="1:20" ht="15.75" x14ac:dyDescent="0.2">
      <c r="A980">
        <f>COUNTIF($C$2:C980,C980)</f>
        <v>979</v>
      </c>
      <c r="B980" s="1" t="str">
        <f t="shared" si="64"/>
        <v>979</v>
      </c>
      <c r="C980" s="1" t="str">
        <f>IFERROR(VLOOKUP(D980,'Planilha de Cadastro - Previsão'!$A$2:$N$1000,14,FALSE()),"")</f>
        <v/>
      </c>
      <c r="D980" s="1">
        <v>979</v>
      </c>
      <c r="F980" s="40" t="str">
        <f t="shared" si="63"/>
        <v/>
      </c>
      <c r="G980" s="40" t="str">
        <f>IF(F980="","",'Prosposta Inicial'!$O$2)</f>
        <v/>
      </c>
      <c r="H980" s="40" t="str">
        <f t="shared" si="62"/>
        <v xml:space="preserve"> </v>
      </c>
      <c r="I980" s="41" t="str">
        <f>IFERROR((VLOOKUP(F980,'Planilha de Cadastro - Previsão'!$A$2:$N$1100,2,FALSE()))," ")</f>
        <v xml:space="preserve"> </v>
      </c>
      <c r="J980" s="40" t="str">
        <f>IFERROR((VLOOKUP(F980,'Planilha de Cadastro - Previsão'!$A$2:$N$1100,3,FALSE()))," ")</f>
        <v xml:space="preserve"> </v>
      </c>
      <c r="K980" s="40"/>
      <c r="L980" s="42" t="str">
        <f>IFERROR((VLOOKUP(F980,'Planilha de Cadastro - Previsão'!$A$2:$N$1100,11,FALSE()))," ")</f>
        <v xml:space="preserve"> </v>
      </c>
      <c r="M980" s="41" t="str">
        <f>IFERROR((IF(VLOOKUP(F980,'Planilha de Cadastro - Previsão'!$A$2:$N$1100,10,FALSE())="","",VLOOKUP(F980,'Planilha de Cadastro - Previsão'!$A$2:$N$1100,10,FALSE()))),"")</f>
        <v/>
      </c>
      <c r="N980" s="41"/>
      <c r="O980" s="41"/>
      <c r="P980" s="41" t="str">
        <f>IFERROR((IF(VLOOKUP(F980,'Acompanhamento da Licitação'!$F$2:$O$1000,10,FALSE())="","",VLOOKUP(F980,'Acompanhamento da Licitação'!$F$2:$O$1000,10,FALSE()))),"")</f>
        <v/>
      </c>
      <c r="R980" s="61" t="str">
        <f>IFERROR(IF(F980&gt;0,(Final[[#This Row],[Valor da Venda Real]]-Final[[#This Row],[Valor de Compra Previsto]]-4%*Final[[#This Row],[Valor da Venda Real]])/Final[[#This Row],[Valor da Venda Real]],""),"")</f>
        <v/>
      </c>
      <c r="S980" s="61" t="str">
        <f t="shared" si="65"/>
        <v/>
      </c>
      <c r="T980" s="23" t="str">
        <f>IFERROR((R980*Final[[#This Row],[Valor da Venda Real]]*Final[[#This Row],[Quantidade ]]*S980),"")</f>
        <v/>
      </c>
    </row>
    <row r="981" spans="1:20" ht="15.75" x14ac:dyDescent="0.2">
      <c r="A981">
        <f>COUNTIF($C$2:C981,C981)</f>
        <v>980</v>
      </c>
      <c r="B981" s="1" t="str">
        <f t="shared" si="64"/>
        <v>980</v>
      </c>
      <c r="C981" s="1" t="str">
        <f>IFERROR(VLOOKUP(D981,'Planilha de Cadastro - Previsão'!$A$2:$N$1000,14,FALSE()),"")</f>
        <v/>
      </c>
      <c r="D981" s="1">
        <v>980</v>
      </c>
      <c r="F981" s="40" t="str">
        <f t="shared" si="63"/>
        <v/>
      </c>
      <c r="G981" s="40" t="str">
        <f>IF(F981="","",'Prosposta Inicial'!$O$2)</f>
        <v/>
      </c>
      <c r="H981" s="40" t="str">
        <f t="shared" si="62"/>
        <v xml:space="preserve"> </v>
      </c>
      <c r="I981" s="41" t="str">
        <f>IFERROR((VLOOKUP(F981,'Planilha de Cadastro - Previsão'!$A$2:$N$1100,2,FALSE()))," ")</f>
        <v xml:space="preserve"> </v>
      </c>
      <c r="J981" s="40" t="str">
        <f>IFERROR((VLOOKUP(F981,'Planilha de Cadastro - Previsão'!$A$2:$N$1100,3,FALSE()))," ")</f>
        <v xml:space="preserve"> </v>
      </c>
      <c r="K981" s="40"/>
      <c r="L981" s="42" t="str">
        <f>IFERROR((VLOOKUP(F981,'Planilha de Cadastro - Previsão'!$A$2:$N$1100,11,FALSE()))," ")</f>
        <v xml:space="preserve"> </v>
      </c>
      <c r="M981" s="41" t="str">
        <f>IFERROR((IF(VLOOKUP(F981,'Planilha de Cadastro - Previsão'!$A$2:$N$1100,10,FALSE())="","",VLOOKUP(F981,'Planilha de Cadastro - Previsão'!$A$2:$N$1100,10,FALSE()))),"")</f>
        <v/>
      </c>
      <c r="N981" s="41"/>
      <c r="O981" s="41"/>
      <c r="P981" s="41" t="str">
        <f>IFERROR((IF(VLOOKUP(F981,'Acompanhamento da Licitação'!$F$2:$O$1000,10,FALSE())="","",VLOOKUP(F981,'Acompanhamento da Licitação'!$F$2:$O$1000,10,FALSE()))),"")</f>
        <v/>
      </c>
      <c r="R981" s="61" t="str">
        <f>IFERROR(IF(F981&gt;0,(Final[[#This Row],[Valor da Venda Real]]-Final[[#This Row],[Valor de Compra Previsto]]-4%*Final[[#This Row],[Valor da Venda Real]])/Final[[#This Row],[Valor da Venda Real]],""),"")</f>
        <v/>
      </c>
      <c r="S981" s="61" t="str">
        <f t="shared" si="65"/>
        <v/>
      </c>
      <c r="T981" s="23" t="str">
        <f>IFERROR((R981*Final[[#This Row],[Valor da Venda Real]]*Final[[#This Row],[Quantidade ]]*S981),"")</f>
        <v/>
      </c>
    </row>
    <row r="982" spans="1:20" ht="15.75" x14ac:dyDescent="0.2">
      <c r="A982">
        <f>COUNTIF($C$2:C982,C982)</f>
        <v>981</v>
      </c>
      <c r="B982" s="1" t="str">
        <f t="shared" si="64"/>
        <v>981</v>
      </c>
      <c r="C982" s="1" t="str">
        <f>IFERROR(VLOOKUP(D982,'Planilha de Cadastro - Previsão'!$A$2:$N$1000,14,FALSE()),"")</f>
        <v/>
      </c>
      <c r="D982" s="1">
        <v>981</v>
      </c>
      <c r="F982" s="40" t="str">
        <f t="shared" si="63"/>
        <v/>
      </c>
      <c r="G982" s="40" t="str">
        <f>IF(F982="","",'Prosposta Inicial'!$O$2)</f>
        <v/>
      </c>
      <c r="H982" s="40" t="str">
        <f t="shared" si="62"/>
        <v xml:space="preserve"> </v>
      </c>
      <c r="I982" s="41" t="str">
        <f>IFERROR((VLOOKUP(F982,'Planilha de Cadastro - Previsão'!$A$2:$N$1100,2,FALSE()))," ")</f>
        <v xml:space="preserve"> </v>
      </c>
      <c r="J982" s="40" t="str">
        <f>IFERROR((VLOOKUP(F982,'Planilha de Cadastro - Previsão'!$A$2:$N$1100,3,FALSE()))," ")</f>
        <v xml:space="preserve"> </v>
      </c>
      <c r="K982" s="40"/>
      <c r="L982" s="42" t="str">
        <f>IFERROR((VLOOKUP(F982,'Planilha de Cadastro - Previsão'!$A$2:$N$1100,11,FALSE()))," ")</f>
        <v xml:space="preserve"> </v>
      </c>
      <c r="M982" s="41" t="str">
        <f>IFERROR((IF(VLOOKUP(F982,'Planilha de Cadastro - Previsão'!$A$2:$N$1100,10,FALSE())="","",VLOOKUP(F982,'Planilha de Cadastro - Previsão'!$A$2:$N$1100,10,FALSE()))),"")</f>
        <v/>
      </c>
      <c r="N982" s="41"/>
      <c r="O982" s="41"/>
      <c r="P982" s="41" t="str">
        <f>IFERROR((IF(VLOOKUP(F982,'Acompanhamento da Licitação'!$F$2:$O$1000,10,FALSE())="","",VLOOKUP(F982,'Acompanhamento da Licitação'!$F$2:$O$1000,10,FALSE()))),"")</f>
        <v/>
      </c>
      <c r="R982" s="61" t="str">
        <f>IFERROR(IF(F982&gt;0,(Final[[#This Row],[Valor da Venda Real]]-Final[[#This Row],[Valor de Compra Previsto]]-4%*Final[[#This Row],[Valor da Venda Real]])/Final[[#This Row],[Valor da Venda Real]],""),"")</f>
        <v/>
      </c>
      <c r="S982" s="61" t="str">
        <f t="shared" si="65"/>
        <v/>
      </c>
      <c r="T982" s="23" t="str">
        <f>IFERROR((R982*Final[[#This Row],[Valor da Venda Real]]*Final[[#This Row],[Quantidade ]]*S982),"")</f>
        <v/>
      </c>
    </row>
    <row r="983" spans="1:20" ht="15.75" x14ac:dyDescent="0.2">
      <c r="A983">
        <f>COUNTIF($C$2:C983,C983)</f>
        <v>982</v>
      </c>
      <c r="B983" s="1" t="str">
        <f t="shared" si="64"/>
        <v>982</v>
      </c>
      <c r="C983" s="1" t="str">
        <f>IFERROR(VLOOKUP(D983,'Planilha de Cadastro - Previsão'!$A$2:$N$1000,14,FALSE()),"")</f>
        <v/>
      </c>
      <c r="D983" s="1">
        <v>982</v>
      </c>
      <c r="F983" s="40" t="str">
        <f t="shared" si="63"/>
        <v/>
      </c>
      <c r="G983" s="40" t="str">
        <f>IF(F983="","",'Prosposta Inicial'!$O$2)</f>
        <v/>
      </c>
      <c r="H983" s="40" t="str">
        <f t="shared" si="62"/>
        <v xml:space="preserve"> </v>
      </c>
      <c r="I983" s="41" t="str">
        <f>IFERROR((VLOOKUP(F983,'Planilha de Cadastro - Previsão'!$A$2:$N$1100,2,FALSE()))," ")</f>
        <v xml:space="preserve"> </v>
      </c>
      <c r="J983" s="40" t="str">
        <f>IFERROR((VLOOKUP(F983,'Planilha de Cadastro - Previsão'!$A$2:$N$1100,3,FALSE()))," ")</f>
        <v xml:space="preserve"> </v>
      </c>
      <c r="K983" s="40"/>
      <c r="L983" s="42" t="str">
        <f>IFERROR((VLOOKUP(F983,'Planilha de Cadastro - Previsão'!$A$2:$N$1100,11,FALSE()))," ")</f>
        <v xml:space="preserve"> </v>
      </c>
      <c r="M983" s="41" t="str">
        <f>IFERROR((IF(VLOOKUP(F983,'Planilha de Cadastro - Previsão'!$A$2:$N$1100,10,FALSE())="","",VLOOKUP(F983,'Planilha de Cadastro - Previsão'!$A$2:$N$1100,10,FALSE()))),"")</f>
        <v/>
      </c>
      <c r="N983" s="41"/>
      <c r="O983" s="41"/>
      <c r="P983" s="41" t="str">
        <f>IFERROR((IF(VLOOKUP(F983,'Acompanhamento da Licitação'!$F$2:$O$1000,10,FALSE())="","",VLOOKUP(F983,'Acompanhamento da Licitação'!$F$2:$O$1000,10,FALSE()))),"")</f>
        <v/>
      </c>
      <c r="R983" s="61" t="str">
        <f>IFERROR(IF(F983&gt;0,(Final[[#This Row],[Valor da Venda Real]]-Final[[#This Row],[Valor de Compra Previsto]]-4%*Final[[#This Row],[Valor da Venda Real]])/Final[[#This Row],[Valor da Venda Real]],""),"")</f>
        <v/>
      </c>
      <c r="S983" s="61" t="str">
        <f t="shared" si="65"/>
        <v/>
      </c>
      <c r="T983" s="23" t="str">
        <f>IFERROR((R983*Final[[#This Row],[Valor da Venda Real]]*Final[[#This Row],[Quantidade ]]*S983),"")</f>
        <v/>
      </c>
    </row>
    <row r="984" spans="1:20" ht="15.75" x14ac:dyDescent="0.2">
      <c r="A984">
        <f>COUNTIF($C$2:C984,C984)</f>
        <v>983</v>
      </c>
      <c r="B984" s="1" t="str">
        <f t="shared" si="64"/>
        <v>983</v>
      </c>
      <c r="C984" s="1" t="str">
        <f>IFERROR(VLOOKUP(D984,'Planilha de Cadastro - Previsão'!$A$2:$N$1000,14,FALSE()),"")</f>
        <v/>
      </c>
      <c r="D984" s="1">
        <v>983</v>
      </c>
      <c r="F984" s="40" t="str">
        <f t="shared" si="63"/>
        <v/>
      </c>
      <c r="G984" s="40" t="str">
        <f>IF(F984="","",'Prosposta Inicial'!$O$2)</f>
        <v/>
      </c>
      <c r="H984" s="40" t="str">
        <f t="shared" si="62"/>
        <v xml:space="preserve"> </v>
      </c>
      <c r="I984" s="41" t="str">
        <f>IFERROR((VLOOKUP(F984,'Planilha de Cadastro - Previsão'!$A$2:$N$1100,2,FALSE()))," ")</f>
        <v xml:space="preserve"> </v>
      </c>
      <c r="J984" s="40" t="str">
        <f>IFERROR((VLOOKUP(F984,'Planilha de Cadastro - Previsão'!$A$2:$N$1100,3,FALSE()))," ")</f>
        <v xml:space="preserve"> </v>
      </c>
      <c r="K984" s="40"/>
      <c r="L984" s="42" t="str">
        <f>IFERROR((VLOOKUP(F984,'Planilha de Cadastro - Previsão'!$A$2:$N$1100,11,FALSE()))," ")</f>
        <v xml:space="preserve"> </v>
      </c>
      <c r="M984" s="41" t="str">
        <f>IFERROR((IF(VLOOKUP(F984,'Planilha de Cadastro - Previsão'!$A$2:$N$1100,10,FALSE())="","",VLOOKUP(F984,'Planilha de Cadastro - Previsão'!$A$2:$N$1100,10,FALSE()))),"")</f>
        <v/>
      </c>
      <c r="N984" s="41"/>
      <c r="O984" s="41"/>
      <c r="P984" s="41" t="str">
        <f>IFERROR((IF(VLOOKUP(F984,'Acompanhamento da Licitação'!$F$2:$O$1000,10,FALSE())="","",VLOOKUP(F984,'Acompanhamento da Licitação'!$F$2:$O$1000,10,FALSE()))),"")</f>
        <v/>
      </c>
      <c r="R984" s="61" t="str">
        <f>IFERROR(IF(F984&gt;0,(Final[[#This Row],[Valor da Venda Real]]-Final[[#This Row],[Valor de Compra Previsto]]-4%*Final[[#This Row],[Valor da Venda Real]])/Final[[#This Row],[Valor da Venda Real]],""),"")</f>
        <v/>
      </c>
      <c r="S984" s="61" t="str">
        <f t="shared" si="65"/>
        <v/>
      </c>
      <c r="T984" s="23" t="str">
        <f>IFERROR((R984*Final[[#This Row],[Valor da Venda Real]]*Final[[#This Row],[Quantidade ]]*S984),"")</f>
        <v/>
      </c>
    </row>
    <row r="985" spans="1:20" ht="15.75" x14ac:dyDescent="0.2">
      <c r="A985">
        <f>COUNTIF($C$2:C985,C985)</f>
        <v>984</v>
      </c>
      <c r="B985" s="1" t="str">
        <f t="shared" si="64"/>
        <v>984</v>
      </c>
      <c r="C985" s="1" t="str">
        <f>IFERROR(VLOOKUP(D985,'Planilha de Cadastro - Previsão'!$A$2:$N$1000,14,FALSE()),"")</f>
        <v/>
      </c>
      <c r="D985" s="1">
        <v>984</v>
      </c>
      <c r="F985" s="40" t="str">
        <f t="shared" si="63"/>
        <v/>
      </c>
      <c r="G985" s="40" t="str">
        <f>IF(F985="","",'Prosposta Inicial'!$O$2)</f>
        <v/>
      </c>
      <c r="H985" s="40" t="str">
        <f t="shared" si="62"/>
        <v xml:space="preserve"> </v>
      </c>
      <c r="I985" s="41" t="str">
        <f>IFERROR((VLOOKUP(F985,'Planilha de Cadastro - Previsão'!$A$2:$N$1100,2,FALSE()))," ")</f>
        <v xml:space="preserve"> </v>
      </c>
      <c r="J985" s="40" t="str">
        <f>IFERROR((VLOOKUP(F985,'Planilha de Cadastro - Previsão'!$A$2:$N$1100,3,FALSE()))," ")</f>
        <v xml:space="preserve"> </v>
      </c>
      <c r="K985" s="40"/>
      <c r="L985" s="42" t="str">
        <f>IFERROR((VLOOKUP(F985,'Planilha de Cadastro - Previsão'!$A$2:$N$1100,11,FALSE()))," ")</f>
        <v xml:space="preserve"> </v>
      </c>
      <c r="M985" s="41" t="str">
        <f>IFERROR((IF(VLOOKUP(F985,'Planilha de Cadastro - Previsão'!$A$2:$N$1100,10,FALSE())="","",VLOOKUP(F985,'Planilha de Cadastro - Previsão'!$A$2:$N$1100,10,FALSE()))),"")</f>
        <v/>
      </c>
      <c r="N985" s="41"/>
      <c r="O985" s="41"/>
      <c r="P985" s="41" t="str">
        <f>IFERROR((IF(VLOOKUP(F985,'Acompanhamento da Licitação'!$F$2:$O$1000,10,FALSE())="","",VLOOKUP(F985,'Acompanhamento da Licitação'!$F$2:$O$1000,10,FALSE()))),"")</f>
        <v/>
      </c>
      <c r="R985" s="61" t="str">
        <f>IFERROR(IF(F985&gt;0,(Final[[#This Row],[Valor da Venda Real]]-Final[[#This Row],[Valor de Compra Previsto]]-4%*Final[[#This Row],[Valor da Venda Real]])/Final[[#This Row],[Valor da Venda Real]],""),"")</f>
        <v/>
      </c>
      <c r="S985" s="61" t="str">
        <f t="shared" si="65"/>
        <v/>
      </c>
      <c r="T985" s="23" t="str">
        <f>IFERROR((R985*Final[[#This Row],[Valor da Venda Real]]*Final[[#This Row],[Quantidade ]]*S985),"")</f>
        <v/>
      </c>
    </row>
    <row r="986" spans="1:20" ht="15.75" x14ac:dyDescent="0.2">
      <c r="A986">
        <f>COUNTIF($C$2:C986,C986)</f>
        <v>985</v>
      </c>
      <c r="B986" s="1" t="str">
        <f t="shared" si="64"/>
        <v>985</v>
      </c>
      <c r="C986" s="1" t="str">
        <f>IFERROR(VLOOKUP(D986,'Planilha de Cadastro - Previsão'!$A$2:$N$1000,14,FALSE()),"")</f>
        <v/>
      </c>
      <c r="D986" s="1">
        <v>985</v>
      </c>
      <c r="F986" s="40" t="str">
        <f t="shared" si="63"/>
        <v/>
      </c>
      <c r="G986" s="40" t="str">
        <f>IF(F986="","",'Prosposta Inicial'!$O$2)</f>
        <v/>
      </c>
      <c r="H986" s="40" t="str">
        <f t="shared" si="62"/>
        <v xml:space="preserve"> </v>
      </c>
      <c r="I986" s="41" t="str">
        <f>IFERROR((VLOOKUP(F986,'Planilha de Cadastro - Previsão'!$A$2:$N$1100,2,FALSE()))," ")</f>
        <v xml:space="preserve"> </v>
      </c>
      <c r="J986" s="40" t="str">
        <f>IFERROR((VLOOKUP(F986,'Planilha de Cadastro - Previsão'!$A$2:$N$1100,3,FALSE()))," ")</f>
        <v xml:space="preserve"> </v>
      </c>
      <c r="K986" s="40"/>
      <c r="L986" s="42" t="str">
        <f>IFERROR((VLOOKUP(F986,'Planilha de Cadastro - Previsão'!$A$2:$N$1100,11,FALSE()))," ")</f>
        <v xml:space="preserve"> </v>
      </c>
      <c r="M986" s="41" t="str">
        <f>IFERROR((IF(VLOOKUP(F986,'Planilha de Cadastro - Previsão'!$A$2:$N$1100,10,FALSE())="","",VLOOKUP(F986,'Planilha de Cadastro - Previsão'!$A$2:$N$1100,10,FALSE()))),"")</f>
        <v/>
      </c>
      <c r="N986" s="41"/>
      <c r="O986" s="41"/>
      <c r="P986" s="41" t="str">
        <f>IFERROR((IF(VLOOKUP(F986,'Acompanhamento da Licitação'!$F$2:$O$1000,10,FALSE())="","",VLOOKUP(F986,'Acompanhamento da Licitação'!$F$2:$O$1000,10,FALSE()))),"")</f>
        <v/>
      </c>
      <c r="R986" s="61" t="str">
        <f>IFERROR(IF(F986&gt;0,(Final[[#This Row],[Valor da Venda Real]]-Final[[#This Row],[Valor de Compra Previsto]]-4%*Final[[#This Row],[Valor da Venda Real]])/Final[[#This Row],[Valor da Venda Real]],""),"")</f>
        <v/>
      </c>
      <c r="S986" s="61" t="str">
        <f t="shared" si="65"/>
        <v/>
      </c>
      <c r="T986" s="23" t="str">
        <f>IFERROR((R986*Final[[#This Row],[Valor da Venda Real]]*Final[[#This Row],[Quantidade ]]*S986),"")</f>
        <v/>
      </c>
    </row>
    <row r="987" spans="1:20" ht="15.75" x14ac:dyDescent="0.2">
      <c r="A987">
        <f>COUNTIF($C$2:C987,C987)</f>
        <v>986</v>
      </c>
      <c r="B987" s="1" t="str">
        <f t="shared" si="64"/>
        <v>986</v>
      </c>
      <c r="C987" s="1" t="str">
        <f>IFERROR(VLOOKUP(D987,'Planilha de Cadastro - Previsão'!$A$2:$N$1000,14,FALSE()),"")</f>
        <v/>
      </c>
      <c r="D987" s="1">
        <v>986</v>
      </c>
      <c r="F987" s="40" t="str">
        <f t="shared" si="63"/>
        <v/>
      </c>
      <c r="G987" s="40" t="str">
        <f>IF(F987="","",'Prosposta Inicial'!$O$2)</f>
        <v/>
      </c>
      <c r="H987" s="40" t="str">
        <f t="shared" si="62"/>
        <v xml:space="preserve"> </v>
      </c>
      <c r="I987" s="41" t="str">
        <f>IFERROR((VLOOKUP(F987,'Planilha de Cadastro - Previsão'!$A$2:$N$1100,2,FALSE()))," ")</f>
        <v xml:space="preserve"> </v>
      </c>
      <c r="J987" s="40" t="str">
        <f>IFERROR((VLOOKUP(F987,'Planilha de Cadastro - Previsão'!$A$2:$N$1100,3,FALSE()))," ")</f>
        <v xml:space="preserve"> </v>
      </c>
      <c r="K987" s="40"/>
      <c r="L987" s="42" t="str">
        <f>IFERROR((VLOOKUP(F987,'Planilha de Cadastro - Previsão'!$A$2:$N$1100,11,FALSE()))," ")</f>
        <v xml:space="preserve"> </v>
      </c>
      <c r="M987" s="41" t="str">
        <f>IFERROR((IF(VLOOKUP(F987,'Planilha de Cadastro - Previsão'!$A$2:$N$1100,10,FALSE())="","",VLOOKUP(F987,'Planilha de Cadastro - Previsão'!$A$2:$N$1100,10,FALSE()))),"")</f>
        <v/>
      </c>
      <c r="N987" s="41"/>
      <c r="O987" s="41"/>
      <c r="P987" s="41" t="str">
        <f>IFERROR((IF(VLOOKUP(F987,'Acompanhamento da Licitação'!$F$2:$O$1000,10,FALSE())="","",VLOOKUP(F987,'Acompanhamento da Licitação'!$F$2:$O$1000,10,FALSE()))),"")</f>
        <v/>
      </c>
      <c r="R987" s="61" t="str">
        <f>IFERROR(IF(F987&gt;0,(Final[[#This Row],[Valor da Venda Real]]-Final[[#This Row],[Valor de Compra Previsto]]-4%*Final[[#This Row],[Valor da Venda Real]])/Final[[#This Row],[Valor da Venda Real]],""),"")</f>
        <v/>
      </c>
      <c r="S987" s="61" t="str">
        <f t="shared" si="65"/>
        <v/>
      </c>
      <c r="T987" s="23" t="str">
        <f>IFERROR((R987*Final[[#This Row],[Valor da Venda Real]]*Final[[#This Row],[Quantidade ]]*S987),"")</f>
        <v/>
      </c>
    </row>
    <row r="988" spans="1:20" ht="15.75" x14ac:dyDescent="0.2">
      <c r="A988">
        <f>COUNTIF($C$2:C988,C988)</f>
        <v>987</v>
      </c>
      <c r="B988" s="1" t="str">
        <f t="shared" si="64"/>
        <v>987</v>
      </c>
      <c r="C988" s="1" t="str">
        <f>IFERROR(VLOOKUP(D988,'Planilha de Cadastro - Previsão'!$A$2:$N$1000,14,FALSE()),"")</f>
        <v/>
      </c>
      <c r="D988" s="1">
        <v>987</v>
      </c>
      <c r="F988" s="40" t="str">
        <f t="shared" si="63"/>
        <v/>
      </c>
      <c r="G988" s="40" t="str">
        <f>IF(F988="","",'Prosposta Inicial'!$O$2)</f>
        <v/>
      </c>
      <c r="H988" s="40" t="str">
        <f t="shared" si="62"/>
        <v xml:space="preserve"> </v>
      </c>
      <c r="I988" s="41" t="str">
        <f>IFERROR((VLOOKUP(F988,'Planilha de Cadastro - Previsão'!$A$2:$N$1100,2,FALSE()))," ")</f>
        <v xml:space="preserve"> </v>
      </c>
      <c r="J988" s="40" t="str">
        <f>IFERROR((VLOOKUP(F988,'Planilha de Cadastro - Previsão'!$A$2:$N$1100,3,FALSE()))," ")</f>
        <v xml:space="preserve"> </v>
      </c>
      <c r="K988" s="40"/>
      <c r="L988" s="42" t="str">
        <f>IFERROR((VLOOKUP(F988,'Planilha de Cadastro - Previsão'!$A$2:$N$1100,11,FALSE()))," ")</f>
        <v xml:space="preserve"> </v>
      </c>
      <c r="M988" s="41" t="str">
        <f>IFERROR((IF(VLOOKUP(F988,'Planilha de Cadastro - Previsão'!$A$2:$N$1100,10,FALSE())="","",VLOOKUP(F988,'Planilha de Cadastro - Previsão'!$A$2:$N$1100,10,FALSE()))),"")</f>
        <v/>
      </c>
      <c r="N988" s="41"/>
      <c r="O988" s="41"/>
      <c r="P988" s="41" t="str">
        <f>IFERROR((IF(VLOOKUP(F988,'Acompanhamento da Licitação'!$F$2:$O$1000,10,FALSE())="","",VLOOKUP(F988,'Acompanhamento da Licitação'!$F$2:$O$1000,10,FALSE()))),"")</f>
        <v/>
      </c>
      <c r="R988" s="61" t="str">
        <f>IFERROR(IF(F988&gt;0,(Final[[#This Row],[Valor da Venda Real]]-Final[[#This Row],[Valor de Compra Previsto]]-4%*Final[[#This Row],[Valor da Venda Real]])/Final[[#This Row],[Valor da Venda Real]],""),"")</f>
        <v/>
      </c>
      <c r="S988" s="61" t="str">
        <f t="shared" si="65"/>
        <v/>
      </c>
      <c r="T988" s="23" t="str">
        <f>IFERROR((R988*Final[[#This Row],[Valor da Venda Real]]*Final[[#This Row],[Quantidade ]]*S988),"")</f>
        <v/>
      </c>
    </row>
    <row r="989" spans="1:20" ht="15.75" x14ac:dyDescent="0.2">
      <c r="A989">
        <f>COUNTIF($C$2:C989,C989)</f>
        <v>988</v>
      </c>
      <c r="B989" s="1" t="str">
        <f t="shared" si="64"/>
        <v>988</v>
      </c>
      <c r="C989" s="1" t="str">
        <f>IFERROR(VLOOKUP(D989,'Planilha de Cadastro - Previsão'!$A$2:$N$1000,14,FALSE()),"")</f>
        <v/>
      </c>
      <c r="D989" s="1">
        <v>988</v>
      </c>
      <c r="F989" s="40" t="str">
        <f t="shared" si="63"/>
        <v/>
      </c>
      <c r="G989" s="40" t="str">
        <f>IF(F989="","",'Prosposta Inicial'!$O$2)</f>
        <v/>
      </c>
      <c r="H989" s="40" t="str">
        <f t="shared" si="62"/>
        <v xml:space="preserve"> </v>
      </c>
      <c r="I989" s="41" t="str">
        <f>IFERROR((VLOOKUP(F989,'Planilha de Cadastro - Previsão'!$A$2:$N$1100,2,FALSE()))," ")</f>
        <v xml:space="preserve"> </v>
      </c>
      <c r="J989" s="40" t="str">
        <f>IFERROR((VLOOKUP(F989,'Planilha de Cadastro - Previsão'!$A$2:$N$1100,3,FALSE()))," ")</f>
        <v xml:space="preserve"> </v>
      </c>
      <c r="K989" s="40"/>
      <c r="L989" s="42" t="str">
        <f>IFERROR((VLOOKUP(F989,'Planilha de Cadastro - Previsão'!$A$2:$N$1100,11,FALSE()))," ")</f>
        <v xml:space="preserve"> </v>
      </c>
      <c r="M989" s="41" t="str">
        <f>IFERROR((IF(VLOOKUP(F989,'Planilha de Cadastro - Previsão'!$A$2:$N$1100,10,FALSE())="","",VLOOKUP(F989,'Planilha de Cadastro - Previsão'!$A$2:$N$1100,10,FALSE()))),"")</f>
        <v/>
      </c>
      <c r="N989" s="41"/>
      <c r="O989" s="41"/>
      <c r="P989" s="41" t="str">
        <f>IFERROR((IF(VLOOKUP(F989,'Acompanhamento da Licitação'!$F$2:$O$1000,10,FALSE())="","",VLOOKUP(F989,'Acompanhamento da Licitação'!$F$2:$O$1000,10,FALSE()))),"")</f>
        <v/>
      </c>
      <c r="R989" s="61" t="str">
        <f>IFERROR(IF(F989&gt;0,(Final[[#This Row],[Valor da Venda Real]]-Final[[#This Row],[Valor de Compra Previsto]]-4%*Final[[#This Row],[Valor da Venda Real]])/Final[[#This Row],[Valor da Venda Real]],""),"")</f>
        <v/>
      </c>
      <c r="S989" s="61" t="str">
        <f t="shared" si="65"/>
        <v/>
      </c>
      <c r="T989" s="23" t="str">
        <f>IFERROR((R989*Final[[#This Row],[Valor da Venda Real]]*Final[[#This Row],[Quantidade ]]*S989),"")</f>
        <v/>
      </c>
    </row>
    <row r="990" spans="1:20" ht="15.75" x14ac:dyDescent="0.2">
      <c r="A990">
        <f>COUNTIF($C$2:C990,C990)</f>
        <v>989</v>
      </c>
      <c r="B990" s="1" t="str">
        <f t="shared" si="64"/>
        <v>989</v>
      </c>
      <c r="C990" s="1" t="str">
        <f>IFERROR(VLOOKUP(D990,'Planilha de Cadastro - Previsão'!$A$2:$N$1000,14,FALSE()),"")</f>
        <v/>
      </c>
      <c r="D990" s="1">
        <v>989</v>
      </c>
      <c r="F990" s="40" t="str">
        <f t="shared" si="63"/>
        <v/>
      </c>
      <c r="G990" s="40" t="str">
        <f>IF(F990="","",'Prosposta Inicial'!$O$2)</f>
        <v/>
      </c>
      <c r="H990" s="40" t="str">
        <f t="shared" si="62"/>
        <v xml:space="preserve"> </v>
      </c>
      <c r="I990" s="41" t="str">
        <f>IFERROR((VLOOKUP(F990,'Planilha de Cadastro - Previsão'!$A$2:$N$1100,2,FALSE()))," ")</f>
        <v xml:space="preserve"> </v>
      </c>
      <c r="J990" s="40" t="str">
        <f>IFERROR((VLOOKUP(F990,'Planilha de Cadastro - Previsão'!$A$2:$N$1100,3,FALSE()))," ")</f>
        <v xml:space="preserve"> </v>
      </c>
      <c r="K990" s="40"/>
      <c r="L990" s="42" t="str">
        <f>IFERROR((VLOOKUP(F990,'Planilha de Cadastro - Previsão'!$A$2:$N$1100,11,FALSE()))," ")</f>
        <v xml:space="preserve"> </v>
      </c>
      <c r="M990" s="41" t="str">
        <f>IFERROR((IF(VLOOKUP(F990,'Planilha de Cadastro - Previsão'!$A$2:$N$1100,10,FALSE())="","",VLOOKUP(F990,'Planilha de Cadastro - Previsão'!$A$2:$N$1100,10,FALSE()))),"")</f>
        <v/>
      </c>
      <c r="N990" s="41"/>
      <c r="O990" s="41"/>
      <c r="P990" s="41" t="str">
        <f>IFERROR((IF(VLOOKUP(F990,'Acompanhamento da Licitação'!$F$2:$O$1000,10,FALSE())="","",VLOOKUP(F990,'Acompanhamento da Licitação'!$F$2:$O$1000,10,FALSE()))),"")</f>
        <v/>
      </c>
      <c r="R990" s="61" t="str">
        <f>IFERROR(IF(F990&gt;0,(Final[[#This Row],[Valor da Venda Real]]-Final[[#This Row],[Valor de Compra Previsto]]-4%*Final[[#This Row],[Valor da Venda Real]])/Final[[#This Row],[Valor da Venda Real]],""),"")</f>
        <v/>
      </c>
      <c r="S990" s="61" t="str">
        <f t="shared" si="65"/>
        <v/>
      </c>
      <c r="T990" s="23" t="str">
        <f>IFERROR((R990*Final[[#This Row],[Valor da Venda Real]]*Final[[#This Row],[Quantidade ]]*S990),"")</f>
        <v/>
      </c>
    </row>
    <row r="991" spans="1:20" ht="15.75" x14ac:dyDescent="0.2">
      <c r="A991">
        <f>COUNTIF($C$2:C991,C991)</f>
        <v>990</v>
      </c>
      <c r="B991" s="1" t="str">
        <f t="shared" si="64"/>
        <v>990</v>
      </c>
      <c r="C991" s="1" t="str">
        <f>IFERROR(VLOOKUP(D991,'Planilha de Cadastro - Previsão'!$A$2:$N$1000,14,FALSE()),"")</f>
        <v/>
      </c>
      <c r="D991" s="1">
        <v>990</v>
      </c>
      <c r="F991" s="40" t="str">
        <f t="shared" si="63"/>
        <v/>
      </c>
      <c r="G991" s="40" t="str">
        <f>IF(F991="","",'Prosposta Inicial'!$O$2)</f>
        <v/>
      </c>
      <c r="H991" s="40" t="str">
        <f t="shared" si="62"/>
        <v xml:space="preserve"> </v>
      </c>
      <c r="I991" s="41" t="str">
        <f>IFERROR((VLOOKUP(F991,'Planilha de Cadastro - Previsão'!$A$2:$N$1100,2,FALSE()))," ")</f>
        <v xml:space="preserve"> </v>
      </c>
      <c r="J991" s="40" t="str">
        <f>IFERROR((VLOOKUP(F991,'Planilha de Cadastro - Previsão'!$A$2:$N$1100,3,FALSE()))," ")</f>
        <v xml:space="preserve"> </v>
      </c>
      <c r="K991" s="40"/>
      <c r="L991" s="42" t="str">
        <f>IFERROR((VLOOKUP(F991,'Planilha de Cadastro - Previsão'!$A$2:$N$1100,11,FALSE()))," ")</f>
        <v xml:space="preserve"> </v>
      </c>
      <c r="M991" s="41" t="str">
        <f>IFERROR((IF(VLOOKUP(F991,'Planilha de Cadastro - Previsão'!$A$2:$N$1100,10,FALSE())="","",VLOOKUP(F991,'Planilha de Cadastro - Previsão'!$A$2:$N$1100,10,FALSE()))),"")</f>
        <v/>
      </c>
      <c r="N991" s="41"/>
      <c r="O991" s="41"/>
      <c r="P991" s="41" t="str">
        <f>IFERROR((IF(VLOOKUP(F991,'Acompanhamento da Licitação'!$F$2:$O$1000,10,FALSE())="","",VLOOKUP(F991,'Acompanhamento da Licitação'!$F$2:$O$1000,10,FALSE()))),"")</f>
        <v/>
      </c>
      <c r="R991" s="61" t="str">
        <f>IFERROR(IF(F991&gt;0,(Final[[#This Row],[Valor da Venda Real]]-Final[[#This Row],[Valor de Compra Previsto]]-4%*Final[[#This Row],[Valor da Venda Real]])/Final[[#This Row],[Valor da Venda Real]],""),"")</f>
        <v/>
      </c>
      <c r="S991" s="61" t="str">
        <f t="shared" si="65"/>
        <v/>
      </c>
      <c r="T991" s="23" t="str">
        <f>IFERROR((R991*Final[[#This Row],[Valor da Venda Real]]*Final[[#This Row],[Quantidade ]]*S991),"")</f>
        <v/>
      </c>
    </row>
    <row r="992" spans="1:20" ht="15.75" x14ac:dyDescent="0.2">
      <c r="A992">
        <f>COUNTIF($C$2:C992,C992)</f>
        <v>991</v>
      </c>
      <c r="B992" s="1" t="str">
        <f t="shared" si="64"/>
        <v>991</v>
      </c>
      <c r="C992" s="1" t="str">
        <f>IFERROR(VLOOKUP(D992,'Planilha de Cadastro - Previsão'!$A$2:$N$1000,14,FALSE()),"")</f>
        <v/>
      </c>
      <c r="D992" s="1">
        <v>991</v>
      </c>
      <c r="F992" s="40" t="str">
        <f t="shared" si="63"/>
        <v/>
      </c>
      <c r="G992" s="40" t="str">
        <f>IF(F992="","",'Prosposta Inicial'!$O$2)</f>
        <v/>
      </c>
      <c r="H992" s="40" t="str">
        <f t="shared" si="62"/>
        <v xml:space="preserve"> </v>
      </c>
      <c r="I992" s="41" t="str">
        <f>IFERROR((VLOOKUP(F992,'Planilha de Cadastro - Previsão'!$A$2:$N$1100,2,FALSE()))," ")</f>
        <v xml:space="preserve"> </v>
      </c>
      <c r="J992" s="40" t="str">
        <f>IFERROR((VLOOKUP(F992,'Planilha de Cadastro - Previsão'!$A$2:$N$1100,3,FALSE()))," ")</f>
        <v xml:space="preserve"> </v>
      </c>
      <c r="K992" s="40"/>
      <c r="L992" s="42" t="str">
        <f>IFERROR((VLOOKUP(F992,'Planilha de Cadastro - Previsão'!$A$2:$N$1100,11,FALSE()))," ")</f>
        <v xml:space="preserve"> </v>
      </c>
      <c r="M992" s="41" t="str">
        <f>IFERROR((IF(VLOOKUP(F992,'Planilha de Cadastro - Previsão'!$A$2:$N$1100,10,FALSE())="","",VLOOKUP(F992,'Planilha de Cadastro - Previsão'!$A$2:$N$1100,10,FALSE()))),"")</f>
        <v/>
      </c>
      <c r="N992" s="41"/>
      <c r="O992" s="41"/>
      <c r="P992" s="41" t="str">
        <f>IFERROR((IF(VLOOKUP(F992,'Acompanhamento da Licitação'!$F$2:$O$1000,10,FALSE())="","",VLOOKUP(F992,'Acompanhamento da Licitação'!$F$2:$O$1000,10,FALSE()))),"")</f>
        <v/>
      </c>
      <c r="R992" s="61" t="str">
        <f>IFERROR(IF(F992&gt;0,(Final[[#This Row],[Valor da Venda Real]]-Final[[#This Row],[Valor de Compra Previsto]]-4%*Final[[#This Row],[Valor da Venda Real]])/Final[[#This Row],[Valor da Venda Real]],""),"")</f>
        <v/>
      </c>
      <c r="S992" s="61" t="str">
        <f t="shared" si="65"/>
        <v/>
      </c>
      <c r="T992" s="23" t="str">
        <f>IFERROR((R992*Final[[#This Row],[Valor da Venda Real]]*Final[[#This Row],[Quantidade ]]*S992),"")</f>
        <v/>
      </c>
    </row>
    <row r="993" spans="1:20" ht="15.75" x14ac:dyDescent="0.2">
      <c r="A993">
        <f>COUNTIF($C$2:C993,C993)</f>
        <v>992</v>
      </c>
      <c r="B993" s="1" t="str">
        <f t="shared" si="64"/>
        <v>992</v>
      </c>
      <c r="C993" s="1" t="str">
        <f>IFERROR(VLOOKUP(D993,'Planilha de Cadastro - Previsão'!$A$2:$N$1000,14,FALSE()),"")</f>
        <v/>
      </c>
      <c r="D993" s="1">
        <v>992</v>
      </c>
      <c r="F993" s="40" t="str">
        <f t="shared" si="63"/>
        <v/>
      </c>
      <c r="G993" s="40" t="str">
        <f>IF(F993="","",'Prosposta Inicial'!$O$2)</f>
        <v/>
      </c>
      <c r="H993" s="40" t="str">
        <f t="shared" si="62"/>
        <v xml:space="preserve"> </v>
      </c>
      <c r="I993" s="41" t="str">
        <f>IFERROR((VLOOKUP(F993,'Planilha de Cadastro - Previsão'!$A$2:$N$1100,2,FALSE()))," ")</f>
        <v xml:space="preserve"> </v>
      </c>
      <c r="J993" s="40" t="str">
        <f>IFERROR((VLOOKUP(F993,'Planilha de Cadastro - Previsão'!$A$2:$N$1100,3,FALSE()))," ")</f>
        <v xml:space="preserve"> </v>
      </c>
      <c r="K993" s="40"/>
      <c r="L993" s="42" t="str">
        <f>IFERROR((VLOOKUP(F993,'Planilha de Cadastro - Previsão'!$A$2:$N$1100,11,FALSE()))," ")</f>
        <v xml:space="preserve"> </v>
      </c>
      <c r="M993" s="41" t="str">
        <f>IFERROR((IF(VLOOKUP(F993,'Planilha de Cadastro - Previsão'!$A$2:$N$1100,10,FALSE())="","",VLOOKUP(F993,'Planilha de Cadastro - Previsão'!$A$2:$N$1100,10,FALSE()))),"")</f>
        <v/>
      </c>
      <c r="N993" s="41"/>
      <c r="O993" s="41"/>
      <c r="P993" s="41" t="str">
        <f>IFERROR((IF(VLOOKUP(F993,'Acompanhamento da Licitação'!$F$2:$O$1000,10,FALSE())="","",VLOOKUP(F993,'Acompanhamento da Licitação'!$F$2:$O$1000,10,FALSE()))),"")</f>
        <v/>
      </c>
      <c r="R993" s="61" t="str">
        <f>IFERROR(IF(F993&gt;0,(Final[[#This Row],[Valor da Venda Real]]-Final[[#This Row],[Valor de Compra Previsto]]-4%*Final[[#This Row],[Valor da Venda Real]])/Final[[#This Row],[Valor da Venda Real]],""),"")</f>
        <v/>
      </c>
      <c r="S993" s="61" t="str">
        <f t="shared" si="65"/>
        <v/>
      </c>
      <c r="T993" s="23" t="str">
        <f>IFERROR((R993*Final[[#This Row],[Valor da Venda Real]]*Final[[#This Row],[Quantidade ]]*S993),"")</f>
        <v/>
      </c>
    </row>
    <row r="994" spans="1:20" ht="15.75" x14ac:dyDescent="0.2">
      <c r="A994">
        <f>COUNTIF($C$2:C994,C994)</f>
        <v>993</v>
      </c>
      <c r="B994" s="1" t="str">
        <f t="shared" si="64"/>
        <v>993</v>
      </c>
      <c r="C994" s="1" t="str">
        <f>IFERROR(VLOOKUP(D994,'Planilha de Cadastro - Previsão'!$A$2:$N$1000,14,FALSE()),"")</f>
        <v/>
      </c>
      <c r="D994" s="1">
        <v>993</v>
      </c>
      <c r="F994" s="40" t="str">
        <f t="shared" si="63"/>
        <v/>
      </c>
      <c r="G994" s="40" t="str">
        <f>IF(F994="","",'Prosposta Inicial'!$O$2)</f>
        <v/>
      </c>
      <c r="H994" s="40" t="str">
        <f t="shared" si="62"/>
        <v xml:space="preserve"> </v>
      </c>
      <c r="I994" s="41" t="str">
        <f>IFERROR((VLOOKUP(F994,'Planilha de Cadastro - Previsão'!$A$2:$N$1100,2,FALSE()))," ")</f>
        <v xml:space="preserve"> </v>
      </c>
      <c r="J994" s="40" t="str">
        <f>IFERROR((VLOOKUP(F994,'Planilha de Cadastro - Previsão'!$A$2:$N$1100,3,FALSE()))," ")</f>
        <v xml:space="preserve"> </v>
      </c>
      <c r="K994" s="40"/>
      <c r="L994" s="42" t="str">
        <f>IFERROR((VLOOKUP(F994,'Planilha de Cadastro - Previsão'!$A$2:$N$1100,11,FALSE()))," ")</f>
        <v xml:space="preserve"> </v>
      </c>
      <c r="M994" s="41" t="str">
        <f>IFERROR((IF(VLOOKUP(F994,'Planilha de Cadastro - Previsão'!$A$2:$N$1100,10,FALSE())="","",VLOOKUP(F994,'Planilha de Cadastro - Previsão'!$A$2:$N$1100,10,FALSE()))),"")</f>
        <v/>
      </c>
      <c r="N994" s="41"/>
      <c r="O994" s="41"/>
      <c r="P994" s="41" t="str">
        <f>IFERROR((IF(VLOOKUP(F994,'Acompanhamento da Licitação'!$F$2:$O$1000,10,FALSE())="","",VLOOKUP(F994,'Acompanhamento da Licitação'!$F$2:$O$1000,10,FALSE()))),"")</f>
        <v/>
      </c>
      <c r="R994" s="61" t="str">
        <f>IFERROR(IF(F994&gt;0,(Final[[#This Row],[Valor da Venda Real]]-Final[[#This Row],[Valor de Compra Previsto]]-4%*Final[[#This Row],[Valor da Venda Real]])/Final[[#This Row],[Valor da Venda Real]],""),"")</f>
        <v/>
      </c>
      <c r="S994" s="61" t="str">
        <f t="shared" si="65"/>
        <v/>
      </c>
      <c r="T994" s="23" t="str">
        <f>IFERROR((R994*Final[[#This Row],[Valor da Venda Real]]*Final[[#This Row],[Quantidade ]]*S994),"")</f>
        <v/>
      </c>
    </row>
    <row r="995" spans="1:20" ht="15.75" x14ac:dyDescent="0.2">
      <c r="A995">
        <f>COUNTIF($C$2:C995,C995)</f>
        <v>994</v>
      </c>
      <c r="B995" s="1" t="str">
        <f t="shared" si="64"/>
        <v>994</v>
      </c>
      <c r="C995" s="1" t="str">
        <f>IFERROR(VLOOKUP(D995,'Planilha de Cadastro - Previsão'!$A$2:$N$1000,14,FALSE()),"")</f>
        <v/>
      </c>
      <c r="D995" s="1">
        <v>994</v>
      </c>
      <c r="F995" s="40" t="str">
        <f t="shared" si="63"/>
        <v/>
      </c>
      <c r="G995" s="40" t="str">
        <f>IF(F995="","",'Prosposta Inicial'!$O$2)</f>
        <v/>
      </c>
      <c r="H995" s="40" t="str">
        <f t="shared" si="62"/>
        <v xml:space="preserve"> </v>
      </c>
      <c r="I995" s="41" t="str">
        <f>IFERROR((VLOOKUP(F995,'Planilha de Cadastro - Previsão'!$A$2:$N$1100,2,FALSE()))," ")</f>
        <v xml:space="preserve"> </v>
      </c>
      <c r="J995" s="40" t="str">
        <f>IFERROR((VLOOKUP(F995,'Planilha de Cadastro - Previsão'!$A$2:$N$1100,3,FALSE()))," ")</f>
        <v xml:space="preserve"> </v>
      </c>
      <c r="K995" s="40"/>
      <c r="L995" s="42" t="str">
        <f>IFERROR((VLOOKUP(F995,'Planilha de Cadastro - Previsão'!$A$2:$N$1100,11,FALSE()))," ")</f>
        <v xml:space="preserve"> </v>
      </c>
      <c r="M995" s="41" t="str">
        <f>IFERROR((IF(VLOOKUP(F995,'Planilha de Cadastro - Previsão'!$A$2:$N$1100,10,FALSE())="","",VLOOKUP(F995,'Planilha de Cadastro - Previsão'!$A$2:$N$1100,10,FALSE()))),"")</f>
        <v/>
      </c>
      <c r="N995" s="41"/>
      <c r="O995" s="41"/>
      <c r="P995" s="41" t="str">
        <f>IFERROR((IF(VLOOKUP(F995,'Acompanhamento da Licitação'!$F$2:$O$1000,10,FALSE())="","",VLOOKUP(F995,'Acompanhamento da Licitação'!$F$2:$O$1000,10,FALSE()))),"")</f>
        <v/>
      </c>
      <c r="R995" s="61" t="str">
        <f>IFERROR(IF(F995&gt;0,(Final[[#This Row],[Valor da Venda Real]]-Final[[#This Row],[Valor de Compra Previsto]]-4%*Final[[#This Row],[Valor da Venda Real]])/Final[[#This Row],[Valor da Venda Real]],""),"")</f>
        <v/>
      </c>
      <c r="S995" s="61" t="str">
        <f t="shared" si="65"/>
        <v/>
      </c>
      <c r="T995" s="23" t="str">
        <f>IFERROR((R995*Final[[#This Row],[Valor da Venda Real]]*Final[[#This Row],[Quantidade ]]*S995),"")</f>
        <v/>
      </c>
    </row>
    <row r="996" spans="1:20" ht="15.75" x14ac:dyDescent="0.2">
      <c r="A996">
        <f>COUNTIF($C$2:C996,C996)</f>
        <v>995</v>
      </c>
      <c r="B996" s="1" t="str">
        <f t="shared" si="64"/>
        <v>995</v>
      </c>
      <c r="C996" s="1" t="str">
        <f>IFERROR(VLOOKUP(D996,'Planilha de Cadastro - Previsão'!$A$2:$N$1000,14,FALSE()),"")</f>
        <v/>
      </c>
      <c r="D996" s="1">
        <v>995</v>
      </c>
      <c r="F996" s="40" t="str">
        <f t="shared" si="63"/>
        <v/>
      </c>
      <c r="G996" s="40" t="str">
        <f>IF(F996="","",'Prosposta Inicial'!$O$2)</f>
        <v/>
      </c>
      <c r="H996" s="40" t="str">
        <f t="shared" si="62"/>
        <v xml:space="preserve"> </v>
      </c>
      <c r="I996" s="41" t="str">
        <f>IFERROR((VLOOKUP(F996,'Planilha de Cadastro - Previsão'!$A$2:$N$1100,2,FALSE()))," ")</f>
        <v xml:space="preserve"> </v>
      </c>
      <c r="J996" s="40" t="str">
        <f>IFERROR((VLOOKUP(F996,'Planilha de Cadastro - Previsão'!$A$2:$N$1100,3,FALSE()))," ")</f>
        <v xml:space="preserve"> </v>
      </c>
      <c r="K996" s="40"/>
      <c r="L996" s="42" t="str">
        <f>IFERROR((VLOOKUP(F996,'Planilha de Cadastro - Previsão'!$A$2:$N$1100,11,FALSE()))," ")</f>
        <v xml:space="preserve"> </v>
      </c>
      <c r="M996" s="41" t="str">
        <f>IFERROR((IF(VLOOKUP(F996,'Planilha de Cadastro - Previsão'!$A$2:$N$1100,10,FALSE())="","",VLOOKUP(F996,'Planilha de Cadastro - Previsão'!$A$2:$N$1100,10,FALSE()))),"")</f>
        <v/>
      </c>
      <c r="N996" s="41"/>
      <c r="O996" s="41"/>
      <c r="P996" s="41" t="str">
        <f>IFERROR((IF(VLOOKUP(F996,'Acompanhamento da Licitação'!$F$2:$O$1000,10,FALSE())="","",VLOOKUP(F996,'Acompanhamento da Licitação'!$F$2:$O$1000,10,FALSE()))),"")</f>
        <v/>
      </c>
      <c r="R996" s="61" t="str">
        <f>IFERROR(IF(F996&gt;0,(Final[[#This Row],[Valor da Venda Real]]-Final[[#This Row],[Valor de Compra Previsto]]-4%*Final[[#This Row],[Valor da Venda Real]])/Final[[#This Row],[Valor da Venda Real]],""),"")</f>
        <v/>
      </c>
      <c r="S996" s="61" t="str">
        <f t="shared" si="65"/>
        <v/>
      </c>
      <c r="T996" s="23" t="str">
        <f>IFERROR((R996*Final[[#This Row],[Valor da Venda Real]]*Final[[#This Row],[Quantidade ]]*S996),"")</f>
        <v/>
      </c>
    </row>
    <row r="997" spans="1:20" ht="15.75" x14ac:dyDescent="0.2">
      <c r="A997">
        <f>COUNTIF($C$2:C997,C997)</f>
        <v>996</v>
      </c>
      <c r="B997" s="1" t="str">
        <f t="shared" si="64"/>
        <v>996</v>
      </c>
      <c r="C997" s="1" t="str">
        <f>IFERROR(VLOOKUP(D997,'Planilha de Cadastro - Previsão'!$A$2:$N$1000,14,FALSE()),"")</f>
        <v/>
      </c>
      <c r="D997" s="1">
        <v>996</v>
      </c>
      <c r="F997" s="40" t="str">
        <f t="shared" si="63"/>
        <v/>
      </c>
      <c r="G997" s="40" t="str">
        <f>IF(F997="","",'Prosposta Inicial'!$O$2)</f>
        <v/>
      </c>
      <c r="H997" s="40" t="str">
        <f t="shared" ref="H997:H999" si="66">CONCATENATE(F997,G997,I997)</f>
        <v xml:space="preserve"> </v>
      </c>
      <c r="I997" s="41" t="str">
        <f>IFERROR((VLOOKUP(F997,'Planilha de Cadastro - Previsão'!$A$2:$N$1100,2,FALSE()))," ")</f>
        <v xml:space="preserve"> </v>
      </c>
      <c r="J997" s="40" t="str">
        <f>IFERROR((VLOOKUP(F997,'Planilha de Cadastro - Previsão'!$A$2:$N$1100,3,FALSE()))," ")</f>
        <v xml:space="preserve"> </v>
      </c>
      <c r="K997" s="40"/>
      <c r="L997" s="42" t="str">
        <f>IFERROR((VLOOKUP(F997,'Planilha de Cadastro - Previsão'!$A$2:$N$1100,11,FALSE()))," ")</f>
        <v xml:space="preserve"> </v>
      </c>
      <c r="M997" s="41" t="str">
        <f>IFERROR((IF(VLOOKUP(F997,'Planilha de Cadastro - Previsão'!$A$2:$N$1100,10,FALSE())="","",VLOOKUP(F997,'Planilha de Cadastro - Previsão'!$A$2:$N$1100,10,FALSE()))),"")</f>
        <v/>
      </c>
      <c r="N997" s="41"/>
      <c r="O997" s="41"/>
      <c r="P997" s="41" t="str">
        <f>IFERROR((IF(VLOOKUP(F997,'Acompanhamento da Licitação'!$F$2:$O$1000,10,FALSE())="","",VLOOKUP(F997,'Acompanhamento da Licitação'!$F$2:$O$1000,10,FALSE()))),"")</f>
        <v/>
      </c>
      <c r="R997" s="61" t="str">
        <f>IFERROR(IF(F997&gt;0,(Final[[#This Row],[Valor da Venda Real]]-Final[[#This Row],[Valor de Compra Previsto]]-4%*Final[[#This Row],[Valor da Venda Real]])/Final[[#This Row],[Valor da Venda Real]],""),"")</f>
        <v/>
      </c>
      <c r="S997" s="61" t="str">
        <f t="shared" si="65"/>
        <v/>
      </c>
      <c r="T997" s="23" t="str">
        <f>IFERROR((R997*Final[[#This Row],[Valor da Venda Real]]*Final[[#This Row],[Quantidade ]]*S997),"")</f>
        <v/>
      </c>
    </row>
    <row r="998" spans="1:20" ht="15.75" x14ac:dyDescent="0.2">
      <c r="A998">
        <f>COUNTIF($C$2:C998,C998)</f>
        <v>997</v>
      </c>
      <c r="B998" s="1" t="str">
        <f t="shared" si="64"/>
        <v>997</v>
      </c>
      <c r="C998" s="1" t="str">
        <f>IFERROR(VLOOKUP(D998,'Planilha de Cadastro - Previsão'!$A$2:$N$1000,14,FALSE()),"")</f>
        <v/>
      </c>
      <c r="D998" s="1">
        <v>997</v>
      </c>
      <c r="F998" s="40" t="str">
        <f t="shared" si="63"/>
        <v/>
      </c>
      <c r="G998" s="40" t="str">
        <f>IF(F998="","",'Prosposta Inicial'!$O$2)</f>
        <v/>
      </c>
      <c r="H998" s="40" t="str">
        <f t="shared" si="66"/>
        <v xml:space="preserve"> </v>
      </c>
      <c r="I998" s="41" t="str">
        <f>IFERROR((VLOOKUP(F998,'Planilha de Cadastro - Previsão'!$A$2:$N$1100,2,FALSE()))," ")</f>
        <v xml:space="preserve"> </v>
      </c>
      <c r="J998" s="40" t="str">
        <f>IFERROR((VLOOKUP(F998,'Planilha de Cadastro - Previsão'!$A$2:$N$1100,3,FALSE()))," ")</f>
        <v xml:space="preserve"> </v>
      </c>
      <c r="K998" s="40"/>
      <c r="L998" s="42" t="str">
        <f>IFERROR((VLOOKUP(F998,'Planilha de Cadastro - Previsão'!$A$2:$N$1100,11,FALSE()))," ")</f>
        <v xml:space="preserve"> </v>
      </c>
      <c r="M998" s="41" t="str">
        <f>IFERROR((IF(VLOOKUP(F998,'Planilha de Cadastro - Previsão'!$A$2:$N$1100,10,FALSE())="","",VLOOKUP(F998,'Planilha de Cadastro - Previsão'!$A$2:$N$1100,10,FALSE()))),"")</f>
        <v/>
      </c>
      <c r="N998" s="41"/>
      <c r="O998" s="41"/>
      <c r="P998" s="41" t="str">
        <f>IFERROR((IF(VLOOKUP(F998,'Acompanhamento da Licitação'!$F$2:$O$1000,10,FALSE())="","",VLOOKUP(F998,'Acompanhamento da Licitação'!$F$2:$O$1000,10,FALSE()))),"")</f>
        <v/>
      </c>
      <c r="R998" s="61" t="str">
        <f>IFERROR(IF(F998&gt;0,(Final[[#This Row],[Valor da Venda Real]]-Final[[#This Row],[Valor de Compra Previsto]]-4%*Final[[#This Row],[Valor da Venda Real]])/Final[[#This Row],[Valor da Venda Real]],""),"")</f>
        <v/>
      </c>
      <c r="S998" s="61" t="str">
        <f t="shared" si="65"/>
        <v/>
      </c>
      <c r="T998" s="23" t="str">
        <f>IFERROR((R998*Final[[#This Row],[Valor da Venda Real]]*Final[[#This Row],[Quantidade ]]*S998),"")</f>
        <v/>
      </c>
    </row>
    <row r="999" spans="1:20" ht="15.75" x14ac:dyDescent="0.2">
      <c r="A999">
        <f>COUNTIF($C$2:C999,C999)</f>
        <v>998</v>
      </c>
      <c r="B999" s="1" t="str">
        <f t="shared" si="64"/>
        <v>998</v>
      </c>
      <c r="C999" s="1" t="str">
        <f>IFERROR(VLOOKUP(D999,'Planilha de Cadastro - Previsão'!$A$2:$N$1000,14,FALSE()),"")</f>
        <v/>
      </c>
      <c r="D999" s="1">
        <v>998</v>
      </c>
      <c r="F999" s="40" t="str">
        <f t="shared" si="63"/>
        <v/>
      </c>
      <c r="G999" s="40" t="str">
        <f>IF(F999="","",'Prosposta Inicial'!$O$2)</f>
        <v/>
      </c>
      <c r="H999" s="40" t="str">
        <f t="shared" si="66"/>
        <v xml:space="preserve"> </v>
      </c>
      <c r="I999" s="41" t="str">
        <f>IFERROR((VLOOKUP(F999,'Planilha de Cadastro - Previsão'!$A$2:$N$1100,2,FALSE()))," ")</f>
        <v xml:space="preserve"> </v>
      </c>
      <c r="J999" s="40" t="str">
        <f>IFERROR((VLOOKUP(F999,'Planilha de Cadastro - Previsão'!$A$2:$N$1100,3,FALSE()))," ")</f>
        <v xml:space="preserve"> </v>
      </c>
      <c r="K999" s="40"/>
      <c r="L999" s="42" t="str">
        <f>IFERROR((VLOOKUP(F999,'Planilha de Cadastro - Previsão'!$A$2:$N$1100,11,FALSE()))," ")</f>
        <v xml:space="preserve"> </v>
      </c>
      <c r="M999" s="41" t="str">
        <f>IFERROR((IF(VLOOKUP(F999,'Planilha de Cadastro - Previsão'!$A$2:$N$1100,10,FALSE())="","",VLOOKUP(F999,'Planilha de Cadastro - Previsão'!$A$2:$N$1100,10,FALSE()))),"")</f>
        <v/>
      </c>
      <c r="N999" s="41"/>
      <c r="O999" s="41"/>
      <c r="P999" s="41" t="str">
        <f>IFERROR((IF(VLOOKUP(F999,'Acompanhamento da Licitação'!$F$2:$O$1000,10,FALSE())="","",VLOOKUP(F999,'Acompanhamento da Licitação'!$F$2:$O$1000,10,FALSE()))),"")</f>
        <v/>
      </c>
      <c r="R999" s="61" t="str">
        <f>IFERROR(IF(F999&gt;0,(Final[[#This Row],[Valor da Venda Real]]-Final[[#This Row],[Valor de Compra Previsto]]-4%*Final[[#This Row],[Valor da Venda Real]])/Final[[#This Row],[Valor da Venda Real]],""),"")</f>
        <v/>
      </c>
      <c r="S999" s="61" t="str">
        <f t="shared" si="65"/>
        <v/>
      </c>
      <c r="T999" s="23" t="str">
        <f>IFERROR((R999*Final[[#This Row],[Valor da Venda Real]]*Final[[#This Row],[Quantidade ]]*S999),"")</f>
        <v/>
      </c>
    </row>
    <row r="1000" spans="1:20" ht="15.75" x14ac:dyDescent="0.2">
      <c r="A1000">
        <f>COUNTIF($C$2:C1000,C1000)</f>
        <v>999</v>
      </c>
      <c r="B1000" s="1" t="str">
        <f t="shared" si="64"/>
        <v>999</v>
      </c>
      <c r="C1000" s="1" t="str">
        <f>IFERROR(VLOOKUP(D1000,'Planilha de Cadastro - Previsão'!$A$2:$N$1000,14,FALSE()),"")</f>
        <v/>
      </c>
      <c r="D1000" s="1">
        <v>999</v>
      </c>
      <c r="F1000" s="44"/>
      <c r="G1000" s="44"/>
      <c r="H1000" s="44" t="str">
        <f>CONCATENATE(F1000,G1000,L1000)</f>
        <v/>
      </c>
      <c r="I1000" s="44"/>
      <c r="J1000" s="44"/>
      <c r="K1000" s="44"/>
      <c r="L1000" s="44"/>
      <c r="M1000" s="44"/>
      <c r="N1000" s="44"/>
      <c r="O1000" s="44"/>
      <c r="P1000" s="41" t="str">
        <f>IFERROR((IF(VLOOKUP(F1000,'Acompanhamento da Licitação'!$F$2:$O$1000,10,FALSE())="","",VLOOKUP(F1000,'Acompanhamento da Licitação'!$F$2:$O$1000,10,FALSE()))),"")</f>
        <v/>
      </c>
      <c r="R1000" s="61" t="str">
        <f>IFERROR(IF(F1000&gt;0,(Final[[#This Row],[Valor da Venda Real]]-Final[[#This Row],[Valor de Compra Previsto]]-4%*Final[[#This Row],[Valor da Venda Real]])/Final[[#This Row],[Valor da Venda Real]],""),"")</f>
        <v/>
      </c>
      <c r="S1000" s="61" t="str">
        <f t="shared" si="65"/>
        <v/>
      </c>
      <c r="T1000" s="23" t="str">
        <f>IFERROR((R1000*Final[[#This Row],[Valor da Venda Real]]*Final[[#This Row],[Quantidade ]]*S1000),"")</f>
        <v/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8"/>
  <sheetViews>
    <sheetView topLeftCell="A2" zoomScaleNormal="100" workbookViewId="0">
      <selection activeCell="B13" sqref="B13"/>
    </sheetView>
  </sheetViews>
  <sheetFormatPr defaultColWidth="8.85546875" defaultRowHeight="15.75" x14ac:dyDescent="0.25"/>
  <cols>
    <col min="1" max="1" width="7.5703125" style="10" customWidth="1"/>
    <col min="2" max="2" width="78.5703125" style="10" customWidth="1"/>
    <col min="3" max="3" width="16.140625" style="7" customWidth="1"/>
    <col min="4" max="4" width="21.140625" style="10" customWidth="1"/>
    <col min="5" max="5" width="21.5703125" style="2" customWidth="1"/>
    <col min="6" max="6" width="22.42578125" style="10" customWidth="1"/>
    <col min="7" max="7" width="59.7109375" style="10" customWidth="1"/>
    <col min="8" max="8" width="7.7109375" style="10" customWidth="1"/>
    <col min="9" max="9" width="12" style="10" customWidth="1"/>
    <col min="10" max="10" width="12.5703125" style="10" customWidth="1"/>
    <col min="11" max="11" width="27.7109375" style="10" customWidth="1"/>
    <col min="12" max="12" width="16.85546875" style="10" customWidth="1"/>
    <col min="13" max="13" width="26" style="10" customWidth="1"/>
    <col min="14" max="14" width="8.85546875" style="10"/>
    <col min="15" max="15" width="15.5703125" style="10" customWidth="1"/>
    <col min="16" max="16384" width="8.85546875" style="10"/>
  </cols>
  <sheetData>
    <row r="1" spans="1:6" x14ac:dyDescent="0.25">
      <c r="A1" s="12" t="str">
        <f>IF('Prosposta Inicial'!M2&gt;0,'Prosposta Inicial'!M2,"")</f>
        <v>40.127.372 RICHARD HENRIQUE VERNILLO</v>
      </c>
      <c r="B1" s="13"/>
      <c r="F1" s="14" t="str">
        <f>IF('Prosposta Inicial'!O2&gt;0,'Prosposta Inicial'!O2,"")</f>
        <v/>
      </c>
    </row>
    <row r="2" spans="1:6" x14ac:dyDescent="0.25">
      <c r="A2" s="15" t="str">
        <f>IF('Prosposta Inicial'!M5&gt;0,'Prosposta Inicial'!M5,"")</f>
        <v>Rua Antonio Teodoro Nogueira, 1016</v>
      </c>
      <c r="F2" s="16" t="str">
        <f>IF('Prosposta Inicial'!O5&gt;0,'Prosposta Inicial'!O5,"")</f>
        <v/>
      </c>
    </row>
    <row r="3" spans="1:6" x14ac:dyDescent="0.25">
      <c r="A3" s="15" t="str">
        <f>IF('Prosposta Inicial'!M8&gt;0,'Prosposta Inicial'!M8,"")</f>
        <v>Jaborandi - São Paulo - Brasil</v>
      </c>
      <c r="F3" s="16" t="str">
        <f>IF('Prosposta Inicial'!O8&gt;0,'Prosposta Inicial'!O8,"")</f>
        <v/>
      </c>
    </row>
    <row r="4" spans="1:6" x14ac:dyDescent="0.25">
      <c r="A4" s="15" t="str">
        <f>IF('Prosposta Inicial'!M11&gt;0,'Prosposta Inicial'!M11,"")</f>
        <v>14775-000</v>
      </c>
      <c r="F4" s="16" t="str">
        <f>IF('Prosposta Inicial'!O11&gt;0,'Prosposta Inicial'!O11,"")</f>
        <v/>
      </c>
    </row>
    <row r="5" spans="1:6" x14ac:dyDescent="0.25">
      <c r="A5" s="15" t="str">
        <f>IF('Prosposta Inicial'!M14&gt;0,'Prosposta Inicial'!M14,"")</f>
        <v>40.127.372/0001-06</v>
      </c>
      <c r="F5" s="16" t="str">
        <f>IF('Prosposta Inicial'!O14&gt;0,'Prosposta Inicial'!O14,"")</f>
        <v/>
      </c>
    </row>
    <row r="6" spans="1:6" x14ac:dyDescent="0.25">
      <c r="A6" s="15" t="str">
        <f>IF('Prosposta Inicial'!M17&gt;0,'Prosposta Inicial'!M17,"")</f>
        <v/>
      </c>
      <c r="F6" s="16" t="str">
        <f>IF('Prosposta Inicial'!O17&gt;0,'Prosposta Inicial'!O17,"")</f>
        <v/>
      </c>
    </row>
    <row r="7" spans="1:6" x14ac:dyDescent="0.25">
      <c r="A7" s="15" t="str">
        <f>IF('Prosposta Inicial'!M20&gt;0,'Prosposta Inicial'!M20,"")</f>
        <v>contato@mabus.com.br</v>
      </c>
      <c r="F7" s="16" t="str">
        <f>IF('Prosposta Inicial'!O20&gt;0,'Prosposta Inicial'!O20,"")</f>
        <v/>
      </c>
    </row>
    <row r="9" spans="1:6" x14ac:dyDescent="0.25">
      <c r="A9" s="8"/>
      <c r="B9" s="8"/>
      <c r="C9" s="46"/>
      <c r="D9" s="14" t="s">
        <v>21</v>
      </c>
      <c r="E9" s="47">
        <f ca="1">TODAY()</f>
        <v>45997</v>
      </c>
    </row>
    <row r="10" spans="1:6" x14ac:dyDescent="0.25">
      <c r="A10" s="7"/>
      <c r="B10" s="48"/>
      <c r="D10" s="9"/>
    </row>
    <row r="11" spans="1:6" ht="16.5" x14ac:dyDescent="0.3">
      <c r="A11" s="18" t="s">
        <v>0</v>
      </c>
      <c r="B11" s="58" t="s">
        <v>1</v>
      </c>
      <c r="C11" s="19" t="s">
        <v>2</v>
      </c>
      <c r="D11" s="20" t="s">
        <v>4</v>
      </c>
      <c r="E11" s="21" t="s">
        <v>8</v>
      </c>
    </row>
    <row r="12" spans="1:6" x14ac:dyDescent="0.25">
      <c r="A12" s="59" t="str">
        <f>'Itens Vencedores'!F2</f>
        <v/>
      </c>
      <c r="B12" s="22" t="str">
        <f>'Itens Vencedores'!I2</f>
        <v xml:space="preserve"> </v>
      </c>
      <c r="C12" s="49" t="str">
        <f>'Itens Vencedores'!J2</f>
        <v xml:space="preserve"> </v>
      </c>
      <c r="D12" s="23" t="str">
        <f>'Itens Vencedores'!L2</f>
        <v xml:space="preserve"> </v>
      </c>
      <c r="E12" s="23" t="str">
        <f>'Itens Vencedores'!N2</f>
        <v/>
      </c>
    </row>
    <row r="13" spans="1:6" x14ac:dyDescent="0.25">
      <c r="A13" s="22" t="str">
        <f>'Itens Vencedores'!F3</f>
        <v/>
      </c>
      <c r="B13" s="22" t="str">
        <f>'Itens Vencedores'!I3</f>
        <v xml:space="preserve"> </v>
      </c>
      <c r="C13" s="49" t="str">
        <f>'Itens Vencedores'!J3</f>
        <v xml:space="preserve"> </v>
      </c>
      <c r="D13" s="23" t="str">
        <f>'Itens Vencedores'!L3</f>
        <v xml:space="preserve"> </v>
      </c>
      <c r="E13" s="23" t="str">
        <f>'Itens Vencedores'!N3</f>
        <v/>
      </c>
    </row>
    <row r="14" spans="1:6" x14ac:dyDescent="0.25">
      <c r="A14" s="22" t="str">
        <f>'Itens Vencedores'!F4</f>
        <v/>
      </c>
      <c r="B14" s="22" t="str">
        <f>'Itens Vencedores'!I4</f>
        <v xml:space="preserve"> </v>
      </c>
      <c r="C14" s="49" t="str">
        <f>'Itens Vencedores'!J4</f>
        <v xml:space="preserve"> </v>
      </c>
      <c r="D14" s="23" t="str">
        <f>'Itens Vencedores'!L4</f>
        <v xml:space="preserve"> </v>
      </c>
      <c r="E14" s="23" t="str">
        <f>'Itens Vencedores'!N4</f>
        <v/>
      </c>
    </row>
    <row r="15" spans="1:6" x14ac:dyDescent="0.25">
      <c r="A15" s="22" t="str">
        <f>'Itens Vencedores'!F5</f>
        <v/>
      </c>
      <c r="B15" s="22" t="str">
        <f>'Itens Vencedores'!I5</f>
        <v xml:space="preserve"> </v>
      </c>
      <c r="C15" s="49" t="str">
        <f>'Itens Vencedores'!J5</f>
        <v xml:space="preserve"> </v>
      </c>
      <c r="D15" s="23" t="str">
        <f>'Itens Vencedores'!L5</f>
        <v xml:space="preserve"> </v>
      </c>
      <c r="E15" s="23" t="str">
        <f>'Itens Vencedores'!N5</f>
        <v/>
      </c>
    </row>
    <row r="16" spans="1:6" x14ac:dyDescent="0.25">
      <c r="A16" s="22" t="str">
        <f>'Itens Vencedores'!F6</f>
        <v/>
      </c>
      <c r="B16" s="22" t="str">
        <f>'Itens Vencedores'!I6</f>
        <v xml:space="preserve"> </v>
      </c>
      <c r="C16" s="49" t="str">
        <f>'Itens Vencedores'!J6</f>
        <v xml:space="preserve"> </v>
      </c>
      <c r="D16" s="23" t="str">
        <f>'Itens Vencedores'!L6</f>
        <v xml:space="preserve"> </v>
      </c>
      <c r="E16" s="23" t="str">
        <f>'Itens Vencedores'!N6</f>
        <v/>
      </c>
    </row>
    <row r="17" spans="1:6" x14ac:dyDescent="0.25">
      <c r="A17" s="22" t="str">
        <f>'Itens Vencedores'!F7</f>
        <v/>
      </c>
      <c r="B17" s="22" t="str">
        <f>'Itens Vencedores'!I7</f>
        <v xml:space="preserve"> </v>
      </c>
      <c r="C17" s="49" t="str">
        <f>'Itens Vencedores'!J7</f>
        <v xml:space="preserve"> </v>
      </c>
      <c r="D17" s="23" t="str">
        <f>'Itens Vencedores'!L7</f>
        <v xml:space="preserve"> </v>
      </c>
      <c r="E17" s="23" t="str">
        <f>'Itens Vencedores'!N7</f>
        <v/>
      </c>
    </row>
    <row r="18" spans="1:6" x14ac:dyDescent="0.25">
      <c r="A18" s="22" t="str">
        <f>'Itens Vencedores'!F8</f>
        <v/>
      </c>
      <c r="B18" s="22" t="str">
        <f>'Itens Vencedores'!I8</f>
        <v xml:space="preserve"> </v>
      </c>
      <c r="C18" s="49" t="str">
        <f>'Itens Vencedores'!J8</f>
        <v xml:space="preserve"> </v>
      </c>
      <c r="D18" s="23" t="str">
        <f>'Itens Vencedores'!L8</f>
        <v xml:space="preserve"> </v>
      </c>
      <c r="E18" s="23" t="str">
        <f>'Itens Vencedores'!N8</f>
        <v/>
      </c>
    </row>
    <row r="19" spans="1:6" x14ac:dyDescent="0.25">
      <c r="A19" s="22" t="str">
        <f>'Itens Vencedores'!F9</f>
        <v/>
      </c>
      <c r="B19" s="22" t="str">
        <f>'Itens Vencedores'!I9</f>
        <v xml:space="preserve"> </v>
      </c>
      <c r="C19" s="49" t="str">
        <f>'Itens Vencedores'!J9</f>
        <v xml:space="preserve"> </v>
      </c>
      <c r="D19" s="23" t="str">
        <f>'Itens Vencedores'!L9</f>
        <v xml:space="preserve"> </v>
      </c>
      <c r="E19" s="23" t="str">
        <f>'Itens Vencedores'!N9</f>
        <v/>
      </c>
    </row>
    <row r="20" spans="1:6" x14ac:dyDescent="0.25">
      <c r="A20" s="22" t="str">
        <f>'Itens Vencedores'!F10</f>
        <v/>
      </c>
      <c r="B20" s="22" t="str">
        <f>'Itens Vencedores'!I10</f>
        <v xml:space="preserve"> </v>
      </c>
      <c r="C20" s="49" t="str">
        <f>'Itens Vencedores'!J10</f>
        <v xml:space="preserve"> </v>
      </c>
      <c r="D20" s="23" t="str">
        <f>'Itens Vencedores'!L10</f>
        <v xml:space="preserve"> </v>
      </c>
      <c r="E20" s="23" t="str">
        <f>'Itens Vencedores'!N10</f>
        <v/>
      </c>
    </row>
    <row r="21" spans="1:6" x14ac:dyDescent="0.25">
      <c r="A21" s="22" t="str">
        <f>'Itens Vencedores'!F11</f>
        <v/>
      </c>
      <c r="B21" s="22" t="str">
        <f>'Itens Vencedores'!I11</f>
        <v xml:space="preserve"> </v>
      </c>
      <c r="C21" s="49" t="str">
        <f>'Itens Vencedores'!J11</f>
        <v xml:space="preserve"> </v>
      </c>
      <c r="D21" s="23" t="str">
        <f>'Itens Vencedores'!L11</f>
        <v xml:space="preserve"> </v>
      </c>
      <c r="E21" s="23" t="str">
        <f>'Itens Vencedores'!N11</f>
        <v/>
      </c>
    </row>
    <row r="22" spans="1:6" x14ac:dyDescent="0.25">
      <c r="A22" s="22" t="str">
        <f>'Itens Vencedores'!F12</f>
        <v/>
      </c>
      <c r="B22" s="22" t="str">
        <f>'Itens Vencedores'!I12</f>
        <v xml:space="preserve"> </v>
      </c>
      <c r="C22" s="49" t="str">
        <f>'Itens Vencedores'!J12</f>
        <v xml:space="preserve"> </v>
      </c>
      <c r="D22" s="23" t="str">
        <f>'Itens Vencedores'!L12</f>
        <v xml:space="preserve"> </v>
      </c>
      <c r="E22" s="23" t="str">
        <f>'Itens Vencedores'!N12</f>
        <v/>
      </c>
      <c r="F22" s="7"/>
    </row>
    <row r="23" spans="1:6" x14ac:dyDescent="0.25">
      <c r="A23" s="22" t="str">
        <f>'Itens Vencedores'!F13</f>
        <v/>
      </c>
      <c r="B23" s="22" t="str">
        <f>'Itens Vencedores'!I13</f>
        <v xml:space="preserve"> </v>
      </c>
      <c r="C23" s="49" t="str">
        <f>'Itens Vencedores'!J13</f>
        <v xml:space="preserve"> </v>
      </c>
      <c r="D23" s="23" t="str">
        <f>'Itens Vencedores'!L13</f>
        <v xml:space="preserve"> </v>
      </c>
      <c r="E23" s="23" t="str">
        <f>'Itens Vencedores'!N13</f>
        <v/>
      </c>
    </row>
    <row r="24" spans="1:6" x14ac:dyDescent="0.25">
      <c r="A24" s="22" t="str">
        <f>'Itens Vencedores'!F14</f>
        <v/>
      </c>
      <c r="B24" s="22" t="str">
        <f>'Itens Vencedores'!I14</f>
        <v xml:space="preserve"> </v>
      </c>
      <c r="C24" s="49" t="str">
        <f>'Itens Vencedores'!J14</f>
        <v xml:space="preserve"> </v>
      </c>
      <c r="D24" s="23" t="str">
        <f>'Itens Vencedores'!L14</f>
        <v xml:space="preserve"> </v>
      </c>
      <c r="E24" s="23" t="str">
        <f>'Itens Vencedores'!N14</f>
        <v/>
      </c>
    </row>
    <row r="25" spans="1:6" x14ac:dyDescent="0.25">
      <c r="A25" s="22" t="str">
        <f>'Itens Vencedores'!F15</f>
        <v/>
      </c>
      <c r="B25" s="22" t="str">
        <f>'Itens Vencedores'!I15</f>
        <v xml:space="preserve"> </v>
      </c>
      <c r="C25" s="49" t="str">
        <f>'Itens Vencedores'!J15</f>
        <v xml:space="preserve"> </v>
      </c>
      <c r="D25" s="23" t="str">
        <f>'Itens Vencedores'!L15</f>
        <v xml:space="preserve"> </v>
      </c>
      <c r="E25" s="23" t="str">
        <f>'Itens Vencedores'!N15</f>
        <v/>
      </c>
    </row>
    <row r="26" spans="1:6" x14ac:dyDescent="0.25">
      <c r="A26" s="22" t="str">
        <f>'Itens Vencedores'!F16</f>
        <v/>
      </c>
      <c r="B26" s="22" t="str">
        <f>'Itens Vencedores'!I16</f>
        <v xml:space="preserve"> </v>
      </c>
      <c r="C26" s="49" t="str">
        <f>'Itens Vencedores'!J16</f>
        <v xml:space="preserve"> </v>
      </c>
      <c r="D26" s="23" t="str">
        <f>'Itens Vencedores'!L16</f>
        <v xml:space="preserve"> </v>
      </c>
      <c r="E26" s="23" t="str">
        <f>'Itens Vencedores'!N16</f>
        <v/>
      </c>
    </row>
    <row r="27" spans="1:6" x14ac:dyDescent="0.25">
      <c r="A27" s="22" t="str">
        <f>'Itens Vencedores'!F17</f>
        <v/>
      </c>
      <c r="B27" s="22" t="str">
        <f>'Itens Vencedores'!I17</f>
        <v xml:space="preserve"> </v>
      </c>
      <c r="C27" s="49" t="str">
        <f>'Itens Vencedores'!J17</f>
        <v xml:space="preserve"> </v>
      </c>
      <c r="D27" s="23" t="str">
        <f>'Itens Vencedores'!L17</f>
        <v xml:space="preserve"> </v>
      </c>
      <c r="E27" s="23" t="str">
        <f>'Itens Vencedores'!N17</f>
        <v/>
      </c>
    </row>
    <row r="28" spans="1:6" x14ac:dyDescent="0.25">
      <c r="A28" s="22" t="str">
        <f>'Itens Vencedores'!F18</f>
        <v/>
      </c>
      <c r="B28" s="22" t="str">
        <f>'Itens Vencedores'!I18</f>
        <v xml:space="preserve"> </v>
      </c>
      <c r="C28" s="49" t="str">
        <f>'Itens Vencedores'!J18</f>
        <v xml:space="preserve"> </v>
      </c>
      <c r="D28" s="23" t="str">
        <f>'Itens Vencedores'!L18</f>
        <v xml:space="preserve"> </v>
      </c>
      <c r="E28" s="23" t="str">
        <f>'Itens Vencedores'!N18</f>
        <v/>
      </c>
    </row>
    <row r="29" spans="1:6" x14ac:dyDescent="0.25">
      <c r="A29" s="22" t="str">
        <f>'Itens Vencedores'!F19</f>
        <v/>
      </c>
      <c r="B29" s="22" t="str">
        <f>'Itens Vencedores'!I19</f>
        <v xml:space="preserve"> </v>
      </c>
      <c r="C29" s="49" t="str">
        <f>'Itens Vencedores'!J19</f>
        <v xml:space="preserve"> </v>
      </c>
      <c r="D29" s="23" t="str">
        <f>'Itens Vencedores'!L19</f>
        <v xml:space="preserve"> </v>
      </c>
      <c r="E29" s="23" t="str">
        <f>'Itens Vencedores'!N19</f>
        <v/>
      </c>
    </row>
    <row r="30" spans="1:6" x14ac:dyDescent="0.25">
      <c r="A30" s="22" t="str">
        <f>'Itens Vencedores'!F20</f>
        <v/>
      </c>
      <c r="B30" s="22" t="str">
        <f>'Itens Vencedores'!I20</f>
        <v xml:space="preserve"> </v>
      </c>
      <c r="C30" s="49" t="str">
        <f>'Itens Vencedores'!J20</f>
        <v xml:space="preserve"> </v>
      </c>
      <c r="D30" s="23" t="str">
        <f>'Itens Vencedores'!L20</f>
        <v xml:space="preserve"> </v>
      </c>
      <c r="E30" s="23" t="str">
        <f>'Itens Vencedores'!N20</f>
        <v/>
      </c>
    </row>
    <row r="31" spans="1:6" x14ac:dyDescent="0.25">
      <c r="A31" s="22" t="str">
        <f>'Itens Vencedores'!F21</f>
        <v/>
      </c>
      <c r="B31" s="22" t="str">
        <f>'Itens Vencedores'!I21</f>
        <v xml:space="preserve"> </v>
      </c>
      <c r="C31" s="49" t="str">
        <f>'Itens Vencedores'!J21</f>
        <v xml:space="preserve"> </v>
      </c>
      <c r="D31" s="23" t="str">
        <f>'Itens Vencedores'!L21</f>
        <v xml:space="preserve"> </v>
      </c>
      <c r="E31" s="23" t="str">
        <f>'Itens Vencedores'!N21</f>
        <v/>
      </c>
    </row>
    <row r="32" spans="1:6" x14ac:dyDescent="0.25">
      <c r="A32" s="22" t="str">
        <f>'Itens Vencedores'!F22</f>
        <v/>
      </c>
      <c r="B32" s="22" t="str">
        <f>'Itens Vencedores'!I22</f>
        <v xml:space="preserve"> </v>
      </c>
      <c r="C32" s="49" t="str">
        <f>'Itens Vencedores'!J22</f>
        <v xml:space="preserve"> </v>
      </c>
      <c r="D32" s="23" t="str">
        <f>'Itens Vencedores'!L22</f>
        <v xml:space="preserve"> </v>
      </c>
      <c r="E32" s="23" t="str">
        <f>'Itens Vencedores'!N22</f>
        <v/>
      </c>
    </row>
    <row r="33" spans="1:5" x14ac:dyDescent="0.25">
      <c r="A33" s="22" t="str">
        <f>'Itens Vencedores'!F23</f>
        <v/>
      </c>
      <c r="B33" s="22" t="str">
        <f>'Itens Vencedores'!I23</f>
        <v xml:space="preserve"> </v>
      </c>
      <c r="C33" s="49" t="str">
        <f>'Itens Vencedores'!J23</f>
        <v xml:space="preserve"> </v>
      </c>
      <c r="D33" s="23" t="str">
        <f>'Itens Vencedores'!L23</f>
        <v xml:space="preserve"> </v>
      </c>
      <c r="E33" s="23" t="str">
        <f>'Itens Vencedores'!N23</f>
        <v/>
      </c>
    </row>
    <row r="34" spans="1:5" x14ac:dyDescent="0.25">
      <c r="A34" s="22" t="str">
        <f>'Itens Vencedores'!F24</f>
        <v/>
      </c>
      <c r="B34" s="22" t="str">
        <f>'Itens Vencedores'!I24</f>
        <v xml:space="preserve"> </v>
      </c>
      <c r="C34" s="49" t="str">
        <f>'Itens Vencedores'!J24</f>
        <v xml:space="preserve"> </v>
      </c>
      <c r="D34" s="23" t="str">
        <f>'Itens Vencedores'!L24</f>
        <v xml:space="preserve"> </v>
      </c>
      <c r="E34" s="23" t="str">
        <f>'Itens Vencedores'!N24</f>
        <v/>
      </c>
    </row>
    <row r="35" spans="1:5" x14ac:dyDescent="0.25">
      <c r="A35" s="22" t="str">
        <f>'Itens Vencedores'!F25</f>
        <v/>
      </c>
      <c r="B35" s="22" t="str">
        <f>'Itens Vencedores'!I25</f>
        <v xml:space="preserve"> </v>
      </c>
      <c r="C35" s="49" t="str">
        <f>'Itens Vencedores'!J25</f>
        <v xml:space="preserve"> </v>
      </c>
      <c r="D35" s="23" t="str">
        <f>'Itens Vencedores'!L25</f>
        <v xml:space="preserve"> </v>
      </c>
      <c r="E35" s="23" t="str">
        <f>'Itens Vencedores'!N25</f>
        <v/>
      </c>
    </row>
    <row r="36" spans="1:5" x14ac:dyDescent="0.25">
      <c r="A36" s="22" t="str">
        <f>'Itens Vencedores'!F26</f>
        <v/>
      </c>
      <c r="B36" s="22" t="str">
        <f>'Itens Vencedores'!I26</f>
        <v xml:space="preserve"> </v>
      </c>
      <c r="C36" s="49" t="str">
        <f>'Itens Vencedores'!J26</f>
        <v xml:space="preserve"> </v>
      </c>
      <c r="D36" s="23" t="str">
        <f>'Itens Vencedores'!L26</f>
        <v xml:space="preserve"> </v>
      </c>
      <c r="E36" s="23" t="str">
        <f>'Itens Vencedores'!N26</f>
        <v/>
      </c>
    </row>
    <row r="37" spans="1:5" x14ac:dyDescent="0.25">
      <c r="A37" s="22" t="str">
        <f>'Itens Vencedores'!F27</f>
        <v/>
      </c>
      <c r="B37" s="22" t="str">
        <f>'Itens Vencedores'!I27</f>
        <v xml:space="preserve"> </v>
      </c>
      <c r="C37" s="49" t="str">
        <f>'Itens Vencedores'!J27</f>
        <v xml:space="preserve"> </v>
      </c>
      <c r="D37" s="23" t="str">
        <f>'Itens Vencedores'!L27</f>
        <v xml:space="preserve"> </v>
      </c>
      <c r="E37" s="23" t="str">
        <f>'Itens Vencedores'!N27</f>
        <v/>
      </c>
    </row>
    <row r="38" spans="1:5" x14ac:dyDescent="0.25">
      <c r="A38" s="22" t="str">
        <f>'Itens Vencedores'!F28</f>
        <v/>
      </c>
      <c r="B38" s="22" t="str">
        <f>'Itens Vencedores'!I28</f>
        <v xml:space="preserve"> </v>
      </c>
      <c r="C38" s="49" t="str">
        <f>'Itens Vencedores'!J28</f>
        <v xml:space="preserve"> </v>
      </c>
      <c r="D38" s="23" t="str">
        <f>'Itens Vencedores'!L28</f>
        <v xml:space="preserve"> </v>
      </c>
      <c r="E38" s="23" t="str">
        <f>'Itens Vencedores'!N28</f>
        <v/>
      </c>
    </row>
    <row r="39" spans="1:5" x14ac:dyDescent="0.25">
      <c r="A39" s="22" t="str">
        <f>'Itens Vencedores'!F29</f>
        <v/>
      </c>
      <c r="B39" s="22" t="str">
        <f>'Itens Vencedores'!I29</f>
        <v xml:space="preserve"> </v>
      </c>
      <c r="C39" s="49" t="str">
        <f>'Itens Vencedores'!J29</f>
        <v xml:space="preserve"> </v>
      </c>
      <c r="D39" s="23" t="str">
        <f>'Itens Vencedores'!L29</f>
        <v xml:space="preserve"> </v>
      </c>
      <c r="E39" s="23" t="str">
        <f>'Itens Vencedores'!N29</f>
        <v/>
      </c>
    </row>
    <row r="40" spans="1:5" x14ac:dyDescent="0.25">
      <c r="A40" s="22" t="str">
        <f>'Itens Vencedores'!F30</f>
        <v/>
      </c>
      <c r="B40" s="22" t="str">
        <f>'Itens Vencedores'!I30</f>
        <v xml:space="preserve"> </v>
      </c>
      <c r="C40" s="49" t="str">
        <f>'Itens Vencedores'!J30</f>
        <v xml:space="preserve"> </v>
      </c>
      <c r="D40" s="23" t="str">
        <f>'Itens Vencedores'!L30</f>
        <v xml:space="preserve"> </v>
      </c>
      <c r="E40" s="23" t="str">
        <f>'Itens Vencedores'!N30</f>
        <v/>
      </c>
    </row>
    <row r="41" spans="1:5" x14ac:dyDescent="0.25">
      <c r="A41" s="22" t="str">
        <f>'Itens Vencedores'!F31</f>
        <v/>
      </c>
      <c r="B41" s="22" t="str">
        <f>'Itens Vencedores'!I31</f>
        <v xml:space="preserve"> </v>
      </c>
      <c r="C41" s="49" t="str">
        <f>'Itens Vencedores'!J31</f>
        <v xml:space="preserve"> </v>
      </c>
      <c r="D41" s="23" t="str">
        <f>'Itens Vencedores'!L31</f>
        <v xml:space="preserve"> </v>
      </c>
      <c r="E41" s="23" t="str">
        <f>'Itens Vencedores'!N31</f>
        <v/>
      </c>
    </row>
    <row r="42" spans="1:5" x14ac:dyDescent="0.25">
      <c r="A42" s="22" t="str">
        <f>'Itens Vencedores'!F32</f>
        <v/>
      </c>
      <c r="B42" s="22" t="str">
        <f>'Itens Vencedores'!I32</f>
        <v xml:space="preserve"> </v>
      </c>
      <c r="C42" s="49" t="str">
        <f>'Itens Vencedores'!J32</f>
        <v xml:space="preserve"> </v>
      </c>
      <c r="D42" s="23" t="str">
        <f>'Itens Vencedores'!L32</f>
        <v xml:space="preserve"> </v>
      </c>
      <c r="E42" s="23" t="str">
        <f>'Itens Vencedores'!N32</f>
        <v/>
      </c>
    </row>
    <row r="43" spans="1:5" x14ac:dyDescent="0.25">
      <c r="A43" s="22" t="str">
        <f>'Itens Vencedores'!F33</f>
        <v/>
      </c>
      <c r="B43" s="22" t="str">
        <f>'Itens Vencedores'!I33</f>
        <v xml:space="preserve"> </v>
      </c>
      <c r="C43" s="49" t="str">
        <f>'Itens Vencedores'!J33</f>
        <v xml:space="preserve"> </v>
      </c>
      <c r="D43" s="23" t="str">
        <f>'Itens Vencedores'!L33</f>
        <v xml:space="preserve"> </v>
      </c>
      <c r="E43" s="23" t="str">
        <f>'Itens Vencedores'!N33</f>
        <v/>
      </c>
    </row>
    <row r="44" spans="1:5" x14ac:dyDescent="0.25">
      <c r="A44" s="22" t="str">
        <f>'Itens Vencedores'!F34</f>
        <v/>
      </c>
      <c r="B44" s="22" t="str">
        <f>'Itens Vencedores'!I34</f>
        <v xml:space="preserve"> </v>
      </c>
      <c r="C44" s="49" t="str">
        <f>'Itens Vencedores'!J34</f>
        <v xml:space="preserve"> </v>
      </c>
      <c r="D44" s="23" t="str">
        <f>'Itens Vencedores'!L34</f>
        <v xml:space="preserve"> </v>
      </c>
      <c r="E44" s="23" t="str">
        <f>'Itens Vencedores'!N34</f>
        <v/>
      </c>
    </row>
    <row r="45" spans="1:5" x14ac:dyDescent="0.25">
      <c r="A45" s="22" t="str">
        <f>'Itens Vencedores'!F35</f>
        <v/>
      </c>
      <c r="B45" s="22" t="str">
        <f>'Itens Vencedores'!I35</f>
        <v xml:space="preserve"> </v>
      </c>
      <c r="C45" s="49" t="str">
        <f>'Itens Vencedores'!J35</f>
        <v xml:space="preserve"> </v>
      </c>
      <c r="D45" s="23" t="str">
        <f>'Itens Vencedores'!L35</f>
        <v xml:space="preserve"> </v>
      </c>
      <c r="E45" s="23" t="str">
        <f>'Itens Vencedores'!N35</f>
        <v/>
      </c>
    </row>
    <row r="46" spans="1:5" x14ac:dyDescent="0.25">
      <c r="A46" s="22" t="str">
        <f>'Itens Vencedores'!F36</f>
        <v/>
      </c>
      <c r="B46" s="22" t="str">
        <f>'Itens Vencedores'!I36</f>
        <v xml:space="preserve"> </v>
      </c>
      <c r="C46" s="49" t="str">
        <f>'Itens Vencedores'!J36</f>
        <v xml:space="preserve"> </v>
      </c>
      <c r="D46" s="23" t="str">
        <f>'Itens Vencedores'!L36</f>
        <v xml:space="preserve"> </v>
      </c>
      <c r="E46" s="23" t="str">
        <f>'Itens Vencedores'!N36</f>
        <v/>
      </c>
    </row>
    <row r="47" spans="1:5" x14ac:dyDescent="0.25">
      <c r="A47" s="22" t="str">
        <f>'Itens Vencedores'!F37</f>
        <v/>
      </c>
      <c r="B47" s="22" t="str">
        <f>'Itens Vencedores'!I37</f>
        <v xml:space="preserve"> </v>
      </c>
      <c r="C47" s="49" t="str">
        <f>'Itens Vencedores'!J37</f>
        <v xml:space="preserve"> </v>
      </c>
      <c r="D47" s="23" t="str">
        <f>'Itens Vencedores'!L37</f>
        <v xml:space="preserve"> </v>
      </c>
      <c r="E47" s="23" t="str">
        <f>'Itens Vencedores'!N37</f>
        <v/>
      </c>
    </row>
    <row r="48" spans="1:5" x14ac:dyDescent="0.25">
      <c r="A48" s="22" t="str">
        <f>'Itens Vencedores'!F38</f>
        <v/>
      </c>
      <c r="B48" s="22" t="str">
        <f>'Itens Vencedores'!I38</f>
        <v xml:space="preserve"> </v>
      </c>
      <c r="C48" s="49" t="str">
        <f>'Itens Vencedores'!J38</f>
        <v xml:space="preserve"> </v>
      </c>
      <c r="D48" s="23" t="str">
        <f>'Itens Vencedores'!L38</f>
        <v xml:space="preserve"> </v>
      </c>
      <c r="E48" s="23" t="str">
        <f>'Itens Vencedores'!N38</f>
        <v/>
      </c>
    </row>
    <row r="49" spans="1:5" x14ac:dyDescent="0.25">
      <c r="A49" s="22" t="str">
        <f>'Itens Vencedores'!F39</f>
        <v/>
      </c>
      <c r="B49" s="22" t="str">
        <f>'Itens Vencedores'!I39</f>
        <v xml:space="preserve"> </v>
      </c>
      <c r="C49" s="49" t="str">
        <f>'Itens Vencedores'!J39</f>
        <v xml:space="preserve"> </v>
      </c>
      <c r="D49" s="23" t="str">
        <f>'Itens Vencedores'!L39</f>
        <v xml:space="preserve"> </v>
      </c>
      <c r="E49" s="23" t="str">
        <f>'Itens Vencedores'!N39</f>
        <v/>
      </c>
    </row>
    <row r="50" spans="1:5" x14ac:dyDescent="0.25">
      <c r="A50" s="22" t="str">
        <f>'Itens Vencedores'!F40</f>
        <v/>
      </c>
      <c r="B50" s="22" t="str">
        <f>'Itens Vencedores'!I40</f>
        <v xml:space="preserve"> </v>
      </c>
      <c r="C50" s="49" t="str">
        <f>'Itens Vencedores'!J40</f>
        <v xml:space="preserve"> </v>
      </c>
      <c r="D50" s="23" t="str">
        <f>'Itens Vencedores'!L40</f>
        <v xml:space="preserve"> </v>
      </c>
      <c r="E50" s="23" t="str">
        <f>'Itens Vencedores'!N40</f>
        <v/>
      </c>
    </row>
    <row r="51" spans="1:5" x14ac:dyDescent="0.25">
      <c r="A51" s="22" t="str">
        <f>'Itens Vencedores'!F41</f>
        <v/>
      </c>
      <c r="B51" s="22" t="str">
        <f>'Itens Vencedores'!I41</f>
        <v xml:space="preserve"> </v>
      </c>
      <c r="C51" s="49" t="str">
        <f>'Itens Vencedores'!J41</f>
        <v xml:space="preserve"> </v>
      </c>
      <c r="D51" s="23" t="str">
        <f>'Itens Vencedores'!L41</f>
        <v xml:space="preserve"> </v>
      </c>
      <c r="E51" s="23" t="str">
        <f>'Itens Vencedores'!N41</f>
        <v/>
      </c>
    </row>
    <row r="52" spans="1:5" x14ac:dyDescent="0.25">
      <c r="A52" s="22" t="str">
        <f>'Itens Vencedores'!F42</f>
        <v/>
      </c>
      <c r="B52" s="22" t="str">
        <f>'Itens Vencedores'!I42</f>
        <v xml:space="preserve"> </v>
      </c>
      <c r="C52" s="49" t="str">
        <f>'Itens Vencedores'!J42</f>
        <v xml:space="preserve"> </v>
      </c>
      <c r="D52" s="23" t="str">
        <f>'Itens Vencedores'!L42</f>
        <v xml:space="preserve"> </v>
      </c>
      <c r="E52" s="23" t="str">
        <f>'Itens Vencedores'!N42</f>
        <v/>
      </c>
    </row>
    <row r="53" spans="1:5" x14ac:dyDescent="0.25">
      <c r="A53" s="22" t="str">
        <f>'Itens Vencedores'!F43</f>
        <v/>
      </c>
      <c r="B53" s="22" t="str">
        <f>'Itens Vencedores'!I43</f>
        <v xml:space="preserve"> </v>
      </c>
      <c r="C53" s="49" t="str">
        <f>'Itens Vencedores'!J43</f>
        <v xml:space="preserve"> </v>
      </c>
      <c r="D53" s="23" t="str">
        <f>'Itens Vencedores'!L43</f>
        <v xml:space="preserve"> </v>
      </c>
      <c r="E53" s="23" t="str">
        <f>'Itens Vencedores'!N43</f>
        <v/>
      </c>
    </row>
    <row r="54" spans="1:5" x14ac:dyDescent="0.25">
      <c r="A54" s="22" t="str">
        <f>'Itens Vencedores'!F44</f>
        <v/>
      </c>
      <c r="B54" s="22" t="str">
        <f>'Itens Vencedores'!I44</f>
        <v xml:space="preserve"> </v>
      </c>
      <c r="C54" s="49" t="str">
        <f>'Itens Vencedores'!J44</f>
        <v xml:space="preserve"> </v>
      </c>
      <c r="D54" s="23" t="str">
        <f>'Itens Vencedores'!L44</f>
        <v xml:space="preserve"> </v>
      </c>
      <c r="E54" s="23" t="str">
        <f>'Itens Vencedores'!N44</f>
        <v/>
      </c>
    </row>
    <row r="55" spans="1:5" x14ac:dyDescent="0.25">
      <c r="A55" s="22" t="str">
        <f>'Itens Vencedores'!F45</f>
        <v/>
      </c>
      <c r="B55" s="22" t="str">
        <f>'Itens Vencedores'!I45</f>
        <v xml:space="preserve"> </v>
      </c>
      <c r="C55" s="49" t="str">
        <f>'Itens Vencedores'!J45</f>
        <v xml:space="preserve"> </v>
      </c>
      <c r="D55" s="23" t="str">
        <f>'Itens Vencedores'!L45</f>
        <v xml:space="preserve"> </v>
      </c>
      <c r="E55" s="23" t="str">
        <f>'Itens Vencedores'!N45</f>
        <v/>
      </c>
    </row>
    <row r="56" spans="1:5" x14ac:dyDescent="0.25">
      <c r="A56" s="22" t="str">
        <f>'Itens Vencedores'!F46</f>
        <v/>
      </c>
      <c r="B56" s="22" t="str">
        <f>'Itens Vencedores'!I46</f>
        <v xml:space="preserve"> </v>
      </c>
      <c r="C56" s="49" t="str">
        <f>'Itens Vencedores'!J46</f>
        <v xml:space="preserve"> </v>
      </c>
      <c r="D56" s="23" t="str">
        <f>'Itens Vencedores'!L46</f>
        <v xml:space="preserve"> </v>
      </c>
      <c r="E56" s="23" t="str">
        <f>'Itens Vencedores'!N46</f>
        <v/>
      </c>
    </row>
    <row r="57" spans="1:5" x14ac:dyDescent="0.25">
      <c r="A57" s="22" t="str">
        <f>'Itens Vencedores'!F47</f>
        <v/>
      </c>
      <c r="B57" s="22" t="str">
        <f>'Itens Vencedores'!I47</f>
        <v xml:space="preserve"> </v>
      </c>
      <c r="C57" s="49" t="str">
        <f>'Itens Vencedores'!J47</f>
        <v xml:space="preserve"> </v>
      </c>
      <c r="D57" s="23" t="str">
        <f>'Itens Vencedores'!L47</f>
        <v xml:space="preserve"> </v>
      </c>
      <c r="E57" s="23" t="str">
        <f>'Itens Vencedores'!N47</f>
        <v/>
      </c>
    </row>
    <row r="58" spans="1:5" x14ac:dyDescent="0.25">
      <c r="A58" s="22" t="str">
        <f>'Itens Vencedores'!F48</f>
        <v/>
      </c>
      <c r="B58" s="22" t="str">
        <f>'Itens Vencedores'!I48</f>
        <v xml:space="preserve"> </v>
      </c>
      <c r="C58" s="49" t="str">
        <f>'Itens Vencedores'!J48</f>
        <v xml:space="preserve"> </v>
      </c>
      <c r="D58" s="23" t="str">
        <f>'Itens Vencedores'!L48</f>
        <v xml:space="preserve"> </v>
      </c>
      <c r="E58" s="23" t="str">
        <f>'Itens Vencedores'!N48</f>
        <v/>
      </c>
    </row>
    <row r="59" spans="1:5" x14ac:dyDescent="0.25">
      <c r="A59" s="22" t="str">
        <f>'Itens Vencedores'!F49</f>
        <v/>
      </c>
      <c r="B59" s="22" t="str">
        <f>'Itens Vencedores'!I49</f>
        <v xml:space="preserve"> </v>
      </c>
      <c r="C59" s="49" t="str">
        <f>'Itens Vencedores'!J49</f>
        <v xml:space="preserve"> </v>
      </c>
      <c r="D59" s="23" t="str">
        <f>'Itens Vencedores'!L49</f>
        <v xml:space="preserve"> </v>
      </c>
      <c r="E59" s="23" t="str">
        <f>'Itens Vencedores'!N49</f>
        <v/>
      </c>
    </row>
    <row r="60" spans="1:5" x14ac:dyDescent="0.25">
      <c r="A60" s="22" t="str">
        <f>'Itens Vencedores'!F50</f>
        <v/>
      </c>
      <c r="B60" s="22" t="str">
        <f>'Itens Vencedores'!I50</f>
        <v xml:space="preserve"> </v>
      </c>
      <c r="C60" s="49" t="str">
        <f>'Itens Vencedores'!J50</f>
        <v xml:space="preserve"> </v>
      </c>
      <c r="D60" s="23" t="str">
        <f>'Itens Vencedores'!L50</f>
        <v xml:space="preserve"> </v>
      </c>
      <c r="E60" s="23" t="str">
        <f>'Itens Vencedores'!N50</f>
        <v/>
      </c>
    </row>
    <row r="61" spans="1:5" x14ac:dyDescent="0.25">
      <c r="A61" s="22" t="str">
        <f>'Itens Vencedores'!F51</f>
        <v/>
      </c>
      <c r="B61" s="22" t="str">
        <f>'Itens Vencedores'!I51</f>
        <v xml:space="preserve"> </v>
      </c>
      <c r="C61" s="49" t="str">
        <f>'Itens Vencedores'!J51</f>
        <v xml:space="preserve"> </v>
      </c>
      <c r="D61" s="23" t="str">
        <f>'Itens Vencedores'!L51</f>
        <v xml:space="preserve"> </v>
      </c>
      <c r="E61" s="23" t="str">
        <f>'Itens Vencedores'!N51</f>
        <v/>
      </c>
    </row>
    <row r="62" spans="1:5" x14ac:dyDescent="0.25">
      <c r="A62" s="22" t="str">
        <f>'Itens Vencedores'!F52</f>
        <v/>
      </c>
      <c r="B62" s="22" t="str">
        <f>'Itens Vencedores'!I52</f>
        <v xml:space="preserve"> </v>
      </c>
      <c r="C62" s="49" t="str">
        <f>'Itens Vencedores'!J52</f>
        <v xml:space="preserve"> </v>
      </c>
      <c r="D62" s="23" t="str">
        <f>'Itens Vencedores'!L52</f>
        <v xml:space="preserve"> </v>
      </c>
      <c r="E62" s="23" t="str">
        <f>'Itens Vencedores'!N52</f>
        <v/>
      </c>
    </row>
    <row r="63" spans="1:5" x14ac:dyDescent="0.25">
      <c r="A63" s="22" t="str">
        <f>'Itens Vencedores'!F53</f>
        <v/>
      </c>
      <c r="B63" s="22" t="str">
        <f>'Itens Vencedores'!I53</f>
        <v xml:space="preserve"> </v>
      </c>
      <c r="C63" s="49" t="str">
        <f>'Itens Vencedores'!J53</f>
        <v xml:space="preserve"> </v>
      </c>
      <c r="D63" s="23" t="str">
        <f>'Itens Vencedores'!L53</f>
        <v xml:space="preserve"> </v>
      </c>
      <c r="E63" s="23" t="str">
        <f>'Itens Vencedores'!N53</f>
        <v/>
      </c>
    </row>
    <row r="64" spans="1:5" x14ac:dyDescent="0.25">
      <c r="A64" s="22" t="str">
        <f>'Itens Vencedores'!F54</f>
        <v/>
      </c>
      <c r="B64" s="22" t="str">
        <f>'Itens Vencedores'!I54</f>
        <v xml:space="preserve"> </v>
      </c>
      <c r="C64" s="49" t="str">
        <f>'Itens Vencedores'!J54</f>
        <v xml:space="preserve"> </v>
      </c>
      <c r="D64" s="23" t="str">
        <f>'Itens Vencedores'!L54</f>
        <v xml:space="preserve"> </v>
      </c>
      <c r="E64" s="23" t="str">
        <f>'Itens Vencedores'!N54</f>
        <v/>
      </c>
    </row>
    <row r="65" spans="1:5" x14ac:dyDescent="0.25">
      <c r="A65" s="22" t="str">
        <f>'Itens Vencedores'!F55</f>
        <v/>
      </c>
      <c r="B65" s="22" t="str">
        <f>'Itens Vencedores'!I55</f>
        <v xml:space="preserve"> </v>
      </c>
      <c r="C65" s="49" t="str">
        <f>'Itens Vencedores'!J55</f>
        <v xml:space="preserve"> </v>
      </c>
      <c r="D65" s="23" t="str">
        <f>'Itens Vencedores'!L55</f>
        <v xml:space="preserve"> </v>
      </c>
      <c r="E65" s="23" t="str">
        <f>'Itens Vencedores'!N55</f>
        <v/>
      </c>
    </row>
    <row r="66" spans="1:5" x14ac:dyDescent="0.25">
      <c r="A66" s="22" t="str">
        <f>'Itens Vencedores'!F56</f>
        <v/>
      </c>
      <c r="B66" s="22" t="str">
        <f>'Itens Vencedores'!I56</f>
        <v xml:space="preserve"> </v>
      </c>
      <c r="C66" s="49" t="str">
        <f>'Itens Vencedores'!J56</f>
        <v xml:space="preserve"> </v>
      </c>
      <c r="D66" s="23" t="str">
        <f>'Itens Vencedores'!L56</f>
        <v xml:space="preserve"> </v>
      </c>
      <c r="E66" s="23" t="str">
        <f>'Itens Vencedores'!N56</f>
        <v/>
      </c>
    </row>
    <row r="67" spans="1:5" x14ac:dyDescent="0.25">
      <c r="A67" s="22" t="str">
        <f>'Itens Vencedores'!F57</f>
        <v/>
      </c>
      <c r="B67" s="22" t="str">
        <f>'Itens Vencedores'!I57</f>
        <v xml:space="preserve"> </v>
      </c>
      <c r="C67" s="49" t="str">
        <f>'Itens Vencedores'!J57</f>
        <v xml:space="preserve"> </v>
      </c>
      <c r="D67" s="23" t="str">
        <f>'Itens Vencedores'!L57</f>
        <v xml:space="preserve"> </v>
      </c>
      <c r="E67" s="23" t="str">
        <f>'Itens Vencedores'!N57</f>
        <v/>
      </c>
    </row>
    <row r="68" spans="1:5" x14ac:dyDescent="0.25">
      <c r="A68" s="22" t="str">
        <f>'Itens Vencedores'!F58</f>
        <v/>
      </c>
      <c r="B68" s="22" t="str">
        <f>'Itens Vencedores'!I58</f>
        <v xml:space="preserve"> </v>
      </c>
      <c r="C68" s="49" t="str">
        <f>'Itens Vencedores'!J58</f>
        <v xml:space="preserve"> </v>
      </c>
      <c r="D68" s="23" t="str">
        <f>'Itens Vencedores'!L58</f>
        <v xml:space="preserve"> </v>
      </c>
      <c r="E68" s="23" t="str">
        <f>'Itens Vencedores'!N58</f>
        <v/>
      </c>
    </row>
    <row r="69" spans="1:5" x14ac:dyDescent="0.25">
      <c r="A69" s="22" t="str">
        <f>'Itens Vencedores'!F59</f>
        <v/>
      </c>
      <c r="B69" s="22" t="str">
        <f>'Itens Vencedores'!I59</f>
        <v xml:space="preserve"> </v>
      </c>
      <c r="C69" s="49" t="str">
        <f>'Itens Vencedores'!J59</f>
        <v xml:space="preserve"> </v>
      </c>
      <c r="D69" s="23" t="str">
        <f>'Itens Vencedores'!L59</f>
        <v xml:space="preserve"> </v>
      </c>
      <c r="E69" s="23" t="str">
        <f>'Itens Vencedores'!N59</f>
        <v/>
      </c>
    </row>
    <row r="70" spans="1:5" x14ac:dyDescent="0.25">
      <c r="A70" s="22" t="str">
        <f>'Itens Vencedores'!F60</f>
        <v/>
      </c>
      <c r="B70" s="22" t="str">
        <f>'Itens Vencedores'!I60</f>
        <v xml:space="preserve"> </v>
      </c>
      <c r="C70" s="49" t="str">
        <f>'Itens Vencedores'!J60</f>
        <v xml:space="preserve"> </v>
      </c>
      <c r="D70" s="23" t="str">
        <f>'Itens Vencedores'!L60</f>
        <v xml:space="preserve"> </v>
      </c>
      <c r="E70" s="23" t="str">
        <f>'Itens Vencedores'!N60</f>
        <v/>
      </c>
    </row>
    <row r="71" spans="1:5" x14ac:dyDescent="0.25">
      <c r="A71" s="22" t="str">
        <f>'Itens Vencedores'!F61</f>
        <v/>
      </c>
      <c r="B71" s="22" t="str">
        <f>'Itens Vencedores'!I61</f>
        <v xml:space="preserve"> </v>
      </c>
      <c r="C71" s="49" t="str">
        <f>'Itens Vencedores'!J61</f>
        <v xml:space="preserve"> </v>
      </c>
      <c r="D71" s="23" t="str">
        <f>'Itens Vencedores'!L61</f>
        <v xml:space="preserve"> </v>
      </c>
      <c r="E71" s="23" t="str">
        <f>'Itens Vencedores'!N61</f>
        <v/>
      </c>
    </row>
    <row r="72" spans="1:5" x14ac:dyDescent="0.25">
      <c r="A72" s="22" t="str">
        <f>'Itens Vencedores'!F62</f>
        <v/>
      </c>
      <c r="B72" s="22" t="str">
        <f>'Itens Vencedores'!I62</f>
        <v xml:space="preserve"> </v>
      </c>
      <c r="C72" s="49" t="str">
        <f>'Itens Vencedores'!J62</f>
        <v xml:space="preserve"> </v>
      </c>
      <c r="D72" s="23" t="str">
        <f>'Itens Vencedores'!L62</f>
        <v xml:space="preserve"> </v>
      </c>
      <c r="E72" s="23" t="str">
        <f>'Itens Vencedores'!N62</f>
        <v/>
      </c>
    </row>
    <row r="73" spans="1:5" x14ac:dyDescent="0.25">
      <c r="A73" s="22" t="str">
        <f>'Itens Vencedores'!F63</f>
        <v/>
      </c>
      <c r="B73" s="22" t="str">
        <f>'Itens Vencedores'!I63</f>
        <v xml:space="preserve"> </v>
      </c>
      <c r="C73" s="49" t="str">
        <f>'Itens Vencedores'!J63</f>
        <v xml:space="preserve"> </v>
      </c>
      <c r="D73" s="23" t="str">
        <f>'Itens Vencedores'!L63</f>
        <v xml:space="preserve"> </v>
      </c>
      <c r="E73" s="23" t="str">
        <f>'Itens Vencedores'!N63</f>
        <v/>
      </c>
    </row>
    <row r="74" spans="1:5" x14ac:dyDescent="0.25">
      <c r="A74" s="22" t="str">
        <f>'Itens Vencedores'!F64</f>
        <v/>
      </c>
      <c r="B74" s="22" t="str">
        <f>'Itens Vencedores'!I64</f>
        <v xml:space="preserve"> </v>
      </c>
      <c r="C74" s="49" t="str">
        <f>'Itens Vencedores'!J64</f>
        <v xml:space="preserve"> </v>
      </c>
      <c r="D74" s="23" t="str">
        <f>'Itens Vencedores'!L64</f>
        <v xml:space="preserve"> </v>
      </c>
      <c r="E74" s="23" t="str">
        <f>'Itens Vencedores'!N64</f>
        <v/>
      </c>
    </row>
    <row r="75" spans="1:5" x14ac:dyDescent="0.25">
      <c r="A75" s="22" t="str">
        <f>'Itens Vencedores'!F65</f>
        <v/>
      </c>
      <c r="B75" s="22" t="str">
        <f>'Itens Vencedores'!I65</f>
        <v xml:space="preserve"> </v>
      </c>
      <c r="C75" s="49" t="str">
        <f>'Itens Vencedores'!J65</f>
        <v xml:space="preserve"> </v>
      </c>
      <c r="D75" s="23" t="str">
        <f>'Itens Vencedores'!L65</f>
        <v xml:space="preserve"> </v>
      </c>
      <c r="E75" s="23" t="str">
        <f>'Itens Vencedores'!N65</f>
        <v/>
      </c>
    </row>
    <row r="76" spans="1:5" x14ac:dyDescent="0.25">
      <c r="A76" s="22" t="str">
        <f>'Itens Vencedores'!F66</f>
        <v/>
      </c>
      <c r="B76" s="22" t="str">
        <f>'Itens Vencedores'!I66</f>
        <v xml:space="preserve"> </v>
      </c>
      <c r="C76" s="49" t="str">
        <f>'Itens Vencedores'!J66</f>
        <v xml:space="preserve"> </v>
      </c>
      <c r="D76" s="23" t="str">
        <f>'Itens Vencedores'!L66</f>
        <v xml:space="preserve"> </v>
      </c>
      <c r="E76" s="23" t="str">
        <f>'Itens Vencedores'!N66</f>
        <v/>
      </c>
    </row>
    <row r="77" spans="1:5" x14ac:dyDescent="0.25">
      <c r="A77" s="22" t="str">
        <f>'Itens Vencedores'!F67</f>
        <v/>
      </c>
      <c r="B77" s="22" t="str">
        <f>'Itens Vencedores'!I67</f>
        <v xml:space="preserve"> </v>
      </c>
      <c r="C77" s="49" t="str">
        <f>'Itens Vencedores'!J67</f>
        <v xml:space="preserve"> </v>
      </c>
      <c r="D77" s="23" t="str">
        <f>'Itens Vencedores'!L67</f>
        <v xml:space="preserve"> </v>
      </c>
      <c r="E77" s="23" t="str">
        <f>'Itens Vencedores'!N67</f>
        <v/>
      </c>
    </row>
    <row r="78" spans="1:5" x14ac:dyDescent="0.25">
      <c r="A78" s="22" t="str">
        <f>'Itens Vencedores'!F68</f>
        <v/>
      </c>
      <c r="B78" s="22" t="str">
        <f>'Itens Vencedores'!I68</f>
        <v xml:space="preserve"> </v>
      </c>
      <c r="C78" s="49" t="str">
        <f>'Itens Vencedores'!J68</f>
        <v xml:space="preserve"> </v>
      </c>
      <c r="D78" s="23" t="str">
        <f>'Itens Vencedores'!L68</f>
        <v xml:space="preserve"> </v>
      </c>
      <c r="E78" s="23" t="str">
        <f>'Itens Vencedores'!N68</f>
        <v/>
      </c>
    </row>
    <row r="79" spans="1:5" x14ac:dyDescent="0.25">
      <c r="A79" s="22" t="str">
        <f>'Itens Vencedores'!F69</f>
        <v/>
      </c>
      <c r="B79" s="22" t="str">
        <f>'Itens Vencedores'!I69</f>
        <v xml:space="preserve"> </v>
      </c>
      <c r="C79" s="49" t="str">
        <f>'Itens Vencedores'!J69</f>
        <v xml:space="preserve"> </v>
      </c>
      <c r="D79" s="23" t="str">
        <f>'Itens Vencedores'!L69</f>
        <v xml:space="preserve"> </v>
      </c>
      <c r="E79" s="23" t="str">
        <f>'Itens Vencedores'!N69</f>
        <v/>
      </c>
    </row>
    <row r="80" spans="1:5" x14ac:dyDescent="0.25">
      <c r="A80" s="22" t="str">
        <f>'Itens Vencedores'!F70</f>
        <v/>
      </c>
      <c r="B80" s="22" t="str">
        <f>'Itens Vencedores'!I70</f>
        <v xml:space="preserve"> </v>
      </c>
      <c r="C80" s="49" t="str">
        <f>'Itens Vencedores'!J70</f>
        <v xml:space="preserve"> </v>
      </c>
      <c r="D80" s="23" t="str">
        <f>'Itens Vencedores'!L70</f>
        <v xml:space="preserve"> </v>
      </c>
      <c r="E80" s="23" t="str">
        <f>'Itens Vencedores'!N70</f>
        <v/>
      </c>
    </row>
    <row r="81" spans="1:5" x14ac:dyDescent="0.25">
      <c r="A81" s="22" t="str">
        <f>'Itens Vencedores'!F71</f>
        <v/>
      </c>
      <c r="B81" s="22" t="str">
        <f>'Itens Vencedores'!I71</f>
        <v xml:space="preserve"> </v>
      </c>
      <c r="C81" s="49" t="str">
        <f>'Itens Vencedores'!J71</f>
        <v xml:space="preserve"> </v>
      </c>
      <c r="D81" s="23" t="str">
        <f>'Itens Vencedores'!L71</f>
        <v xml:space="preserve"> </v>
      </c>
      <c r="E81" s="23" t="str">
        <f>'Itens Vencedores'!N71</f>
        <v/>
      </c>
    </row>
    <row r="82" spans="1:5" x14ac:dyDescent="0.25">
      <c r="A82" s="22" t="str">
        <f>'Itens Vencedores'!F72</f>
        <v/>
      </c>
      <c r="B82" s="22" t="str">
        <f>'Itens Vencedores'!I72</f>
        <v xml:space="preserve"> </v>
      </c>
      <c r="C82" s="49" t="str">
        <f>'Itens Vencedores'!J72</f>
        <v xml:space="preserve"> </v>
      </c>
      <c r="D82" s="23" t="str">
        <f>'Itens Vencedores'!L72</f>
        <v xml:space="preserve"> </v>
      </c>
      <c r="E82" s="23" t="str">
        <f>'Itens Vencedores'!N72</f>
        <v/>
      </c>
    </row>
    <row r="83" spans="1:5" x14ac:dyDescent="0.25">
      <c r="A83" s="22" t="str">
        <f>'Itens Vencedores'!F73</f>
        <v/>
      </c>
      <c r="B83" s="22" t="str">
        <f>'Itens Vencedores'!I73</f>
        <v xml:space="preserve"> </v>
      </c>
      <c r="C83" s="49" t="str">
        <f>'Itens Vencedores'!J73</f>
        <v xml:space="preserve"> </v>
      </c>
      <c r="D83" s="23" t="str">
        <f>'Itens Vencedores'!L73</f>
        <v xml:space="preserve"> </v>
      </c>
      <c r="E83" s="23" t="str">
        <f>'Itens Vencedores'!N73</f>
        <v/>
      </c>
    </row>
    <row r="84" spans="1:5" x14ac:dyDescent="0.25">
      <c r="A84" s="22" t="str">
        <f>'Itens Vencedores'!F74</f>
        <v/>
      </c>
      <c r="B84" s="22" t="str">
        <f>'Itens Vencedores'!I74</f>
        <v xml:space="preserve"> </v>
      </c>
      <c r="C84" s="49" t="str">
        <f>'Itens Vencedores'!J74</f>
        <v xml:space="preserve"> </v>
      </c>
      <c r="D84" s="23" t="str">
        <f>'Itens Vencedores'!L74</f>
        <v xml:space="preserve"> </v>
      </c>
      <c r="E84" s="23" t="str">
        <f>'Itens Vencedores'!N74</f>
        <v/>
      </c>
    </row>
    <row r="85" spans="1:5" x14ac:dyDescent="0.25">
      <c r="A85" s="22" t="str">
        <f>'Itens Vencedores'!F75</f>
        <v/>
      </c>
      <c r="B85" s="22" t="str">
        <f>'Itens Vencedores'!I75</f>
        <v xml:space="preserve"> </v>
      </c>
      <c r="C85" s="49" t="str">
        <f>'Itens Vencedores'!J75</f>
        <v xml:space="preserve"> </v>
      </c>
      <c r="D85" s="23" t="str">
        <f>'Itens Vencedores'!L75</f>
        <v xml:space="preserve"> </v>
      </c>
      <c r="E85" s="23" t="str">
        <f>'Itens Vencedores'!N75</f>
        <v/>
      </c>
    </row>
    <row r="86" spans="1:5" x14ac:dyDescent="0.25">
      <c r="A86" s="22" t="str">
        <f>'Itens Vencedores'!F76</f>
        <v/>
      </c>
      <c r="B86" s="22" t="str">
        <f>'Itens Vencedores'!I76</f>
        <v xml:space="preserve"> </v>
      </c>
      <c r="C86" s="49" t="str">
        <f>'Itens Vencedores'!J76</f>
        <v xml:space="preserve"> </v>
      </c>
      <c r="D86" s="23" t="str">
        <f>'Itens Vencedores'!L76</f>
        <v xml:space="preserve"> </v>
      </c>
      <c r="E86" s="23" t="str">
        <f>'Itens Vencedores'!N76</f>
        <v/>
      </c>
    </row>
    <row r="87" spans="1:5" x14ac:dyDescent="0.25">
      <c r="A87" s="22" t="str">
        <f>'Itens Vencedores'!F77</f>
        <v/>
      </c>
      <c r="B87" s="22" t="str">
        <f>'Itens Vencedores'!I77</f>
        <v xml:space="preserve"> </v>
      </c>
      <c r="C87" s="49" t="str">
        <f>'Itens Vencedores'!J77</f>
        <v xml:space="preserve"> </v>
      </c>
      <c r="D87" s="23" t="str">
        <f>'Itens Vencedores'!L77</f>
        <v xml:space="preserve"> </v>
      </c>
      <c r="E87" s="23" t="str">
        <f>'Itens Vencedores'!N77</f>
        <v/>
      </c>
    </row>
    <row r="88" spans="1:5" x14ac:dyDescent="0.25">
      <c r="A88" s="22" t="str">
        <f>'Itens Vencedores'!F78</f>
        <v/>
      </c>
      <c r="B88" s="22" t="str">
        <f>'Itens Vencedores'!I78</f>
        <v xml:space="preserve"> </v>
      </c>
      <c r="C88" s="49" t="str">
        <f>'Itens Vencedores'!J78</f>
        <v xml:space="preserve"> </v>
      </c>
      <c r="D88" s="23" t="str">
        <f>'Itens Vencedores'!L78</f>
        <v xml:space="preserve"> </v>
      </c>
      <c r="E88" s="23" t="str">
        <f>'Itens Vencedores'!N78</f>
        <v/>
      </c>
    </row>
    <row r="89" spans="1:5" x14ac:dyDescent="0.25">
      <c r="A89" s="22" t="str">
        <f>'Itens Vencedores'!F79</f>
        <v/>
      </c>
      <c r="B89" s="22" t="str">
        <f>'Itens Vencedores'!I79</f>
        <v xml:space="preserve"> </v>
      </c>
      <c r="C89" s="49" t="str">
        <f>'Itens Vencedores'!J79</f>
        <v xml:space="preserve"> </v>
      </c>
      <c r="D89" s="23" t="str">
        <f>'Itens Vencedores'!L79</f>
        <v xml:space="preserve"> </v>
      </c>
      <c r="E89" s="23" t="str">
        <f>'Itens Vencedores'!N79</f>
        <v/>
      </c>
    </row>
    <row r="90" spans="1:5" x14ac:dyDescent="0.25">
      <c r="A90" s="22" t="str">
        <f>'Itens Vencedores'!F80</f>
        <v/>
      </c>
      <c r="B90" s="22" t="str">
        <f>'Itens Vencedores'!I80</f>
        <v xml:space="preserve"> </v>
      </c>
      <c r="C90" s="49" t="str">
        <f>'Itens Vencedores'!J80</f>
        <v xml:space="preserve"> </v>
      </c>
      <c r="D90" s="23" t="str">
        <f>'Itens Vencedores'!L80</f>
        <v xml:space="preserve"> </v>
      </c>
      <c r="E90" s="23" t="str">
        <f>'Itens Vencedores'!N80</f>
        <v/>
      </c>
    </row>
    <row r="91" spans="1:5" x14ac:dyDescent="0.25">
      <c r="A91" s="22" t="str">
        <f>'Itens Vencedores'!F81</f>
        <v/>
      </c>
      <c r="B91" s="22" t="str">
        <f>'Itens Vencedores'!I81</f>
        <v xml:space="preserve"> </v>
      </c>
      <c r="C91" s="49" t="str">
        <f>'Itens Vencedores'!J81</f>
        <v xml:space="preserve"> </v>
      </c>
      <c r="D91" s="23" t="str">
        <f>'Itens Vencedores'!L81</f>
        <v xml:space="preserve"> </v>
      </c>
      <c r="E91" s="23" t="str">
        <f>'Itens Vencedores'!N81</f>
        <v/>
      </c>
    </row>
    <row r="92" spans="1:5" x14ac:dyDescent="0.25">
      <c r="A92" s="22" t="str">
        <f>'Itens Vencedores'!F82</f>
        <v/>
      </c>
      <c r="B92" s="22" t="str">
        <f>'Itens Vencedores'!I82</f>
        <v xml:space="preserve"> </v>
      </c>
      <c r="C92" s="49" t="str">
        <f>'Itens Vencedores'!J82</f>
        <v xml:space="preserve"> </v>
      </c>
      <c r="D92" s="23" t="str">
        <f>'Itens Vencedores'!L82</f>
        <v xml:space="preserve"> </v>
      </c>
      <c r="E92" s="23" t="str">
        <f>'Itens Vencedores'!N82</f>
        <v/>
      </c>
    </row>
    <row r="93" spans="1:5" x14ac:dyDescent="0.25">
      <c r="A93" s="22" t="str">
        <f>'Itens Vencedores'!F83</f>
        <v/>
      </c>
      <c r="B93" s="22" t="str">
        <f>'Itens Vencedores'!I83</f>
        <v xml:space="preserve"> </v>
      </c>
      <c r="C93" s="49" t="str">
        <f>'Itens Vencedores'!J83</f>
        <v xml:space="preserve"> </v>
      </c>
      <c r="D93" s="23" t="str">
        <f>'Itens Vencedores'!L83</f>
        <v xml:space="preserve"> </v>
      </c>
      <c r="E93" s="23" t="str">
        <f>'Itens Vencedores'!N83</f>
        <v/>
      </c>
    </row>
    <row r="94" spans="1:5" x14ac:dyDescent="0.25">
      <c r="A94" s="22" t="str">
        <f>'Itens Vencedores'!F84</f>
        <v/>
      </c>
      <c r="B94" s="22" t="str">
        <f>'Itens Vencedores'!I84</f>
        <v xml:space="preserve"> </v>
      </c>
      <c r="C94" s="49" t="str">
        <f>'Itens Vencedores'!J84</f>
        <v xml:space="preserve"> </v>
      </c>
      <c r="D94" s="23" t="str">
        <f>'Itens Vencedores'!L84</f>
        <v xml:space="preserve"> </v>
      </c>
      <c r="E94" s="23" t="str">
        <f>'Itens Vencedores'!N84</f>
        <v/>
      </c>
    </row>
    <row r="95" spans="1:5" x14ac:dyDescent="0.25">
      <c r="A95" s="22" t="str">
        <f>'Itens Vencedores'!F85</f>
        <v/>
      </c>
      <c r="B95" s="22" t="str">
        <f>'Itens Vencedores'!I85</f>
        <v xml:space="preserve"> </v>
      </c>
      <c r="C95" s="49" t="str">
        <f>'Itens Vencedores'!J85</f>
        <v xml:space="preserve"> </v>
      </c>
      <c r="D95" s="23" t="str">
        <f>'Itens Vencedores'!L85</f>
        <v xml:space="preserve"> </v>
      </c>
      <c r="E95" s="23" t="str">
        <f>'Itens Vencedores'!N85</f>
        <v/>
      </c>
    </row>
    <row r="96" spans="1:5" x14ac:dyDescent="0.25">
      <c r="A96" s="22" t="str">
        <f>'Itens Vencedores'!F86</f>
        <v/>
      </c>
      <c r="B96" s="22" t="str">
        <f>'Itens Vencedores'!I86</f>
        <v xml:space="preserve"> </v>
      </c>
      <c r="C96" s="49" t="str">
        <f>'Itens Vencedores'!J86</f>
        <v xml:space="preserve"> </v>
      </c>
      <c r="D96" s="23" t="str">
        <f>'Itens Vencedores'!L86</f>
        <v xml:space="preserve"> </v>
      </c>
      <c r="E96" s="23" t="str">
        <f>'Itens Vencedores'!N86</f>
        <v/>
      </c>
    </row>
    <row r="97" spans="1:5" x14ac:dyDescent="0.25">
      <c r="A97" s="22" t="str">
        <f>'Itens Vencedores'!F87</f>
        <v/>
      </c>
      <c r="B97" s="22" t="str">
        <f>'Itens Vencedores'!I87</f>
        <v xml:space="preserve"> </v>
      </c>
      <c r="C97" s="49" t="str">
        <f>'Itens Vencedores'!J87</f>
        <v xml:space="preserve"> </v>
      </c>
      <c r="D97" s="23" t="str">
        <f>'Itens Vencedores'!L87</f>
        <v xml:space="preserve"> </v>
      </c>
      <c r="E97" s="23" t="str">
        <f>'Itens Vencedores'!N87</f>
        <v/>
      </c>
    </row>
    <row r="98" spans="1:5" x14ac:dyDescent="0.25">
      <c r="A98" s="22" t="str">
        <f>'Itens Vencedores'!F88</f>
        <v/>
      </c>
      <c r="B98" s="22" t="str">
        <f>'Itens Vencedores'!I88</f>
        <v xml:space="preserve"> </v>
      </c>
      <c r="C98" s="49" t="str">
        <f>'Itens Vencedores'!J88</f>
        <v xml:space="preserve"> </v>
      </c>
      <c r="D98" s="23" t="str">
        <f>'Itens Vencedores'!L88</f>
        <v xml:space="preserve"> </v>
      </c>
      <c r="E98" s="23" t="str">
        <f>'Itens Vencedores'!N88</f>
        <v/>
      </c>
    </row>
    <row r="99" spans="1:5" x14ac:dyDescent="0.25">
      <c r="A99" s="22" t="str">
        <f>'Itens Vencedores'!F89</f>
        <v/>
      </c>
      <c r="B99" s="22" t="str">
        <f>'Itens Vencedores'!I89</f>
        <v xml:space="preserve"> </v>
      </c>
      <c r="C99" s="49" t="str">
        <f>'Itens Vencedores'!J89</f>
        <v xml:space="preserve"> </v>
      </c>
      <c r="D99" s="23" t="str">
        <f>'Itens Vencedores'!L89</f>
        <v xml:space="preserve"> </v>
      </c>
      <c r="E99" s="23" t="str">
        <f>'Itens Vencedores'!N89</f>
        <v/>
      </c>
    </row>
    <row r="100" spans="1:5" x14ac:dyDescent="0.25">
      <c r="A100" s="22" t="str">
        <f>'Itens Vencedores'!F90</f>
        <v/>
      </c>
      <c r="B100" s="22" t="str">
        <f>'Itens Vencedores'!I90</f>
        <v xml:space="preserve"> </v>
      </c>
      <c r="C100" s="49" t="str">
        <f>'Itens Vencedores'!J90</f>
        <v xml:space="preserve"> </v>
      </c>
      <c r="D100" s="23" t="str">
        <f>'Itens Vencedores'!L90</f>
        <v xml:space="preserve"> </v>
      </c>
      <c r="E100" s="23" t="str">
        <f>'Itens Vencedores'!N90</f>
        <v/>
      </c>
    </row>
    <row r="101" spans="1:5" x14ac:dyDescent="0.25">
      <c r="A101" s="22" t="str">
        <f>'Itens Vencedores'!F91</f>
        <v/>
      </c>
      <c r="B101" s="22" t="str">
        <f>'Itens Vencedores'!I91</f>
        <v xml:space="preserve"> </v>
      </c>
      <c r="C101" s="49" t="str">
        <f>'Itens Vencedores'!J91</f>
        <v xml:space="preserve"> </v>
      </c>
      <c r="D101" s="23" t="str">
        <f>'Itens Vencedores'!L91</f>
        <v xml:space="preserve"> </v>
      </c>
      <c r="E101" s="23" t="str">
        <f>'Itens Vencedores'!N91</f>
        <v/>
      </c>
    </row>
    <row r="102" spans="1:5" x14ac:dyDescent="0.25">
      <c r="A102" s="22" t="str">
        <f>'Itens Vencedores'!F92</f>
        <v/>
      </c>
      <c r="B102" s="22" t="str">
        <f>'Itens Vencedores'!I92</f>
        <v xml:space="preserve"> </v>
      </c>
      <c r="C102" s="49" t="str">
        <f>'Itens Vencedores'!J92</f>
        <v xml:space="preserve"> </v>
      </c>
      <c r="D102" s="23" t="str">
        <f>'Itens Vencedores'!L92</f>
        <v xml:space="preserve"> </v>
      </c>
      <c r="E102" s="23" t="str">
        <f>'Itens Vencedores'!N92</f>
        <v/>
      </c>
    </row>
    <row r="103" spans="1:5" x14ac:dyDescent="0.25">
      <c r="A103" s="22" t="str">
        <f>'Itens Vencedores'!F93</f>
        <v/>
      </c>
      <c r="B103" s="22" t="str">
        <f>'Itens Vencedores'!I93</f>
        <v xml:space="preserve"> </v>
      </c>
      <c r="C103" s="49" t="str">
        <f>'Itens Vencedores'!J93</f>
        <v xml:space="preserve"> </v>
      </c>
      <c r="D103" s="23" t="str">
        <f>'Itens Vencedores'!L93</f>
        <v xml:space="preserve"> </v>
      </c>
      <c r="E103" s="23" t="str">
        <f>'Itens Vencedores'!N93</f>
        <v/>
      </c>
    </row>
    <row r="104" spans="1:5" x14ac:dyDescent="0.25">
      <c r="A104" s="22" t="str">
        <f>'Itens Vencedores'!F94</f>
        <v/>
      </c>
      <c r="B104" s="22" t="str">
        <f>'Itens Vencedores'!I94</f>
        <v xml:space="preserve"> </v>
      </c>
      <c r="C104" s="49" t="str">
        <f>'Itens Vencedores'!J94</f>
        <v xml:space="preserve"> </v>
      </c>
      <c r="D104" s="23" t="str">
        <f>'Itens Vencedores'!L94</f>
        <v xml:space="preserve"> </v>
      </c>
      <c r="E104" s="23" t="str">
        <f>'Itens Vencedores'!N94</f>
        <v/>
      </c>
    </row>
    <row r="105" spans="1:5" x14ac:dyDescent="0.25">
      <c r="A105" s="22" t="str">
        <f>'Itens Vencedores'!F95</f>
        <v/>
      </c>
      <c r="B105" s="22" t="str">
        <f>'Itens Vencedores'!I95</f>
        <v xml:space="preserve"> </v>
      </c>
      <c r="C105" s="49" t="str">
        <f>'Itens Vencedores'!J95</f>
        <v xml:space="preserve"> </v>
      </c>
      <c r="D105" s="23" t="str">
        <f>'Itens Vencedores'!L95</f>
        <v xml:space="preserve"> </v>
      </c>
      <c r="E105" s="23" t="str">
        <f>'Itens Vencedores'!N95</f>
        <v/>
      </c>
    </row>
    <row r="106" spans="1:5" x14ac:dyDescent="0.25">
      <c r="A106" s="22" t="str">
        <f>'Itens Vencedores'!F96</f>
        <v/>
      </c>
      <c r="B106" s="22" t="str">
        <f>'Itens Vencedores'!I96</f>
        <v xml:space="preserve"> </v>
      </c>
      <c r="C106" s="49" t="str">
        <f>'Itens Vencedores'!J96</f>
        <v xml:space="preserve"> </v>
      </c>
      <c r="D106" s="23" t="str">
        <f>'Itens Vencedores'!L96</f>
        <v xml:space="preserve"> </v>
      </c>
      <c r="E106" s="23" t="str">
        <f>'Itens Vencedores'!N96</f>
        <v/>
      </c>
    </row>
    <row r="107" spans="1:5" x14ac:dyDescent="0.25">
      <c r="A107" s="22" t="str">
        <f>'Itens Vencedores'!F97</f>
        <v/>
      </c>
      <c r="B107" s="22" t="str">
        <f>'Itens Vencedores'!I97</f>
        <v xml:space="preserve"> </v>
      </c>
      <c r="C107" s="49" t="str">
        <f>'Itens Vencedores'!J97</f>
        <v xml:space="preserve"> </v>
      </c>
      <c r="D107" s="23" t="str">
        <f>'Itens Vencedores'!L97</f>
        <v xml:space="preserve"> </v>
      </c>
      <c r="E107" s="23" t="str">
        <f>'Itens Vencedores'!N97</f>
        <v/>
      </c>
    </row>
    <row r="108" spans="1:5" x14ac:dyDescent="0.25">
      <c r="A108" s="22" t="str">
        <f>'Itens Vencedores'!F98</f>
        <v/>
      </c>
      <c r="B108" s="22" t="str">
        <f>'Itens Vencedores'!I98</f>
        <v xml:space="preserve"> </v>
      </c>
      <c r="C108" s="49" t="str">
        <f>'Itens Vencedores'!J98</f>
        <v xml:space="preserve"> </v>
      </c>
      <c r="D108" s="23" t="str">
        <f>'Itens Vencedores'!L98</f>
        <v xml:space="preserve"> </v>
      </c>
      <c r="E108" s="23" t="str">
        <f>'Itens Vencedores'!N98</f>
        <v/>
      </c>
    </row>
    <row r="109" spans="1:5" x14ac:dyDescent="0.25">
      <c r="A109" s="22" t="str">
        <f>'Itens Vencedores'!F99</f>
        <v/>
      </c>
      <c r="B109" s="22" t="str">
        <f>'Itens Vencedores'!I99</f>
        <v xml:space="preserve"> </v>
      </c>
      <c r="C109" s="49" t="str">
        <f>'Itens Vencedores'!J99</f>
        <v xml:space="preserve"> </v>
      </c>
      <c r="D109" s="23" t="str">
        <f>'Itens Vencedores'!L99</f>
        <v xml:space="preserve"> </v>
      </c>
      <c r="E109" s="23" t="str">
        <f>'Itens Vencedores'!N99</f>
        <v/>
      </c>
    </row>
    <row r="110" spans="1:5" x14ac:dyDescent="0.25">
      <c r="A110" s="22" t="str">
        <f>'Itens Vencedores'!F100</f>
        <v/>
      </c>
      <c r="B110" s="22" t="str">
        <f>'Itens Vencedores'!I100</f>
        <v xml:space="preserve"> </v>
      </c>
      <c r="C110" s="49" t="str">
        <f>'Itens Vencedores'!J100</f>
        <v xml:space="preserve"> </v>
      </c>
      <c r="D110" s="23" t="str">
        <f>'Itens Vencedores'!L100</f>
        <v xml:space="preserve"> </v>
      </c>
      <c r="E110" s="23" t="str">
        <f>'Itens Vencedores'!N100</f>
        <v/>
      </c>
    </row>
    <row r="111" spans="1:5" x14ac:dyDescent="0.25">
      <c r="A111" s="22" t="str">
        <f>'Itens Vencedores'!F101</f>
        <v/>
      </c>
      <c r="B111" s="22" t="str">
        <f>'Itens Vencedores'!I101</f>
        <v xml:space="preserve"> </v>
      </c>
      <c r="C111" s="49" t="str">
        <f>'Itens Vencedores'!J101</f>
        <v xml:space="preserve"> </v>
      </c>
      <c r="D111" s="23" t="str">
        <f>'Itens Vencedores'!L101</f>
        <v xml:space="preserve"> </v>
      </c>
      <c r="E111" s="23">
        <f>'Itens Vencedores'!N101</f>
        <v>0</v>
      </c>
    </row>
    <row r="112" spans="1:5" x14ac:dyDescent="0.25">
      <c r="A112" s="22" t="str">
        <f>'Itens Vencedores'!F102</f>
        <v/>
      </c>
      <c r="B112" s="22" t="str">
        <f>'Itens Vencedores'!I102</f>
        <v xml:space="preserve"> </v>
      </c>
      <c r="C112" s="49" t="str">
        <f>'Itens Vencedores'!J102</f>
        <v xml:space="preserve"> </v>
      </c>
      <c r="D112" s="23" t="str">
        <f>'Itens Vencedores'!L102</f>
        <v xml:space="preserve"> </v>
      </c>
      <c r="E112" s="23">
        <f>'Itens Vencedores'!N102</f>
        <v>0</v>
      </c>
    </row>
    <row r="113" spans="1:5" x14ac:dyDescent="0.25">
      <c r="A113" s="22" t="str">
        <f>'Itens Vencedores'!F103</f>
        <v/>
      </c>
      <c r="B113" s="22" t="str">
        <f>'Itens Vencedores'!I103</f>
        <v xml:space="preserve"> </v>
      </c>
      <c r="C113" s="49" t="str">
        <f>'Itens Vencedores'!J103</f>
        <v xml:space="preserve"> </v>
      </c>
      <c r="D113" s="23" t="str">
        <f>'Itens Vencedores'!L103</f>
        <v xml:space="preserve"> </v>
      </c>
      <c r="E113" s="23">
        <f>'Itens Vencedores'!N103</f>
        <v>0</v>
      </c>
    </row>
    <row r="114" spans="1:5" x14ac:dyDescent="0.25">
      <c r="A114" s="22" t="str">
        <f>'Itens Vencedores'!F104</f>
        <v/>
      </c>
      <c r="B114" s="22" t="str">
        <f>'Itens Vencedores'!I104</f>
        <v xml:space="preserve"> </v>
      </c>
      <c r="C114" s="49" t="str">
        <f>'Itens Vencedores'!J104</f>
        <v xml:space="preserve"> </v>
      </c>
      <c r="D114" s="23" t="str">
        <f>'Itens Vencedores'!L104</f>
        <v xml:space="preserve"> </v>
      </c>
      <c r="E114" s="23">
        <f>'Itens Vencedores'!N104</f>
        <v>0</v>
      </c>
    </row>
    <row r="115" spans="1:5" x14ac:dyDescent="0.25">
      <c r="A115" s="22" t="str">
        <f>'Itens Vencedores'!F105</f>
        <v/>
      </c>
      <c r="B115" s="22" t="str">
        <f>'Itens Vencedores'!I105</f>
        <v xml:space="preserve"> </v>
      </c>
      <c r="C115" s="49" t="str">
        <f>'Itens Vencedores'!J105</f>
        <v xml:space="preserve"> </v>
      </c>
      <c r="D115" s="23" t="str">
        <f>'Itens Vencedores'!L105</f>
        <v xml:space="preserve"> </v>
      </c>
      <c r="E115" s="23">
        <f>'Itens Vencedores'!N105</f>
        <v>0</v>
      </c>
    </row>
    <row r="116" spans="1:5" x14ac:dyDescent="0.25">
      <c r="A116" s="22" t="str">
        <f>'Itens Vencedores'!F106</f>
        <v/>
      </c>
      <c r="B116" s="22" t="str">
        <f>'Itens Vencedores'!I106</f>
        <v xml:space="preserve"> </v>
      </c>
      <c r="C116" s="49" t="str">
        <f>'Itens Vencedores'!J106</f>
        <v xml:space="preserve"> </v>
      </c>
      <c r="D116" s="23" t="str">
        <f>'Itens Vencedores'!L106</f>
        <v xml:space="preserve"> </v>
      </c>
      <c r="E116" s="23">
        <f>'Itens Vencedores'!N106</f>
        <v>0</v>
      </c>
    </row>
    <row r="117" spans="1:5" x14ac:dyDescent="0.25">
      <c r="A117" s="22" t="str">
        <f>'Itens Vencedores'!F107</f>
        <v/>
      </c>
      <c r="B117" s="22" t="str">
        <f>'Itens Vencedores'!I107</f>
        <v xml:space="preserve"> </v>
      </c>
      <c r="C117" s="49" t="str">
        <f>'Itens Vencedores'!J107</f>
        <v xml:space="preserve"> </v>
      </c>
      <c r="D117" s="23" t="str">
        <f>'Itens Vencedores'!L107</f>
        <v xml:space="preserve"> </v>
      </c>
      <c r="E117" s="23">
        <f>'Itens Vencedores'!N107</f>
        <v>0</v>
      </c>
    </row>
    <row r="118" spans="1:5" x14ac:dyDescent="0.25">
      <c r="A118" s="22" t="str">
        <f>'Itens Vencedores'!F108</f>
        <v/>
      </c>
      <c r="B118" s="22" t="str">
        <f>'Itens Vencedores'!I108</f>
        <v xml:space="preserve"> </v>
      </c>
      <c r="C118" s="49" t="str">
        <f>'Itens Vencedores'!J108</f>
        <v xml:space="preserve"> </v>
      </c>
      <c r="D118" s="23" t="str">
        <f>'Itens Vencedores'!L108</f>
        <v xml:space="preserve"> </v>
      </c>
      <c r="E118" s="23">
        <f>'Itens Vencedores'!N108</f>
        <v>0</v>
      </c>
    </row>
    <row r="119" spans="1:5" x14ac:dyDescent="0.25">
      <c r="A119" s="22" t="str">
        <f>'Itens Vencedores'!F109</f>
        <v/>
      </c>
      <c r="B119" s="22" t="str">
        <f>'Itens Vencedores'!I109</f>
        <v xml:space="preserve"> </v>
      </c>
      <c r="C119" s="49" t="str">
        <f>'Itens Vencedores'!J109</f>
        <v xml:space="preserve"> </v>
      </c>
      <c r="D119" s="23" t="str">
        <f>'Itens Vencedores'!L109</f>
        <v xml:space="preserve"> </v>
      </c>
      <c r="E119" s="23">
        <f>'Itens Vencedores'!N109</f>
        <v>0</v>
      </c>
    </row>
    <row r="120" spans="1:5" x14ac:dyDescent="0.25">
      <c r="A120" s="22" t="str">
        <f>'Itens Vencedores'!F110</f>
        <v/>
      </c>
      <c r="B120" s="22" t="str">
        <f>'Itens Vencedores'!I110</f>
        <v xml:space="preserve"> </v>
      </c>
      <c r="C120" s="49" t="str">
        <f>'Itens Vencedores'!J110</f>
        <v xml:space="preserve"> </v>
      </c>
      <c r="D120" s="23" t="str">
        <f>'Itens Vencedores'!L110</f>
        <v xml:space="preserve"> </v>
      </c>
      <c r="E120" s="23">
        <f>'Itens Vencedores'!N110</f>
        <v>0</v>
      </c>
    </row>
    <row r="121" spans="1:5" x14ac:dyDescent="0.25">
      <c r="A121" s="22" t="str">
        <f>'Itens Vencedores'!F111</f>
        <v/>
      </c>
      <c r="B121" s="22" t="str">
        <f>'Itens Vencedores'!I111</f>
        <v xml:space="preserve"> </v>
      </c>
      <c r="C121" s="49" t="str">
        <f>'Itens Vencedores'!J111</f>
        <v xml:space="preserve"> </v>
      </c>
      <c r="D121" s="23" t="str">
        <f>'Itens Vencedores'!L111</f>
        <v xml:space="preserve"> </v>
      </c>
      <c r="E121" s="23">
        <f>'Itens Vencedores'!N111</f>
        <v>0</v>
      </c>
    </row>
    <row r="122" spans="1:5" x14ac:dyDescent="0.25">
      <c r="A122" s="22" t="str">
        <f>'Itens Vencedores'!F112</f>
        <v/>
      </c>
      <c r="B122" s="22" t="str">
        <f>'Itens Vencedores'!I112</f>
        <v xml:space="preserve"> </v>
      </c>
      <c r="C122" s="49" t="str">
        <f>'Itens Vencedores'!J112</f>
        <v xml:space="preserve"> </v>
      </c>
      <c r="D122" s="23" t="str">
        <f>'Itens Vencedores'!L112</f>
        <v xml:space="preserve"> </v>
      </c>
      <c r="E122" s="23">
        <f>'Itens Vencedores'!N112</f>
        <v>0</v>
      </c>
    </row>
    <row r="123" spans="1:5" x14ac:dyDescent="0.25">
      <c r="A123" s="22" t="str">
        <f>'Itens Vencedores'!F113</f>
        <v/>
      </c>
      <c r="B123" s="22" t="str">
        <f>'Itens Vencedores'!I113</f>
        <v xml:space="preserve"> </v>
      </c>
      <c r="C123" s="49" t="str">
        <f>'Itens Vencedores'!J113</f>
        <v xml:space="preserve"> </v>
      </c>
      <c r="D123" s="23" t="str">
        <f>'Itens Vencedores'!L113</f>
        <v xml:space="preserve"> </v>
      </c>
      <c r="E123" s="23">
        <f>'Itens Vencedores'!N113</f>
        <v>0</v>
      </c>
    </row>
    <row r="124" spans="1:5" x14ac:dyDescent="0.25">
      <c r="A124" s="22" t="str">
        <f>'Itens Vencedores'!F114</f>
        <v/>
      </c>
      <c r="B124" s="22" t="str">
        <f>'Itens Vencedores'!I114</f>
        <v xml:space="preserve"> </v>
      </c>
      <c r="C124" s="49" t="str">
        <f>'Itens Vencedores'!J114</f>
        <v xml:space="preserve"> </v>
      </c>
      <c r="D124" s="23" t="str">
        <f>'Itens Vencedores'!L114</f>
        <v xml:space="preserve"> </v>
      </c>
      <c r="E124" s="23">
        <f>'Itens Vencedores'!N114</f>
        <v>0</v>
      </c>
    </row>
    <row r="125" spans="1:5" x14ac:dyDescent="0.25">
      <c r="A125" s="22" t="str">
        <f>'Itens Vencedores'!F115</f>
        <v/>
      </c>
      <c r="B125" s="22" t="str">
        <f>'Itens Vencedores'!I115</f>
        <v xml:space="preserve"> </v>
      </c>
      <c r="C125" s="49" t="str">
        <f>'Itens Vencedores'!J115</f>
        <v xml:space="preserve"> </v>
      </c>
      <c r="D125" s="23" t="str">
        <f>'Itens Vencedores'!L115</f>
        <v xml:space="preserve"> </v>
      </c>
      <c r="E125" s="23">
        <f>'Itens Vencedores'!N115</f>
        <v>0</v>
      </c>
    </row>
    <row r="126" spans="1:5" x14ac:dyDescent="0.25">
      <c r="A126" s="22" t="str">
        <f>'Itens Vencedores'!F116</f>
        <v/>
      </c>
      <c r="B126" s="22" t="str">
        <f>'Itens Vencedores'!I116</f>
        <v xml:space="preserve"> </v>
      </c>
      <c r="C126" s="49" t="str">
        <f>'Itens Vencedores'!J116</f>
        <v xml:space="preserve"> </v>
      </c>
      <c r="D126" s="23" t="str">
        <f>'Itens Vencedores'!L116</f>
        <v xml:space="preserve"> </v>
      </c>
      <c r="E126" s="23">
        <f>'Itens Vencedores'!N116</f>
        <v>0</v>
      </c>
    </row>
    <row r="127" spans="1:5" x14ac:dyDescent="0.25">
      <c r="A127" s="22" t="str">
        <f>'Itens Vencedores'!F117</f>
        <v/>
      </c>
      <c r="B127" s="22" t="str">
        <f>'Itens Vencedores'!I117</f>
        <v xml:space="preserve"> </v>
      </c>
      <c r="C127" s="49" t="str">
        <f>'Itens Vencedores'!J117</f>
        <v xml:space="preserve"> </v>
      </c>
      <c r="D127" s="23" t="str">
        <f>'Itens Vencedores'!L117</f>
        <v xml:space="preserve"> </v>
      </c>
      <c r="E127" s="23">
        <f>'Itens Vencedores'!N117</f>
        <v>0</v>
      </c>
    </row>
    <row r="128" spans="1:5" x14ac:dyDescent="0.25">
      <c r="A128" s="22" t="str">
        <f>'Itens Vencedores'!F118</f>
        <v/>
      </c>
      <c r="B128" s="22" t="str">
        <f>'Itens Vencedores'!I118</f>
        <v xml:space="preserve"> </v>
      </c>
      <c r="C128" s="49" t="str">
        <f>'Itens Vencedores'!J118</f>
        <v xml:space="preserve"> </v>
      </c>
      <c r="D128" s="23" t="str">
        <f>'Itens Vencedores'!L118</f>
        <v xml:space="preserve"> </v>
      </c>
      <c r="E128" s="23">
        <f>'Itens Vencedores'!N118</f>
        <v>0</v>
      </c>
    </row>
    <row r="129" spans="1:5" x14ac:dyDescent="0.25">
      <c r="A129" s="22" t="str">
        <f>'Itens Vencedores'!F119</f>
        <v/>
      </c>
      <c r="B129" s="22" t="str">
        <f>'Itens Vencedores'!I119</f>
        <v xml:space="preserve"> </v>
      </c>
      <c r="C129" s="49" t="str">
        <f>'Itens Vencedores'!J119</f>
        <v xml:space="preserve"> </v>
      </c>
      <c r="D129" s="23" t="str">
        <f>'Itens Vencedores'!L119</f>
        <v xml:space="preserve"> </v>
      </c>
      <c r="E129" s="23">
        <f>'Itens Vencedores'!N119</f>
        <v>0</v>
      </c>
    </row>
    <row r="130" spans="1:5" x14ac:dyDescent="0.25">
      <c r="A130" s="22" t="str">
        <f>'Itens Vencedores'!F120</f>
        <v/>
      </c>
      <c r="B130" s="22" t="str">
        <f>'Itens Vencedores'!I120</f>
        <v xml:space="preserve"> </v>
      </c>
      <c r="C130" s="49" t="str">
        <f>'Itens Vencedores'!J120</f>
        <v xml:space="preserve"> </v>
      </c>
      <c r="D130" s="23" t="str">
        <f>'Itens Vencedores'!L120</f>
        <v xml:space="preserve"> </v>
      </c>
      <c r="E130" s="23">
        <f>'Itens Vencedores'!N120</f>
        <v>0</v>
      </c>
    </row>
    <row r="131" spans="1:5" x14ac:dyDescent="0.25">
      <c r="A131" s="22" t="str">
        <f>'Itens Vencedores'!F121</f>
        <v/>
      </c>
      <c r="B131" s="22" t="str">
        <f>'Itens Vencedores'!I121</f>
        <v xml:space="preserve"> </v>
      </c>
      <c r="C131" s="49" t="str">
        <f>'Itens Vencedores'!J121</f>
        <v xml:space="preserve"> </v>
      </c>
      <c r="D131" s="23" t="str">
        <f>'Itens Vencedores'!L121</f>
        <v xml:space="preserve"> </v>
      </c>
      <c r="E131" s="23">
        <f>'Itens Vencedores'!N121</f>
        <v>0</v>
      </c>
    </row>
    <row r="132" spans="1:5" x14ac:dyDescent="0.25">
      <c r="A132" s="22" t="str">
        <f>'Itens Vencedores'!F122</f>
        <v/>
      </c>
      <c r="B132" s="22" t="str">
        <f>'Itens Vencedores'!I122</f>
        <v xml:space="preserve"> </v>
      </c>
      <c r="C132" s="49" t="str">
        <f>'Itens Vencedores'!J122</f>
        <v xml:space="preserve"> </v>
      </c>
      <c r="D132" s="23" t="str">
        <f>'Itens Vencedores'!L122</f>
        <v xml:space="preserve"> </v>
      </c>
      <c r="E132" s="23">
        <f>'Itens Vencedores'!N122</f>
        <v>0</v>
      </c>
    </row>
    <row r="133" spans="1:5" x14ac:dyDescent="0.25">
      <c r="A133" s="22" t="str">
        <f>'Itens Vencedores'!F123</f>
        <v/>
      </c>
      <c r="B133" s="22" t="str">
        <f>'Itens Vencedores'!I123</f>
        <v xml:space="preserve"> </v>
      </c>
      <c r="C133" s="49" t="str">
        <f>'Itens Vencedores'!J123</f>
        <v xml:space="preserve"> </v>
      </c>
      <c r="D133" s="23" t="str">
        <f>'Itens Vencedores'!L123</f>
        <v xml:space="preserve"> </v>
      </c>
      <c r="E133" s="23">
        <f>'Itens Vencedores'!N123</f>
        <v>0</v>
      </c>
    </row>
    <row r="134" spans="1:5" x14ac:dyDescent="0.25">
      <c r="A134" s="22" t="str">
        <f>'Itens Vencedores'!F124</f>
        <v/>
      </c>
      <c r="B134" s="22" t="str">
        <f>'Itens Vencedores'!I124</f>
        <v xml:space="preserve"> </v>
      </c>
      <c r="C134" s="49" t="str">
        <f>'Itens Vencedores'!J124</f>
        <v xml:space="preserve"> </v>
      </c>
      <c r="D134" s="23" t="str">
        <f>'Itens Vencedores'!L124</f>
        <v xml:space="preserve"> </v>
      </c>
      <c r="E134" s="23">
        <f>'Itens Vencedores'!N124</f>
        <v>0</v>
      </c>
    </row>
    <row r="135" spans="1:5" x14ac:dyDescent="0.25">
      <c r="A135" s="22" t="str">
        <f>'Itens Vencedores'!F125</f>
        <v/>
      </c>
      <c r="B135" s="22" t="str">
        <f>'Itens Vencedores'!I125</f>
        <v xml:space="preserve"> </v>
      </c>
      <c r="C135" s="49" t="str">
        <f>'Itens Vencedores'!J125</f>
        <v xml:space="preserve"> </v>
      </c>
      <c r="D135" s="23" t="str">
        <f>'Itens Vencedores'!L125</f>
        <v xml:space="preserve"> </v>
      </c>
      <c r="E135" s="23">
        <f>'Itens Vencedores'!N125</f>
        <v>0</v>
      </c>
    </row>
    <row r="136" spans="1:5" x14ac:dyDescent="0.25">
      <c r="A136" s="22" t="str">
        <f>'Itens Vencedores'!F126</f>
        <v/>
      </c>
      <c r="B136" s="22" t="str">
        <f>'Itens Vencedores'!I126</f>
        <v xml:space="preserve"> </v>
      </c>
      <c r="C136" s="49" t="str">
        <f>'Itens Vencedores'!J126</f>
        <v xml:space="preserve"> </v>
      </c>
      <c r="D136" s="23" t="str">
        <f>'Itens Vencedores'!L126</f>
        <v xml:space="preserve"> </v>
      </c>
      <c r="E136" s="23">
        <f>'Itens Vencedores'!N126</f>
        <v>0</v>
      </c>
    </row>
    <row r="137" spans="1:5" x14ac:dyDescent="0.25">
      <c r="A137" s="22" t="str">
        <f>'Itens Vencedores'!F127</f>
        <v/>
      </c>
      <c r="B137" s="22" t="str">
        <f>'Itens Vencedores'!I127</f>
        <v xml:space="preserve"> </v>
      </c>
      <c r="C137" s="49" t="str">
        <f>'Itens Vencedores'!J127</f>
        <v xml:space="preserve"> </v>
      </c>
      <c r="D137" s="23" t="str">
        <f>'Itens Vencedores'!L127</f>
        <v xml:space="preserve"> </v>
      </c>
      <c r="E137" s="23">
        <f>'Itens Vencedores'!N127</f>
        <v>0</v>
      </c>
    </row>
    <row r="138" spans="1:5" x14ac:dyDescent="0.25">
      <c r="A138" s="22" t="str">
        <f>'Itens Vencedores'!F128</f>
        <v/>
      </c>
      <c r="B138" s="22" t="str">
        <f>'Itens Vencedores'!I128</f>
        <v xml:space="preserve"> </v>
      </c>
      <c r="C138" s="49" t="str">
        <f>'Itens Vencedores'!J128</f>
        <v xml:space="preserve"> </v>
      </c>
      <c r="D138" s="23" t="str">
        <f>'Itens Vencedores'!L128</f>
        <v xml:space="preserve"> </v>
      </c>
      <c r="E138" s="23">
        <f>'Itens Vencedores'!N128</f>
        <v>0</v>
      </c>
    </row>
    <row r="139" spans="1:5" x14ac:dyDescent="0.25">
      <c r="A139" s="22" t="str">
        <f>'Itens Vencedores'!F129</f>
        <v/>
      </c>
      <c r="B139" s="22" t="str">
        <f>'Itens Vencedores'!I129</f>
        <v xml:space="preserve"> </v>
      </c>
      <c r="C139" s="49" t="str">
        <f>'Itens Vencedores'!J129</f>
        <v xml:space="preserve"> </v>
      </c>
      <c r="D139" s="23" t="str">
        <f>'Itens Vencedores'!L129</f>
        <v xml:space="preserve"> </v>
      </c>
      <c r="E139" s="23">
        <f>'Itens Vencedores'!N129</f>
        <v>0</v>
      </c>
    </row>
    <row r="140" spans="1:5" x14ac:dyDescent="0.25">
      <c r="A140" s="22" t="str">
        <f>'Itens Vencedores'!F130</f>
        <v/>
      </c>
      <c r="B140" s="22" t="str">
        <f>'Itens Vencedores'!I130</f>
        <v xml:space="preserve"> </v>
      </c>
      <c r="C140" s="49" t="str">
        <f>'Itens Vencedores'!J130</f>
        <v xml:space="preserve"> </v>
      </c>
      <c r="D140" s="23" t="str">
        <f>'Itens Vencedores'!L130</f>
        <v xml:space="preserve"> </v>
      </c>
      <c r="E140" s="23">
        <f>'Itens Vencedores'!N130</f>
        <v>0</v>
      </c>
    </row>
    <row r="141" spans="1:5" x14ac:dyDescent="0.25">
      <c r="A141" s="22" t="str">
        <f>'Itens Vencedores'!F131</f>
        <v/>
      </c>
      <c r="B141" s="22" t="str">
        <f>'Itens Vencedores'!I131</f>
        <v xml:space="preserve"> </v>
      </c>
      <c r="C141" s="49" t="str">
        <f>'Itens Vencedores'!J131</f>
        <v xml:space="preserve"> </v>
      </c>
      <c r="D141" s="23" t="str">
        <f>'Itens Vencedores'!L131</f>
        <v xml:space="preserve"> </v>
      </c>
      <c r="E141" s="23">
        <f>'Itens Vencedores'!N131</f>
        <v>0</v>
      </c>
    </row>
    <row r="142" spans="1:5" x14ac:dyDescent="0.25">
      <c r="A142" s="22" t="str">
        <f>'Itens Vencedores'!F132</f>
        <v/>
      </c>
      <c r="B142" s="22" t="str">
        <f>'Itens Vencedores'!I132</f>
        <v xml:space="preserve"> </v>
      </c>
      <c r="C142" s="49" t="str">
        <f>'Itens Vencedores'!J132</f>
        <v xml:space="preserve"> </v>
      </c>
      <c r="D142" s="23" t="str">
        <f>'Itens Vencedores'!L132</f>
        <v xml:space="preserve"> </v>
      </c>
      <c r="E142" s="23">
        <f>'Itens Vencedores'!N132</f>
        <v>0</v>
      </c>
    </row>
    <row r="143" spans="1:5" x14ac:dyDescent="0.25">
      <c r="A143" s="22" t="str">
        <f>'Itens Vencedores'!F133</f>
        <v/>
      </c>
      <c r="B143" s="22" t="str">
        <f>'Itens Vencedores'!I133</f>
        <v xml:space="preserve"> </v>
      </c>
      <c r="C143" s="49" t="str">
        <f>'Itens Vencedores'!J133</f>
        <v xml:space="preserve"> </v>
      </c>
      <c r="D143" s="23" t="str">
        <f>'Itens Vencedores'!L133</f>
        <v xml:space="preserve"> </v>
      </c>
      <c r="E143" s="23">
        <f>'Itens Vencedores'!N133</f>
        <v>0</v>
      </c>
    </row>
    <row r="144" spans="1:5" x14ac:dyDescent="0.25">
      <c r="A144" s="22" t="str">
        <f>'Itens Vencedores'!F134</f>
        <v/>
      </c>
      <c r="B144" s="22" t="str">
        <f>'Itens Vencedores'!I134</f>
        <v xml:space="preserve"> </v>
      </c>
      <c r="C144" s="49" t="str">
        <f>'Itens Vencedores'!J134</f>
        <v xml:space="preserve"> </v>
      </c>
      <c r="D144" s="23" t="str">
        <f>'Itens Vencedores'!L134</f>
        <v xml:space="preserve"> </v>
      </c>
      <c r="E144" s="23">
        <f>'Itens Vencedores'!N134</f>
        <v>0</v>
      </c>
    </row>
    <row r="145" spans="1:5" x14ac:dyDescent="0.25">
      <c r="A145" s="22" t="str">
        <f>'Itens Vencedores'!F135</f>
        <v/>
      </c>
      <c r="B145" s="22" t="str">
        <f>'Itens Vencedores'!I135</f>
        <v xml:space="preserve"> </v>
      </c>
      <c r="C145" s="49" t="str">
        <f>'Itens Vencedores'!J135</f>
        <v xml:space="preserve"> </v>
      </c>
      <c r="D145" s="23" t="str">
        <f>'Itens Vencedores'!L135</f>
        <v xml:space="preserve"> </v>
      </c>
      <c r="E145" s="23">
        <f>'Itens Vencedores'!N135</f>
        <v>0</v>
      </c>
    </row>
    <row r="146" spans="1:5" x14ac:dyDescent="0.25">
      <c r="A146" s="22" t="str">
        <f>'Itens Vencedores'!F136</f>
        <v/>
      </c>
      <c r="B146" s="22" t="str">
        <f>'Itens Vencedores'!I136</f>
        <v xml:space="preserve"> </v>
      </c>
      <c r="C146" s="49" t="str">
        <f>'Itens Vencedores'!J136</f>
        <v xml:space="preserve"> </v>
      </c>
      <c r="D146" s="23" t="str">
        <f>'Itens Vencedores'!L136</f>
        <v xml:space="preserve"> </v>
      </c>
      <c r="E146" s="23">
        <f>'Itens Vencedores'!N136</f>
        <v>0</v>
      </c>
    </row>
    <row r="147" spans="1:5" x14ac:dyDescent="0.25">
      <c r="A147" s="22" t="str">
        <f>'Itens Vencedores'!F137</f>
        <v/>
      </c>
      <c r="B147" s="22" t="str">
        <f>'Itens Vencedores'!I137</f>
        <v xml:space="preserve"> </v>
      </c>
      <c r="C147" s="49" t="str">
        <f>'Itens Vencedores'!J137</f>
        <v xml:space="preserve"> </v>
      </c>
      <c r="D147" s="23" t="str">
        <f>'Itens Vencedores'!L137</f>
        <v xml:space="preserve"> </v>
      </c>
      <c r="E147" s="23">
        <f>'Itens Vencedores'!N137</f>
        <v>0</v>
      </c>
    </row>
    <row r="148" spans="1:5" x14ac:dyDescent="0.25">
      <c r="A148" s="22" t="str">
        <f>'Itens Vencedores'!F138</f>
        <v/>
      </c>
      <c r="B148" s="22" t="str">
        <f>'Itens Vencedores'!I138</f>
        <v xml:space="preserve"> </v>
      </c>
      <c r="C148" s="49" t="str">
        <f>'Itens Vencedores'!J138</f>
        <v xml:space="preserve"> </v>
      </c>
      <c r="D148" s="23" t="str">
        <f>'Itens Vencedores'!L138</f>
        <v xml:space="preserve"> </v>
      </c>
      <c r="E148" s="23">
        <f>'Itens Vencedores'!N138</f>
        <v>0</v>
      </c>
    </row>
    <row r="149" spans="1:5" x14ac:dyDescent="0.25">
      <c r="A149" s="22" t="str">
        <f>'Itens Vencedores'!F139</f>
        <v/>
      </c>
      <c r="B149" s="22" t="str">
        <f>'Itens Vencedores'!I139</f>
        <v xml:space="preserve"> </v>
      </c>
      <c r="C149" s="49" t="str">
        <f>'Itens Vencedores'!J139</f>
        <v xml:space="preserve"> </v>
      </c>
      <c r="D149" s="23" t="str">
        <f>'Itens Vencedores'!L139</f>
        <v xml:space="preserve"> </v>
      </c>
      <c r="E149" s="23">
        <f>'Itens Vencedores'!N139</f>
        <v>0</v>
      </c>
    </row>
    <row r="150" spans="1:5" x14ac:dyDescent="0.25">
      <c r="A150" s="22" t="str">
        <f>'Itens Vencedores'!F140</f>
        <v/>
      </c>
      <c r="B150" s="22" t="str">
        <f>'Itens Vencedores'!I140</f>
        <v xml:space="preserve"> </v>
      </c>
      <c r="C150" s="49" t="str">
        <f>'Itens Vencedores'!J140</f>
        <v xml:space="preserve"> </v>
      </c>
      <c r="D150" s="23" t="str">
        <f>'Itens Vencedores'!L140</f>
        <v xml:space="preserve"> </v>
      </c>
      <c r="E150" s="23">
        <f>'Itens Vencedores'!N140</f>
        <v>0</v>
      </c>
    </row>
    <row r="151" spans="1:5" x14ac:dyDescent="0.25">
      <c r="A151" s="22" t="str">
        <f>'Itens Vencedores'!F141</f>
        <v/>
      </c>
      <c r="B151" s="22" t="str">
        <f>'Itens Vencedores'!I141</f>
        <v xml:space="preserve"> </v>
      </c>
      <c r="C151" s="49" t="str">
        <f>'Itens Vencedores'!J141</f>
        <v xml:space="preserve"> </v>
      </c>
      <c r="D151" s="23" t="str">
        <f>'Itens Vencedores'!L141</f>
        <v xml:space="preserve"> </v>
      </c>
      <c r="E151" s="23">
        <f>'Itens Vencedores'!N141</f>
        <v>0</v>
      </c>
    </row>
    <row r="152" spans="1:5" x14ac:dyDescent="0.25">
      <c r="A152" s="22" t="str">
        <f>'Itens Vencedores'!F142</f>
        <v/>
      </c>
      <c r="B152" s="22" t="str">
        <f>'Itens Vencedores'!I142</f>
        <v xml:space="preserve"> </v>
      </c>
      <c r="C152" s="49" t="str">
        <f>'Itens Vencedores'!J142</f>
        <v xml:space="preserve"> </v>
      </c>
      <c r="D152" s="23" t="str">
        <f>'Itens Vencedores'!L142</f>
        <v xml:space="preserve"> </v>
      </c>
      <c r="E152" s="23">
        <f>'Itens Vencedores'!N142</f>
        <v>0</v>
      </c>
    </row>
    <row r="153" spans="1:5" x14ac:dyDescent="0.25">
      <c r="A153" s="22" t="str">
        <f>'Itens Vencedores'!F143</f>
        <v/>
      </c>
      <c r="B153" s="22" t="str">
        <f>'Itens Vencedores'!I143</f>
        <v xml:space="preserve"> </v>
      </c>
      <c r="C153" s="49" t="str">
        <f>'Itens Vencedores'!J143</f>
        <v xml:space="preserve"> </v>
      </c>
      <c r="D153" s="23" t="str">
        <f>'Itens Vencedores'!L143</f>
        <v xml:space="preserve"> </v>
      </c>
      <c r="E153" s="23">
        <f>'Itens Vencedores'!N143</f>
        <v>0</v>
      </c>
    </row>
    <row r="154" spans="1:5" x14ac:dyDescent="0.25">
      <c r="A154" s="22" t="str">
        <f>'Itens Vencedores'!F144</f>
        <v/>
      </c>
      <c r="B154" s="22" t="str">
        <f>'Itens Vencedores'!I144</f>
        <v xml:space="preserve"> </v>
      </c>
      <c r="C154" s="49" t="str">
        <f>'Itens Vencedores'!J144</f>
        <v xml:space="preserve"> </v>
      </c>
      <c r="D154" s="23" t="str">
        <f>'Itens Vencedores'!L144</f>
        <v xml:space="preserve"> </v>
      </c>
      <c r="E154" s="23">
        <f>'Itens Vencedores'!N144</f>
        <v>0</v>
      </c>
    </row>
    <row r="155" spans="1:5" x14ac:dyDescent="0.25">
      <c r="A155" s="22" t="str">
        <f>'Itens Vencedores'!F145</f>
        <v/>
      </c>
      <c r="B155" s="22" t="str">
        <f>'Itens Vencedores'!I145</f>
        <v xml:space="preserve"> </v>
      </c>
      <c r="C155" s="49" t="str">
        <f>'Itens Vencedores'!J145</f>
        <v xml:space="preserve"> </v>
      </c>
      <c r="D155" s="23" t="str">
        <f>'Itens Vencedores'!L145</f>
        <v xml:space="preserve"> </v>
      </c>
      <c r="E155" s="23">
        <f>'Itens Vencedores'!N145</f>
        <v>0</v>
      </c>
    </row>
    <row r="156" spans="1:5" x14ac:dyDescent="0.25">
      <c r="A156" s="22" t="str">
        <f>'Itens Vencedores'!F146</f>
        <v/>
      </c>
      <c r="B156" s="22" t="str">
        <f>'Itens Vencedores'!I146</f>
        <v xml:space="preserve"> </v>
      </c>
      <c r="C156" s="49" t="str">
        <f>'Itens Vencedores'!J146</f>
        <v xml:space="preserve"> </v>
      </c>
      <c r="D156" s="23" t="str">
        <f>'Itens Vencedores'!L146</f>
        <v xml:space="preserve"> </v>
      </c>
      <c r="E156" s="23">
        <f>'Itens Vencedores'!N146</f>
        <v>0</v>
      </c>
    </row>
    <row r="157" spans="1:5" x14ac:dyDescent="0.25">
      <c r="A157" s="22" t="str">
        <f>'Itens Vencedores'!F147</f>
        <v/>
      </c>
      <c r="B157" s="22" t="str">
        <f>'Itens Vencedores'!I147</f>
        <v xml:space="preserve"> </v>
      </c>
      <c r="C157" s="49" t="str">
        <f>'Itens Vencedores'!J147</f>
        <v xml:space="preserve"> </v>
      </c>
      <c r="D157" s="23" t="str">
        <f>'Itens Vencedores'!L147</f>
        <v xml:space="preserve"> </v>
      </c>
      <c r="E157" s="23">
        <f>'Itens Vencedores'!N147</f>
        <v>0</v>
      </c>
    </row>
    <row r="158" spans="1:5" x14ac:dyDescent="0.25">
      <c r="A158" s="22" t="str">
        <f>'Itens Vencedores'!F148</f>
        <v/>
      </c>
      <c r="B158" s="22" t="str">
        <f>'Itens Vencedores'!I148</f>
        <v xml:space="preserve"> </v>
      </c>
      <c r="C158" s="49" t="str">
        <f>'Itens Vencedores'!J148</f>
        <v xml:space="preserve"> </v>
      </c>
      <c r="D158" s="23" t="str">
        <f>'Itens Vencedores'!L148</f>
        <v xml:space="preserve"> </v>
      </c>
      <c r="E158" s="23">
        <f>'Itens Vencedores'!N148</f>
        <v>0</v>
      </c>
    </row>
    <row r="159" spans="1:5" x14ac:dyDescent="0.25">
      <c r="A159" s="22" t="str">
        <f>'Itens Vencedores'!F149</f>
        <v/>
      </c>
      <c r="B159" s="22" t="str">
        <f>'Itens Vencedores'!I149</f>
        <v xml:space="preserve"> </v>
      </c>
      <c r="C159" s="49" t="str">
        <f>'Itens Vencedores'!J149</f>
        <v xml:space="preserve"> </v>
      </c>
      <c r="D159" s="23" t="str">
        <f>'Itens Vencedores'!L149</f>
        <v xml:space="preserve"> </v>
      </c>
      <c r="E159" s="23">
        <f>'Itens Vencedores'!N149</f>
        <v>0</v>
      </c>
    </row>
    <row r="160" spans="1:5" x14ac:dyDescent="0.25">
      <c r="A160" s="22" t="str">
        <f>'Itens Vencedores'!F150</f>
        <v/>
      </c>
      <c r="B160" s="22" t="str">
        <f>'Itens Vencedores'!I150</f>
        <v xml:space="preserve"> </v>
      </c>
      <c r="C160" s="49" t="str">
        <f>'Itens Vencedores'!J150</f>
        <v xml:space="preserve"> </v>
      </c>
      <c r="D160" s="23" t="str">
        <f>'Itens Vencedores'!L150</f>
        <v xml:space="preserve"> </v>
      </c>
      <c r="E160" s="23">
        <f>'Itens Vencedores'!N150</f>
        <v>0</v>
      </c>
    </row>
    <row r="161" spans="1:5" x14ac:dyDescent="0.25">
      <c r="A161" s="22" t="str">
        <f>'Itens Vencedores'!F151</f>
        <v/>
      </c>
      <c r="B161" s="22" t="str">
        <f>'Itens Vencedores'!I151</f>
        <v xml:space="preserve"> </v>
      </c>
      <c r="C161" s="49" t="str">
        <f>'Itens Vencedores'!J151</f>
        <v xml:space="preserve"> </v>
      </c>
      <c r="D161" s="23" t="str">
        <f>'Itens Vencedores'!L151</f>
        <v xml:space="preserve"> </v>
      </c>
      <c r="E161" s="23">
        <f>'Itens Vencedores'!N151</f>
        <v>0</v>
      </c>
    </row>
    <row r="162" spans="1:5" x14ac:dyDescent="0.25">
      <c r="A162" s="22" t="str">
        <f>'Itens Vencedores'!F152</f>
        <v/>
      </c>
      <c r="B162" s="22" t="str">
        <f>'Itens Vencedores'!I152</f>
        <v xml:space="preserve"> </v>
      </c>
      <c r="C162" s="49" t="str">
        <f>'Itens Vencedores'!J152</f>
        <v xml:space="preserve"> </v>
      </c>
      <c r="D162" s="23" t="str">
        <f>'Itens Vencedores'!L152</f>
        <v xml:space="preserve"> </v>
      </c>
      <c r="E162" s="23">
        <f>'Itens Vencedores'!N152</f>
        <v>0</v>
      </c>
    </row>
    <row r="163" spans="1:5" x14ac:dyDescent="0.25">
      <c r="A163" s="22" t="str">
        <f>'Itens Vencedores'!F153</f>
        <v/>
      </c>
      <c r="B163" s="22" t="str">
        <f>'Itens Vencedores'!I153</f>
        <v xml:space="preserve"> </v>
      </c>
      <c r="C163" s="49" t="str">
        <f>'Itens Vencedores'!J153</f>
        <v xml:space="preserve"> </v>
      </c>
      <c r="D163" s="23" t="str">
        <f>'Itens Vencedores'!L153</f>
        <v xml:space="preserve"> </v>
      </c>
      <c r="E163" s="23">
        <f>'Itens Vencedores'!N153</f>
        <v>0</v>
      </c>
    </row>
    <row r="164" spans="1:5" x14ac:dyDescent="0.25">
      <c r="A164" s="22" t="str">
        <f>'Itens Vencedores'!F154</f>
        <v/>
      </c>
      <c r="B164" s="22" t="str">
        <f>'Itens Vencedores'!I154</f>
        <v xml:space="preserve"> </v>
      </c>
      <c r="C164" s="49" t="str">
        <f>'Itens Vencedores'!J154</f>
        <v xml:space="preserve"> </v>
      </c>
      <c r="D164" s="23" t="str">
        <f>'Itens Vencedores'!L154</f>
        <v xml:space="preserve"> </v>
      </c>
      <c r="E164" s="23">
        <f>'Itens Vencedores'!N154</f>
        <v>0</v>
      </c>
    </row>
    <row r="165" spans="1:5" x14ac:dyDescent="0.25">
      <c r="A165" s="22" t="str">
        <f>'Itens Vencedores'!F155</f>
        <v/>
      </c>
      <c r="B165" s="22" t="str">
        <f>'Itens Vencedores'!I155</f>
        <v xml:space="preserve"> </v>
      </c>
      <c r="C165" s="49" t="str">
        <f>'Itens Vencedores'!J155</f>
        <v xml:space="preserve"> </v>
      </c>
      <c r="D165" s="23" t="str">
        <f>'Itens Vencedores'!L155</f>
        <v xml:space="preserve"> </v>
      </c>
      <c r="E165" s="23">
        <f>'Itens Vencedores'!N155</f>
        <v>0</v>
      </c>
    </row>
    <row r="166" spans="1:5" x14ac:dyDescent="0.25">
      <c r="A166" s="22" t="str">
        <f>'Itens Vencedores'!F156</f>
        <v/>
      </c>
      <c r="B166" s="22" t="str">
        <f>'Itens Vencedores'!I156</f>
        <v xml:space="preserve"> </v>
      </c>
      <c r="C166" s="49" t="str">
        <f>'Itens Vencedores'!J156</f>
        <v xml:space="preserve"> </v>
      </c>
      <c r="D166" s="23" t="str">
        <f>'Itens Vencedores'!L156</f>
        <v xml:space="preserve"> </v>
      </c>
      <c r="E166" s="23">
        <f>'Itens Vencedores'!N156</f>
        <v>0</v>
      </c>
    </row>
    <row r="167" spans="1:5" x14ac:dyDescent="0.25">
      <c r="A167" s="22" t="str">
        <f>'Itens Vencedores'!F157</f>
        <v/>
      </c>
      <c r="B167" s="22" t="str">
        <f>'Itens Vencedores'!I157</f>
        <v xml:space="preserve"> </v>
      </c>
      <c r="C167" s="49" t="str">
        <f>'Itens Vencedores'!J157</f>
        <v xml:space="preserve"> </v>
      </c>
      <c r="D167" s="23" t="str">
        <f>'Itens Vencedores'!L157</f>
        <v xml:space="preserve"> </v>
      </c>
      <c r="E167" s="23">
        <f>'Itens Vencedores'!N157</f>
        <v>0</v>
      </c>
    </row>
    <row r="168" spans="1:5" x14ac:dyDescent="0.25">
      <c r="A168" s="22" t="str">
        <f>'Itens Vencedores'!F158</f>
        <v/>
      </c>
      <c r="B168" s="22" t="str">
        <f>'Itens Vencedores'!I158</f>
        <v xml:space="preserve"> </v>
      </c>
      <c r="C168" s="49" t="str">
        <f>'Itens Vencedores'!J158</f>
        <v xml:space="preserve"> </v>
      </c>
      <c r="D168" s="23" t="str">
        <f>'Itens Vencedores'!L158</f>
        <v xml:space="preserve"> </v>
      </c>
      <c r="E168" s="23">
        <f>'Itens Vencedores'!N158</f>
        <v>0</v>
      </c>
    </row>
    <row r="169" spans="1:5" x14ac:dyDescent="0.25">
      <c r="A169" s="22" t="str">
        <f>'Itens Vencedores'!F159</f>
        <v/>
      </c>
      <c r="B169" s="22" t="str">
        <f>'Itens Vencedores'!I159</f>
        <v xml:space="preserve"> </v>
      </c>
      <c r="C169" s="49" t="str">
        <f>'Itens Vencedores'!J159</f>
        <v xml:space="preserve"> </v>
      </c>
      <c r="D169" s="23" t="str">
        <f>'Itens Vencedores'!L159</f>
        <v xml:space="preserve"> </v>
      </c>
      <c r="E169" s="23">
        <f>'Itens Vencedores'!N159</f>
        <v>0</v>
      </c>
    </row>
    <row r="170" spans="1:5" x14ac:dyDescent="0.25">
      <c r="A170" s="22" t="str">
        <f>'Itens Vencedores'!F160</f>
        <v/>
      </c>
      <c r="B170" s="22" t="str">
        <f>'Itens Vencedores'!I160</f>
        <v xml:space="preserve"> </v>
      </c>
      <c r="C170" s="49" t="str">
        <f>'Itens Vencedores'!J160</f>
        <v xml:space="preserve"> </v>
      </c>
      <c r="D170" s="23" t="str">
        <f>'Itens Vencedores'!L160</f>
        <v xml:space="preserve"> </v>
      </c>
      <c r="E170" s="23">
        <f>'Itens Vencedores'!N160</f>
        <v>0</v>
      </c>
    </row>
    <row r="171" spans="1:5" x14ac:dyDescent="0.25">
      <c r="A171" s="22" t="str">
        <f>'Itens Vencedores'!F161</f>
        <v/>
      </c>
      <c r="B171" s="22" t="str">
        <f>'Itens Vencedores'!I161</f>
        <v xml:space="preserve"> </v>
      </c>
      <c r="C171" s="49" t="str">
        <f>'Itens Vencedores'!J161</f>
        <v xml:space="preserve"> </v>
      </c>
      <c r="D171" s="23" t="str">
        <f>'Itens Vencedores'!L161</f>
        <v xml:space="preserve"> </v>
      </c>
      <c r="E171" s="23">
        <f>'Itens Vencedores'!N161</f>
        <v>0</v>
      </c>
    </row>
    <row r="172" spans="1:5" x14ac:dyDescent="0.25">
      <c r="A172" s="22" t="str">
        <f>'Itens Vencedores'!F162</f>
        <v/>
      </c>
      <c r="B172" s="22" t="str">
        <f>'Itens Vencedores'!I162</f>
        <v xml:space="preserve"> </v>
      </c>
      <c r="C172" s="49" t="str">
        <f>'Itens Vencedores'!J162</f>
        <v xml:space="preserve"> </v>
      </c>
      <c r="D172" s="23" t="str">
        <f>'Itens Vencedores'!L162</f>
        <v xml:space="preserve"> </v>
      </c>
      <c r="E172" s="23">
        <f>'Itens Vencedores'!N162</f>
        <v>0</v>
      </c>
    </row>
    <row r="173" spans="1:5" x14ac:dyDescent="0.25">
      <c r="A173" s="22" t="str">
        <f>'Itens Vencedores'!F163</f>
        <v/>
      </c>
      <c r="B173" s="22" t="str">
        <f>'Itens Vencedores'!I163</f>
        <v xml:space="preserve"> </v>
      </c>
      <c r="C173" s="49" t="str">
        <f>'Itens Vencedores'!J163</f>
        <v xml:space="preserve"> </v>
      </c>
      <c r="D173" s="23" t="str">
        <f>'Itens Vencedores'!L163</f>
        <v xml:space="preserve"> </v>
      </c>
      <c r="E173" s="23">
        <f>'Itens Vencedores'!N163</f>
        <v>0</v>
      </c>
    </row>
    <row r="174" spans="1:5" x14ac:dyDescent="0.25">
      <c r="A174" s="22" t="str">
        <f>'Itens Vencedores'!F164</f>
        <v/>
      </c>
      <c r="B174" s="22" t="str">
        <f>'Itens Vencedores'!I164</f>
        <v xml:space="preserve"> </v>
      </c>
      <c r="C174" s="49" t="str">
        <f>'Itens Vencedores'!J164</f>
        <v xml:space="preserve"> </v>
      </c>
      <c r="D174" s="23" t="str">
        <f>'Itens Vencedores'!L164</f>
        <v xml:space="preserve"> </v>
      </c>
      <c r="E174" s="23">
        <f>'Itens Vencedores'!N164</f>
        <v>0</v>
      </c>
    </row>
    <row r="175" spans="1:5" x14ac:dyDescent="0.25">
      <c r="A175" s="22" t="str">
        <f>'Itens Vencedores'!F165</f>
        <v/>
      </c>
      <c r="B175" s="22" t="str">
        <f>'Itens Vencedores'!I165</f>
        <v xml:space="preserve"> </v>
      </c>
      <c r="C175" s="49" t="str">
        <f>'Itens Vencedores'!J165</f>
        <v xml:space="preserve"> </v>
      </c>
      <c r="D175" s="23" t="str">
        <f>'Itens Vencedores'!L165</f>
        <v xml:space="preserve"> </v>
      </c>
      <c r="E175" s="23">
        <f>'Itens Vencedores'!N165</f>
        <v>0</v>
      </c>
    </row>
    <row r="176" spans="1:5" x14ac:dyDescent="0.25">
      <c r="A176" s="22" t="str">
        <f>'Itens Vencedores'!F166</f>
        <v/>
      </c>
      <c r="B176" s="22" t="str">
        <f>'Itens Vencedores'!I166</f>
        <v xml:space="preserve"> </v>
      </c>
      <c r="C176" s="49" t="str">
        <f>'Itens Vencedores'!J166</f>
        <v xml:space="preserve"> </v>
      </c>
      <c r="D176" s="23" t="str">
        <f>'Itens Vencedores'!L166</f>
        <v xml:space="preserve"> </v>
      </c>
      <c r="E176" s="23">
        <f>'Itens Vencedores'!N166</f>
        <v>0</v>
      </c>
    </row>
    <row r="177" spans="1:5" x14ac:dyDescent="0.25">
      <c r="A177" s="22" t="str">
        <f>'Itens Vencedores'!F167</f>
        <v/>
      </c>
      <c r="B177" s="22" t="str">
        <f>'Itens Vencedores'!I167</f>
        <v xml:space="preserve"> </v>
      </c>
      <c r="C177" s="49" t="str">
        <f>'Itens Vencedores'!J167</f>
        <v xml:space="preserve"> </v>
      </c>
      <c r="D177" s="23" t="str">
        <f>'Itens Vencedores'!L167</f>
        <v xml:space="preserve"> </v>
      </c>
      <c r="E177" s="23">
        <f>'Itens Vencedores'!N167</f>
        <v>0</v>
      </c>
    </row>
    <row r="178" spans="1:5" x14ac:dyDescent="0.25">
      <c r="A178" s="22" t="str">
        <f>'Itens Vencedores'!F168</f>
        <v/>
      </c>
      <c r="B178" s="22" t="str">
        <f>'Itens Vencedores'!I168</f>
        <v xml:space="preserve"> </v>
      </c>
      <c r="C178" s="49" t="str">
        <f>'Itens Vencedores'!J168</f>
        <v xml:space="preserve"> </v>
      </c>
      <c r="D178" s="23" t="str">
        <f>'Itens Vencedores'!L168</f>
        <v xml:space="preserve"> </v>
      </c>
      <c r="E178" s="23">
        <f>'Itens Vencedores'!N168</f>
        <v>0</v>
      </c>
    </row>
    <row r="179" spans="1:5" x14ac:dyDescent="0.25">
      <c r="A179" s="22" t="str">
        <f>'Itens Vencedores'!F169</f>
        <v/>
      </c>
      <c r="B179" s="22" t="str">
        <f>'Itens Vencedores'!I169</f>
        <v xml:space="preserve"> </v>
      </c>
      <c r="C179" s="49" t="str">
        <f>'Itens Vencedores'!J169</f>
        <v xml:space="preserve"> </v>
      </c>
      <c r="D179" s="23" t="str">
        <f>'Itens Vencedores'!L169</f>
        <v xml:space="preserve"> </v>
      </c>
      <c r="E179" s="23">
        <f>'Itens Vencedores'!N169</f>
        <v>0</v>
      </c>
    </row>
    <row r="180" spans="1:5" x14ac:dyDescent="0.25">
      <c r="A180" s="22" t="str">
        <f>'Itens Vencedores'!F170</f>
        <v/>
      </c>
      <c r="B180" s="22" t="str">
        <f>'Itens Vencedores'!I170</f>
        <v xml:space="preserve"> </v>
      </c>
      <c r="C180" s="49" t="str">
        <f>'Itens Vencedores'!J170</f>
        <v xml:space="preserve"> </v>
      </c>
      <c r="D180" s="23" t="str">
        <f>'Itens Vencedores'!L170</f>
        <v xml:space="preserve"> </v>
      </c>
      <c r="E180" s="23">
        <f>'Itens Vencedores'!N170</f>
        <v>0</v>
      </c>
    </row>
    <row r="181" spans="1:5" x14ac:dyDescent="0.25">
      <c r="A181" s="22" t="str">
        <f>'Itens Vencedores'!F171</f>
        <v/>
      </c>
      <c r="B181" s="22" t="str">
        <f>'Itens Vencedores'!I171</f>
        <v xml:space="preserve"> </v>
      </c>
      <c r="C181" s="49" t="str">
        <f>'Itens Vencedores'!J171</f>
        <v xml:space="preserve"> </v>
      </c>
      <c r="D181" s="23" t="str">
        <f>'Itens Vencedores'!L171</f>
        <v xml:space="preserve"> </v>
      </c>
      <c r="E181" s="23">
        <f>'Itens Vencedores'!N171</f>
        <v>0</v>
      </c>
    </row>
    <row r="182" spans="1:5" x14ac:dyDescent="0.25">
      <c r="A182" s="22" t="str">
        <f>'Itens Vencedores'!F172</f>
        <v/>
      </c>
      <c r="B182" s="22" t="str">
        <f>'Itens Vencedores'!I172</f>
        <v xml:space="preserve"> </v>
      </c>
      <c r="C182" s="49" t="str">
        <f>'Itens Vencedores'!J172</f>
        <v xml:space="preserve"> </v>
      </c>
      <c r="D182" s="23" t="str">
        <f>'Itens Vencedores'!L172</f>
        <v xml:space="preserve"> </v>
      </c>
      <c r="E182" s="23">
        <f>'Itens Vencedores'!N172</f>
        <v>0</v>
      </c>
    </row>
    <row r="183" spans="1:5" x14ac:dyDescent="0.25">
      <c r="A183" s="22" t="str">
        <f>'Itens Vencedores'!F173</f>
        <v/>
      </c>
      <c r="B183" s="22" t="str">
        <f>'Itens Vencedores'!I173</f>
        <v xml:space="preserve"> </v>
      </c>
      <c r="C183" s="49" t="str">
        <f>'Itens Vencedores'!J173</f>
        <v xml:space="preserve"> </v>
      </c>
      <c r="D183" s="23" t="str">
        <f>'Itens Vencedores'!L173</f>
        <v xml:space="preserve"> </v>
      </c>
      <c r="E183" s="23">
        <f>'Itens Vencedores'!N173</f>
        <v>0</v>
      </c>
    </row>
    <row r="184" spans="1:5" x14ac:dyDescent="0.25">
      <c r="A184" s="22" t="str">
        <f>'Itens Vencedores'!F174</f>
        <v/>
      </c>
      <c r="B184" s="22" t="str">
        <f>'Itens Vencedores'!I174</f>
        <v xml:space="preserve"> </v>
      </c>
      <c r="C184" s="49" t="str">
        <f>'Itens Vencedores'!J174</f>
        <v xml:space="preserve"> </v>
      </c>
      <c r="D184" s="23" t="str">
        <f>'Itens Vencedores'!L174</f>
        <v xml:space="preserve"> </v>
      </c>
      <c r="E184" s="23">
        <f>'Itens Vencedores'!N174</f>
        <v>0</v>
      </c>
    </row>
    <row r="185" spans="1:5" x14ac:dyDescent="0.25">
      <c r="A185" s="22" t="str">
        <f>'Itens Vencedores'!F175</f>
        <v/>
      </c>
      <c r="B185" s="22" t="str">
        <f>'Itens Vencedores'!I175</f>
        <v xml:space="preserve"> </v>
      </c>
      <c r="C185" s="49" t="str">
        <f>'Itens Vencedores'!J175</f>
        <v xml:space="preserve"> </v>
      </c>
      <c r="D185" s="23" t="str">
        <f>'Itens Vencedores'!L175</f>
        <v xml:space="preserve"> </v>
      </c>
      <c r="E185" s="23">
        <f>'Itens Vencedores'!N175</f>
        <v>0</v>
      </c>
    </row>
    <row r="186" spans="1:5" x14ac:dyDescent="0.25">
      <c r="A186" s="22" t="str">
        <f>'Itens Vencedores'!F176</f>
        <v/>
      </c>
      <c r="B186" s="22" t="str">
        <f>'Itens Vencedores'!I176</f>
        <v xml:space="preserve"> </v>
      </c>
      <c r="C186" s="49" t="str">
        <f>'Itens Vencedores'!J176</f>
        <v xml:space="preserve"> </v>
      </c>
      <c r="D186" s="23" t="str">
        <f>'Itens Vencedores'!L176</f>
        <v xml:space="preserve"> </v>
      </c>
      <c r="E186" s="23">
        <f>'Itens Vencedores'!N176</f>
        <v>0</v>
      </c>
    </row>
    <row r="187" spans="1:5" x14ac:dyDescent="0.25">
      <c r="A187" s="22" t="str">
        <f>'Itens Vencedores'!F177</f>
        <v/>
      </c>
      <c r="B187" s="22" t="str">
        <f>'Itens Vencedores'!I177</f>
        <v xml:space="preserve"> </v>
      </c>
      <c r="C187" s="49" t="str">
        <f>'Itens Vencedores'!J177</f>
        <v xml:space="preserve"> </v>
      </c>
      <c r="D187" s="23" t="str">
        <f>'Itens Vencedores'!L177</f>
        <v xml:space="preserve"> </v>
      </c>
      <c r="E187" s="23">
        <f>'Itens Vencedores'!N177</f>
        <v>0</v>
      </c>
    </row>
    <row r="188" spans="1:5" x14ac:dyDescent="0.25">
      <c r="A188" s="22" t="str">
        <f>'Itens Vencedores'!F178</f>
        <v/>
      </c>
      <c r="B188" s="22" t="str">
        <f>'Itens Vencedores'!I178</f>
        <v xml:space="preserve"> </v>
      </c>
      <c r="C188" s="49" t="str">
        <f>'Itens Vencedores'!J178</f>
        <v xml:space="preserve"> </v>
      </c>
      <c r="D188" s="23" t="str">
        <f>'Itens Vencedores'!L178</f>
        <v xml:space="preserve"> </v>
      </c>
      <c r="E188" s="23">
        <f>'Itens Vencedores'!N178</f>
        <v>0</v>
      </c>
    </row>
    <row r="189" spans="1:5" x14ac:dyDescent="0.25">
      <c r="A189" s="22" t="str">
        <f>'Itens Vencedores'!F179</f>
        <v/>
      </c>
      <c r="B189" s="22" t="str">
        <f>'Itens Vencedores'!I179</f>
        <v xml:space="preserve"> </v>
      </c>
      <c r="C189" s="49" t="str">
        <f>'Itens Vencedores'!J179</f>
        <v xml:space="preserve"> </v>
      </c>
      <c r="D189" s="23" t="str">
        <f>'Itens Vencedores'!L179</f>
        <v xml:space="preserve"> </v>
      </c>
      <c r="E189" s="23">
        <f>'Itens Vencedores'!N179</f>
        <v>0</v>
      </c>
    </row>
    <row r="190" spans="1:5" x14ac:dyDescent="0.25">
      <c r="A190" s="22" t="str">
        <f>'Itens Vencedores'!F180</f>
        <v/>
      </c>
      <c r="B190" s="22" t="str">
        <f>'Itens Vencedores'!I180</f>
        <v xml:space="preserve"> </v>
      </c>
      <c r="C190" s="49" t="str">
        <f>'Itens Vencedores'!J180</f>
        <v xml:space="preserve"> </v>
      </c>
      <c r="D190" s="23" t="str">
        <f>'Itens Vencedores'!L180</f>
        <v xml:space="preserve"> </v>
      </c>
      <c r="E190" s="23">
        <f>'Itens Vencedores'!N180</f>
        <v>0</v>
      </c>
    </row>
    <row r="191" spans="1:5" x14ac:dyDescent="0.25">
      <c r="A191" s="22" t="str">
        <f>'Itens Vencedores'!F181</f>
        <v/>
      </c>
      <c r="B191" s="22" t="str">
        <f>'Itens Vencedores'!I181</f>
        <v xml:space="preserve"> </v>
      </c>
      <c r="C191" s="49" t="str">
        <f>'Itens Vencedores'!J181</f>
        <v xml:space="preserve"> </v>
      </c>
      <c r="D191" s="23" t="str">
        <f>'Itens Vencedores'!L181</f>
        <v xml:space="preserve"> </v>
      </c>
      <c r="E191" s="23">
        <f>'Itens Vencedores'!N181</f>
        <v>0</v>
      </c>
    </row>
    <row r="192" spans="1:5" x14ac:dyDescent="0.25">
      <c r="A192" s="22" t="str">
        <f>'Itens Vencedores'!F182</f>
        <v/>
      </c>
      <c r="B192" s="22" t="str">
        <f>'Itens Vencedores'!I182</f>
        <v xml:space="preserve"> </v>
      </c>
      <c r="C192" s="49" t="str">
        <f>'Itens Vencedores'!J182</f>
        <v xml:space="preserve"> </v>
      </c>
      <c r="D192" s="23" t="str">
        <f>'Itens Vencedores'!L182</f>
        <v xml:space="preserve"> </v>
      </c>
      <c r="E192" s="23">
        <f>'Itens Vencedores'!N182</f>
        <v>0</v>
      </c>
    </row>
    <row r="193" spans="1:5" x14ac:dyDescent="0.25">
      <c r="A193" s="22" t="str">
        <f>'Itens Vencedores'!F183</f>
        <v/>
      </c>
      <c r="B193" s="22" t="str">
        <f>'Itens Vencedores'!I183</f>
        <v xml:space="preserve"> </v>
      </c>
      <c r="C193" s="49" t="str">
        <f>'Itens Vencedores'!J183</f>
        <v xml:space="preserve"> </v>
      </c>
      <c r="D193" s="23" t="str">
        <f>'Itens Vencedores'!L183</f>
        <v xml:space="preserve"> </v>
      </c>
      <c r="E193" s="23">
        <f>'Itens Vencedores'!N183</f>
        <v>0</v>
      </c>
    </row>
    <row r="194" spans="1:5" x14ac:dyDescent="0.25">
      <c r="A194" s="22" t="str">
        <f>'Itens Vencedores'!F184</f>
        <v/>
      </c>
      <c r="B194" s="22" t="str">
        <f>'Itens Vencedores'!I184</f>
        <v xml:space="preserve"> </v>
      </c>
      <c r="C194" s="49" t="str">
        <f>'Itens Vencedores'!J184</f>
        <v xml:space="preserve"> </v>
      </c>
      <c r="D194" s="23" t="str">
        <f>'Itens Vencedores'!L184</f>
        <v xml:space="preserve"> </v>
      </c>
      <c r="E194" s="23">
        <f>'Itens Vencedores'!N184</f>
        <v>0</v>
      </c>
    </row>
    <row r="195" spans="1:5" x14ac:dyDescent="0.25">
      <c r="A195" s="22" t="str">
        <f>'Itens Vencedores'!F185</f>
        <v/>
      </c>
      <c r="B195" s="22" t="str">
        <f>'Itens Vencedores'!I185</f>
        <v xml:space="preserve"> </v>
      </c>
      <c r="C195" s="49" t="str">
        <f>'Itens Vencedores'!J185</f>
        <v xml:space="preserve"> </v>
      </c>
      <c r="D195" s="23" t="str">
        <f>'Itens Vencedores'!L185</f>
        <v xml:space="preserve"> </v>
      </c>
      <c r="E195" s="23">
        <f>'Itens Vencedores'!N185</f>
        <v>0</v>
      </c>
    </row>
    <row r="196" spans="1:5" x14ac:dyDescent="0.25">
      <c r="A196" s="22" t="str">
        <f>'Itens Vencedores'!F186</f>
        <v/>
      </c>
      <c r="B196" s="22" t="str">
        <f>'Itens Vencedores'!I186</f>
        <v xml:space="preserve"> </v>
      </c>
      <c r="C196" s="49" t="str">
        <f>'Itens Vencedores'!J186</f>
        <v xml:space="preserve"> </v>
      </c>
      <c r="D196" s="23" t="str">
        <f>'Itens Vencedores'!L186</f>
        <v xml:space="preserve"> </v>
      </c>
      <c r="E196" s="23">
        <f>'Itens Vencedores'!N186</f>
        <v>0</v>
      </c>
    </row>
    <row r="197" spans="1:5" x14ac:dyDescent="0.25">
      <c r="A197" s="22" t="str">
        <f>'Itens Vencedores'!F187</f>
        <v/>
      </c>
      <c r="B197" s="22" t="str">
        <f>'Itens Vencedores'!I187</f>
        <v xml:space="preserve"> </v>
      </c>
      <c r="C197" s="49" t="str">
        <f>'Itens Vencedores'!J187</f>
        <v xml:space="preserve"> </v>
      </c>
      <c r="D197" s="23" t="str">
        <f>'Itens Vencedores'!L187</f>
        <v xml:space="preserve"> </v>
      </c>
      <c r="E197" s="23">
        <f>'Itens Vencedores'!N187</f>
        <v>0</v>
      </c>
    </row>
    <row r="198" spans="1:5" x14ac:dyDescent="0.25">
      <c r="A198" s="22" t="str">
        <f>'Itens Vencedores'!F188</f>
        <v/>
      </c>
      <c r="B198" s="22" t="str">
        <f>'Itens Vencedores'!I188</f>
        <v xml:space="preserve"> </v>
      </c>
      <c r="C198" s="49" t="str">
        <f>'Itens Vencedores'!J188</f>
        <v xml:space="preserve"> </v>
      </c>
      <c r="D198" s="23" t="str">
        <f>'Itens Vencedores'!L188</f>
        <v xml:space="preserve"> </v>
      </c>
      <c r="E198" s="23">
        <f>'Itens Vencedores'!N188</f>
        <v>0</v>
      </c>
    </row>
    <row r="199" spans="1:5" x14ac:dyDescent="0.25">
      <c r="A199" s="22" t="str">
        <f>'Itens Vencedores'!F189</f>
        <v/>
      </c>
      <c r="B199" s="22" t="str">
        <f>'Itens Vencedores'!I189</f>
        <v xml:space="preserve"> </v>
      </c>
      <c r="C199" s="49" t="str">
        <f>'Itens Vencedores'!J189</f>
        <v xml:space="preserve"> </v>
      </c>
      <c r="D199" s="23" t="str">
        <f>'Itens Vencedores'!L189</f>
        <v xml:space="preserve"> </v>
      </c>
      <c r="E199" s="23">
        <f>'Itens Vencedores'!N189</f>
        <v>0</v>
      </c>
    </row>
    <row r="200" spans="1:5" x14ac:dyDescent="0.25">
      <c r="A200" s="22" t="str">
        <f>'Itens Vencedores'!F190</f>
        <v/>
      </c>
      <c r="B200" s="22" t="str">
        <f>'Itens Vencedores'!I190</f>
        <v xml:space="preserve"> </v>
      </c>
      <c r="C200" s="49" t="str">
        <f>'Itens Vencedores'!J190</f>
        <v xml:space="preserve"> </v>
      </c>
      <c r="D200" s="23" t="str">
        <f>'Itens Vencedores'!L190</f>
        <v xml:space="preserve"> </v>
      </c>
      <c r="E200" s="23">
        <f>'Itens Vencedores'!N190</f>
        <v>0</v>
      </c>
    </row>
    <row r="201" spans="1:5" x14ac:dyDescent="0.25">
      <c r="A201" s="22" t="str">
        <f>'Itens Vencedores'!F191</f>
        <v/>
      </c>
      <c r="B201" s="22" t="str">
        <f>'Itens Vencedores'!I191</f>
        <v xml:space="preserve"> </v>
      </c>
      <c r="C201" s="49" t="str">
        <f>'Itens Vencedores'!J191</f>
        <v xml:space="preserve"> </v>
      </c>
      <c r="D201" s="23" t="str">
        <f>'Itens Vencedores'!L191</f>
        <v xml:space="preserve"> </v>
      </c>
      <c r="E201" s="23">
        <f>'Itens Vencedores'!N191</f>
        <v>0</v>
      </c>
    </row>
    <row r="202" spans="1:5" x14ac:dyDescent="0.25">
      <c r="A202" s="22" t="str">
        <f>'Itens Vencedores'!F192</f>
        <v/>
      </c>
      <c r="B202" s="22" t="str">
        <f>'Itens Vencedores'!I192</f>
        <v xml:space="preserve"> </v>
      </c>
      <c r="C202" s="49" t="str">
        <f>'Itens Vencedores'!J192</f>
        <v xml:space="preserve"> </v>
      </c>
      <c r="D202" s="23" t="str">
        <f>'Itens Vencedores'!L192</f>
        <v xml:space="preserve"> </v>
      </c>
      <c r="E202" s="23">
        <f>'Itens Vencedores'!N192</f>
        <v>0</v>
      </c>
    </row>
    <row r="203" spans="1:5" x14ac:dyDescent="0.25">
      <c r="A203" s="22" t="str">
        <f>'Itens Vencedores'!F193</f>
        <v/>
      </c>
      <c r="B203" s="22" t="str">
        <f>'Itens Vencedores'!I193</f>
        <v xml:space="preserve"> </v>
      </c>
      <c r="C203" s="49" t="str">
        <f>'Itens Vencedores'!J193</f>
        <v xml:space="preserve"> </v>
      </c>
      <c r="D203" s="23" t="str">
        <f>'Itens Vencedores'!L193</f>
        <v xml:space="preserve"> </v>
      </c>
      <c r="E203" s="23">
        <f>'Itens Vencedores'!N193</f>
        <v>0</v>
      </c>
    </row>
    <row r="204" spans="1:5" x14ac:dyDescent="0.25">
      <c r="A204" s="22" t="str">
        <f>'Itens Vencedores'!F194</f>
        <v/>
      </c>
      <c r="B204" s="22" t="str">
        <f>'Itens Vencedores'!I194</f>
        <v xml:space="preserve"> </v>
      </c>
      <c r="C204" s="49" t="str">
        <f>'Itens Vencedores'!J194</f>
        <v xml:space="preserve"> </v>
      </c>
      <c r="D204" s="23" t="str">
        <f>'Itens Vencedores'!L194</f>
        <v xml:space="preserve"> </v>
      </c>
      <c r="E204" s="23">
        <f>'Itens Vencedores'!N194</f>
        <v>0</v>
      </c>
    </row>
    <row r="205" spans="1:5" x14ac:dyDescent="0.25">
      <c r="A205" s="22" t="str">
        <f>'Itens Vencedores'!F195</f>
        <v/>
      </c>
      <c r="B205" s="22" t="str">
        <f>'Itens Vencedores'!I195</f>
        <v xml:space="preserve"> </v>
      </c>
      <c r="C205" s="49" t="str">
        <f>'Itens Vencedores'!J195</f>
        <v xml:space="preserve"> </v>
      </c>
      <c r="D205" s="23" t="str">
        <f>'Itens Vencedores'!L195</f>
        <v xml:space="preserve"> </v>
      </c>
      <c r="E205" s="23">
        <f>'Itens Vencedores'!N195</f>
        <v>0</v>
      </c>
    </row>
    <row r="206" spans="1:5" x14ac:dyDescent="0.25">
      <c r="A206" s="22" t="str">
        <f>'Itens Vencedores'!F196</f>
        <v/>
      </c>
      <c r="B206" s="22" t="str">
        <f>'Itens Vencedores'!I196</f>
        <v xml:space="preserve"> </v>
      </c>
      <c r="C206" s="49" t="str">
        <f>'Itens Vencedores'!J196</f>
        <v xml:space="preserve"> </v>
      </c>
      <c r="D206" s="23" t="str">
        <f>'Itens Vencedores'!L196</f>
        <v xml:space="preserve"> </v>
      </c>
      <c r="E206" s="23">
        <f>'Itens Vencedores'!N196</f>
        <v>0</v>
      </c>
    </row>
    <row r="207" spans="1:5" x14ac:dyDescent="0.25">
      <c r="A207" s="22" t="str">
        <f>'Itens Vencedores'!F197</f>
        <v/>
      </c>
      <c r="B207" s="22" t="str">
        <f>'Itens Vencedores'!I197</f>
        <v xml:space="preserve"> </v>
      </c>
      <c r="C207" s="49" t="str">
        <f>'Itens Vencedores'!J197</f>
        <v xml:space="preserve"> </v>
      </c>
      <c r="D207" s="23" t="str">
        <f>'Itens Vencedores'!L197</f>
        <v xml:space="preserve"> </v>
      </c>
      <c r="E207" s="23">
        <f>'Itens Vencedores'!N197</f>
        <v>0</v>
      </c>
    </row>
    <row r="208" spans="1:5" x14ac:dyDescent="0.25">
      <c r="A208" s="22" t="str">
        <f>'Itens Vencedores'!F198</f>
        <v/>
      </c>
      <c r="B208" s="22" t="str">
        <f>'Itens Vencedores'!I198</f>
        <v xml:space="preserve"> </v>
      </c>
      <c r="C208" s="49" t="str">
        <f>'Itens Vencedores'!J198</f>
        <v xml:space="preserve"> </v>
      </c>
      <c r="D208" s="23" t="str">
        <f>'Itens Vencedores'!L198</f>
        <v xml:space="preserve"> </v>
      </c>
      <c r="E208" s="23">
        <f>'Itens Vencedores'!N198</f>
        <v>0</v>
      </c>
    </row>
    <row r="209" spans="1:5" x14ac:dyDescent="0.25">
      <c r="A209" s="22" t="str">
        <f>'Itens Vencedores'!F199</f>
        <v/>
      </c>
      <c r="B209" s="22" t="str">
        <f>'Itens Vencedores'!I199</f>
        <v xml:space="preserve"> </v>
      </c>
      <c r="C209" s="49" t="str">
        <f>'Itens Vencedores'!J199</f>
        <v xml:space="preserve"> </v>
      </c>
      <c r="D209" s="23" t="str">
        <f>'Itens Vencedores'!L199</f>
        <v xml:space="preserve"> </v>
      </c>
      <c r="E209" s="23">
        <f>'Itens Vencedores'!N199</f>
        <v>0</v>
      </c>
    </row>
    <row r="210" spans="1:5" x14ac:dyDescent="0.25">
      <c r="A210" s="22" t="str">
        <f>'Itens Vencedores'!F200</f>
        <v/>
      </c>
      <c r="B210" s="22" t="str">
        <f>'Itens Vencedores'!I200</f>
        <v xml:space="preserve"> </v>
      </c>
      <c r="C210" s="49" t="str">
        <f>'Itens Vencedores'!J200</f>
        <v xml:space="preserve"> </v>
      </c>
      <c r="D210" s="23" t="str">
        <f>'Itens Vencedores'!L200</f>
        <v xml:space="preserve"> </v>
      </c>
      <c r="E210" s="23">
        <f>'Itens Vencedores'!N200</f>
        <v>0</v>
      </c>
    </row>
    <row r="211" spans="1:5" x14ac:dyDescent="0.25">
      <c r="A211" s="22" t="str">
        <f>'Itens Vencedores'!F201</f>
        <v/>
      </c>
      <c r="B211" s="22" t="str">
        <f>'Itens Vencedores'!I201</f>
        <v xml:space="preserve"> </v>
      </c>
      <c r="C211" s="49" t="str">
        <f>'Itens Vencedores'!J201</f>
        <v xml:space="preserve"> </v>
      </c>
      <c r="D211" s="23" t="str">
        <f>'Itens Vencedores'!L201</f>
        <v xml:space="preserve"> </v>
      </c>
      <c r="E211" s="23">
        <f>'Itens Vencedores'!N201</f>
        <v>0</v>
      </c>
    </row>
    <row r="212" spans="1:5" x14ac:dyDescent="0.25">
      <c r="A212" s="22" t="str">
        <f>'Itens Vencedores'!F202</f>
        <v/>
      </c>
      <c r="B212" s="22" t="str">
        <f>'Itens Vencedores'!I202</f>
        <v xml:space="preserve"> </v>
      </c>
      <c r="C212" s="49" t="str">
        <f>'Itens Vencedores'!J202</f>
        <v xml:space="preserve"> </v>
      </c>
      <c r="D212" s="23" t="str">
        <f>'Itens Vencedores'!L202</f>
        <v xml:space="preserve"> </v>
      </c>
      <c r="E212" s="23">
        <f>'Itens Vencedores'!N202</f>
        <v>0</v>
      </c>
    </row>
    <row r="213" spans="1:5" x14ac:dyDescent="0.25">
      <c r="A213" s="22" t="str">
        <f>'Itens Vencedores'!F203</f>
        <v/>
      </c>
      <c r="B213" s="22" t="str">
        <f>'Itens Vencedores'!I203</f>
        <v xml:space="preserve"> </v>
      </c>
      <c r="C213" s="49" t="str">
        <f>'Itens Vencedores'!J203</f>
        <v xml:space="preserve"> </v>
      </c>
      <c r="D213" s="23" t="str">
        <f>'Itens Vencedores'!L203</f>
        <v xml:space="preserve"> </v>
      </c>
      <c r="E213" s="23">
        <f>'Itens Vencedores'!N203</f>
        <v>0</v>
      </c>
    </row>
    <row r="214" spans="1:5" x14ac:dyDescent="0.25">
      <c r="A214" s="22" t="str">
        <f>'Itens Vencedores'!F204</f>
        <v/>
      </c>
      <c r="B214" s="22" t="str">
        <f>'Itens Vencedores'!I204</f>
        <v xml:space="preserve"> </v>
      </c>
      <c r="C214" s="49" t="str">
        <f>'Itens Vencedores'!J204</f>
        <v xml:space="preserve"> </v>
      </c>
      <c r="D214" s="23" t="str">
        <f>'Itens Vencedores'!L204</f>
        <v xml:space="preserve"> </v>
      </c>
      <c r="E214" s="23">
        <f>'Itens Vencedores'!N204</f>
        <v>0</v>
      </c>
    </row>
    <row r="215" spans="1:5" x14ac:dyDescent="0.25">
      <c r="A215" s="22" t="str">
        <f>'Itens Vencedores'!F205</f>
        <v/>
      </c>
      <c r="B215" s="22" t="str">
        <f>'Itens Vencedores'!I205</f>
        <v xml:space="preserve"> </v>
      </c>
      <c r="C215" s="49" t="str">
        <f>'Itens Vencedores'!J205</f>
        <v xml:space="preserve"> </v>
      </c>
      <c r="D215" s="23" t="str">
        <f>'Itens Vencedores'!L205</f>
        <v xml:space="preserve"> </v>
      </c>
      <c r="E215" s="23">
        <f>'Itens Vencedores'!N205</f>
        <v>0</v>
      </c>
    </row>
    <row r="216" spans="1:5" x14ac:dyDescent="0.25">
      <c r="A216" s="22" t="str">
        <f>'Itens Vencedores'!F206</f>
        <v/>
      </c>
      <c r="B216" s="22" t="str">
        <f>'Itens Vencedores'!I206</f>
        <v xml:space="preserve"> </v>
      </c>
      <c r="C216" s="49" t="str">
        <f>'Itens Vencedores'!J206</f>
        <v xml:space="preserve"> </v>
      </c>
      <c r="D216" s="23" t="str">
        <f>'Itens Vencedores'!L206</f>
        <v xml:space="preserve"> </v>
      </c>
      <c r="E216" s="23">
        <f>'Itens Vencedores'!N206</f>
        <v>0</v>
      </c>
    </row>
    <row r="217" spans="1:5" x14ac:dyDescent="0.25">
      <c r="A217" s="22" t="str">
        <f>'Itens Vencedores'!F207</f>
        <v/>
      </c>
      <c r="B217" s="22" t="str">
        <f>'Itens Vencedores'!I207</f>
        <v xml:space="preserve"> </v>
      </c>
      <c r="C217" s="49" t="str">
        <f>'Itens Vencedores'!J207</f>
        <v xml:space="preserve"> </v>
      </c>
      <c r="D217" s="23" t="str">
        <f>'Itens Vencedores'!L207</f>
        <v xml:space="preserve"> </v>
      </c>
      <c r="E217" s="23">
        <f>'Itens Vencedores'!N207</f>
        <v>0</v>
      </c>
    </row>
    <row r="218" spans="1:5" x14ac:dyDescent="0.25">
      <c r="A218" s="22" t="str">
        <f>'Itens Vencedores'!F208</f>
        <v/>
      </c>
      <c r="B218" s="22" t="str">
        <f>'Itens Vencedores'!I208</f>
        <v xml:space="preserve"> </v>
      </c>
      <c r="C218" s="49" t="str">
        <f>'Itens Vencedores'!J208</f>
        <v xml:space="preserve"> </v>
      </c>
      <c r="D218" s="23" t="str">
        <f>'Itens Vencedores'!L208</f>
        <v xml:space="preserve"> </v>
      </c>
      <c r="E218" s="23">
        <f>'Itens Vencedores'!N208</f>
        <v>0</v>
      </c>
    </row>
    <row r="219" spans="1:5" x14ac:dyDescent="0.25">
      <c r="A219" s="22" t="str">
        <f>'Itens Vencedores'!F209</f>
        <v/>
      </c>
      <c r="B219" s="22" t="str">
        <f>'Itens Vencedores'!I209</f>
        <v xml:space="preserve"> </v>
      </c>
      <c r="C219" s="49" t="str">
        <f>'Itens Vencedores'!J209</f>
        <v xml:space="preserve"> </v>
      </c>
      <c r="D219" s="23" t="str">
        <f>'Itens Vencedores'!L209</f>
        <v xml:space="preserve"> </v>
      </c>
      <c r="E219" s="23">
        <f>'Itens Vencedores'!N209</f>
        <v>0</v>
      </c>
    </row>
    <row r="220" spans="1:5" x14ac:dyDescent="0.25">
      <c r="A220" s="22" t="str">
        <f>'Itens Vencedores'!F210</f>
        <v/>
      </c>
      <c r="B220" s="22" t="str">
        <f>'Itens Vencedores'!I210</f>
        <v xml:space="preserve"> </v>
      </c>
      <c r="C220" s="49" t="str">
        <f>'Itens Vencedores'!J210</f>
        <v xml:space="preserve"> </v>
      </c>
      <c r="D220" s="23" t="str">
        <f>'Itens Vencedores'!L210</f>
        <v xml:space="preserve"> </v>
      </c>
      <c r="E220" s="23">
        <f>'Itens Vencedores'!N210</f>
        <v>0</v>
      </c>
    </row>
    <row r="221" spans="1:5" x14ac:dyDescent="0.25">
      <c r="A221" s="22" t="str">
        <f>'Itens Vencedores'!F211</f>
        <v/>
      </c>
      <c r="B221" s="22" t="str">
        <f>'Itens Vencedores'!I211</f>
        <v xml:space="preserve"> </v>
      </c>
      <c r="C221" s="49" t="str">
        <f>'Itens Vencedores'!J211</f>
        <v xml:space="preserve"> </v>
      </c>
      <c r="D221" s="23" t="str">
        <f>'Itens Vencedores'!L211</f>
        <v xml:space="preserve"> </v>
      </c>
      <c r="E221" s="23">
        <f>'Itens Vencedores'!N211</f>
        <v>0</v>
      </c>
    </row>
    <row r="222" spans="1:5" x14ac:dyDescent="0.25">
      <c r="A222" s="22" t="str">
        <f>'Itens Vencedores'!F212</f>
        <v/>
      </c>
      <c r="B222" s="22" t="str">
        <f>'Itens Vencedores'!I212</f>
        <v xml:space="preserve"> </v>
      </c>
      <c r="C222" s="49" t="str">
        <f>'Itens Vencedores'!J212</f>
        <v xml:space="preserve"> </v>
      </c>
      <c r="D222" s="23" t="str">
        <f>'Itens Vencedores'!L212</f>
        <v xml:space="preserve"> </v>
      </c>
      <c r="E222" s="23">
        <f>'Itens Vencedores'!N212</f>
        <v>0</v>
      </c>
    </row>
    <row r="223" spans="1:5" x14ac:dyDescent="0.25">
      <c r="A223" s="22" t="str">
        <f>'Itens Vencedores'!F213</f>
        <v/>
      </c>
      <c r="B223" s="22" t="str">
        <f>'Itens Vencedores'!I213</f>
        <v xml:space="preserve"> </v>
      </c>
      <c r="C223" s="49" t="str">
        <f>'Itens Vencedores'!J213</f>
        <v xml:space="preserve"> </v>
      </c>
      <c r="D223" s="23" t="str">
        <f>'Itens Vencedores'!L213</f>
        <v xml:space="preserve"> </v>
      </c>
      <c r="E223" s="23">
        <f>'Itens Vencedores'!N213</f>
        <v>0</v>
      </c>
    </row>
    <row r="224" spans="1:5" x14ac:dyDescent="0.25">
      <c r="A224" s="22" t="str">
        <f>'Itens Vencedores'!F214</f>
        <v/>
      </c>
      <c r="B224" s="22" t="str">
        <f>'Itens Vencedores'!I214</f>
        <v xml:space="preserve"> </v>
      </c>
      <c r="C224" s="49" t="str">
        <f>'Itens Vencedores'!J214</f>
        <v xml:space="preserve"> </v>
      </c>
      <c r="D224" s="23" t="str">
        <f>'Itens Vencedores'!L214</f>
        <v xml:space="preserve"> </v>
      </c>
      <c r="E224" s="23">
        <f>'Itens Vencedores'!N214</f>
        <v>0</v>
      </c>
    </row>
    <row r="225" spans="1:5" x14ac:dyDescent="0.25">
      <c r="A225" s="22" t="str">
        <f>'Itens Vencedores'!F215</f>
        <v/>
      </c>
      <c r="B225" s="22" t="str">
        <f>'Itens Vencedores'!I215</f>
        <v xml:space="preserve"> </v>
      </c>
      <c r="C225" s="49" t="str">
        <f>'Itens Vencedores'!J215</f>
        <v xml:space="preserve"> </v>
      </c>
      <c r="D225" s="23" t="str">
        <f>'Itens Vencedores'!L215</f>
        <v xml:space="preserve"> </v>
      </c>
      <c r="E225" s="23">
        <f>'Itens Vencedores'!N215</f>
        <v>0</v>
      </c>
    </row>
    <row r="226" spans="1:5" x14ac:dyDescent="0.25">
      <c r="A226" s="22" t="str">
        <f>'Itens Vencedores'!F216</f>
        <v/>
      </c>
      <c r="B226" s="22" t="str">
        <f>'Itens Vencedores'!I216</f>
        <v xml:space="preserve"> </v>
      </c>
      <c r="C226" s="49" t="str">
        <f>'Itens Vencedores'!J216</f>
        <v xml:space="preserve"> </v>
      </c>
      <c r="D226" s="23" t="str">
        <f>'Itens Vencedores'!L216</f>
        <v xml:space="preserve"> </v>
      </c>
      <c r="E226" s="23">
        <f>'Itens Vencedores'!N216</f>
        <v>0</v>
      </c>
    </row>
    <row r="227" spans="1:5" x14ac:dyDescent="0.25">
      <c r="A227" s="22" t="str">
        <f>'Itens Vencedores'!F217</f>
        <v/>
      </c>
      <c r="B227" s="22" t="str">
        <f>'Itens Vencedores'!I217</f>
        <v xml:space="preserve"> </v>
      </c>
      <c r="C227" s="49" t="str">
        <f>'Itens Vencedores'!J217</f>
        <v xml:space="preserve"> </v>
      </c>
      <c r="D227" s="23" t="str">
        <f>'Itens Vencedores'!L217</f>
        <v xml:space="preserve"> </v>
      </c>
      <c r="E227" s="23">
        <f>'Itens Vencedores'!N217</f>
        <v>0</v>
      </c>
    </row>
    <row r="228" spans="1:5" x14ac:dyDescent="0.25">
      <c r="A228" s="22" t="str">
        <f>'Itens Vencedores'!F218</f>
        <v/>
      </c>
      <c r="B228" s="22" t="str">
        <f>'Itens Vencedores'!I218</f>
        <v xml:space="preserve"> </v>
      </c>
      <c r="C228" s="49" t="str">
        <f>'Itens Vencedores'!J218</f>
        <v xml:space="preserve"> </v>
      </c>
      <c r="D228" s="23" t="str">
        <f>'Itens Vencedores'!L218</f>
        <v xml:space="preserve"> </v>
      </c>
      <c r="E228" s="23">
        <f>'Itens Vencedores'!N218</f>
        <v>0</v>
      </c>
    </row>
    <row r="229" spans="1:5" x14ac:dyDescent="0.25">
      <c r="A229" s="22" t="str">
        <f>'Itens Vencedores'!F219</f>
        <v/>
      </c>
      <c r="B229" s="22" t="str">
        <f>'Itens Vencedores'!I219</f>
        <v xml:space="preserve"> </v>
      </c>
      <c r="C229" s="49" t="str">
        <f>'Itens Vencedores'!J219</f>
        <v xml:space="preserve"> </v>
      </c>
      <c r="D229" s="23" t="str">
        <f>'Itens Vencedores'!L219</f>
        <v xml:space="preserve"> </v>
      </c>
      <c r="E229" s="23">
        <f>'Itens Vencedores'!N219</f>
        <v>0</v>
      </c>
    </row>
    <row r="230" spans="1:5" x14ac:dyDescent="0.25">
      <c r="A230" s="22" t="str">
        <f>'Itens Vencedores'!F220</f>
        <v/>
      </c>
      <c r="B230" s="22" t="str">
        <f>'Itens Vencedores'!I220</f>
        <v xml:space="preserve"> </v>
      </c>
      <c r="C230" s="49" t="str">
        <f>'Itens Vencedores'!J220</f>
        <v xml:space="preserve"> </v>
      </c>
      <c r="D230" s="23" t="str">
        <f>'Itens Vencedores'!L220</f>
        <v xml:space="preserve"> </v>
      </c>
      <c r="E230" s="23">
        <f>'Itens Vencedores'!N220</f>
        <v>0</v>
      </c>
    </row>
    <row r="231" spans="1:5" x14ac:dyDescent="0.25">
      <c r="A231" s="22" t="str">
        <f>'Itens Vencedores'!F221</f>
        <v/>
      </c>
      <c r="B231" s="22" t="str">
        <f>'Itens Vencedores'!I221</f>
        <v xml:space="preserve"> </v>
      </c>
      <c r="C231" s="49" t="str">
        <f>'Itens Vencedores'!J221</f>
        <v xml:space="preserve"> </v>
      </c>
      <c r="D231" s="23" t="str">
        <f>'Itens Vencedores'!L221</f>
        <v xml:space="preserve"> </v>
      </c>
      <c r="E231" s="23">
        <f>'Itens Vencedores'!N221</f>
        <v>0</v>
      </c>
    </row>
    <row r="232" spans="1:5" x14ac:dyDescent="0.25">
      <c r="A232" s="22" t="str">
        <f>'Itens Vencedores'!F222</f>
        <v/>
      </c>
      <c r="B232" s="22" t="str">
        <f>'Itens Vencedores'!I222</f>
        <v xml:space="preserve"> </v>
      </c>
      <c r="C232" s="49" t="str">
        <f>'Itens Vencedores'!J222</f>
        <v xml:space="preserve"> </v>
      </c>
      <c r="D232" s="23" t="str">
        <f>'Itens Vencedores'!L222</f>
        <v xml:space="preserve"> </v>
      </c>
      <c r="E232" s="23">
        <f>'Itens Vencedores'!N222</f>
        <v>0</v>
      </c>
    </row>
    <row r="233" spans="1:5" x14ac:dyDescent="0.25">
      <c r="A233" s="22" t="str">
        <f>'Itens Vencedores'!F223</f>
        <v/>
      </c>
      <c r="B233" s="22" t="str">
        <f>'Itens Vencedores'!I223</f>
        <v xml:space="preserve"> </v>
      </c>
      <c r="C233" s="49" t="str">
        <f>'Itens Vencedores'!J223</f>
        <v xml:space="preserve"> </v>
      </c>
      <c r="D233" s="23" t="str">
        <f>'Itens Vencedores'!L223</f>
        <v xml:space="preserve"> </v>
      </c>
      <c r="E233" s="23">
        <f>'Itens Vencedores'!N223</f>
        <v>0</v>
      </c>
    </row>
    <row r="234" spans="1:5" x14ac:dyDescent="0.25">
      <c r="A234" s="22" t="str">
        <f>'Itens Vencedores'!F224</f>
        <v/>
      </c>
      <c r="B234" s="22" t="str">
        <f>'Itens Vencedores'!I224</f>
        <v xml:space="preserve"> </v>
      </c>
      <c r="C234" s="49" t="str">
        <f>'Itens Vencedores'!J224</f>
        <v xml:space="preserve"> </v>
      </c>
      <c r="D234" s="23" t="str">
        <f>'Itens Vencedores'!L224</f>
        <v xml:space="preserve"> </v>
      </c>
      <c r="E234" s="23">
        <f>'Itens Vencedores'!N224</f>
        <v>0</v>
      </c>
    </row>
    <row r="235" spans="1:5" x14ac:dyDescent="0.25">
      <c r="A235" s="22" t="str">
        <f>'Itens Vencedores'!F225</f>
        <v/>
      </c>
      <c r="B235" s="22" t="str">
        <f>'Itens Vencedores'!I225</f>
        <v xml:space="preserve"> </v>
      </c>
      <c r="C235" s="49" t="str">
        <f>'Itens Vencedores'!J225</f>
        <v xml:space="preserve"> </v>
      </c>
      <c r="D235" s="23" t="str">
        <f>'Itens Vencedores'!L225</f>
        <v xml:space="preserve"> </v>
      </c>
      <c r="E235" s="23">
        <f>'Itens Vencedores'!N225</f>
        <v>0</v>
      </c>
    </row>
    <row r="236" spans="1:5" x14ac:dyDescent="0.25">
      <c r="A236" s="22" t="str">
        <f>'Itens Vencedores'!F226</f>
        <v/>
      </c>
      <c r="B236" s="22" t="str">
        <f>'Itens Vencedores'!I226</f>
        <v xml:space="preserve"> </v>
      </c>
      <c r="C236" s="49" t="str">
        <f>'Itens Vencedores'!J226</f>
        <v xml:space="preserve"> </v>
      </c>
      <c r="D236" s="23" t="str">
        <f>'Itens Vencedores'!L226</f>
        <v xml:space="preserve"> </v>
      </c>
      <c r="E236" s="23">
        <f>'Itens Vencedores'!N226</f>
        <v>0</v>
      </c>
    </row>
    <row r="237" spans="1:5" x14ac:dyDescent="0.25">
      <c r="A237" s="22" t="str">
        <f>'Itens Vencedores'!F227</f>
        <v/>
      </c>
      <c r="B237" s="22" t="str">
        <f>'Itens Vencedores'!I227</f>
        <v xml:space="preserve"> </v>
      </c>
      <c r="C237" s="49" t="str">
        <f>'Itens Vencedores'!J227</f>
        <v xml:space="preserve"> </v>
      </c>
      <c r="D237" s="23" t="str">
        <f>'Itens Vencedores'!L227</f>
        <v xml:space="preserve"> </v>
      </c>
      <c r="E237" s="23">
        <f>'Itens Vencedores'!N227</f>
        <v>0</v>
      </c>
    </row>
    <row r="238" spans="1:5" x14ac:dyDescent="0.25">
      <c r="A238" s="22" t="str">
        <f>'Itens Vencedores'!F228</f>
        <v/>
      </c>
      <c r="B238" s="22" t="str">
        <f>'Itens Vencedores'!I228</f>
        <v xml:space="preserve"> </v>
      </c>
      <c r="C238" s="49" t="str">
        <f>'Itens Vencedores'!J228</f>
        <v xml:space="preserve"> </v>
      </c>
      <c r="D238" s="23" t="str">
        <f>'Itens Vencedores'!L228</f>
        <v xml:space="preserve"> </v>
      </c>
      <c r="E238" s="23">
        <f>'Itens Vencedores'!N228</f>
        <v>0</v>
      </c>
    </row>
    <row r="239" spans="1:5" x14ac:dyDescent="0.25">
      <c r="A239" s="22" t="str">
        <f>'Itens Vencedores'!F229</f>
        <v/>
      </c>
      <c r="B239" s="22" t="str">
        <f>'Itens Vencedores'!I229</f>
        <v xml:space="preserve"> </v>
      </c>
      <c r="C239" s="49" t="str">
        <f>'Itens Vencedores'!J229</f>
        <v xml:space="preserve"> </v>
      </c>
      <c r="D239" s="23" t="str">
        <f>'Itens Vencedores'!L229</f>
        <v xml:space="preserve"> </v>
      </c>
      <c r="E239" s="23">
        <f>'Itens Vencedores'!N229</f>
        <v>0</v>
      </c>
    </row>
    <row r="240" spans="1:5" x14ac:dyDescent="0.25">
      <c r="A240" s="22" t="str">
        <f>'Itens Vencedores'!F230</f>
        <v/>
      </c>
      <c r="B240" s="22" t="str">
        <f>'Itens Vencedores'!I230</f>
        <v xml:space="preserve"> </v>
      </c>
      <c r="C240" s="49" t="str">
        <f>'Itens Vencedores'!J230</f>
        <v xml:space="preserve"> </v>
      </c>
      <c r="D240" s="23" t="str">
        <f>'Itens Vencedores'!L230</f>
        <v xml:space="preserve"> </v>
      </c>
      <c r="E240" s="23">
        <f>'Itens Vencedores'!N230</f>
        <v>0</v>
      </c>
    </row>
    <row r="241" spans="1:5" x14ac:dyDescent="0.25">
      <c r="A241" s="22" t="str">
        <f>'Itens Vencedores'!F231</f>
        <v/>
      </c>
      <c r="B241" s="22" t="str">
        <f>'Itens Vencedores'!I231</f>
        <v xml:space="preserve"> </v>
      </c>
      <c r="C241" s="49" t="str">
        <f>'Itens Vencedores'!J231</f>
        <v xml:space="preserve"> </v>
      </c>
      <c r="D241" s="23" t="str">
        <f>'Itens Vencedores'!L231</f>
        <v xml:space="preserve"> </v>
      </c>
      <c r="E241" s="23">
        <f>'Itens Vencedores'!N231</f>
        <v>0</v>
      </c>
    </row>
    <row r="242" spans="1:5" x14ac:dyDescent="0.25">
      <c r="A242" s="22" t="str">
        <f>'Itens Vencedores'!F232</f>
        <v/>
      </c>
      <c r="B242" s="22" t="str">
        <f>'Itens Vencedores'!I232</f>
        <v xml:space="preserve"> </v>
      </c>
      <c r="C242" s="49" t="str">
        <f>'Itens Vencedores'!J232</f>
        <v xml:space="preserve"> </v>
      </c>
      <c r="D242" s="23" t="str">
        <f>'Itens Vencedores'!L232</f>
        <v xml:space="preserve"> </v>
      </c>
      <c r="E242" s="23">
        <f>'Itens Vencedores'!N232</f>
        <v>0</v>
      </c>
    </row>
    <row r="243" spans="1:5" x14ac:dyDescent="0.25">
      <c r="A243" s="22" t="str">
        <f>'Itens Vencedores'!F233</f>
        <v/>
      </c>
      <c r="B243" s="22" t="str">
        <f>'Itens Vencedores'!I233</f>
        <v xml:space="preserve"> </v>
      </c>
      <c r="C243" s="49" t="str">
        <f>'Itens Vencedores'!J233</f>
        <v xml:space="preserve"> </v>
      </c>
      <c r="D243" s="23" t="str">
        <f>'Itens Vencedores'!L233</f>
        <v xml:space="preserve"> </v>
      </c>
      <c r="E243" s="23">
        <f>'Itens Vencedores'!N233</f>
        <v>0</v>
      </c>
    </row>
    <row r="244" spans="1:5" x14ac:dyDescent="0.25">
      <c r="A244" s="22" t="str">
        <f>'Itens Vencedores'!F234</f>
        <v/>
      </c>
      <c r="B244" s="22" t="str">
        <f>'Itens Vencedores'!I234</f>
        <v xml:space="preserve"> </v>
      </c>
      <c r="C244" s="49" t="str">
        <f>'Itens Vencedores'!J234</f>
        <v xml:space="preserve"> </v>
      </c>
      <c r="D244" s="23" t="str">
        <f>'Itens Vencedores'!L234</f>
        <v xml:space="preserve"> </v>
      </c>
      <c r="E244" s="23">
        <f>'Itens Vencedores'!N234</f>
        <v>0</v>
      </c>
    </row>
    <row r="245" spans="1:5" x14ac:dyDescent="0.25">
      <c r="A245" s="22" t="str">
        <f>'Itens Vencedores'!F235</f>
        <v/>
      </c>
      <c r="B245" s="22" t="str">
        <f>'Itens Vencedores'!I235</f>
        <v xml:space="preserve"> </v>
      </c>
      <c r="C245" s="49" t="str">
        <f>'Itens Vencedores'!J235</f>
        <v xml:space="preserve"> </v>
      </c>
      <c r="D245" s="23" t="str">
        <f>'Itens Vencedores'!L235</f>
        <v xml:space="preserve"> </v>
      </c>
      <c r="E245" s="23">
        <f>'Itens Vencedores'!N235</f>
        <v>0</v>
      </c>
    </row>
    <row r="246" spans="1:5" x14ac:dyDescent="0.25">
      <c r="A246" s="22" t="str">
        <f>'Itens Vencedores'!F236</f>
        <v/>
      </c>
      <c r="B246" s="22" t="str">
        <f>'Itens Vencedores'!I236</f>
        <v xml:space="preserve"> </v>
      </c>
      <c r="C246" s="49" t="str">
        <f>'Itens Vencedores'!J236</f>
        <v xml:space="preserve"> </v>
      </c>
      <c r="D246" s="23" t="str">
        <f>'Itens Vencedores'!L236</f>
        <v xml:space="preserve"> </v>
      </c>
      <c r="E246" s="23">
        <f>'Itens Vencedores'!N236</f>
        <v>0</v>
      </c>
    </row>
    <row r="247" spans="1:5" x14ac:dyDescent="0.25">
      <c r="A247" s="22" t="str">
        <f>'Itens Vencedores'!F237</f>
        <v/>
      </c>
      <c r="B247" s="22" t="str">
        <f>'Itens Vencedores'!I237</f>
        <v xml:space="preserve"> </v>
      </c>
      <c r="C247" s="49" t="str">
        <f>'Itens Vencedores'!J237</f>
        <v xml:space="preserve"> </v>
      </c>
      <c r="D247" s="23" t="str">
        <f>'Itens Vencedores'!L237</f>
        <v xml:space="preserve"> </v>
      </c>
      <c r="E247" s="23">
        <f>'Itens Vencedores'!N237</f>
        <v>0</v>
      </c>
    </row>
    <row r="248" spans="1:5" x14ac:dyDescent="0.25">
      <c r="A248" s="22" t="str">
        <f>'Itens Vencedores'!F238</f>
        <v/>
      </c>
      <c r="B248" s="22" t="str">
        <f>'Itens Vencedores'!I238</f>
        <v xml:space="preserve"> </v>
      </c>
      <c r="C248" s="49" t="str">
        <f>'Itens Vencedores'!J238</f>
        <v xml:space="preserve"> </v>
      </c>
      <c r="D248" s="23" t="str">
        <f>'Itens Vencedores'!L238</f>
        <v xml:space="preserve"> </v>
      </c>
      <c r="E248" s="23">
        <f>'Itens Vencedores'!N238</f>
        <v>0</v>
      </c>
    </row>
    <row r="249" spans="1:5" x14ac:dyDescent="0.25">
      <c r="A249" s="22" t="str">
        <f>'Itens Vencedores'!F239</f>
        <v/>
      </c>
      <c r="B249" s="22" t="str">
        <f>'Itens Vencedores'!I239</f>
        <v xml:space="preserve"> </v>
      </c>
      <c r="C249" s="49" t="str">
        <f>'Itens Vencedores'!J239</f>
        <v xml:space="preserve"> </v>
      </c>
      <c r="D249" s="23" t="str">
        <f>'Itens Vencedores'!L239</f>
        <v xml:space="preserve"> </v>
      </c>
      <c r="E249" s="23">
        <f>'Itens Vencedores'!N239</f>
        <v>0</v>
      </c>
    </row>
    <row r="251" spans="1:5" x14ac:dyDescent="0.25">
      <c r="A251" s="24"/>
      <c r="B251" s="75" t="s">
        <v>28</v>
      </c>
      <c r="C251" s="75"/>
      <c r="D251" s="78">
        <f>SUMPRODUCT(Final_2[Valor da Venda  (UN.)],Final_2[[Quantidade ]])</f>
        <v>0</v>
      </c>
      <c r="E251" s="78"/>
    </row>
    <row r="253" spans="1:5" x14ac:dyDescent="0.25">
      <c r="D253" s="50"/>
    </row>
    <row r="258" spans="2:4" x14ac:dyDescent="0.25">
      <c r="B258" s="51" t="str">
        <f>'Prosposta Inicial'!M2</f>
        <v>40.127.372 RICHARD HENRIQUE VERNILLO</v>
      </c>
      <c r="C258" s="51"/>
      <c r="D258" s="51"/>
    </row>
  </sheetData>
  <mergeCells count="2">
    <mergeCell ref="B251:C251"/>
    <mergeCell ref="D251:E251"/>
  </mergeCells>
  <pageMargins left="0.25" right="0.25" top="0.75" bottom="0.75" header="0.3" footer="0.3"/>
  <pageSetup paperSize="9"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 de Cadastro - Previsão</vt:lpstr>
      <vt:lpstr>Prosposta Inicial</vt:lpstr>
      <vt:lpstr>Acompanhamento da Licitação</vt:lpstr>
      <vt:lpstr>Itens Vencedores</vt:lpstr>
      <vt:lpstr>Prosposta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Steffan Vernillo</cp:lastModifiedBy>
  <cp:revision>25</cp:revision>
  <cp:lastPrinted>2025-08-19T23:10:51Z</cp:lastPrinted>
  <dcterms:modified xsi:type="dcterms:W3CDTF">2025-12-06T18:50:07Z</dcterms:modified>
  <dc:language>pt-BR</dc:language>
</cp:coreProperties>
</file>